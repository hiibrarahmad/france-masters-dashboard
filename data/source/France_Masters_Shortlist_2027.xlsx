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Top Picks (low fee)" sheetId="2" state="visible" r:id="rId2"/>
    <sheet xmlns:r="http://schemas.openxmlformats.org/officeDocument/2006/relationships" name="Summary" sheetId="3" state="visible" r:id="rId3"/>
    <sheet xmlns:r="http://schemas.openxmlformats.org/officeDocument/2006/relationships" name="English-taught" sheetId="4" state="visible" r:id="rId4"/>
    <sheet xmlns:r="http://schemas.openxmlformats.org/officeDocument/2006/relationships" name="All Programs" sheetId="5" state="visible" r:id="rId5"/>
    <sheet xmlns:r="http://schemas.openxmlformats.org/officeDocument/2006/relationships" name="University fee policies" sheetId="6" state="visible" r:id="rId6"/>
    <sheet xmlns:r="http://schemas.openxmlformats.org/officeDocument/2006/relationships" name="Source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quot;-€&quot;#,##0;\€0"/>
    <numFmt numFmtId="165" formatCode="\€#,##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sz val="10"/>
    </font>
    <font>
      <name val="Arial"/>
      <charset val="1"/>
      <family val="0"/>
      <b val="1"/>
      <sz val="10"/>
    </font>
    <font>
      <name val="Arial"/>
      <charset val="1"/>
      <family val="0"/>
      <b val="1"/>
      <color rgb="FF1F3864"/>
      <sz val="11"/>
    </font>
    <font>
      <name val="Arial"/>
      <charset val="1"/>
      <family val="0"/>
      <b val="1"/>
      <color rgb="FFFFFFFF"/>
      <sz val="10"/>
    </font>
    <font>
      <name val="Arial"/>
      <charset val="1"/>
      <family val="0"/>
      <sz val="9"/>
    </font>
    <font>
      <name val="Arial"/>
      <charset val="1"/>
      <family val="0"/>
      <color rgb="FF0563C1"/>
      <sz val="9"/>
      <u val="single"/>
    </font>
    <font>
      <name val="Arial"/>
      <charset val="1"/>
      <family val="0"/>
      <b val="1"/>
      <color rgb="FFFFFFFF"/>
      <sz val="11"/>
    </font>
    <font>
      <name val="Arial"/>
      <charset val="1"/>
      <family val="0"/>
      <b val="1"/>
      <sz val="11"/>
    </font>
    <font>
      <name val="Arial"/>
      <charset val="1"/>
      <family val="0"/>
      <i val="1"/>
      <sz val="10"/>
    </font>
    <font>
      <name val="Arial"/>
      <charset val="1"/>
      <family val="0"/>
      <color rgb="FF0563C1"/>
      <sz val="10"/>
      <u val="single"/>
    </font>
  </fonts>
  <fills count="3">
    <fill>
      <patternFill/>
    </fill>
    <fill>
      <patternFill patternType="gray125"/>
    </fill>
    <fill>
      <patternFill patternType="solid">
        <fgColor rgb="FF1F3864"/>
        <bgColor rgb="FF333333"/>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wrapText="1"/>
    </xf>
    <xf numFmtId="0" fontId="9" fillId="0" borderId="0" applyAlignment="1" pivotButton="0" quotePrefix="0" xfId="0">
      <alignment horizontal="general" vertical="top"/>
    </xf>
    <xf numFmtId="0" fontId="9" fillId="0" borderId="0" applyAlignment="1" pivotButton="0" quotePrefix="0" xfId="0">
      <alignment horizontal="general" vertical="top" wrapText="1"/>
    </xf>
    <xf numFmtId="164" fontId="9" fillId="0" borderId="0" applyAlignment="1" pivotButton="0" quotePrefix="0" xfId="0">
      <alignment horizontal="general" vertical="top"/>
    </xf>
    <xf numFmtId="0" fontId="10" fillId="0" borderId="0" applyAlignment="1" pivotButton="0" quotePrefix="0" xfId="0">
      <alignment horizontal="general" vertical="top"/>
    </xf>
    <xf numFmtId="0" fontId="11" fillId="2" borderId="0" applyAlignment="1" pivotButton="0" quotePrefix="0" xfId="0">
      <alignment horizontal="general" vertical="bottom"/>
    </xf>
    <xf numFmtId="0" fontId="5" fillId="0" borderId="0" applyAlignment="1" pivotButton="0" quotePrefix="0" xfId="0">
      <alignment horizontal="general" vertical="bottom"/>
    </xf>
    <xf numFmtId="165" fontId="5"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center" wrapText="1"/>
    </xf>
    <xf numFmtId="0" fontId="9" fillId="0" borderId="0" applyAlignment="1" pivotButton="0" quotePrefix="0" xfId="0">
      <alignment horizontal="general" vertical="top"/>
    </xf>
    <xf numFmtId="0" fontId="9" fillId="0" borderId="0" applyAlignment="1" pivotButton="0" quotePrefix="0" xfId="0">
      <alignment horizontal="general" vertical="top" wrapText="1"/>
    </xf>
    <xf numFmtId="164" fontId="9" fillId="0" borderId="0" applyAlignment="1" pivotButton="0" quotePrefix="0" xfId="0">
      <alignment horizontal="general" vertical="top"/>
    </xf>
    <xf numFmtId="0" fontId="10" fillId="0" borderId="0" applyAlignment="1" pivotButton="0" quotePrefix="0" xfId="0">
      <alignment horizontal="general" vertical="top"/>
    </xf>
    <xf numFmtId="0" fontId="11" fillId="2" borderId="0" applyAlignment="1" pivotButton="0" quotePrefix="0" xfId="0">
      <alignment horizontal="general" vertical="bottom"/>
    </xf>
    <xf numFmtId="0" fontId="5" fillId="0" borderId="0" applyAlignment="1" pivotButton="0" quotePrefix="0" xfId="0">
      <alignment horizontal="general" vertical="bottom"/>
    </xf>
    <xf numFmtId="165" fontId="5" fillId="0" borderId="0" applyAlignment="1" pivotButton="0" quotePrefix="0" xfId="0">
      <alignment horizontal="general" vertical="bottom"/>
    </xf>
    <xf numFmtId="0" fontId="12" fillId="0" borderId="0" applyAlignment="1" pivotButton="0" quotePrefix="0" xfId="0">
      <alignment horizontal="general" vertical="bottom"/>
    </xf>
    <xf numFmtId="0" fontId="6" fillId="0" borderId="0" applyAlignment="1" pivotButton="0" quotePrefix="0" xfId="0">
      <alignment horizontal="general" vertical="bottom"/>
    </xf>
    <xf numFmtId="0" fontId="10"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0563C1"/>
          <bgColor rgb="FF000000"/>
        </patternFill>
      </fill>
    </dxf>
    <dxf>
      <fill>
        <patternFill>
          <bgColor rgb="FFE2EFDA"/>
        </patternFill>
      </fill>
    </dxf>
    <dxf>
      <fill>
        <patternFill>
          <bgColor rgb="FFFFF2CC"/>
        </patternFill>
      </fill>
    </dxf>
    <dxf>
      <fill>
        <patternFill>
          <bgColor rgb="FFFCE4D6"/>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opPicks" displayName="TopPicks" ref="A1:AI262" headerRowCount="1" totalsRowCount="0" totalsRowShown="0">
  <autoFilter ref="A1:AI262"/>
  <tableColumns count="35">
    <tableColumn id="1" name="#"/>
    <tableColumn id="2" name="Relevance"/>
    <tableColumn id="3" name="Relevance note"/>
    <tableColumn id="4" name="Field (category)"/>
    <tableColumn id="5" name="Program title (as in Études en France)"/>
    <tableColumn id="6" name="Approx. English title (auto-translated)"/>
    <tableColumn id="7" name="Degree type"/>
    <tableColumn id="8" name="Institution / faculty"/>
    <tableColumn id="9" name="University / group"/>
    <tableColumn id="10" name="Campus / site"/>
    <tableColumn id="11" name="City / postcode"/>
    <tableColumn id="12" name="Institution type"/>
    <tableColumn id="13" name="Teaching language"/>
    <tableColumn id="14" name="Catalogue"/>
    <tableColumn id="15" name="Entry level required"/>
    <tableColumn id="16" name="Your eligibility (4-yr BS, 3 yrs exp.)"/>
    <tableColumn id="17" name="Entry year(s)"/>
    <tableColumn id="18" name="Duration (months, per catalogue)"/>
    <tableColumn id="19" name="Est. tuition / year non-EU (€)"/>
    <tableColumn id="20" name="Lowest possible with exemption (€)"/>
    <tableColumn id="21" name="Years to finish (est.)"/>
    <tableColumn id="22" name="Est. total tuition (€)"/>
    <tableColumn id="23" name="Fee basis &amp; source"/>
    <tableColumn id="24" name="Fee confidence"/>
    <tableColumn id="25" name="Fees found in catalogue (€)"/>
    <tableColumn id="26" name="Fee note from catalogue text"/>
    <tableColumn id="27" name="University exemption policy 2026-27"/>
    <tableColumn id="28" name="Policy source"/>
    <tableColumn id="29" name="EEF status"/>
    <tableColumn id="30" name="Apply from"/>
    <tableColumn id="31" name="Apply until (EEF)"/>
    <tableColumn id="32" name="Extra school application required?"/>
    <tableColumn id="33" name="Program website"/>
    <tableColumn id="34" name="Requirements (excerpt)"/>
    <tableColumn id="35" name="Catalogue link"/>
  </tableColumns>
</table>
</file>

<file path=xl/tables/table2.xml><?xml version="1.0" encoding="utf-8"?>
<table xmlns="http://schemas.openxmlformats.org/spreadsheetml/2006/main" id="2" name="EnglishTaught" displayName="EnglishTaught" ref="A1:AI193" headerRowCount="1" totalsRowCount="0" totalsRowShown="0">
  <autoFilter ref="A1:AI193"/>
  <tableColumns count="35">
    <tableColumn id="1" name="#"/>
    <tableColumn id="2" name="Relevance"/>
    <tableColumn id="3" name="Relevance note"/>
    <tableColumn id="4" name="Field (category)"/>
    <tableColumn id="5" name="Program title (as in Études en France)"/>
    <tableColumn id="6" name="Approx. English title (auto-translated)"/>
    <tableColumn id="7" name="Degree type"/>
    <tableColumn id="8" name="Institution / faculty"/>
    <tableColumn id="9" name="University / group"/>
    <tableColumn id="10" name="Campus / site"/>
    <tableColumn id="11" name="City / postcode"/>
    <tableColumn id="12" name="Institution type"/>
    <tableColumn id="13" name="Teaching language"/>
    <tableColumn id="14" name="Catalogue"/>
    <tableColumn id="15" name="Entry level required"/>
    <tableColumn id="16" name="Your eligibility (4-yr BS, 3 yrs exp.)"/>
    <tableColumn id="17" name="Entry year(s)"/>
    <tableColumn id="18" name="Duration (months, per catalogue)"/>
    <tableColumn id="19" name="Est. tuition / year non-EU (€)"/>
    <tableColumn id="20" name="Lowest possible with exemption (€)"/>
    <tableColumn id="21" name="Years to finish (est.)"/>
    <tableColumn id="22" name="Est. total tuition (€)"/>
    <tableColumn id="23" name="Fee basis &amp; source"/>
    <tableColumn id="24" name="Fee confidence"/>
    <tableColumn id="25" name="Fees found in catalogue (€)"/>
    <tableColumn id="26" name="Fee note from catalogue text"/>
    <tableColumn id="27" name="University exemption policy 2026-27"/>
    <tableColumn id="28" name="Policy source"/>
    <tableColumn id="29" name="EEF status"/>
    <tableColumn id="30" name="Apply from"/>
    <tableColumn id="31" name="Apply until (EEF)"/>
    <tableColumn id="32" name="Extra school application required?"/>
    <tableColumn id="33" name="Program website"/>
    <tableColumn id="34" name="Requirements (excerpt)"/>
    <tableColumn id="35" name="Catalogue link"/>
  </tableColumns>
</table>
</file>

<file path=xl/tables/table3.xml><?xml version="1.0" encoding="utf-8"?>
<table xmlns="http://schemas.openxmlformats.org/spreadsheetml/2006/main" id="3" name="AllPrograms" displayName="AllPrograms" ref="A1:AI1000" headerRowCount="1" totalsRowCount="0" totalsRowShown="0">
  <autoFilter ref="A1:AI1000"/>
  <tableColumns count="35">
    <tableColumn id="1" name="#"/>
    <tableColumn id="2" name="Relevance"/>
    <tableColumn id="3" name="Relevance note"/>
    <tableColumn id="4" name="Field (category)"/>
    <tableColumn id="5" name="Program title (as in Études en France)"/>
    <tableColumn id="6" name="Approx. English title (auto-translated)"/>
    <tableColumn id="7" name="Degree type"/>
    <tableColumn id="8" name="Institution / faculty"/>
    <tableColumn id="9" name="University / group"/>
    <tableColumn id="10" name="Campus / site"/>
    <tableColumn id="11" name="City / postcode"/>
    <tableColumn id="12" name="Institution type"/>
    <tableColumn id="13" name="Teaching language"/>
    <tableColumn id="14" name="Catalogue"/>
    <tableColumn id="15" name="Entry level required"/>
    <tableColumn id="16" name="Your eligibility (4-yr BS, 3 yrs exp.)"/>
    <tableColumn id="17" name="Entry year(s)"/>
    <tableColumn id="18" name="Duration (months, per catalogue)"/>
    <tableColumn id="19" name="Est. tuition / year non-EU (€)"/>
    <tableColumn id="20" name="Lowest possible with exemption (€)"/>
    <tableColumn id="21" name="Years to finish (est.)"/>
    <tableColumn id="22" name="Est. total tuition (€)"/>
    <tableColumn id="23" name="Fee basis &amp; source"/>
    <tableColumn id="24" name="Fee confidence"/>
    <tableColumn id="25" name="Fees found in catalogue (€)"/>
    <tableColumn id="26" name="Fee note from catalogue text"/>
    <tableColumn id="27" name="University exemption policy 2026-27"/>
    <tableColumn id="28" name="Policy source"/>
    <tableColumn id="29" name="EEF status"/>
    <tableColumn id="30" name="Apply from"/>
    <tableColumn id="31" name="Apply until (EEF)"/>
    <tableColumn id="32" name="Extra school application required?"/>
    <tableColumn id="33" name="Program website"/>
    <tableColumn id="34" name="Requirements (excerpt)"/>
    <tableColumn id="35" name="Catalogue link"/>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master.roc.cnam.fr/" TargetMode="External" Id="rId1"/><Relationship Type="http://schemas.openxmlformats.org/officeDocument/2006/relationships/hyperlink" Target="https://etudesenfrance.diplomatie.gouv.fr/catalogue-formations/formation/47681/site/13979" TargetMode="External" Id="rId2"/><Relationship Type="http://schemas.openxmlformats.org/officeDocument/2006/relationships/hyperlink" Target="https://www.umontpellier.fr/en/international/etudier-a-letranger/etudiants-internationaux-annee-universitaire-2026-2027/" TargetMode="External" Id="rId3"/><Relationship Type="http://schemas.openxmlformats.org/officeDocument/2006/relationships/hyperlink" Target="https://idil.edu.umontpellier.fr/master-idil/les-parcours/" TargetMode="External" Id="rId4"/><Relationship Type="http://schemas.openxmlformats.org/officeDocument/2006/relationships/hyperlink" Target="https://etudesenfrance.diplomatie.gouv.fr/catalogue-formations/formation/48981/site/13853" TargetMode="External" Id="rId5"/><Relationship Type="http://schemas.openxmlformats.org/officeDocument/2006/relationships/hyperlink" Target="https://www.umlp.fr/sites/default/files/2026-07-02-page-droits-differencies-vf.pdf" TargetMode="External" Id="rId6"/><Relationship Type="http://schemas.openxmlformats.org/officeDocument/2006/relationships/hyperlink" Target="https://formations.univ-fcomte.fr/fr/formations/feuilleter-le-catalogue/master-lmd-XB/master-electronique-energie-electrique-automatique-M4QUAZ0D.html" TargetMode="External" Id="rId7"/><Relationship Type="http://schemas.openxmlformats.org/officeDocument/2006/relationships/hyperlink" Target="https://etudesenfrance.diplomatie.gouv.fr/catalogue-formations/formation/60313/site/6954" TargetMode="External" Id="rId8"/><Relationship Type="http://schemas.openxmlformats.org/officeDocument/2006/relationships/hyperlink" Target="https://www.univ-grenoble-alpes.fr/actualites/a-la-une/actualites-universite/etudiants-internationaux-ce-que-change-le-nouveau-decret-sur-les-droits-d-inscription-a-l-uga-1775870.kjsp" TargetMode="External" Id="rId9"/><Relationship Type="http://schemas.openxmlformats.org/officeDocument/2006/relationships/hyperlink" Target="https://formations.univ-grenoble-alpes.fr/fr/offre-de-formation/master-XB/master-biologie-sante-IAQKB0GE/parcours-molecular-and-cellular-biology-1re-annee-IK43J2QV.html" TargetMode="External" Id="rId10"/><Relationship Type="http://schemas.openxmlformats.org/officeDocument/2006/relationships/hyperlink" Target="https://etudesenfrance.diplomatie.gouv.fr/catalogue-formations/formation/61813/site/6553" TargetMode="External" Id="rId11"/><Relationship Type="http://schemas.openxmlformats.org/officeDocument/2006/relationships/hyperlink" Target="https://www.univ-grenoble-alpes.fr/actualites/a-la-une/actualites-universite/etudiants-internationaux-ce-que-change-le-nouveau-decret-sur-les-droits-d-inscription-a-l-uga-1775870.kjsp" TargetMode="External" Id="rId12"/><Relationship Type="http://schemas.openxmlformats.org/officeDocument/2006/relationships/hyperlink" Target="https://formations.univ-grenoble-alpes.fr/fr/catalogue-2021/master-XB/master-ingenierie-de-la-sante-IAQKSXOB.html" TargetMode="External" Id="rId13"/><Relationship Type="http://schemas.openxmlformats.org/officeDocument/2006/relationships/hyperlink" Target="https://etudesenfrance.diplomatie.gouv.fr/catalogue-formations/formation/61898/site/13701" TargetMode="External" Id="rId14"/><Relationship Type="http://schemas.openxmlformats.org/officeDocument/2006/relationships/hyperlink" Target="https://life.univ-cotedazur.fr/international/imagein" TargetMode="External" Id="rId15"/><Relationship Type="http://schemas.openxmlformats.org/officeDocument/2006/relationships/hyperlink" Target="https://etudesenfrance.diplomatie.gouv.fr/catalogue-formations/formation/56128/site/6953" TargetMode="External" Id="rId16"/><Relationship Type="http://schemas.openxmlformats.org/officeDocument/2006/relationships/hyperlink" Target="https://www.umlp.fr/sites/default/files/2026-07-02-page-droits-differencies-vf.pdf" TargetMode="External" Id="rId17"/><Relationship Type="http://schemas.openxmlformats.org/officeDocument/2006/relationships/hyperlink" Target="https://stgi.umlp.fr/" TargetMode="External" Id="rId18"/><Relationship Type="http://schemas.openxmlformats.org/officeDocument/2006/relationships/hyperlink" Target="https://etudesenfrance.diplomatie.gouv.fr/catalogue-formations/formation/55135/site/10753" TargetMode="External" Id="rId19"/><Relationship Type="http://schemas.openxmlformats.org/officeDocument/2006/relationships/hyperlink" Target="https://www.unistra.fr/fr/node/8168" TargetMode="External" Id="rId20"/><Relationship Type="http://schemas.openxmlformats.org/officeDocument/2006/relationships/hyperlink" Target="https://pharmacie.unistra.fr/" TargetMode="External" Id="rId21"/><Relationship Type="http://schemas.openxmlformats.org/officeDocument/2006/relationships/hyperlink" Target="https://etudesenfrance.diplomatie.gouv.fr/catalogue-formations/formation/41621/site/7101" TargetMode="External" Id="rId22"/><Relationship Type="http://schemas.openxmlformats.org/officeDocument/2006/relationships/hyperlink" Target="https://www.unistra.fr/fr/node/8168" TargetMode="External" Id="rId23"/><Relationship Type="http://schemas.openxmlformats.org/officeDocument/2006/relationships/hyperlink" Target="http://sciencesvie.unistra.fr/" TargetMode="External" Id="rId24"/><Relationship Type="http://schemas.openxmlformats.org/officeDocument/2006/relationships/hyperlink" Target="https://etudesenfrance.diplomatie.gouv.fr/catalogue-formations/formation/33665/site/6978" TargetMode="External" Id="rId25"/><Relationship Type="http://schemas.openxmlformats.org/officeDocument/2006/relationships/hyperlink" Target="https://www.unilim.fr/gradschool-ceramics-ict/formation/smart-iot/" TargetMode="External" Id="rId26"/><Relationship Type="http://schemas.openxmlformats.org/officeDocument/2006/relationships/hyperlink" Target="https://etudesenfrance.diplomatie.gouv.fr/catalogue-formations/formation/48577/site/6963" TargetMode="External" Id="rId27"/><Relationship Type="http://schemas.openxmlformats.org/officeDocument/2006/relationships/hyperlink" Target="https://www.unistra.fr/fr/node/8168" TargetMode="External" Id="rId28"/><Relationship Type="http://schemas.openxmlformats.org/officeDocument/2006/relationships/hyperlink" Target="https://chirurgie-dentaire.unistra.fr/" TargetMode="External" Id="rId29"/><Relationship Type="http://schemas.openxmlformats.org/officeDocument/2006/relationships/hyperlink" Target="https://etudesenfrance.diplomatie.gouv.fr/catalogue-formations/formation/54393/site/7066" TargetMode="External" Id="rId30"/><Relationship Type="http://schemas.openxmlformats.org/officeDocument/2006/relationships/hyperlink" Target="https://etudesenfrance.diplomatie.gouv.fr/catalogue-formations/formation/60732/site/11087" TargetMode="External" Id="rId31"/><Relationship Type="http://schemas.openxmlformats.org/officeDocument/2006/relationships/hyperlink" Target="https://www.sorbonne-universite.fr/actualites/le-conseil-dadministration-de-sorbonne-universite-vote-lunanimite-le-7-juillet-2026-sa" TargetMode="External" Id="rId32"/><Relationship Type="http://schemas.openxmlformats.org/officeDocument/2006/relationships/hyperlink" Target="https://masters-sdi.sorbonne-universite.fr/electronique-energie-electrique-automatique" TargetMode="External" Id="rId33"/><Relationship Type="http://schemas.openxmlformats.org/officeDocument/2006/relationships/hyperlink" Target="https://etudesenfrance.diplomatie.gouv.fr/catalogue-formations/formation/44359/site/13735" TargetMode="External" Id="rId34"/><Relationship Type="http://schemas.openxmlformats.org/officeDocument/2006/relationships/hyperlink" Target="https://www.univ-grenoble-alpes.fr/actualites/a-la-une/actualites-universite/etudiants-internationaux-ce-que-change-le-nouveau-decret-sur-les-droits-d-inscription-a-l-uga-1775870.kjsp" TargetMode="External" Id="rId35"/><Relationship Type="http://schemas.openxmlformats.org/officeDocument/2006/relationships/hyperlink" Target="https://formations.univ-grenoble-alpes.fr/fr/catalogue-2021/master-XB/master-electronique-energie-electrique-automatique-IFZ3DRB9/parcours-microelectronique-integration-des-systemes-temps-reels-embarques-mistre-1re-et-2e-annees-IFZ5TP7C.html" TargetMode="External" Id="rId36"/><Relationship Type="http://schemas.openxmlformats.org/officeDocument/2006/relationships/hyperlink" Target="https://etudesenfrance.diplomatie.gouv.fr/catalogue-formations/formation/42608/site/13729" TargetMode="External" Id="rId37"/><Relationship Type="http://schemas.openxmlformats.org/officeDocument/2006/relationships/hyperlink" Target="https://www.sorbonne-universite.fr/actualites/le-conseil-dadministration-de-sorbonne-universite-vote-lunanimite-le-7-juillet-2026-sa" TargetMode="External" Id="rId38"/><Relationship Type="http://schemas.openxmlformats.org/officeDocument/2006/relationships/hyperlink" Target="https://masters-sdi.sorbonne-universite.fr/electronique-energie-electrique-automatique" TargetMode="External" Id="rId39"/><Relationship Type="http://schemas.openxmlformats.org/officeDocument/2006/relationships/hyperlink" Target="https://etudesenfrance.diplomatie.gouv.fr/catalogue-formations/formation/44360/site/13735" TargetMode="External" Id="rId40"/><Relationship Type="http://schemas.openxmlformats.org/officeDocument/2006/relationships/hyperlink" Target="https://u-paris.fr/droits-dinscription-tarifs-exonerations/" TargetMode="External" Id="rId41"/><Relationship Type="http://schemas.openxmlformats.org/officeDocument/2006/relationships/hyperlink" Target="https://odf.u-paris.fr/fr/offre-de-formation/master-XB/sciences-technologies-sante-STS/ingenierie-de-la-sante-K2NDJ7KW.html" TargetMode="External" Id="rId42"/><Relationship Type="http://schemas.openxmlformats.org/officeDocument/2006/relationships/hyperlink" Target="https://etudesenfrance.diplomatie.gouv.fr/catalogue-formations/formation/39436/site/7430" TargetMode="External" Id="rId43"/><Relationship Type="http://schemas.openxmlformats.org/officeDocument/2006/relationships/hyperlink" Target="https://istic.univ-rennes.fr/master-eeea-electronique-energie-electrique-automatique" TargetMode="External" Id="rId44"/><Relationship Type="http://schemas.openxmlformats.org/officeDocument/2006/relationships/hyperlink" Target="https://etudesenfrance.diplomatie.gouv.fr/catalogue-formations/formation/57258/site/6612" TargetMode="External" Id="rId45"/><Relationship Type="http://schemas.openxmlformats.org/officeDocument/2006/relationships/hyperlink" Target="https://www.insset.u-picardie.fr/" TargetMode="External" Id="rId46"/><Relationship Type="http://schemas.openxmlformats.org/officeDocument/2006/relationships/hyperlink" Target="https://etudesenfrance.diplomatie.gouv.fr/catalogue-formations/formation/41322/site/7207" TargetMode="External" Id="rId47"/><Relationship Type="http://schemas.openxmlformats.org/officeDocument/2006/relationships/hyperlink" Target="http://www.univ-brest.fr/ufr-sciences" TargetMode="External" Id="rId48"/><Relationship Type="http://schemas.openxmlformats.org/officeDocument/2006/relationships/hyperlink" Target="https://etudesenfrance.diplomatie.gouv.fr/catalogue-formations/formation/34983/site/6955" TargetMode="External" Id="rId49"/><Relationship Type="http://schemas.openxmlformats.org/officeDocument/2006/relationships/hyperlink" Target="https://www.utc.fr/formations/diplome-de-master/mention-ingenierie-de-la-sante-ids/parcours-technologies-biomedicales-et-territoires-de-sante-tbts/" TargetMode="External" Id="rId50"/><Relationship Type="http://schemas.openxmlformats.org/officeDocument/2006/relationships/hyperlink" Target="https://etudesenfrance.diplomatie.gouv.fr/catalogue-formations/formation/60736/site/11087" TargetMode="External" Id="rId51"/><Relationship Type="http://schemas.openxmlformats.org/officeDocument/2006/relationships/hyperlink" Target="https://formations.univ-tln.fr/fr/offre-de-formation/master-XB/master-ingenierie-des-systemes-complexes-LO8RGPP1/master-ingenierie-des-systemes-complexes-parcours-robotique-intelligente-et-systemes-embarques-LPZRY65U.html" TargetMode="External" Id="rId52"/><Relationship Type="http://schemas.openxmlformats.org/officeDocument/2006/relationships/hyperlink" Target="https://etudesenfrance.diplomatie.gouv.fr/catalogue-formations/formation/42654/site/7169" TargetMode="External" Id="rId53"/><Relationship Type="http://schemas.openxmlformats.org/officeDocument/2006/relationships/hyperlink" Target="https://formations.univ-rennes.fr/" TargetMode="External" Id="rId54"/><Relationship Type="http://schemas.openxmlformats.org/officeDocument/2006/relationships/hyperlink" Target="https://etudesenfrance.diplomatie.gouv.fr/catalogue-formations/formation/38232/site/14529" TargetMode="External" Id="rId55"/><Relationship Type="http://schemas.openxmlformats.org/officeDocument/2006/relationships/hyperlink" Target="http://www-galilee.univ-paris13.fr/" TargetMode="External" Id="rId56"/><Relationship Type="http://schemas.openxmlformats.org/officeDocument/2006/relationships/hyperlink" Target="https://etudesenfrance.diplomatie.gouv.fr/catalogue-formations/formation/44131/site/6725" TargetMode="External" Id="rId57"/><Relationship Type="http://schemas.openxmlformats.org/officeDocument/2006/relationships/hyperlink" Target="https://www.univ-rouen.fr/actualites/application-des-droits-dinscription-differencies-a-luniversite-de-rouen-normandie-a-compter-de-la-rentree-universitaire-2026-2027/" TargetMode="External" Id="rId58"/><Relationship Type="http://schemas.openxmlformats.org/officeDocument/2006/relationships/hyperlink" Target="https://sciences-techniques.univ-rouen.fr/offre-de-formation-les-masters--332182.kjsp?RH=1392301431998&amp;RF=1378324428882" TargetMode="External" Id="rId59"/><Relationship Type="http://schemas.openxmlformats.org/officeDocument/2006/relationships/hyperlink" Target="https://etudesenfrance.diplomatie.gouv.fr/catalogue-formations/formation/58423/site/7173" TargetMode="External" Id="rId60"/><Relationship Type="http://schemas.openxmlformats.org/officeDocument/2006/relationships/hyperlink" Target="https://www.univ-rouen.fr/actualites/application-des-droits-dinscription-differencies-a-luniversite-de-rouen-normandie-a-compter-de-la-rentree-universitaire-2026-2027/" TargetMode="External" Id="rId61"/><Relationship Type="http://schemas.openxmlformats.org/officeDocument/2006/relationships/hyperlink" Target="https://sciences-techniques.univ-rouen.fr/" TargetMode="External" Id="rId62"/><Relationship Type="http://schemas.openxmlformats.org/officeDocument/2006/relationships/hyperlink" Target="https://etudesenfrance.diplomatie.gouv.fr/catalogue-formations/formation/38907/site/7173" TargetMode="External" Id="rId63"/><Relationship Type="http://schemas.openxmlformats.org/officeDocument/2006/relationships/hyperlink" Target="https://www.univ-rouen.fr/actualites/application-des-droits-dinscription-differencies-a-luniversite-de-rouen-normandie-a-compter-de-la-rentree-universitaire-2026-2027/" TargetMode="External" Id="rId64"/><Relationship Type="http://schemas.openxmlformats.org/officeDocument/2006/relationships/hyperlink" Target="https://sciences-techniques.univ-rouen.fr/" TargetMode="External" Id="rId65"/><Relationship Type="http://schemas.openxmlformats.org/officeDocument/2006/relationships/hyperlink" Target="https://etudesenfrance.diplomatie.gouv.fr/catalogue-formations/formation/48363/site/7173" TargetMode="External" Id="rId66"/><Relationship Type="http://schemas.openxmlformats.org/officeDocument/2006/relationships/hyperlink" Target="https://www.univ-rouen.fr/actualites/application-des-droits-dinscription-differencies-a-luniversite-de-rouen-normandie-a-compter-de-la-rentree-universitaire-2026-2027/" TargetMode="External" Id="rId67"/><Relationship Type="http://schemas.openxmlformats.org/officeDocument/2006/relationships/hyperlink" Target="http://sciences-techniques.univ-rouen.fr/" TargetMode="External" Id="rId68"/><Relationship Type="http://schemas.openxmlformats.org/officeDocument/2006/relationships/hyperlink" Target="https://etudesenfrance.diplomatie.gouv.fr/catalogue-formations/formation/52314/site/14602" TargetMode="External" Id="rId69"/><Relationship Type="http://schemas.openxmlformats.org/officeDocument/2006/relationships/hyperlink" Target="https://ufr-sitec.parisnanterre.fr/" TargetMode="External" Id="rId70"/><Relationship Type="http://schemas.openxmlformats.org/officeDocument/2006/relationships/hyperlink" Target="https://etudesenfrance.diplomatie.gouv.fr/catalogue-formations/formation/50853/site/10997" TargetMode="External" Id="rId71"/><Relationship Type="http://schemas.openxmlformats.org/officeDocument/2006/relationships/hyperlink" Target="https://fst.univ-lorraine.fr/formations/" TargetMode="External" Id="rId72"/><Relationship Type="http://schemas.openxmlformats.org/officeDocument/2006/relationships/hyperlink" Target="https://etudesenfrance.diplomatie.gouv.fr/catalogue-formations/formation/60708/site/6958" TargetMode="External" Id="rId73"/><Relationship Type="http://schemas.openxmlformats.org/officeDocument/2006/relationships/hyperlink" Target="https://medecine.univ-st-etienne.fr/fr/formation-initiale/licence-masters.html" TargetMode="External" Id="rId74"/><Relationship Type="http://schemas.openxmlformats.org/officeDocument/2006/relationships/hyperlink" Target="https://etudesenfrance.diplomatie.gouv.fr/catalogue-formations/formation/30301/site/7077" TargetMode="External" Id="rId75"/><Relationship Type="http://schemas.openxmlformats.org/officeDocument/2006/relationships/hyperlink" Target="https://www.utc.fr/formations/diplome-de-master/mention-ingenierie-de-la-sante-ids/parcours-dispositif-medical-et-affaires-reglementaires-dmar/" TargetMode="External" Id="rId76"/><Relationship Type="http://schemas.openxmlformats.org/officeDocument/2006/relationships/hyperlink" Target="https://etudesenfrance.diplomatie.gouv.fr/catalogue-formations/formation/60735/site/11087" TargetMode="External" Id="rId77"/><Relationship Type="http://schemas.openxmlformats.org/officeDocument/2006/relationships/hyperlink" Target="https://etudesenfrance.diplomatie.gouv.fr/catalogue-formations/formation/61392/site/6707" TargetMode="External" Id="rId78"/><Relationship Type="http://schemas.openxmlformats.org/officeDocument/2006/relationships/hyperlink" Target="https://etudesenfrance.diplomatie.gouv.fr/catalogue-formations/formation/61395/site/6707" TargetMode="External" Id="rId79"/><Relationship Type="http://schemas.openxmlformats.org/officeDocument/2006/relationships/hyperlink" Target="https://www.letudiant.fr/educpros/actualite/droits-d-inscription-majores-pour-les-etudiants-etrangers-pourquoi-l-application-du-decret-met-en-difficulte-de-nombreuses-universites.html" TargetMode="External" Id="rId80"/><Relationship Type="http://schemas.openxmlformats.org/officeDocument/2006/relationships/hyperlink" Target="http://sciences.univ-lemans.fr/" TargetMode="External" Id="rId81"/><Relationship Type="http://schemas.openxmlformats.org/officeDocument/2006/relationships/hyperlink" Target="https://etudesenfrance.diplomatie.gouv.fr/catalogue-formations/formation/14555/site/6596" TargetMode="External" Id="rId82"/><Relationship Type="http://schemas.openxmlformats.org/officeDocument/2006/relationships/hyperlink" Target="https://sciences-tech.u-pec.fr/formation/master-optique-image-vision-multimedia-parcours-signaux-et-image-en-medecine-sim" TargetMode="External" Id="rId83"/><Relationship Type="http://schemas.openxmlformats.org/officeDocument/2006/relationships/hyperlink" Target="https://etudesenfrance.diplomatie.gouv.fr/catalogue-formations/formation/49480/site/10975" TargetMode="External" Id="rId84"/><Relationship Type="http://schemas.openxmlformats.org/officeDocument/2006/relationships/hyperlink" Target="https://sciences-tech.u-pec.fr/formation/master-optique-image-vision-multimedia-parcours-intelligence-artificielle-sciences-des-donnees-et-systemes-cyber-physiques-ia2s" TargetMode="External" Id="rId85"/><Relationship Type="http://schemas.openxmlformats.org/officeDocument/2006/relationships/hyperlink" Target="https://etudesenfrance.diplomatie.gouv.fr/catalogue-formations/formation/48513/site/10975" TargetMode="External" Id="rId86"/><Relationship Type="http://schemas.openxmlformats.org/officeDocument/2006/relationships/hyperlink" Target="https://sfa.univ-poitiers.fr/formation/offre-de-formation-sciences-technologies-sante/" TargetMode="External" Id="rId87"/><Relationship Type="http://schemas.openxmlformats.org/officeDocument/2006/relationships/hyperlink" Target="https://etudesenfrance.diplomatie.gouv.fr/catalogue-formations/formation/50042/site/6963" TargetMode="External" Id="rId88"/><Relationship Type="http://schemas.openxmlformats.org/officeDocument/2006/relationships/hyperlink" Target="https://www.univ-rouen.fr/actualites/application-des-droits-dinscription-differencies-a-luniversite-de-rouen-normandie-a-compter-de-la-rentree-universitaire-2026-2027/" TargetMode="External" Id="rId89"/><Relationship Type="http://schemas.openxmlformats.org/officeDocument/2006/relationships/hyperlink" Target="http://sciences-techniques.univ-rouen.fr/" TargetMode="External" Id="rId90"/><Relationship Type="http://schemas.openxmlformats.org/officeDocument/2006/relationships/hyperlink" Target="https://etudesenfrance.diplomatie.gouv.fr/catalogue-formations/formation/38893/site/14602" TargetMode="External" Id="rId91"/><Relationship Type="http://schemas.openxmlformats.org/officeDocument/2006/relationships/hyperlink" Target="https://www.umontpellier.fr/en/international/etudier-a-letranger/etudiants-internationaux-annee-universitaire-2026-2027/" TargetMode="External" Id="rId92"/><Relationship Type="http://schemas.openxmlformats.org/officeDocument/2006/relationships/hyperlink" Target="https://idil.edu.umontpellier.fr/master-idil/les-parcours/" TargetMode="External" Id="rId93"/><Relationship Type="http://schemas.openxmlformats.org/officeDocument/2006/relationships/hyperlink" Target="https://etudesenfrance.diplomatie.gouv.fr/catalogue-formations/formation/27190/site/13853" TargetMode="External" Id="rId94"/><Relationship Type="http://schemas.openxmlformats.org/officeDocument/2006/relationships/hyperlink" Target="https://www.univ-amu.fr/fr/actualites/aix-marseille-universite-mobilise-pleinement-capacite-dexoneration-continuer-accueillir" TargetMode="External" Id="rId95"/><Relationship Type="http://schemas.openxmlformats.org/officeDocument/2006/relationships/hyperlink" Target="http://fss.univ-amu.fr/" TargetMode="External" Id="rId96"/><Relationship Type="http://schemas.openxmlformats.org/officeDocument/2006/relationships/hyperlink" Target="https://etudesenfrance.diplomatie.gouv.fr/catalogue-formations/formation/39811/site/6982" TargetMode="External" Id="rId97"/><Relationship Type="http://schemas.openxmlformats.org/officeDocument/2006/relationships/hyperlink" Target="https://www.utoulouse.fr/medias/fichier/2026-02-ca-075_1774430647495-pdf" TargetMode="External" Id="rId98"/><Relationship Type="http://schemas.openxmlformats.org/officeDocument/2006/relationships/hyperlink" Target="http://www.univ-tlse3.fr/" TargetMode="External" Id="rId99"/><Relationship Type="http://schemas.openxmlformats.org/officeDocument/2006/relationships/hyperlink" Target="https://etudesenfrance.diplomatie.gouv.fr/catalogue-formations/formation/37891/site/13714" TargetMode="External" Id="rId100"/><Relationship Type="http://schemas.openxmlformats.org/officeDocument/2006/relationships/hyperlink" Target="https://www.umontpellier.fr/en/international/etudier-a-letranger/etudiants-internationaux-annee-universitaire-2026-2027/" TargetMode="External" Id="rId101"/><Relationship Type="http://schemas.openxmlformats.org/officeDocument/2006/relationships/hyperlink" Target="http://sciences.edu.umontpellier.fr/" TargetMode="External" Id="rId102"/><Relationship Type="http://schemas.openxmlformats.org/officeDocument/2006/relationships/hyperlink" Target="https://etudesenfrance.diplomatie.gouv.fr/catalogue-formations/formation/32453/site/6552" TargetMode="External" Id="rId103"/><Relationship Type="http://schemas.openxmlformats.org/officeDocument/2006/relationships/hyperlink" Target="https://www.umontpellier.fr/en/international/etudier-a-letranger/etudiants-internationaux-annee-universitaire-2026-2027/" TargetMode="External" Id="rId104"/><Relationship Type="http://schemas.openxmlformats.org/officeDocument/2006/relationships/hyperlink" Target="http://sciences.edu.umontpellier.fr/" TargetMode="External" Id="rId105"/><Relationship Type="http://schemas.openxmlformats.org/officeDocument/2006/relationships/hyperlink" Target="https://etudesenfrance.diplomatie.gouv.fr/catalogue-formations/formation/32456/site/6552" TargetMode="External" Id="rId106"/><Relationship Type="http://schemas.openxmlformats.org/officeDocument/2006/relationships/hyperlink" Target="https://www.utoulouse.fr/medias/fichier/2026-02-ca-075_1774430647495-pdf" TargetMode="External" Id="rId107"/><Relationship Type="http://schemas.openxmlformats.org/officeDocument/2006/relationships/hyperlink" Target="http://www.univ-tlse3.fr/" TargetMode="External" Id="rId108"/><Relationship Type="http://schemas.openxmlformats.org/officeDocument/2006/relationships/hyperlink" Target="https://etudesenfrance.diplomatie.gouv.fr/catalogue-formations/formation/36585/site/13714" TargetMode="External" Id="rId109"/><Relationship Type="http://schemas.openxmlformats.org/officeDocument/2006/relationships/hyperlink" Target="https://www.utoulouse.fr/medias/fichier/2026-02-ca-075_1774430647495-pdf" TargetMode="External" Id="rId110"/><Relationship Type="http://schemas.openxmlformats.org/officeDocument/2006/relationships/hyperlink" Target="http://www.univ-tlse3.fr/" TargetMode="External" Id="rId111"/><Relationship Type="http://schemas.openxmlformats.org/officeDocument/2006/relationships/hyperlink" Target="https://etudesenfrance.diplomatie.gouv.fr/catalogue-formations/formation/36589/site/13714" TargetMode="External" Id="rId112"/><Relationship Type="http://schemas.openxmlformats.org/officeDocument/2006/relationships/hyperlink" Target="https://u-paris.fr/droits-dinscription-tarifs-exonerations/" TargetMode="External" Id="rId113"/><Relationship Type="http://schemas.openxmlformats.org/officeDocument/2006/relationships/hyperlink" Target="https://odf.u-paris.fr/fr/offre-de-formation/master-XB/sciences-technologies-sante-STS/informatique-K2NDIF4R//master-informatique-parcours-cybersecurite-et-esante-JT5NZSOS.html" TargetMode="External" Id="rId114"/><Relationship Type="http://schemas.openxmlformats.org/officeDocument/2006/relationships/hyperlink" Target="https://etudesenfrance.diplomatie.gouv.fr/catalogue-formations/formation/45758/site/7430" TargetMode="External" Id="rId115"/><Relationship Type="http://schemas.openxmlformats.org/officeDocument/2006/relationships/hyperlink" Target="https://www.utoulouse.fr/medias/fichier/2026-02-ca-075_1774430647495-pdf" TargetMode="External" Id="rId116"/><Relationship Type="http://schemas.openxmlformats.org/officeDocument/2006/relationships/hyperlink" Target="http://www.univ-tlse3.fr/" TargetMode="External" Id="rId117"/><Relationship Type="http://schemas.openxmlformats.org/officeDocument/2006/relationships/hyperlink" Target="https://etudesenfrance.diplomatie.gouv.fr/catalogue-formations/formation/29894/site/13714" TargetMode="External" Id="rId118"/><Relationship Type="http://schemas.openxmlformats.org/officeDocument/2006/relationships/hyperlink" Target="https://www.univ-grenoble-alpes.fr/actualites/a-la-une/actualites-universite/etudiants-internationaux-ce-que-change-le-nouveau-decret-sur-les-droits-d-inscription-a-l-uga-1775870.kjsp" TargetMode="External" Id="rId119"/><Relationship Type="http://schemas.openxmlformats.org/officeDocument/2006/relationships/hyperlink" Target="https://formations.univ-grenoble-alpes.fr/fr/catalogue-2021/master-XB/master-ingenierie-de-la-sante-IAQKSXOB.html" TargetMode="External" Id="rId120"/><Relationship Type="http://schemas.openxmlformats.org/officeDocument/2006/relationships/hyperlink" Target="https://etudesenfrance.diplomatie.gouv.fr/catalogue-formations/formation/31776/site/13701" TargetMode="External" Id="rId121"/><Relationship Type="http://schemas.openxmlformats.org/officeDocument/2006/relationships/hyperlink" Target="https://www.umontpellier.fr/en/international/etudier-a-letranger/etudiants-internationaux-annee-universitaire-2026-2027/" TargetMode="External" Id="rId122"/><Relationship Type="http://schemas.openxmlformats.org/officeDocument/2006/relationships/hyperlink" Target="http://www.fdsweb.univ-montp2.fr/etudier-a-la-fds/catalogue-de-formation-675" TargetMode="External" Id="rId123"/><Relationship Type="http://schemas.openxmlformats.org/officeDocument/2006/relationships/hyperlink" Target="https://etudesenfrance.diplomatie.gouv.fr/catalogue-formations/formation/32393/site/6552" TargetMode="External" Id="rId124"/><Relationship Type="http://schemas.openxmlformats.org/officeDocument/2006/relationships/hyperlink" Target="https://www.umlp.fr/sites/default/files/2026-07-02-page-droits-differencies-vf.pdf" TargetMode="External" Id="rId125"/><Relationship Type="http://schemas.openxmlformats.org/officeDocument/2006/relationships/hyperlink" Target="https://etudesenfrance.diplomatie.gouv.fr/catalogue-formations/formation/39437/site/6695" TargetMode="External" Id="rId126"/><Relationship Type="http://schemas.openxmlformats.org/officeDocument/2006/relationships/hyperlink" Target="https://u-paris.fr/droits-dinscription-tarifs-exonerations/" TargetMode="External" Id="rId127"/><Relationship Type="http://schemas.openxmlformats.org/officeDocument/2006/relationships/hyperlink" Target="https://pharmacie.u-paris.fr/" TargetMode="External" Id="rId128"/><Relationship Type="http://schemas.openxmlformats.org/officeDocument/2006/relationships/hyperlink" Target="https://etudesenfrance.diplomatie.gouv.fr/catalogue-formations/formation/58395/site/7103" TargetMode="External" Id="rId129"/><Relationship Type="http://schemas.openxmlformats.org/officeDocument/2006/relationships/hyperlink" Target="https://www.umlp.fr/sites/default/files/2026-07-02-page-droits-differencies-vf.pdf" TargetMode="External" Id="rId130"/><Relationship Type="http://schemas.openxmlformats.org/officeDocument/2006/relationships/hyperlink" Target="https://etudesenfrance.diplomatie.gouv.fr/catalogue-formations/formation/56651/site/6695" TargetMode="External" Id="rId131"/><Relationship Type="http://schemas.openxmlformats.org/officeDocument/2006/relationships/hyperlink" Target="https://www.univ-ubs.fr/fr/formation-initiale-continue/formations-2017-2018/master-XB/sciences-technologies-sante-STS/master-cyber-securite-des-systemes-embarques-program-5scy00-217-5scy01.html" TargetMode="External" Id="rId132"/><Relationship Type="http://schemas.openxmlformats.org/officeDocument/2006/relationships/hyperlink" Target="https://etudesenfrance.diplomatie.gouv.fr/catalogue-formations/formation/38122/site/6598" TargetMode="External" Id="rId133"/><Relationship Type="http://schemas.openxmlformats.org/officeDocument/2006/relationships/hyperlink" Target="https://www.univ-ubs.fr/fr/formation-initiale-continue/formations-2017-2018/master-XB/sciences-technologies-sante-STS/master-systemes-embarques-systemes-integres-program-5ssy00-217-4ssy01.html" TargetMode="External" Id="rId134"/><Relationship Type="http://schemas.openxmlformats.org/officeDocument/2006/relationships/hyperlink" Target="https://etudesenfrance.diplomatie.gouv.fr/catalogue-formations/formation/38121/site/6598" TargetMode="External" Id="rId135"/><Relationship Type="http://schemas.openxmlformats.org/officeDocument/2006/relationships/hyperlink" Target="https://esix.unicaen.fr/" TargetMode="External" Id="rId136"/><Relationship Type="http://schemas.openxmlformats.org/officeDocument/2006/relationships/hyperlink" Target="https://etudesenfrance.diplomatie.gouv.fr/catalogue-formations/formation/15670/site/13880" TargetMode="External" Id="rId137"/><Relationship Type="http://schemas.openxmlformats.org/officeDocument/2006/relationships/hyperlink" Target="http://www.sup-galilee.univ-paris13.fr/" TargetMode="External" Id="rId138"/><Relationship Type="http://schemas.openxmlformats.org/officeDocument/2006/relationships/hyperlink" Target="https://etudesenfrance.diplomatie.gouv.fr/catalogue-formations/formation/43840/site/6725" TargetMode="External" Id="rId139"/><Relationship Type="http://schemas.openxmlformats.org/officeDocument/2006/relationships/hyperlink" Target="https://episen.u-pec.fr/" TargetMode="External" Id="rId140"/><Relationship Type="http://schemas.openxmlformats.org/officeDocument/2006/relationships/hyperlink" Target="https://etudesenfrance.diplomatie.gouv.fr/catalogue-formations/formation/39057/site/13680" TargetMode="External" Id="rId141"/><Relationship Type="http://schemas.openxmlformats.org/officeDocument/2006/relationships/hyperlink" Target="https://episen.u-pec.fr/" TargetMode="External" Id="rId142"/><Relationship Type="http://schemas.openxmlformats.org/officeDocument/2006/relationships/hyperlink" Target="https://etudesenfrance.diplomatie.gouv.fr/catalogue-formations/formation/39059/site/13680" TargetMode="External" Id="rId143"/><Relationship Type="http://schemas.openxmlformats.org/officeDocument/2006/relationships/hyperlink" Target="https://www.polytech-lille.fr/formation/ingenieur-internet-des-objets-cybersecurite/" TargetMode="External" Id="rId144"/><Relationship Type="http://schemas.openxmlformats.org/officeDocument/2006/relationships/hyperlink" Target="https://etudesenfrance.diplomatie.gouv.fr/catalogue-formations/formation/56821/site/6660" TargetMode="External" Id="rId145"/><Relationship Type="http://schemas.openxmlformats.org/officeDocument/2006/relationships/hyperlink" Target="https://www.univ-amu.fr/fr/actualites/aix-marseille-universite-mobilise-pleinement-capacite-dexoneration-continuer-accueillir" TargetMode="External" Id="rId146"/><Relationship Type="http://schemas.openxmlformats.org/officeDocument/2006/relationships/hyperlink" Target="https://polytech.univ-amu.fr/fr/formations/cycle-ingenieur/genie-biomedical" TargetMode="External" Id="rId147"/><Relationship Type="http://schemas.openxmlformats.org/officeDocument/2006/relationships/hyperlink" Target="https://etudesenfrance.diplomatie.gouv.fr/catalogue-formations/formation/14354/site/12934" TargetMode="External" Id="rId148"/><Relationship Type="http://schemas.openxmlformats.org/officeDocument/2006/relationships/hyperlink" Target="http://www.polytech.univ-savoie.fr/" TargetMode="External" Id="rId149"/><Relationship Type="http://schemas.openxmlformats.org/officeDocument/2006/relationships/hyperlink" Target="https://etudesenfrance.diplomatie.gouv.fr/catalogue-formations/formation/13763/site/13557" TargetMode="External" Id="rId150"/><Relationship Type="http://schemas.openxmlformats.org/officeDocument/2006/relationships/hyperlink" Target="https://www.polytech.universite-paris-saclay.fr/formation/electronique-et-informatique-pour-lembarque" TargetMode="External" Id="rId151"/><Relationship Type="http://schemas.openxmlformats.org/officeDocument/2006/relationships/hyperlink" Target="https://etudesenfrance.diplomatie.gouv.fr/catalogue-formations/formation/14373/site/6758" TargetMode="External" Id="rId152"/><Relationship Type="http://schemas.openxmlformats.org/officeDocument/2006/relationships/hyperlink" Target="https://www.umlp.fr/sites/default/files/2026-07-02-page-droits-differencies-vf.pdf" TargetMode="External" Id="rId153"/><Relationship Type="http://schemas.openxmlformats.org/officeDocument/2006/relationships/hyperlink" Target="http://isifc.univ-fcomte.fr/" TargetMode="External" Id="rId154"/><Relationship Type="http://schemas.openxmlformats.org/officeDocument/2006/relationships/hyperlink" Target="https://etudesenfrance.diplomatie.gouv.fr/catalogue-formations/formation/19048/site/6886" TargetMode="External" Id="rId155"/><Relationship Type="http://schemas.openxmlformats.org/officeDocument/2006/relationships/hyperlink" Target="http://www.polytech-orleans.fr/" TargetMode="External" Id="rId156"/><Relationship Type="http://schemas.openxmlformats.org/officeDocument/2006/relationships/hyperlink" Target="https://etudesenfrance.diplomatie.gouv.fr/catalogue-formations/formation/31976/site/6798" TargetMode="External" Id="rId157"/><Relationship Type="http://schemas.openxmlformats.org/officeDocument/2006/relationships/hyperlink" Target="https://www.ensicaen.fr/" TargetMode="External" Id="rId158"/><Relationship Type="http://schemas.openxmlformats.org/officeDocument/2006/relationships/hyperlink" Target="https://etudesenfrance.diplomatie.gouv.fr/catalogue-formations/formation/24897/site/6792" TargetMode="External" Id="rId159"/><Relationship Type="http://schemas.openxmlformats.org/officeDocument/2006/relationships/hyperlink" Target="https://polytech.univ-cotedazur.fr/" TargetMode="External" Id="rId160"/><Relationship Type="http://schemas.openxmlformats.org/officeDocument/2006/relationships/hyperlink" Target="https://etudesenfrance.diplomatie.gouv.fr/catalogue-formations/formation/37265/site/10964" TargetMode="External" Id="rId161"/><Relationship Type="http://schemas.openxmlformats.org/officeDocument/2006/relationships/hyperlink" Target="https://www.uca.fr/medias/fichier/delib-ca-20251205-15-tarifs-differencies_1765204050111-pdf" TargetMode="External" Id="rId162"/><Relationship Type="http://schemas.openxmlformats.org/officeDocument/2006/relationships/hyperlink" Target="http://www.polytech-clermont.fr/" TargetMode="External" Id="rId163"/><Relationship Type="http://schemas.openxmlformats.org/officeDocument/2006/relationships/hyperlink" Target="https://etudesenfrance.diplomatie.gouv.fr/catalogue-formations/formation/44425/site/6721" TargetMode="External" Id="rId164"/><Relationship Type="http://schemas.openxmlformats.org/officeDocument/2006/relationships/hyperlink" Target="https://www.univ-grenoble-alpes.fr/actualites/a-la-une/actualites-universite/etudiants-internationaux-ce-que-change-le-nouveau-decret-sur-les-droits-d-inscription-a-l-uga-1775870.kjsp" TargetMode="External" Id="rId165"/><Relationship Type="http://schemas.openxmlformats.org/officeDocument/2006/relationships/hyperlink" Target="https://polytech.grenoble-inp.fr/" TargetMode="External" Id="rId166"/><Relationship Type="http://schemas.openxmlformats.org/officeDocument/2006/relationships/hyperlink" Target="https://etudesenfrance.diplomatie.gouv.fr/catalogue-formations/formation/37169/site/6753" TargetMode="External" Id="rId167"/><Relationship Type="http://schemas.openxmlformats.org/officeDocument/2006/relationships/hyperlink" Target="http://polytech.univ-lyon1.fr/" TargetMode="External" Id="rId168"/><Relationship Type="http://schemas.openxmlformats.org/officeDocument/2006/relationships/hyperlink" Target="https://etudesenfrance.diplomatie.gouv.fr/catalogue-formations/formation/37193/site/6772" TargetMode="External" Id="rId169"/><Relationship Type="http://schemas.openxmlformats.org/officeDocument/2006/relationships/hyperlink" Target="https://www.mines-stetienne.fr/en/academic/msc-cyber-physical-social-systems-cps2/" TargetMode="External" Id="rId170"/><Relationship Type="http://schemas.openxmlformats.org/officeDocument/2006/relationships/hyperlink" Target="https://etudesenfrance.diplomatie.gouv.fr/catalogue-formations/formation/45073/site/6734" TargetMode="External" Id="rId171"/><Relationship Type="http://schemas.openxmlformats.org/officeDocument/2006/relationships/hyperlink" Target="https://etudesenfrance.diplomatie.gouv.fr/catalogue-formations/formation/45101/site/6734" TargetMode="External" Id="rId172"/><Relationship Type="http://schemas.openxmlformats.org/officeDocument/2006/relationships/hyperlink" Target="https://www.umlp.fr/sites/default/files/2026-07-02-page-droits-differencies-vf.pdf" TargetMode="External" Id="rId173"/><Relationship Type="http://schemas.openxmlformats.org/officeDocument/2006/relationships/hyperlink" Target="http://isifc.univ-fcomte.fr/" TargetMode="External" Id="rId174"/><Relationship Type="http://schemas.openxmlformats.org/officeDocument/2006/relationships/hyperlink" Target="https://etudesenfrance.diplomatie.gouv.fr/catalogue-formations/formation/27190/site/6886" TargetMode="External" Id="rId175"/><Relationship Type="http://schemas.openxmlformats.org/officeDocument/2006/relationships/hyperlink" Target="http://sciences-tech.u-pec.fr/" TargetMode="External" Id="rId176"/><Relationship Type="http://schemas.openxmlformats.org/officeDocument/2006/relationships/hyperlink" Target="https://etudesenfrance.diplomatie.gouv.fr/catalogue-formations/formation/33118/site/10975" TargetMode="External" Id="rId177"/><Relationship Type="http://schemas.openxmlformats.org/officeDocument/2006/relationships/hyperlink" Target="https://observalgerie.com/2026/06/13/misc/frais-dinscription-en-france-lille-maintient-un-avantage-pour-les-etudiants-etrangers/" TargetMode="External" Id="rId178"/><Relationship Type="http://schemas.openxmlformats.org/officeDocument/2006/relationships/hyperlink" Target="https://formation.univ-lille.fr/fr/offre-de-formation/master-lmd-XB/master-automatique-et-systemes-electriques-MG001978/energie-electrique-et-developpement-durable-electrical-engineering-for-sustainable-development-m2-MX002024.html" TargetMode="External" Id="rId179"/><Relationship Type="http://schemas.openxmlformats.org/officeDocument/2006/relationships/hyperlink" Target="https://etudesenfrance.diplomatie.gouv.fr/catalogue-formations/formation/60845/site/6597" TargetMode="External" Id="rId180"/><Relationship Type="http://schemas.openxmlformats.org/officeDocument/2006/relationships/hyperlink" Target="https://www.unistra.fr/fr/node/8168" TargetMode="External" Id="rId181"/><Relationship Type="http://schemas.openxmlformats.org/officeDocument/2006/relationships/hyperlink" Target="http://sciencesvie.unistra.fr/" TargetMode="External" Id="rId182"/><Relationship Type="http://schemas.openxmlformats.org/officeDocument/2006/relationships/hyperlink" Target="https://etudesenfrance.diplomatie.gouv.fr/catalogue-formations/formation/59586/site/6978" TargetMode="External" Id="rId183"/><Relationship Type="http://schemas.openxmlformats.org/officeDocument/2006/relationships/hyperlink" Target="https://www.unistra.fr/fr/node/8168" TargetMode="External" Id="rId184"/><Relationship Type="http://schemas.openxmlformats.org/officeDocument/2006/relationships/hyperlink" Target="http://sciencesvie.unistra.fr/" TargetMode="External" Id="rId185"/><Relationship Type="http://schemas.openxmlformats.org/officeDocument/2006/relationships/hyperlink" Target="https://etudesenfrance.diplomatie.gouv.fr/catalogue-formations/formation/59583/site/6978" TargetMode="External" Id="rId186"/><Relationship Type="http://schemas.openxmlformats.org/officeDocument/2006/relationships/hyperlink" Target="http://sciences-tech.u-pec.fr/" TargetMode="External" Id="rId187"/><Relationship Type="http://schemas.openxmlformats.org/officeDocument/2006/relationships/hyperlink" Target="https://etudesenfrance.diplomatie.gouv.fr/catalogue-formations/formation/33308/site/10975" TargetMode="External" Id="rId188"/><Relationship Type="http://schemas.openxmlformats.org/officeDocument/2006/relationships/hyperlink" Target="https://www.unistra.fr/fr/node/8168" TargetMode="External" Id="rId189"/><Relationship Type="http://schemas.openxmlformats.org/officeDocument/2006/relationships/hyperlink" Target="http://sciencesvie.unistra.fr/" TargetMode="External" Id="rId190"/><Relationship Type="http://schemas.openxmlformats.org/officeDocument/2006/relationships/hyperlink" Target="https://etudesenfrance.diplomatie.gouv.fr/catalogue-formations/formation/33663/site/6978" TargetMode="External" Id="rId191"/><Relationship Type="http://schemas.openxmlformats.org/officeDocument/2006/relationships/hyperlink" Target="https://idmc.univ-lorraine.fr/idmc-master-degree-in-natural-language-processing/" TargetMode="External" Id="rId192"/><Relationship Type="http://schemas.openxmlformats.org/officeDocument/2006/relationships/hyperlink" Target="https://etudesenfrance.diplomatie.gouv.fr/catalogue-formations/formation/55050/site/10974" TargetMode="External" Id="rId193"/><Relationship Type="http://schemas.openxmlformats.org/officeDocument/2006/relationships/hyperlink" Target="https://observalgerie.com/2026/06/13/misc/frais-dinscription-en-france-lille-maintient-un-avantage-pour-les-etudiants-etrangers/" TargetMode="External" Id="rId194"/><Relationship Type="http://schemas.openxmlformats.org/officeDocument/2006/relationships/hyperlink" Target="https://formation.univ-lille.fr/fr/offre-de-formation/master-lmd-XB/master-physique-fondamentale-et-applications-MG001988/quantum-and-photonic-technologies-m1-m2-MX195427.html" TargetMode="External" Id="rId195"/><Relationship Type="http://schemas.openxmlformats.org/officeDocument/2006/relationships/hyperlink" Target="https://etudesenfrance.diplomatie.gouv.fr/catalogue-formations/formation/58532/site/6537" TargetMode="External" Id="rId196"/><Relationship Type="http://schemas.openxmlformats.org/officeDocument/2006/relationships/hyperlink" Target="https://www.univ-lyon1.fr/formation/inscription-et-scolarite/etudiantes-et-etudiants-internationaux-droits-dinscription-differencies-et-exonerations" TargetMode="External" Id="rId197"/><Relationship Type="http://schemas.openxmlformats.org/officeDocument/2006/relationships/hyperlink" Target="https://ufr-biosciences.univ-lyon1.fr/" TargetMode="External" Id="rId198"/><Relationship Type="http://schemas.openxmlformats.org/officeDocument/2006/relationships/hyperlink" Target="https://etudesenfrance.diplomatie.gouv.fr/catalogue-formations/formation/30849/site/7315" TargetMode="External" Id="rId199"/><Relationship Type="http://schemas.openxmlformats.org/officeDocument/2006/relationships/hyperlink" Target="https://eeap.cnam.fr/" TargetMode="External" Id="rId200"/><Relationship Type="http://schemas.openxmlformats.org/officeDocument/2006/relationships/hyperlink" Target="https://etudesenfrance.diplomatie.gouv.fr/catalogue-formations/formation/46977/site/13973" TargetMode="External" Id="rId201"/><Relationship Type="http://schemas.openxmlformats.org/officeDocument/2006/relationships/hyperlink" Target="https://observalgerie.com/2026/06/13/misc/frais-dinscription-en-france-lille-maintient-un-avantage-pour-les-etudiants-etrangers/" TargetMode="External" Id="rId202"/><Relationship Type="http://schemas.openxmlformats.org/officeDocument/2006/relationships/hyperlink" Target="https://www.univ-lille.fr/formations/fr-00002031" TargetMode="External" Id="rId203"/><Relationship Type="http://schemas.openxmlformats.org/officeDocument/2006/relationships/hyperlink" Target="https://etudesenfrance.diplomatie.gouv.fr/catalogue-formations/formation/56653/site/6597" TargetMode="External" Id="rId204"/><Relationship Type="http://schemas.openxmlformats.org/officeDocument/2006/relationships/hyperlink" Target="https://www.ec-lyon.fr/formation/international-master-nanoscale-engineering" TargetMode="External" Id="rId205"/><Relationship Type="http://schemas.openxmlformats.org/officeDocument/2006/relationships/hyperlink" Target="https://etudesenfrance.diplomatie.gouv.fr/catalogue-formations/formation/49278/site/6504" TargetMode="External" Id="rId206"/><Relationship Type="http://schemas.openxmlformats.org/officeDocument/2006/relationships/hyperlink" Target="https://www.ec-lyon.fr/formation/international-master-nanoscale-engineering" TargetMode="External" Id="rId207"/><Relationship Type="http://schemas.openxmlformats.org/officeDocument/2006/relationships/hyperlink" Target="https://etudesenfrance.diplomatie.gouv.fr/catalogue-formations/formation/49280/site/6504" TargetMode="External" Id="rId208"/><Relationship Type="http://schemas.openxmlformats.org/officeDocument/2006/relationships/hyperlink" Target="https://www.univ-grenoble-alpes.fr/actualites/a-la-une/actualites-universite/etudiants-internationaux-ce-que-change-le-nouveau-decret-sur-les-droits-d-inscription-a-l-uga-1775870.kjsp" TargetMode="External" Id="rId209"/><Relationship Type="http://schemas.openxmlformats.org/officeDocument/2006/relationships/hyperlink" Target="https://ense3.grenoble-inp.fr/en/study-at-ense3/masters-in-english" TargetMode="External" Id="rId210"/><Relationship Type="http://schemas.openxmlformats.org/officeDocument/2006/relationships/hyperlink" Target="https://etudesenfrance.diplomatie.gouv.fr/catalogue-formations/formation/38697/site/6840" TargetMode="External" Id="rId211"/><Relationship Type="http://schemas.openxmlformats.org/officeDocument/2006/relationships/hyperlink" Target="https://www.erasmus-mundus.emimep.eu/" TargetMode="External" Id="rId212"/><Relationship Type="http://schemas.openxmlformats.org/officeDocument/2006/relationships/hyperlink" Target="https://etudesenfrance.diplomatie.gouv.fr/catalogue-formations/formation/45162/site/7171" TargetMode="External" Id="rId213"/><Relationship Type="http://schemas.openxmlformats.org/officeDocument/2006/relationships/hyperlink" Target="https://www.umlp.fr/sites/default/files/2026-07-02-page-droits-differencies-vf.pdf" TargetMode="External" Id="rId214"/><Relationship Type="http://schemas.openxmlformats.org/officeDocument/2006/relationships/hyperlink" Target="https://taughtie.campusfrance.org/tiesearch/" TargetMode="External" Id="rId215"/><Relationship Type="http://schemas.openxmlformats.org/officeDocument/2006/relationships/hyperlink" Target="https://etudesenfrance.diplomatie.gouv.fr/catalogue-formations/formation/55269/site/6954" TargetMode="External" Id="rId216"/><Relationship Type="http://schemas.openxmlformats.org/officeDocument/2006/relationships/hyperlink" Target="https://www.univ-amu.fr/fr/actualites/aix-marseille-universite-mobilise-pleinement-capacite-dexoneration-continuer-accueillir" TargetMode="External" Id="rId217"/><Relationship Type="http://schemas.openxmlformats.org/officeDocument/2006/relationships/hyperlink" Target="https://formations.univ-amu.fr/fr/master/5SNN/PRSNN5C3" TargetMode="External" Id="rId218"/><Relationship Type="http://schemas.openxmlformats.org/officeDocument/2006/relationships/hyperlink" Target="https://etudesenfrance.diplomatie.gouv.fr/catalogue-formations/formation/59062/site/6655" TargetMode="External" Id="rId219"/><Relationship Type="http://schemas.openxmlformats.org/officeDocument/2006/relationships/hyperlink" Target="https://www.umontpellier.fr/en/international/etudier-a-letranger/etudiants-internationaux-annee-universitaire-2026-2027/" TargetMode="External" Id="rId220"/><Relationship Type="http://schemas.openxmlformats.org/officeDocument/2006/relationships/hyperlink" Target="https://idil.edu.umontpellier.fr/" TargetMode="External" Id="rId221"/><Relationship Type="http://schemas.openxmlformats.org/officeDocument/2006/relationships/hyperlink" Target="https://etudesenfrance.diplomatie.gouv.fr/catalogue-formations/formation/62037/site/6552" TargetMode="External" Id="rId222"/><Relationship Type="http://schemas.openxmlformats.org/officeDocument/2006/relationships/hyperlink" Target="https://www.umontpellier.fr/en/international/etudier-a-letranger/etudiants-internationaux-annee-universitaire-2026-2027/" TargetMode="External" Id="rId223"/><Relationship Type="http://schemas.openxmlformats.org/officeDocument/2006/relationships/hyperlink" Target="https://idil.edu.umontpellier.fr/" TargetMode="External" Id="rId224"/><Relationship Type="http://schemas.openxmlformats.org/officeDocument/2006/relationships/hyperlink" Target="https://etudesenfrance.diplomatie.gouv.fr/catalogue-formations/formation/55215/site/6552" TargetMode="External" Id="rId225"/><Relationship Type="http://schemas.openxmlformats.org/officeDocument/2006/relationships/hyperlink" Target="http://www.polytech.univ-smb.fr/en/programs/masters/advanced-mechatronics.html" TargetMode="External" Id="rId226"/><Relationship Type="http://schemas.openxmlformats.org/officeDocument/2006/relationships/hyperlink" Target="https://etudesenfrance.diplomatie.gouv.fr/catalogue-formations/formation/42147/site/13557" TargetMode="External" Id="rId227"/><Relationship Type="http://schemas.openxmlformats.org/officeDocument/2006/relationships/hyperlink" Target="https://www.umlp.fr/sites/default/files/2026-07-02-page-droits-differencies-vf.pdf" TargetMode="External" Id="rId228"/><Relationship Type="http://schemas.openxmlformats.org/officeDocument/2006/relationships/hyperlink" Target="https://taughtie.campusfrance.org/tiesearch/" TargetMode="External" Id="rId229"/><Relationship Type="http://schemas.openxmlformats.org/officeDocument/2006/relationships/hyperlink" Target="https://etudesenfrance.diplomatie.gouv.fr/catalogue-formations/formation/55399/site/6954" TargetMode="External" Id="rId230"/><Relationship Type="http://schemas.openxmlformats.org/officeDocument/2006/relationships/hyperlink" Target="https://www.univ-grenoble-alpes.fr/actualites/a-la-une/actualites-universite/etudiants-internationaux-ce-que-change-le-nouveau-decret-sur-les-droits-d-inscription-a-l-uga-1775870.kjsp" TargetMode="External" Id="rId231"/><Relationship Type="http://schemas.openxmlformats.org/officeDocument/2006/relationships/hyperlink" Target="https://formations.univ-grenoble-alpes.fr/fr/catalogue-2021/master-XB/master-electronique-energie-electrique-automatique-IFZ3DRB9/parcours-electrical-engineering-and-control-systems-1ere-annee-KVQSSM5S.html" TargetMode="External" Id="rId232"/><Relationship Type="http://schemas.openxmlformats.org/officeDocument/2006/relationships/hyperlink" Target="https://etudesenfrance.diplomatie.gouv.fr/catalogue-formations/formation/61779/site/13729" TargetMode="External" Id="rId233"/><Relationship Type="http://schemas.openxmlformats.org/officeDocument/2006/relationships/hyperlink" Target="https://www.univ-grenoble-alpes.fr/actualites/a-la-une/actualites-universite/etudiants-internationaux-ce-que-change-le-nouveau-decret-sur-les-droits-d-inscription-a-l-uga-1775870.kjsp" TargetMode="External" Id="rId234"/><Relationship Type="http://schemas.openxmlformats.org/officeDocument/2006/relationships/hyperlink" Target="https://ense3.grenoble-inp.fr/en/study-at-ense3/masters-in-english" TargetMode="External" Id="rId235"/><Relationship Type="http://schemas.openxmlformats.org/officeDocument/2006/relationships/hyperlink" Target="https://etudesenfrance.diplomatie.gouv.fr/catalogue-formations/formation/38572/site/6840" TargetMode="External" Id="rId236"/><Relationship Type="http://schemas.openxmlformats.org/officeDocument/2006/relationships/hyperlink" Target="https://www.umontpellier.fr/en/international/etudier-a-letranger/etudiants-internationaux-annee-universitaire-2026-2027/" TargetMode="External" Id="rId237"/><Relationship Type="http://schemas.openxmlformats.org/officeDocument/2006/relationships/hyperlink" Target="http://www.eea.univ-montp2.fr/?-Robotique-Automatique-" TargetMode="External" Id="rId238"/><Relationship Type="http://schemas.openxmlformats.org/officeDocument/2006/relationships/hyperlink" Target="https://etudesenfrance.diplomatie.gouv.fr/catalogue-formations/formation/32452/site/6552" TargetMode="External" Id="rId239"/><Relationship Type="http://schemas.openxmlformats.org/officeDocument/2006/relationships/hyperlink" Target="https://www.univ-grenoble-alpes.fr/actualites/a-la-une/actualites-universite/etudiants-internationaux-ce-que-change-le-nouveau-decret-sur-les-droits-d-inscription-a-l-uga-1775870.kjsp" TargetMode="External" Id="rId240"/><Relationship Type="http://schemas.openxmlformats.org/officeDocument/2006/relationships/hyperlink" Target="https://formations.univ-grenoble-alpes.fr/fr/catalogue-2021/master-XB/master-nanosciences-et-nanotechnologies-IAQK78RT/parcours-nanophysics-quantum-physics-1re-annee-KLQGAWF7.html" TargetMode="External" Id="rId241"/><Relationship Type="http://schemas.openxmlformats.org/officeDocument/2006/relationships/hyperlink" Target="https://etudesenfrance.diplomatie.gouv.fr/catalogue-formations/formation/61770/site/6522" TargetMode="External" Id="rId242"/><Relationship Type="http://schemas.openxmlformats.org/officeDocument/2006/relationships/hyperlink" Target="https://www.univ-grenoble-alpes.fr/actualites/a-la-une/actualites-universite/etudiants-internationaux-ce-que-change-le-nouveau-decret-sur-les-droits-d-inscription-a-l-uga-1775870.kjsp" TargetMode="External" Id="rId243"/><Relationship Type="http://schemas.openxmlformats.org/officeDocument/2006/relationships/hyperlink" Target="https://formations.univ-grenoble-alpes.fr/fr/catalogue-2021/master-XB/master-nanosciences-et-nanotechnologies-IAQK78RT/parcours-physics-of-complex-matter-parcours-international-1re-annee-IATOD7FB.html" TargetMode="External" Id="rId244"/><Relationship Type="http://schemas.openxmlformats.org/officeDocument/2006/relationships/hyperlink" Target="https://etudesenfrance.diplomatie.gouv.fr/catalogue-formations/formation/61771/site/6522" TargetMode="External" Id="rId245"/><Relationship Type="http://schemas.openxmlformats.org/officeDocument/2006/relationships/hyperlink" Target="https://www.univ-grenoble-alpes.fr/actualites/a-la-une/actualites-universite/etudiants-internationaux-ce-que-change-le-nouveau-decret-sur-les-droits-d-inscription-a-l-uga-1775870.kjsp" TargetMode="External" Id="rId246"/><Relationship Type="http://schemas.openxmlformats.org/officeDocument/2006/relationships/hyperlink" Target="https://phelma.grenoble-inp.fr/fr/formation/master-nanosciences-and-nanotechnologies-parcours-nanomedicine-and-structural-biology" TargetMode="External" Id="rId247"/><Relationship Type="http://schemas.openxmlformats.org/officeDocument/2006/relationships/hyperlink" Target="https://etudesenfrance.diplomatie.gouv.fr/catalogue-formations/formation/38527/site/6858" TargetMode="External" Id="rId248"/><Relationship Type="http://schemas.openxmlformats.org/officeDocument/2006/relationships/hyperlink" Target="https://formations.u-bordeaux.fr/" TargetMode="External" Id="rId249"/><Relationship Type="http://schemas.openxmlformats.org/officeDocument/2006/relationships/hyperlink" Target="https://etudesenfrance.diplomatie.gouv.fr/catalogue-formations/formation/45727/site/6682" TargetMode="External" Id="rId250"/><Relationship Type="http://schemas.openxmlformats.org/officeDocument/2006/relationships/hyperlink" Target="https://life.univ-cotedazur.fr/international/erasmus-mundus-joint-master-membiomed" TargetMode="External" Id="rId251"/><Relationship Type="http://schemas.openxmlformats.org/officeDocument/2006/relationships/hyperlink" Target="https://etudesenfrance.diplomatie.gouv.fr/catalogue-formations/formation/56117/site/6953" TargetMode="External" Id="rId252"/><Relationship Type="http://schemas.openxmlformats.org/officeDocument/2006/relationships/hyperlink" Target="https://www.univ-amu.fr/fr/actualites/aix-marseille-universite-mobilise-pleinement-capacite-dexoneration-continuer-accueillir" TargetMode="External" Id="rId253"/><Relationship Type="http://schemas.openxmlformats.org/officeDocument/2006/relationships/hyperlink" Target="https://formations.univ-amu.fr/fr/master/5SNN/PRSNN5C3" TargetMode="External" Id="rId254"/><Relationship Type="http://schemas.openxmlformats.org/officeDocument/2006/relationships/hyperlink" Target="https://etudesenfrance.diplomatie.gouv.fr/catalogue-formations/formation/59061/site/6655" TargetMode="External" Id="rId255"/><Relationship Type="http://schemas.openxmlformats.org/officeDocument/2006/relationships/hyperlink" Target="https://www.univ-amu.fr/fr/actualites/aix-marseille-universite-mobilise-pleinement-capacite-dexoneration-continuer-accueillir" TargetMode="External" Id="rId256"/><Relationship Type="http://schemas.openxmlformats.org/officeDocument/2006/relationships/hyperlink" Target="https://formations.univ-amu.fr/fr/master/5SNE" TargetMode="External" Id="rId257"/><Relationship Type="http://schemas.openxmlformats.org/officeDocument/2006/relationships/hyperlink" Target="https://etudesenfrance.diplomatie.gouv.fr/catalogue-formations/formation/39459/site/12194" TargetMode="External" Id="rId258"/><Relationship Type="http://schemas.openxmlformats.org/officeDocument/2006/relationships/hyperlink" Target="https://www.univ-amu.fr/fr/actualites/aix-marseille-universite-mobilise-pleinement-capacite-dexoneration-continuer-accueillir" TargetMode="External" Id="rId259"/><Relationship Type="http://schemas.openxmlformats.org/officeDocument/2006/relationships/hyperlink" Target="https://formations.univ-amu.fr/fr/master/5SPF/PRSPF5C4" TargetMode="External" Id="rId260"/><Relationship Type="http://schemas.openxmlformats.org/officeDocument/2006/relationships/hyperlink" Target="https://etudesenfrance.diplomatie.gouv.fr/catalogue-formations/formation/54508/site/6655" TargetMode="External" Id="rId261"/><Relationship Type="http://schemas.openxmlformats.org/officeDocument/2006/relationships/hyperlink" Target="https://www.umontpellier.fr/en/international/etudier-a-letranger/etudiants-internationaux-annee-universitaire-2026-2027/" TargetMode="External" Id="rId262"/><Relationship Type="http://schemas.openxmlformats.org/officeDocument/2006/relationships/hyperlink" Target="https://idil.edu.umontpellier.fr/" TargetMode="External" Id="rId263"/><Relationship Type="http://schemas.openxmlformats.org/officeDocument/2006/relationships/hyperlink" Target="https://etudesenfrance.diplomatie.gouv.fr/catalogue-formations/formation/61939/site/6552" TargetMode="External" Id="rId264"/><Relationship Type="http://schemas.openxmlformats.org/officeDocument/2006/relationships/hyperlink" Target="https://www.umontpellier.fr/en/international/etudier-a-letranger/etudiants-internationaux-annee-universitaire-2026-2027/" TargetMode="External" Id="rId265"/><Relationship Type="http://schemas.openxmlformats.org/officeDocument/2006/relationships/hyperlink" Target="https://idil.edu.umontpellier.fr/" TargetMode="External" Id="rId266"/><Relationship Type="http://schemas.openxmlformats.org/officeDocument/2006/relationships/hyperlink" Target="https://etudesenfrance.diplomatie.gouv.fr/catalogue-formations/formation/53585/site/6552" TargetMode="External" Id="rId267"/><Relationship Type="http://schemas.openxmlformats.org/officeDocument/2006/relationships/hyperlink" Target="https://u-paris.fr/droits-dinscription-tarifs-exonerations/" TargetMode="External" Id="rId268"/><Relationship Type="http://schemas.openxmlformats.org/officeDocument/2006/relationships/hyperlink" Target="https://odf.u-paris.fr/fr/offre-de-formation/master-XB/sciences-technologies-sante-STS/sciences-cognitives-K5CBPO1E.html" TargetMode="External" Id="rId269"/><Relationship Type="http://schemas.openxmlformats.org/officeDocument/2006/relationships/hyperlink" Target="https://etudesenfrance.diplomatie.gouv.fr/catalogue-formations/formation/58440/site/7430" TargetMode="External" Id="rId270"/><Relationship Type="http://schemas.openxmlformats.org/officeDocument/2006/relationships/hyperlink" Target="https://www.sorbonne-universite.fr/actualites/le-conseil-dadministration-de-sorbonne-universite-vote-lunanimite-le-7-juillet-2026-sa" TargetMode="External" Id="rId271"/><Relationship Type="http://schemas.openxmlformats.org/officeDocument/2006/relationships/hyperlink" Target="https://sciences.sorbonne-universite.fr/formation-sciences/offre-de-formation/masters/master-sciences-cognitives" TargetMode="External" Id="rId272"/><Relationship Type="http://schemas.openxmlformats.org/officeDocument/2006/relationships/hyperlink" Target="https://etudesenfrance.diplomatie.gouv.fr/catalogue-formations/formation/58440/site/13735" TargetMode="External" Id="rId273"/><Relationship Type="http://schemas.openxmlformats.org/officeDocument/2006/relationships/hyperlink" Target="https://u-paris.fr/droits-dinscription-tarifs-exonerations/" TargetMode="External" Id="rId274"/><Relationship Type="http://schemas.openxmlformats.org/officeDocument/2006/relationships/hyperlink" Target="https://odf.u-paris.fr/fr/offre-de-formation/master-XB/sciences-technologies-sante-STS/sciences-cognitives-K5CBPO1E.html" TargetMode="External" Id="rId275"/><Relationship Type="http://schemas.openxmlformats.org/officeDocument/2006/relationships/hyperlink" Target="https://etudesenfrance.diplomatie.gouv.fr/catalogue-formations/formation/58443/site/7430" TargetMode="External" Id="rId276"/><Relationship Type="http://schemas.openxmlformats.org/officeDocument/2006/relationships/hyperlink" Target="https://www.sorbonne-universite.fr/actualites/le-conseil-dadministration-de-sorbonne-universite-vote-lunanimite-le-7-juillet-2026-sa" TargetMode="External" Id="rId277"/><Relationship Type="http://schemas.openxmlformats.org/officeDocument/2006/relationships/hyperlink" Target="https://sciences.sorbonne-universite.fr/formation-sciences/offre-de-formation/masters/master-sciences-cognitives" TargetMode="External" Id="rId278"/><Relationship Type="http://schemas.openxmlformats.org/officeDocument/2006/relationships/hyperlink" Target="https://etudesenfrance.diplomatie.gouv.fr/catalogue-formations/formation/58443/site/13735" TargetMode="External" Id="rId279"/><Relationship Type="http://schemas.openxmlformats.org/officeDocument/2006/relationships/hyperlink" Target="https://www.univ-amu.fr/fr/actualites/aix-marseille-universite-mobilise-pleinement-capacite-dexoneration-continuer-accueillir" TargetMode="External" Id="rId280"/><Relationship Type="http://schemas.openxmlformats.org/officeDocument/2006/relationships/hyperlink" Target="https://formations.univ-amu.fr/fr/master/5SPF/PRSPF5C4" TargetMode="External" Id="rId281"/><Relationship Type="http://schemas.openxmlformats.org/officeDocument/2006/relationships/hyperlink" Target="https://etudesenfrance.diplomatie.gouv.fr/catalogue-formations/formation/44402/site/6655" TargetMode="External" Id="rId282"/><Relationship Type="http://schemas.openxmlformats.org/officeDocument/2006/relationships/hyperlink" Target="https://odf.univ-spn.fr/fr/offre-de-formation/master-lmd-XB/master-mention-biologie-sante-parcours-therapies-et-technologie-du-vivant-BI4TPH_117.html" TargetMode="External" Id="rId283"/><Relationship Type="http://schemas.openxmlformats.org/officeDocument/2006/relationships/hyperlink" Target="https://etudesenfrance.diplomatie.gouv.fr/catalogue-formations/formation/45027/site/6707" TargetMode="External" Id="rId284"/><Relationship Type="http://schemas.openxmlformats.org/officeDocument/2006/relationships/hyperlink" Target="https://www.unilim.fr/gradschool-ceramics-ict/" TargetMode="External" Id="rId285"/><Relationship Type="http://schemas.openxmlformats.org/officeDocument/2006/relationships/hyperlink" Target="https://etudesenfrance.diplomatie.gouv.fr/catalogue-formations/formation/47622/site/7171" TargetMode="External" Id="rId286"/><Relationship Type="http://schemas.openxmlformats.org/officeDocument/2006/relationships/hyperlink" Target="https://www.unilim.fr/gradschool-ceramics-ict/" TargetMode="External" Id="rId287"/><Relationship Type="http://schemas.openxmlformats.org/officeDocument/2006/relationships/hyperlink" Target="https://etudesenfrance.diplomatie.gouv.fr/catalogue-formations/formation/47825/site/7171" TargetMode="External" Id="rId288"/><Relationship Type="http://schemas.openxmlformats.org/officeDocument/2006/relationships/hyperlink" Target="https://formations.univ-rennes.fr/" TargetMode="External" Id="rId289"/><Relationship Type="http://schemas.openxmlformats.org/officeDocument/2006/relationships/hyperlink" Target="https://etudesenfrance.diplomatie.gouv.fr/catalogue-formations/formation/38228/site/14529" TargetMode="External" Id="rId290"/><Relationship Type="http://schemas.openxmlformats.org/officeDocument/2006/relationships/hyperlink" Target="https://formations.univ-rennes.fr/" TargetMode="External" Id="rId291"/><Relationship Type="http://schemas.openxmlformats.org/officeDocument/2006/relationships/hyperlink" Target="https://etudesenfrance.diplomatie.gouv.fr/catalogue-formations/formation/38227/site/14529" TargetMode="External" Id="rId292"/><Relationship Type="http://schemas.openxmlformats.org/officeDocument/2006/relationships/hyperlink" Target="https://www.unistra.fr/fr/node/8168" TargetMode="External" Id="rId293"/><Relationship Type="http://schemas.openxmlformats.org/officeDocument/2006/relationships/hyperlink" Target="https://etudesenfrance.diplomatie.gouv.fr/catalogue-formations/formation/41770/site/6978" TargetMode="External" Id="rId294"/><Relationship Type="http://schemas.openxmlformats.org/officeDocument/2006/relationships/hyperlink" Target="https://www.unistra.fr/fr/node/8168" TargetMode="External" Id="rId295"/><Relationship Type="http://schemas.openxmlformats.org/officeDocument/2006/relationships/hyperlink" Target="http://sciencesvie.unistra.fr/" TargetMode="External" Id="rId296"/><Relationship Type="http://schemas.openxmlformats.org/officeDocument/2006/relationships/hyperlink" Target="https://etudesenfrance.diplomatie.gouv.fr/catalogue-formations/formation/33656/site/6978" TargetMode="External" Id="rId297"/><Relationship Type="http://schemas.openxmlformats.org/officeDocument/2006/relationships/hyperlink" Target="https://www.utc.fr/formations/diplome-de-master/mention-ingenierie-des-systemes-complexes-isc/parcours-automatique-et-robotique-des-systemes-intelligents-ars/" TargetMode="External" Id="rId298"/><Relationship Type="http://schemas.openxmlformats.org/officeDocument/2006/relationships/hyperlink" Target="https://etudesenfrance.diplomatie.gouv.fr/catalogue-formations/formation/57731/site/11087" TargetMode="External" Id="rId299"/><Relationship Type="http://schemas.openxmlformats.org/officeDocument/2006/relationships/hyperlink" Target="https://www.utc.fr/formations/diplome-de-master/mention-ingenierie-des-systemes-complexes-isc/parcours-systemes-mecatroniques-smt/" TargetMode="External" Id="rId300"/><Relationship Type="http://schemas.openxmlformats.org/officeDocument/2006/relationships/hyperlink" Target="https://etudesenfrance.diplomatie.gouv.fr/catalogue-formations/formation/57734/site/11087" TargetMode="External" Id="rId301"/><Relationship Type="http://schemas.openxmlformats.org/officeDocument/2006/relationships/hyperlink" Target="https://www.sorbonne-universite.fr/actualites/le-conseil-dadministration-de-sorbonne-universite-vote-lunanimite-le-7-juillet-2026-sa" TargetMode="External" Id="rId302"/><Relationship Type="http://schemas.openxmlformats.org/officeDocument/2006/relationships/hyperlink" Target="https://masters-sdi.sorbonne-universite.fr/electronique-energie-electrique-automatique" TargetMode="External" Id="rId303"/><Relationship Type="http://schemas.openxmlformats.org/officeDocument/2006/relationships/hyperlink" Target="https://etudesenfrance.diplomatie.gouv.fr/catalogue-formations/formation/44357/site/13735" TargetMode="External" Id="rId304"/><Relationship Type="http://schemas.openxmlformats.org/officeDocument/2006/relationships/hyperlink" Target="https://www.sorbonne-universite.fr/actualites/le-conseil-dadministration-de-sorbonne-universite-vote-lunanimite-le-7-juillet-2026-sa" TargetMode="External" Id="rId305"/><Relationship Type="http://schemas.openxmlformats.org/officeDocument/2006/relationships/hyperlink" Target="https://masters-sdi.sorbonne-universite.fr/electronique-energie-electrique-automatique" TargetMode="External" Id="rId306"/><Relationship Type="http://schemas.openxmlformats.org/officeDocument/2006/relationships/hyperlink" Target="https://etudesenfrance.diplomatie.gouv.fr/catalogue-formations/formation/44358/site/13735" TargetMode="External" Id="rId307"/><Relationship Type="http://schemas.openxmlformats.org/officeDocument/2006/relationships/hyperlink" Target="https://www.umlp.fr/sites/default/files/2026-07-02-page-droits-differencies-vf.pdf" TargetMode="External" Id="rId308"/><Relationship Type="http://schemas.openxmlformats.org/officeDocument/2006/relationships/hyperlink" Target="https://stgi.umlp.fr/" TargetMode="External" Id="rId309"/><Relationship Type="http://schemas.openxmlformats.org/officeDocument/2006/relationships/hyperlink" Target="https://etudesenfrance.diplomatie.gouv.fr/catalogue-formations/formation/28821/site/10750" TargetMode="External" Id="rId310"/><Relationship Type="http://schemas.openxmlformats.org/officeDocument/2006/relationships/hyperlink" Target="http://www.enseeiht.fr/fr/formation/masters-internationaux-masters-of-science/ees-electrical-energy-systems.html" TargetMode="External" Id="rId311"/><Relationship Type="http://schemas.openxmlformats.org/officeDocument/2006/relationships/hyperlink" Target="https://etudesenfrance.diplomatie.gouv.fr/catalogue-formations/formation/39224/site/6517" TargetMode="External" Id="rId312"/><Relationship Type="http://schemas.openxmlformats.org/officeDocument/2006/relationships/hyperlink" Target="https://www.sorbonne-universite.fr/actualites/le-conseil-dadministration-de-sorbonne-universite-vote-lunanimite-le-7-juillet-2026-sa" TargetMode="External" Id="rId313"/><Relationship Type="http://schemas.openxmlformats.org/officeDocument/2006/relationships/hyperlink" Target="https://sciences.sorbonne-universite.fr/formation-sciences/offre-de-formation/masters/master-informatique/parcours-ima" TargetMode="External" Id="rId314"/><Relationship Type="http://schemas.openxmlformats.org/officeDocument/2006/relationships/hyperlink" Target="https://etudesenfrance.diplomatie.gouv.fr/catalogue-formations/formation/44278/site/13735" TargetMode="External" Id="rId315"/><Relationship Type="http://schemas.openxmlformats.org/officeDocument/2006/relationships/hyperlink" Target="https://u-paris.fr/droits-dinscription-tarifs-exonerations/" TargetMode="External" Id="rId316"/><Relationship Type="http://schemas.openxmlformats.org/officeDocument/2006/relationships/hyperlink" Target="https://odf.u-paris.fr/fr/offre-de-formation/master-XB/sciences-technologies-sante-STS/neurosciences-K2NDMRJL.html" TargetMode="External" Id="rId317"/><Relationship Type="http://schemas.openxmlformats.org/officeDocument/2006/relationships/hyperlink" Target="https://etudesenfrance.diplomatie.gouv.fr/catalogue-formations/formation/44763/site/7430" TargetMode="External" Id="rId318"/><Relationship Type="http://schemas.openxmlformats.org/officeDocument/2006/relationships/hyperlink" Target="https://www.umlp.fr/sites/default/files/2026-07-02-page-droits-differencies-vf.pdf" TargetMode="External" Id="rId319"/><Relationship Type="http://schemas.openxmlformats.org/officeDocument/2006/relationships/hyperlink" Target="https://stgi.umlp.fr/" TargetMode="External" Id="rId320"/><Relationship Type="http://schemas.openxmlformats.org/officeDocument/2006/relationships/hyperlink" Target="https://etudesenfrance.diplomatie.gouv.fr/catalogue-formations/formation/51356/site/10750" TargetMode="External" Id="rId321"/><Relationship Type="http://schemas.openxmlformats.org/officeDocument/2006/relationships/hyperlink" Target="https://www.univ-reims.fr/ufrsciences" TargetMode="External" Id="rId322"/><Relationship Type="http://schemas.openxmlformats.org/officeDocument/2006/relationships/hyperlink" Target="https://etudesenfrance.diplomatie.gouv.fr/catalogue-formations/formation/61528/site/6625" TargetMode="External" Id="rId323"/><Relationship Type="http://schemas.openxmlformats.org/officeDocument/2006/relationships/hyperlink" Target="https://etudesenfrance.diplomatie.gouv.fr/catalogue-formations/formation/61332/site/14612" TargetMode="External" Id="rId324"/><Relationship Type="http://schemas.openxmlformats.org/officeDocument/2006/relationships/hyperlink" Target="https://istic.univ-rennes.fr/master-2-eeea-parcours-signal-vision-ondes-systemes-sivos" TargetMode="External" Id="rId325"/><Relationship Type="http://schemas.openxmlformats.org/officeDocument/2006/relationships/hyperlink" Target="https://etudesenfrance.diplomatie.gouv.fr/catalogue-formations/formation/56430/site/6612" TargetMode="External" Id="rId326"/><Relationship Type="http://schemas.openxmlformats.org/officeDocument/2006/relationships/hyperlink" Target="http://www.univ-brest.fr/ufr-sciences" TargetMode="External" Id="rId327"/><Relationship Type="http://schemas.openxmlformats.org/officeDocument/2006/relationships/hyperlink" Target="https://etudesenfrance.diplomatie.gouv.fr/catalogue-formations/formation/50533/site/6955" TargetMode="External" Id="rId328"/><Relationship Type="http://schemas.openxmlformats.org/officeDocument/2006/relationships/hyperlink" Target="http://scifa.univ-lorraine.fr/" TargetMode="External" Id="rId329"/><Relationship Type="http://schemas.openxmlformats.org/officeDocument/2006/relationships/hyperlink" Target="https://etudesenfrance.diplomatie.gouv.fr/catalogue-formations/formation/40501/site/10878" TargetMode="External" Id="rId330"/><Relationship Type="http://schemas.openxmlformats.org/officeDocument/2006/relationships/hyperlink" Target="http://scifa.univ-lorraine.fr/" TargetMode="External" Id="rId331"/><Relationship Type="http://schemas.openxmlformats.org/officeDocument/2006/relationships/hyperlink" Target="https://etudesenfrance.diplomatie.gouv.fr/catalogue-formations/formation/40700/site/10878" TargetMode="External" Id="rId332"/><Relationship Type="http://schemas.openxmlformats.org/officeDocument/2006/relationships/hyperlink" Target="http://scifa.univ-lorraine.fr/" TargetMode="External" Id="rId333"/><Relationship Type="http://schemas.openxmlformats.org/officeDocument/2006/relationships/hyperlink" Target="https://etudesenfrance.diplomatie.gouv.fr/catalogue-formations/formation/40699/site/10878" TargetMode="External" Id="rId334"/><Relationship Type="http://schemas.openxmlformats.org/officeDocument/2006/relationships/hyperlink" Target="https://ufr-st.univ-lehavre.fr/" TargetMode="External" Id="rId335"/><Relationship Type="http://schemas.openxmlformats.org/officeDocument/2006/relationships/hyperlink" Target="https://etudesenfrance.diplomatie.gouv.fr/catalogue-formations/formation/36266/site/6626" TargetMode="External" Id="rId336"/><Relationship Type="http://schemas.openxmlformats.org/officeDocument/2006/relationships/hyperlink" Target="https://iut-roanne.univ-st-etienne.fr/fr/formations/master-XB/master-XB/master-electronique-energie-electrique-automatique-parcours-traitement-de-l-information-et-instrumentation-pour-l-ingenieur-5_14_07_0003_FR.html" TargetMode="External" Id="rId337"/><Relationship Type="http://schemas.openxmlformats.org/officeDocument/2006/relationships/hyperlink" Target="https://etudesenfrance.diplomatie.gouv.fr/catalogue-formations/formation/50216/site/7392" TargetMode="External" Id="rId338"/><Relationship Type="http://schemas.openxmlformats.org/officeDocument/2006/relationships/hyperlink" Target="https://ufr-st.univ-lehavre.fr/" TargetMode="External" Id="rId339"/><Relationship Type="http://schemas.openxmlformats.org/officeDocument/2006/relationships/hyperlink" Target="https://etudesenfrance.diplomatie.gouv.fr/catalogue-formations/formation/36265/site/6626" TargetMode="External" Id="rId340"/><Relationship Type="http://schemas.openxmlformats.org/officeDocument/2006/relationships/hyperlink" Target="https://sciences.u-picardie.fr/accueil-ufr-sciences" TargetMode="External" Id="rId341"/><Relationship Type="http://schemas.openxmlformats.org/officeDocument/2006/relationships/hyperlink" Target="https://etudesenfrance.diplomatie.gouv.fr/catalogue-formations/formation/41525/site/6548" TargetMode="External" Id="rId342"/><Relationship Type="http://schemas.openxmlformats.org/officeDocument/2006/relationships/hyperlink" Target="https://sciences.u-picardie.fr/accueil-ufr-sciences" TargetMode="External" Id="rId343"/><Relationship Type="http://schemas.openxmlformats.org/officeDocument/2006/relationships/hyperlink" Target="https://etudesenfrance.diplomatie.gouv.fr/catalogue-formations/formation/41526/site/6548" TargetMode="External" Id="rId344"/><Relationship Type="http://schemas.openxmlformats.org/officeDocument/2006/relationships/hyperlink" Target="https://sciences.u-picardie.fr/accueil-ufr-sciences" TargetMode="External" Id="rId345"/><Relationship Type="http://schemas.openxmlformats.org/officeDocument/2006/relationships/hyperlink" Target="https://etudesenfrance.diplomatie.gouv.fr/catalogue-formations/formation/41527/site/6548" TargetMode="External" Id="rId346"/><Relationship Type="http://schemas.openxmlformats.org/officeDocument/2006/relationships/hyperlink" Target="https://sfa.univ-poitiers.fr/formation/offre-de-formation-sciences-technologies-sante/" TargetMode="External" Id="rId347"/><Relationship Type="http://schemas.openxmlformats.org/officeDocument/2006/relationships/hyperlink" Target="https://etudesenfrance.diplomatie.gouv.fr/catalogue-formations/formation/42776/site/6963" TargetMode="External" Id="rId348"/><Relationship Type="http://schemas.openxmlformats.org/officeDocument/2006/relationships/hyperlink" Target="https://www.unistra.fr/fr/node/8168" TargetMode="External" Id="rId349"/><Relationship Type="http://schemas.openxmlformats.org/officeDocument/2006/relationships/hyperlink" Target="http://mathinfo.unistra.fr/" TargetMode="External" Id="rId350"/><Relationship Type="http://schemas.openxmlformats.org/officeDocument/2006/relationships/hyperlink" Target="https://etudesenfrance.diplomatie.gouv.fr/catalogue-formations/formation/33738/site/6521" TargetMode="External" Id="rId351"/><Relationship Type="http://schemas.openxmlformats.org/officeDocument/2006/relationships/hyperlink" Target="http://www.sciences.unilim.fr/" TargetMode="External" Id="rId352"/><Relationship Type="http://schemas.openxmlformats.org/officeDocument/2006/relationships/hyperlink" Target="https://etudesenfrance.diplomatie.gouv.fr/catalogue-formations/formation/37663/site/7171" TargetMode="External" Id="rId353"/><Relationship Type="http://schemas.openxmlformats.org/officeDocument/2006/relationships/hyperlink" Target="http://www.univ-brest.fr/ufr-sciences" TargetMode="External" Id="rId354"/><Relationship Type="http://schemas.openxmlformats.org/officeDocument/2006/relationships/hyperlink" Target="https://etudesenfrance.diplomatie.gouv.fr/catalogue-formations/formation/42030/site/6955" TargetMode="External" Id="rId355"/><Relationship Type="http://schemas.openxmlformats.org/officeDocument/2006/relationships/hyperlink" Target="https://formations.univ-tln.fr/fr/offre-de-formation/master-XB/master-ingenierie-des-systemes-complexes-LO8RGPP1/master-ingenierie-des-systemes-complexes-parcours-vision-signal-trajectographie-et-automatique-LPZS1DK9.html" TargetMode="External" Id="rId356"/><Relationship Type="http://schemas.openxmlformats.org/officeDocument/2006/relationships/hyperlink" Target="https://etudesenfrance.diplomatie.gouv.fr/catalogue-formations/formation/42510/site/7169" TargetMode="External" Id="rId357"/><Relationship Type="http://schemas.openxmlformats.org/officeDocument/2006/relationships/hyperlink" Target="https://fst.univ-lorraine.fr/formations/" TargetMode="External" Id="rId358"/><Relationship Type="http://schemas.openxmlformats.org/officeDocument/2006/relationships/hyperlink" Target="https://etudesenfrance.diplomatie.gouv.fr/catalogue-formations/formation/40802/site/6958" TargetMode="External" Id="rId359"/><Relationship Type="http://schemas.openxmlformats.org/officeDocument/2006/relationships/hyperlink" Target="https://etudesenfrance.diplomatie.gouv.fr/catalogue-formations/formation/45473/site/6725" TargetMode="External" Id="rId360"/><Relationship Type="http://schemas.openxmlformats.org/officeDocument/2006/relationships/hyperlink" Target="http://www-galilee.univ-paris13.fr/" TargetMode="External" Id="rId361"/><Relationship Type="http://schemas.openxmlformats.org/officeDocument/2006/relationships/hyperlink" Target="https://etudesenfrance.diplomatie.gouv.fr/catalogue-formations/formation/29025/site/6725" TargetMode="External" Id="rId362"/><Relationship Type="http://schemas.openxmlformats.org/officeDocument/2006/relationships/hyperlink" Target="https://etudesenfrance.diplomatie.gouv.fr/catalogue-formations/formation/60651/site/13820" TargetMode="External" Id="rId363"/><Relationship Type="http://schemas.openxmlformats.org/officeDocument/2006/relationships/hyperlink" Target="https://www.unistra.fr/fr/node/8168" TargetMode="External" Id="rId364"/><Relationship Type="http://schemas.openxmlformats.org/officeDocument/2006/relationships/hyperlink" Target="http://www.physique-ingenierie.unistra.fr/" TargetMode="External" Id="rId365"/><Relationship Type="http://schemas.openxmlformats.org/officeDocument/2006/relationships/hyperlink" Target="https://etudesenfrance.diplomatie.gouv.fr/catalogue-formations/formation/41636/site/6975" TargetMode="External" Id="rId366"/><Relationship Type="http://schemas.openxmlformats.org/officeDocument/2006/relationships/hyperlink" Target="https://www.univ-orleans.fr/fr/sciences-techniques/formation/physique" TargetMode="External" Id="rId367"/><Relationship Type="http://schemas.openxmlformats.org/officeDocument/2006/relationships/hyperlink" Target="https://etudesenfrance.diplomatie.gouv.fr/catalogue-formations/formation/42025/site/6540" TargetMode="External" Id="rId368"/><Relationship Type="http://schemas.openxmlformats.org/officeDocument/2006/relationships/hyperlink" Target="https://www.univ-angers.fr/fr/acces-directs/facultes-et-instituts/faculte-des-sciences.html" TargetMode="External" Id="rId369"/><Relationship Type="http://schemas.openxmlformats.org/officeDocument/2006/relationships/hyperlink" Target="https://etudesenfrance.diplomatie.gouv.fr/catalogue-formations/formation/42900/site/7170" TargetMode="External" Id="rId370"/><Relationship Type="http://schemas.openxmlformats.org/officeDocument/2006/relationships/hyperlink" Target="https://www.unistra.fr/fr/node/8168" TargetMode="External" Id="rId371"/><Relationship Type="http://schemas.openxmlformats.org/officeDocument/2006/relationships/hyperlink" Target="http://www.physique-ingenierie.unistra.fr/" TargetMode="External" Id="rId372"/><Relationship Type="http://schemas.openxmlformats.org/officeDocument/2006/relationships/hyperlink" Target="https://etudesenfrance.diplomatie.gouv.fr/catalogue-formations/formation/41637/site/6975" TargetMode="External" Id="rId373"/><Relationship Type="http://schemas.openxmlformats.org/officeDocument/2006/relationships/hyperlink" Target="https://www.insa-hautsdefrance.fr/sites/default/files/media/2024-10/master_cdsi.pdf" TargetMode="External" Id="rId374"/><Relationship Type="http://schemas.openxmlformats.org/officeDocument/2006/relationships/hyperlink" Target="https://etudesenfrance.diplomatie.gouv.fr/catalogue-formations/formation/48588/site/13986" TargetMode="External" Id="rId375"/><Relationship Type="http://schemas.openxmlformats.org/officeDocument/2006/relationships/hyperlink" Target="http://www.univ-brest.fr/ufr-sciences" TargetMode="External" Id="rId376"/><Relationship Type="http://schemas.openxmlformats.org/officeDocument/2006/relationships/hyperlink" Target="https://etudesenfrance.diplomatie.gouv.fr/catalogue-formations/formation/43374/site/6955" TargetMode="External" Id="rId377"/><Relationship Type="http://schemas.openxmlformats.org/officeDocument/2006/relationships/hyperlink" Target="https://sciences-techniques.univ-nantes.fr/" TargetMode="External" Id="rId378"/><Relationship Type="http://schemas.openxmlformats.org/officeDocument/2006/relationships/hyperlink" Target="https://etudesenfrance.diplomatie.gouv.fr/catalogue-formations/formation/45541/site/6543" TargetMode="External" Id="rId379"/><Relationship Type="http://schemas.openxmlformats.org/officeDocument/2006/relationships/hyperlink" Target="https://www.univ-reims.fr/eisine/" TargetMode="External" Id="rId380"/><Relationship Type="http://schemas.openxmlformats.org/officeDocument/2006/relationships/hyperlink" Target="https://etudesenfrance.diplomatie.gouv.fr/catalogue-formations/formation/55209/site/13889" TargetMode="External" Id="rId381"/><Relationship Type="http://schemas.openxmlformats.org/officeDocument/2006/relationships/hyperlink" Target="https://www.univ-rouen.fr/actualites/application-des-droits-dinscription-differencies-a-luniversite-de-rouen-normandie-a-compter-de-la-rentree-universitaire-2026-2027/" TargetMode="External" Id="rId382"/><Relationship Type="http://schemas.openxmlformats.org/officeDocument/2006/relationships/hyperlink" Target="https://sciences-techniques.univ-rouen.fr/" TargetMode="External" Id="rId383"/><Relationship Type="http://schemas.openxmlformats.org/officeDocument/2006/relationships/hyperlink" Target="https://etudesenfrance.diplomatie.gouv.fr/catalogue-formations/formation/57078/site/7173" TargetMode="External" Id="rId384"/><Relationship Type="http://schemas.openxmlformats.org/officeDocument/2006/relationships/hyperlink" Target="http://ufr-phillia.parisnanterre.fr/" TargetMode="External" Id="rId385"/><Relationship Type="http://schemas.openxmlformats.org/officeDocument/2006/relationships/hyperlink" Target="https://etudesenfrance.diplomatie.gouv.fr/catalogue-formations/formation/60208/site/6943" TargetMode="External" Id="rId386"/><Relationship Type="http://schemas.openxmlformats.org/officeDocument/2006/relationships/hyperlink" Target="https://observalgerie.com/2026/06/13/misc/frais-dinscription-en-france-lille-maintient-un-avantage-pour-les-etudiants-etrangers/" TargetMode="External" Id="rId387"/><Relationship Type="http://schemas.openxmlformats.org/officeDocument/2006/relationships/hyperlink" Target="https://formation.univ-lille.fr/fr/offre-de-formation/master-lmd-XB/master-automatique-et-systemes-electriques-MG001978/automatique-et-systemes-electriques-m1-tronc-commun-MX002023.html" TargetMode="External" Id="rId388"/><Relationship Type="http://schemas.openxmlformats.org/officeDocument/2006/relationships/hyperlink" Target="https://etudesenfrance.diplomatie.gouv.fr/catalogue-formations/formation/58456/site/6597" TargetMode="External" Id="rId389"/><Relationship Type="http://schemas.openxmlformats.org/officeDocument/2006/relationships/hyperlink" Target="https://www.univ-lyon1.fr/formation/inscription-et-scolarite/etudiantes-et-etudiants-internationaux-droits-dinscription-differencies-et-exonerations" TargetMode="External" Id="rId390"/><Relationship Type="http://schemas.openxmlformats.org/officeDocument/2006/relationships/hyperlink" Target="http://fst-meca.univ-lyon1.fr/" TargetMode="External" Id="rId391"/><Relationship Type="http://schemas.openxmlformats.org/officeDocument/2006/relationships/hyperlink" Target="https://etudesenfrance.diplomatie.gouv.fr/catalogue-formations/formation/42392/site/6659" TargetMode="External" Id="rId392"/><Relationship Type="http://schemas.openxmlformats.org/officeDocument/2006/relationships/hyperlink" Target="https://www.univ-orleans.fr/fr/polytech/formations/les-autres-formations-de-lecole/master-mars" TargetMode="External" Id="rId393"/><Relationship Type="http://schemas.openxmlformats.org/officeDocument/2006/relationships/hyperlink" Target="https://etudesenfrance.diplomatie.gouv.fr/catalogue-formations/formation/55301/site/14310" TargetMode="External" Id="rId394"/><Relationship Type="http://schemas.openxmlformats.org/officeDocument/2006/relationships/hyperlink" Target="http://www.fsa.univ-artois.fr/les-fiches-formations" TargetMode="External" Id="rId395"/><Relationship Type="http://schemas.openxmlformats.org/officeDocument/2006/relationships/hyperlink" Target="https://etudesenfrance.diplomatie.gouv.fr/catalogue-formations/formation/30966/site/7352" TargetMode="External" Id="rId396"/><Relationship Type="http://schemas.openxmlformats.org/officeDocument/2006/relationships/hyperlink" Target="https://fst.univ-lorraine.fr/formations/" TargetMode="External" Id="rId397"/><Relationship Type="http://schemas.openxmlformats.org/officeDocument/2006/relationships/hyperlink" Target="https://etudesenfrance.diplomatie.gouv.fr/catalogue-formations/formation/60707/site/6958" TargetMode="External" Id="rId398"/><Relationship Type="http://schemas.openxmlformats.org/officeDocument/2006/relationships/hyperlink" Target="http://www.univ-brest.fr/ufr-sciences" TargetMode="External" Id="rId399"/><Relationship Type="http://schemas.openxmlformats.org/officeDocument/2006/relationships/hyperlink" Target="https://etudesenfrance.diplomatie.gouv.fr/catalogue-formations/formation/50530/site/6955" TargetMode="External" Id="rId400"/><Relationship Type="http://schemas.openxmlformats.org/officeDocument/2006/relationships/hyperlink" Target="https://www.insset.u-picardie.fr/" TargetMode="External" Id="rId401"/><Relationship Type="http://schemas.openxmlformats.org/officeDocument/2006/relationships/hyperlink" Target="https://etudesenfrance.diplomatie.gouv.fr/catalogue-formations/formation/52955/site/7207" TargetMode="External" Id="rId402"/><Relationship Type="http://schemas.openxmlformats.org/officeDocument/2006/relationships/hyperlink" Target="https://www.utbm.fr/formations/masters" TargetMode="External" Id="rId403"/><Relationship Type="http://schemas.openxmlformats.org/officeDocument/2006/relationships/hyperlink" Target="https://etudesenfrance.diplomatie.gouv.fr/catalogue-formations/formation/59869/site/6746" TargetMode="External" Id="rId404"/><Relationship Type="http://schemas.openxmlformats.org/officeDocument/2006/relationships/hyperlink" Target="https://galilee.univ-paris13.fr/master/master-ingenierie-innovation-images-reseaux-m3ir/" TargetMode="External" Id="rId405"/><Relationship Type="http://schemas.openxmlformats.org/officeDocument/2006/relationships/hyperlink" Target="https://etudesenfrance.diplomatie.gouv.fr/catalogue-formations/formation/15205/site/6725" TargetMode="External" Id="rId406"/><Relationship Type="http://schemas.openxmlformats.org/officeDocument/2006/relationships/hyperlink" Target="https://www.unistra.fr/fr/node/8168" TargetMode="External" Id="rId407"/><Relationship Type="http://schemas.openxmlformats.org/officeDocument/2006/relationships/hyperlink" Target="https://www.master-iriv.fr/" TargetMode="External" Id="rId408"/><Relationship Type="http://schemas.openxmlformats.org/officeDocument/2006/relationships/hyperlink" Target="https://etudesenfrance.diplomatie.gouv.fr/catalogue-formations/formation/61002/site/6794" TargetMode="External" Id="rId409"/><Relationship Type="http://schemas.openxmlformats.org/officeDocument/2006/relationships/hyperlink" Target="https://etudesenfrance.diplomatie.gouv.fr/catalogue-formations/formation/60972/site/10975" TargetMode="External" Id="rId410"/><Relationship Type="http://schemas.openxmlformats.org/officeDocument/2006/relationships/hyperlink" Target="https://www.univ-littoral.fr/" TargetMode="External" Id="rId411"/><Relationship Type="http://schemas.openxmlformats.org/officeDocument/2006/relationships/hyperlink" Target="https://etudesenfrance.diplomatie.gouv.fr/catalogue-formations/formation/33117/site/6662" TargetMode="External" Id="rId412"/><Relationship Type="http://schemas.openxmlformats.org/officeDocument/2006/relationships/hyperlink" Target="https://www.inalco.fr/" TargetMode="External" Id="rId413"/><Relationship Type="http://schemas.openxmlformats.org/officeDocument/2006/relationships/hyperlink" Target="https://etudesenfrance.diplomatie.gouv.fr/catalogue-formations/formation/59632/site/14235" TargetMode="External" Id="rId414"/><Relationship Type="http://schemas.openxmlformats.org/officeDocument/2006/relationships/hyperlink" Target="http://sciences-techniques.u-bourgogne.fr/" TargetMode="External" Id="rId415"/><Relationship Type="http://schemas.openxmlformats.org/officeDocument/2006/relationships/hyperlink" Target="https://etudesenfrance.diplomatie.gouv.fr/catalogue-formations/formation/36277/site/6538" TargetMode="External" Id="rId416"/><Relationship Type="http://schemas.openxmlformats.org/officeDocument/2006/relationships/hyperlink" Target="https://www.umlp.fr/sites/default/files/2026-07-02-page-droits-differencies-vf.pdf" TargetMode="External" Id="rId417"/><Relationship Type="http://schemas.openxmlformats.org/officeDocument/2006/relationships/hyperlink" Target="https://formations.univ-fcomte.fr/fr/index/formations/feuilleter-le-catalogue/master-lmd-XB/master-biologie-sante-M3PNGH7Y/master-biologie-sante-signalisation-cellulaire-et-moleculaire-M3PNHB5T.html" TargetMode="External" Id="rId418"/><Relationship Type="http://schemas.openxmlformats.org/officeDocument/2006/relationships/hyperlink" Target="https://etudesenfrance.diplomatie.gouv.fr/catalogue-formations/formation/58945/site/6954" TargetMode="External" Id="rId419"/><Relationship Type="http://schemas.openxmlformats.org/officeDocument/2006/relationships/hyperlink" Target="https://www.univ-amu.fr/fr/actualites/aix-marseille-universite-mobilise-pleinement-capacite-dexoneration-continuer-accueillir" TargetMode="External" Id="rId420"/><Relationship Type="http://schemas.openxmlformats.org/officeDocument/2006/relationships/hyperlink" Target="https://formations.univ-amu.fr/fr/master/5SEA/PRSEA5C1" TargetMode="External" Id="rId421"/><Relationship Type="http://schemas.openxmlformats.org/officeDocument/2006/relationships/hyperlink" Target="https://etudesenfrance.diplomatie.gouv.fr/catalogue-formations/formation/51706/site/6655" TargetMode="External" Id="rId422"/><Relationship Type="http://schemas.openxmlformats.org/officeDocument/2006/relationships/hyperlink" Target="https://www.uca.fr/medias/fichier/delib-ca-20251205-15-tarifs-differencies_1765204050111-pdf" TargetMode="External" Id="rId423"/><Relationship Type="http://schemas.openxmlformats.org/officeDocument/2006/relationships/hyperlink" Target="https://eupi.uca.fr/" TargetMode="External" Id="rId424"/><Relationship Type="http://schemas.openxmlformats.org/officeDocument/2006/relationships/hyperlink" Target="https://etudesenfrance.diplomatie.gouv.fr/catalogue-formations/formation/47609/site/13635" TargetMode="External" Id="rId425"/><Relationship Type="http://schemas.openxmlformats.org/officeDocument/2006/relationships/hyperlink" Target="https://www.uca.fr/medias/fichier/delib-ca-20251205-15-tarifs-differencies_1765204050111-pdf" TargetMode="External" Id="rId426"/><Relationship Type="http://schemas.openxmlformats.org/officeDocument/2006/relationships/hyperlink" Target="https://eupi.uca.fr/" TargetMode="External" Id="rId427"/><Relationship Type="http://schemas.openxmlformats.org/officeDocument/2006/relationships/hyperlink" Target="https://etudesenfrance.diplomatie.gouv.fr/catalogue-formations/formation/37814/site/13635" TargetMode="External" Id="rId428"/><Relationship Type="http://schemas.openxmlformats.org/officeDocument/2006/relationships/hyperlink" Target="https://www.univ-tours.fr/international/etudes-stages-a-tours/droits-dinscription-differencies-pour-les-etudiants-extra-communautaires-2026-2027" TargetMode="External" Id="rId429"/><Relationship Type="http://schemas.openxmlformats.org/officeDocument/2006/relationships/hyperlink" Target="https://etudesenfrance.diplomatie.gouv.fr/catalogue-formations/formation/54590/site/6957" TargetMode="External" Id="rId430"/><Relationship Type="http://schemas.openxmlformats.org/officeDocument/2006/relationships/hyperlink" Target="https://www.umontpellier.fr/en/international/etudier-a-letranger/etudiants-internationaux-annee-universitaire-2026-2027/" TargetMode="External" Id="rId431"/><Relationship Type="http://schemas.openxmlformats.org/officeDocument/2006/relationships/hyperlink" Target="https://formations.umontpellier.fr/fr/formations/master-XB/master-biologie-sante-KJMN3CNB/neuroprotheses-sensorielles-et-motrices-KJMOP5GH.html" TargetMode="External" Id="rId432"/><Relationship Type="http://schemas.openxmlformats.org/officeDocument/2006/relationships/hyperlink" Target="https://etudesenfrance.diplomatie.gouv.fr/catalogue-formations/formation/32404/site/13853" TargetMode="External" Id="rId433"/><Relationship Type="http://schemas.openxmlformats.org/officeDocument/2006/relationships/hyperlink" Target="https://www.uca.fr/medias/fichier/delib-ca-20251205-15-tarifs-differencies_1765204050111-pdf" TargetMode="External" Id="rId434"/><Relationship Type="http://schemas.openxmlformats.org/officeDocument/2006/relationships/hyperlink" Target="https://eupi.uca.fr/" TargetMode="External" Id="rId435"/><Relationship Type="http://schemas.openxmlformats.org/officeDocument/2006/relationships/hyperlink" Target="https://etudesenfrance.diplomatie.gouv.fr/catalogue-formations/formation/35675/site/13635" TargetMode="External" Id="rId436"/><Relationship Type="http://schemas.openxmlformats.org/officeDocument/2006/relationships/hyperlink" Target="https://www.univ-grenoble-alpes.fr/actualites/a-la-une/actualites-universite/etudiants-internationaux-ce-que-change-le-nouveau-decret-sur-les-droits-d-inscription-a-l-uga-1775870.kjsp" TargetMode="External" Id="rId437"/><Relationship Type="http://schemas.openxmlformats.org/officeDocument/2006/relationships/hyperlink" Target="https://formations.univ-grenoble-alpes.fr/fr/catalogue-2021/master-XB/master-electronique-energie-electrique-automatique-IFZ3DRB9/parcours-conception-des-systemes-d-energie-electrique-csee-1re-et-2e-annees-IFZ42B5H.html" TargetMode="External" Id="rId438"/><Relationship Type="http://schemas.openxmlformats.org/officeDocument/2006/relationships/hyperlink" Target="https://etudesenfrance.diplomatie.gouv.fr/catalogue-formations/formation/32316/site/13729" TargetMode="External" Id="rId439"/><Relationship Type="http://schemas.openxmlformats.org/officeDocument/2006/relationships/hyperlink" Target="https://www.umontpellier.fr/en/international/etudier-a-letranger/etudiants-internationaux-annee-universitaire-2026-2027/" TargetMode="External" Id="rId440"/><Relationship Type="http://schemas.openxmlformats.org/officeDocument/2006/relationships/hyperlink" Target="http://sciences.edu.umontpellier.fr/" TargetMode="External" Id="rId441"/><Relationship Type="http://schemas.openxmlformats.org/officeDocument/2006/relationships/hyperlink" Target="https://etudesenfrance.diplomatie.gouv.fr/catalogue-formations/formation/32451/site/6552" TargetMode="External" Id="rId442"/><Relationship Type="http://schemas.openxmlformats.org/officeDocument/2006/relationships/hyperlink" Target="https://www.umontpellier.fr/en/international/etudier-a-letranger/etudiants-internationaux-annee-universitaire-2026-2027/" TargetMode="External" Id="rId443"/><Relationship Type="http://schemas.openxmlformats.org/officeDocument/2006/relationships/hyperlink" Target="https://hermes.edu.umontpellier.fr/enseignement/" TargetMode="External" Id="rId444"/><Relationship Type="http://schemas.openxmlformats.org/officeDocument/2006/relationships/hyperlink" Target="https://etudesenfrance.diplomatie.gouv.fr/catalogue-formations/formation/32450/site/6552" TargetMode="External" Id="rId445"/><Relationship Type="http://schemas.openxmlformats.org/officeDocument/2006/relationships/hyperlink" Target="https://univ-cotedazur.fr/formation/offre-de-formation/master-electronique-energie-electrique-automatique" TargetMode="External" Id="rId446"/><Relationship Type="http://schemas.openxmlformats.org/officeDocument/2006/relationships/hyperlink" Target="https://etudesenfrance.diplomatie.gouv.fr/catalogue-formations/formation/43643/site/6953" TargetMode="External" Id="rId447"/><Relationship Type="http://schemas.openxmlformats.org/officeDocument/2006/relationships/hyperlink" Target="https://www.utoulouse.fr/medias/fichier/2026-02-ca-075_1774430647495-pdf" TargetMode="External" Id="rId448"/><Relationship Type="http://schemas.openxmlformats.org/officeDocument/2006/relationships/hyperlink" Target="http://www.univ-tlse3.fr/" TargetMode="External" Id="rId449"/><Relationship Type="http://schemas.openxmlformats.org/officeDocument/2006/relationships/hyperlink" Target="https://etudesenfrance.diplomatie.gouv.fr/catalogue-formations/formation/36584/site/13714" TargetMode="External" Id="rId450"/><Relationship Type="http://schemas.openxmlformats.org/officeDocument/2006/relationships/hyperlink" Target="https://www.utoulouse.fr/medias/fichier/2026-02-ca-075_1774430647495-pdf" TargetMode="External" Id="rId451"/><Relationship Type="http://schemas.openxmlformats.org/officeDocument/2006/relationships/hyperlink" Target="http://www.univ-tlse3.fr/" TargetMode="External" Id="rId452"/><Relationship Type="http://schemas.openxmlformats.org/officeDocument/2006/relationships/hyperlink" Target="https://etudesenfrance.diplomatie.gouv.fr/catalogue-formations/formation/36586/site/13714" TargetMode="External" Id="rId453"/><Relationship Type="http://schemas.openxmlformats.org/officeDocument/2006/relationships/hyperlink" Target="https://www.sorbonne-universite.fr/actualites/le-conseil-dadministration-de-sorbonne-universite-vote-lunanimite-le-7-juillet-2026-sa" TargetMode="External" Id="rId454"/><Relationship Type="http://schemas.openxmlformats.org/officeDocument/2006/relationships/hyperlink" Target="https://sciences.sorbonne-universite.fr/formation-sciences/offre-de-formation/masters/master-informatique/parcours-res" TargetMode="External" Id="rId455"/><Relationship Type="http://schemas.openxmlformats.org/officeDocument/2006/relationships/hyperlink" Target="https://etudesenfrance.diplomatie.gouv.fr/catalogue-formations/formation/44279/site/13735" TargetMode="External" Id="rId456"/><Relationship Type="http://schemas.openxmlformats.org/officeDocument/2006/relationships/hyperlink" Target="https://www.sorbonne-universite.fr/actualites/le-conseil-dadministration-de-sorbonne-universite-vote-lunanimite-le-7-juillet-2026-sa" TargetMode="External" Id="rId457"/><Relationship Type="http://schemas.openxmlformats.org/officeDocument/2006/relationships/hyperlink" Target="https://sciences.sorbonne-universite.fr/formation-sciences/masters/master-informatique/parcours-sesi" TargetMode="External" Id="rId458"/><Relationship Type="http://schemas.openxmlformats.org/officeDocument/2006/relationships/hyperlink" Target="https://etudesenfrance.diplomatie.gouv.fr/catalogue-formations/formation/44283/site/13735" TargetMode="External" Id="rId459"/><Relationship Type="http://schemas.openxmlformats.org/officeDocument/2006/relationships/hyperlink" Target="https://www.univ-grenoble-alpes.fr/actualites/a-la-une/actualites-universite/etudiants-internationaux-ce-que-change-le-nouveau-decret-sur-les-droits-d-inscription-a-l-uga-1775870.kjsp" TargetMode="External" Id="rId460"/><Relationship Type="http://schemas.openxmlformats.org/officeDocument/2006/relationships/hyperlink" Target="https://formations.univ-grenoble-alpes.fr/fr/catalogue-2021/master-XB/master-mecanique-IAQK579W/parcours-simulation-et-instrumentation-en-mecanique-1re-et-2e-annees-IAS8R70F.html" TargetMode="External" Id="rId461"/><Relationship Type="http://schemas.openxmlformats.org/officeDocument/2006/relationships/hyperlink" Target="https://etudesenfrance.diplomatie.gouv.fr/catalogue-formations/formation/31723/site/6522" TargetMode="External" Id="rId462"/><Relationship Type="http://schemas.openxmlformats.org/officeDocument/2006/relationships/hyperlink" Target="https://www.umontpellier.fr/en/international/etudier-a-letranger/etudiants-internationaux-annee-universitaire-2026-2027/" TargetMode="External" Id="rId463"/><Relationship Type="http://schemas.openxmlformats.org/officeDocument/2006/relationships/hyperlink" Target="http://www.fdsweb.univ-montp2.fr/etudier-a-la-fds/catalogue-de-formation-675" TargetMode="External" Id="rId464"/><Relationship Type="http://schemas.openxmlformats.org/officeDocument/2006/relationships/hyperlink" Target="https://etudesenfrance.diplomatie.gouv.fr/catalogue-formations/formation/32414/site/6552" TargetMode="External" Id="rId465"/><Relationship Type="http://schemas.openxmlformats.org/officeDocument/2006/relationships/hyperlink" Target="https://www.univ-amu.fr/fr/actualites/aix-marseille-universite-mobilise-pleinement-capacite-dexoneration-continuer-accueillir" TargetMode="External" Id="rId466"/><Relationship Type="http://schemas.openxmlformats.org/officeDocument/2006/relationships/hyperlink" Target="https://formations.univ-amu.fr/fr/master/5SEA" TargetMode="External" Id="rId467"/><Relationship Type="http://schemas.openxmlformats.org/officeDocument/2006/relationships/hyperlink" Target="https://etudesenfrance.diplomatie.gouv.fr/catalogue-formations/formation/39420/site/6655" TargetMode="External" Id="rId468"/><Relationship Type="http://schemas.openxmlformats.org/officeDocument/2006/relationships/hyperlink" Target="https://www.univ-amu.fr/fr/actualites/aix-marseille-universite-mobilise-pleinement-capacite-dexoneration-continuer-accueillir" TargetMode="External" Id="rId469"/><Relationship Type="http://schemas.openxmlformats.org/officeDocument/2006/relationships/hyperlink" Target="https://formations.univ-amu.fr/fr/master/5SMI" TargetMode="External" Id="rId470"/><Relationship Type="http://schemas.openxmlformats.org/officeDocument/2006/relationships/hyperlink" Target="https://etudesenfrance.diplomatie.gouv.fr/catalogue-formations/formation/39438/site/6655" TargetMode="External" Id="rId471"/><Relationship Type="http://schemas.openxmlformats.org/officeDocument/2006/relationships/hyperlink" Target="https://www.univ-amu.fr/fr/actualites/aix-marseille-universite-mobilise-pleinement-capacite-dexoneration-continuer-accueillir" TargetMode="External" Id="rId472"/><Relationship Type="http://schemas.openxmlformats.org/officeDocument/2006/relationships/hyperlink" Target="https://formations.univ-amu.fr/fr/master/5SNN/PRSNN5C2" TargetMode="External" Id="rId473"/><Relationship Type="http://schemas.openxmlformats.org/officeDocument/2006/relationships/hyperlink" Target="https://etudesenfrance.diplomatie.gouv.fr/catalogue-formations/formation/59060/site/6655" TargetMode="External" Id="rId474"/><Relationship Type="http://schemas.openxmlformats.org/officeDocument/2006/relationships/hyperlink" Target="https://www.univ-amu.fr/fr/actualites/aix-marseille-universite-mobilise-pleinement-capacite-dexoneration-continuer-accueillir" TargetMode="External" Id="rId475"/><Relationship Type="http://schemas.openxmlformats.org/officeDocument/2006/relationships/hyperlink" Target="https://formations.univ-amu.fr/fr/master/5SRT" TargetMode="External" Id="rId476"/><Relationship Type="http://schemas.openxmlformats.org/officeDocument/2006/relationships/hyperlink" Target="https://etudesenfrance.diplomatie.gouv.fr/catalogue-formations/formation/39463/site/7449" TargetMode="External" Id="rId477"/><Relationship Type="http://schemas.openxmlformats.org/officeDocument/2006/relationships/hyperlink" Target="https://www.univ-amu.fr/fr/actualites/aix-marseille-universite-mobilise-pleinement-capacite-dexoneration-continuer-accueillir" TargetMode="External" Id="rId478"/><Relationship Type="http://schemas.openxmlformats.org/officeDocument/2006/relationships/hyperlink" Target="https://formations.univ-amu.fr/fr/master/5STS" TargetMode="External" Id="rId479"/><Relationship Type="http://schemas.openxmlformats.org/officeDocument/2006/relationships/hyperlink" Target="https://etudesenfrance.diplomatie.gouv.fr/catalogue-formations/formation/39446/site/6655" TargetMode="External" Id="rId480"/><Relationship Type="http://schemas.openxmlformats.org/officeDocument/2006/relationships/hyperlink" Target="https://www.sorbonne-universite.fr/actualites/le-conseil-dadministration-de-sorbonne-universite-vote-lunanimite-le-7-juillet-2026-sa" TargetMode="External" Id="rId481"/><Relationship Type="http://schemas.openxmlformats.org/officeDocument/2006/relationships/hyperlink" Target="https://masters-sdi.sorbonne-universite.fr/automatique-robotique" TargetMode="External" Id="rId482"/><Relationship Type="http://schemas.openxmlformats.org/officeDocument/2006/relationships/hyperlink" Target="https://etudesenfrance.diplomatie.gouv.fr/catalogue-formations/formation/56515/site/13735" TargetMode="External" Id="rId483"/><Relationship Type="http://schemas.openxmlformats.org/officeDocument/2006/relationships/hyperlink" Target="https://www.uca.fr/medias/fichier/delib-ca-20251205-15-tarifs-differencies_1765204050111-pdf" TargetMode="External" Id="rId484"/><Relationship Type="http://schemas.openxmlformats.org/officeDocument/2006/relationships/hyperlink" Target="https://eupi.uca.fr/" TargetMode="External" Id="rId485"/><Relationship Type="http://schemas.openxmlformats.org/officeDocument/2006/relationships/hyperlink" Target="https://etudesenfrance.diplomatie.gouv.fr/catalogue-formations/formation/32329/site/13635" TargetMode="External" Id="rId486"/><Relationship Type="http://schemas.openxmlformats.org/officeDocument/2006/relationships/hyperlink" Target="https://etudesenfrance.diplomatie.gouv.fr/catalogue-formations/formation/57604/site/10878" TargetMode="External" Id="rId487"/><Relationship Type="http://schemas.openxmlformats.org/officeDocument/2006/relationships/hyperlink" Target="https://igm.univ-gustave-eiffel.fr/" TargetMode="External" Id="rId488"/><Relationship Type="http://schemas.openxmlformats.org/officeDocument/2006/relationships/hyperlink" Target="https://etudesenfrance.diplomatie.gouv.fr/catalogue-formations/formation/33552/site/10729" TargetMode="External" Id="rId489"/><Relationship Type="http://schemas.openxmlformats.org/officeDocument/2006/relationships/hyperlink" Target="http://www.fst.uha.fr/" TargetMode="External" Id="rId490"/><Relationship Type="http://schemas.openxmlformats.org/officeDocument/2006/relationships/hyperlink" Target="https://etudesenfrance.diplomatie.gouv.fr/catalogue-formations/formation/33552/site/10803" TargetMode="External" Id="rId491"/><Relationship Type="http://schemas.openxmlformats.org/officeDocument/2006/relationships/hyperlink" Target="https://u-paris.fr/droits-dinscription-tarifs-exonerations/" TargetMode="External" Id="rId492"/><Relationship Type="http://schemas.openxmlformats.org/officeDocument/2006/relationships/hyperlink" Target="https://math-info.u-paris.fr/" TargetMode="External" Id="rId493"/><Relationship Type="http://schemas.openxmlformats.org/officeDocument/2006/relationships/hyperlink" Target="https://etudesenfrance.diplomatie.gouv.fr/catalogue-formations/formation/52756/site/10684" TargetMode="External" Id="rId494"/><Relationship Type="http://schemas.openxmlformats.org/officeDocument/2006/relationships/hyperlink" Target="https://www.sorbonne-universite.fr/actualites/le-conseil-dadministration-de-sorbonne-universite-vote-lunanimite-le-7-juillet-2026-sa" TargetMode="External" Id="rId495"/><Relationship Type="http://schemas.openxmlformats.org/officeDocument/2006/relationships/hyperlink" Target="https://sciences.sorbonne-universite.fr/formation-sciences/offre-de-formation/masters/master-neurosciences" TargetMode="External" Id="rId496"/><Relationship Type="http://schemas.openxmlformats.org/officeDocument/2006/relationships/hyperlink" Target="https://etudesenfrance.diplomatie.gouv.fr/catalogue-formations/formation/56144/site/13735" TargetMode="External" Id="rId497"/><Relationship Type="http://schemas.openxmlformats.org/officeDocument/2006/relationships/hyperlink" Target="https://etudesenfrance.diplomatie.gouv.fr/catalogue-formations/formation/60930/site/6953" TargetMode="External" Id="rId498"/><Relationship Type="http://schemas.openxmlformats.org/officeDocument/2006/relationships/hyperlink" Target="https://etudesenfrance.diplomatie.gouv.fr/catalogue-formations/formation/59047/site/6953" TargetMode="External" Id="rId499"/><Relationship Type="http://schemas.openxmlformats.org/officeDocument/2006/relationships/hyperlink" Target="https://univ-cotedazur.fr/formation/offre-de-formation/master-physique-fondamentale-et-applications" TargetMode="External" Id="rId500"/><Relationship Type="http://schemas.openxmlformats.org/officeDocument/2006/relationships/hyperlink" Target="https://etudesenfrance.diplomatie.gouv.fr/catalogue-formations/formation/54536/site/6953" TargetMode="External" Id="rId501"/><Relationship Type="http://schemas.openxmlformats.org/officeDocument/2006/relationships/hyperlink" Target="http://www.polytech.upmc.fr/" TargetMode="External" Id="rId502"/><Relationship Type="http://schemas.openxmlformats.org/officeDocument/2006/relationships/hyperlink" Target="https://etudesenfrance.diplomatie.gouv.fr/catalogue-formations/formation/37274/site/6767" TargetMode="External" Id="rId503"/><Relationship Type="http://schemas.openxmlformats.org/officeDocument/2006/relationships/hyperlink" Target="http://www.polytech.upmc.fr/" TargetMode="External" Id="rId504"/><Relationship Type="http://schemas.openxmlformats.org/officeDocument/2006/relationships/hyperlink" Target="https://etudesenfrance.diplomatie.gouv.fr/catalogue-formations/formation/37275/site/6767" TargetMode="External" Id="rId505"/><Relationship Type="http://schemas.openxmlformats.org/officeDocument/2006/relationships/hyperlink" Target="http://www.eia.univ-artois.fr/" TargetMode="External" Id="rId506"/><Relationship Type="http://schemas.openxmlformats.org/officeDocument/2006/relationships/hyperlink" Target="https://etudesenfrance.diplomatie.gouv.fr/catalogue-formations/formation/55208/site/14335" TargetMode="External" Id="rId507"/><Relationship Type="http://schemas.openxmlformats.org/officeDocument/2006/relationships/hyperlink" Target="http://www.sup-galilee.univ-paris13.fr/" TargetMode="External" Id="rId508"/><Relationship Type="http://schemas.openxmlformats.org/officeDocument/2006/relationships/hyperlink" Target="https://etudesenfrance.diplomatie.gouv.fr/catalogue-formations/formation/17881/site/6725" TargetMode="External" Id="rId509"/><Relationship Type="http://schemas.openxmlformats.org/officeDocument/2006/relationships/hyperlink" Target="http://www.insa-rennes.fr/" TargetMode="External" Id="rId510"/><Relationship Type="http://schemas.openxmlformats.org/officeDocument/2006/relationships/hyperlink" Target="https://etudesenfrance.diplomatie.gouv.fr/catalogue-formations/formation/17868/site/6797" TargetMode="External" Id="rId511"/><Relationship Type="http://schemas.openxmlformats.org/officeDocument/2006/relationships/hyperlink" Target="http://www.insa-rennes.fr/" TargetMode="External" Id="rId512"/><Relationship Type="http://schemas.openxmlformats.org/officeDocument/2006/relationships/hyperlink" Target="https://etudesenfrance.diplomatie.gouv.fr/catalogue-formations/formation/17866/site/6797" TargetMode="External" Id="rId513"/><Relationship Type="http://schemas.openxmlformats.org/officeDocument/2006/relationships/hyperlink" Target="http://www.insa-rennes.fr/" TargetMode="External" Id="rId514"/><Relationship Type="http://schemas.openxmlformats.org/officeDocument/2006/relationships/hyperlink" Target="https://etudesenfrance.diplomatie.gouv.fr/catalogue-formations/formation/17870/site/6797" TargetMode="External" Id="rId515"/><Relationship Type="http://schemas.openxmlformats.org/officeDocument/2006/relationships/hyperlink" Target="http://www.utt.fr/" TargetMode="External" Id="rId516"/><Relationship Type="http://schemas.openxmlformats.org/officeDocument/2006/relationships/hyperlink" Target="https://etudesenfrance.diplomatie.gouv.fr/catalogue-formations/formation/14365/site/6619" TargetMode="External" Id="rId517"/><Relationship Type="http://schemas.openxmlformats.org/officeDocument/2006/relationships/hyperlink" Target="http://www.ensisa.uha.fr/" TargetMode="External" Id="rId518"/><Relationship Type="http://schemas.openxmlformats.org/officeDocument/2006/relationships/hyperlink" Target="https://etudesenfrance.diplomatie.gouv.fr/catalogue-formations/formation/13789/site/10689" TargetMode="External" Id="rId519"/><Relationship Type="http://schemas.openxmlformats.org/officeDocument/2006/relationships/hyperlink" Target="https://etudesenfrance.diplomatie.gouv.fr/catalogue-formations/formation/58303/site/6758" TargetMode="External" Id="rId520"/><Relationship Type="http://schemas.openxmlformats.org/officeDocument/2006/relationships/hyperlink" Target="https://www.polytech-lille.fr/formation/instrumentation-et-ingenierie-d-affaires/" TargetMode="External" Id="rId521"/><Relationship Type="http://schemas.openxmlformats.org/officeDocument/2006/relationships/hyperlink" Target="https://etudesenfrance.diplomatie.gouv.fr/catalogue-formations/formation/37177/site/6660" TargetMode="External" Id="rId522"/><Relationship Type="http://schemas.openxmlformats.org/officeDocument/2006/relationships/hyperlink" Target="https://www.univ-amu.fr/fr/actualites/aix-marseille-universite-mobilise-pleinement-capacite-dexoneration-continuer-accueillir" TargetMode="External" Id="rId523"/><Relationship Type="http://schemas.openxmlformats.org/officeDocument/2006/relationships/hyperlink" Target="https://polytech.univ-amu.fr/fr/formations/cycle-ingenieur/microelectronique-telecommunications" TargetMode="External" Id="rId524"/><Relationship Type="http://schemas.openxmlformats.org/officeDocument/2006/relationships/hyperlink" Target="https://etudesenfrance.diplomatie.gouv.fr/catalogue-formations/formation/14359/site/13555" TargetMode="External" Id="rId525"/><Relationship Type="http://schemas.openxmlformats.org/officeDocument/2006/relationships/hyperlink" Target="https://www.univ-smb.fr/polytech/" TargetMode="External" Id="rId526"/><Relationship Type="http://schemas.openxmlformats.org/officeDocument/2006/relationships/hyperlink" Target="https://etudesenfrance.diplomatie.gouv.fr/catalogue-formations/formation/37164/site/13557" TargetMode="External" Id="rId527"/><Relationship Type="http://schemas.openxmlformats.org/officeDocument/2006/relationships/hyperlink" Target="https://www.univ-smb.fr/polytech/" TargetMode="External" Id="rId528"/><Relationship Type="http://schemas.openxmlformats.org/officeDocument/2006/relationships/hyperlink" Target="https://etudesenfrance.diplomatie.gouv.fr/catalogue-formations/formation/59501/site/13556" TargetMode="External" Id="rId529"/><Relationship Type="http://schemas.openxmlformats.org/officeDocument/2006/relationships/hyperlink" Target="http://www.insa-rennes.fr/" TargetMode="External" Id="rId530"/><Relationship Type="http://schemas.openxmlformats.org/officeDocument/2006/relationships/hyperlink" Target="https://etudesenfrance.diplomatie.gouv.fr/catalogue-formations/formation/28007/site/6797" TargetMode="External" Id="rId531"/><Relationship Type="http://schemas.openxmlformats.org/officeDocument/2006/relationships/hyperlink" Target="https://www.unistra.fr/fr/node/8168" TargetMode="External" Id="rId532"/><Relationship Type="http://schemas.openxmlformats.org/officeDocument/2006/relationships/hyperlink" Target="https://www.insa-strasbourg.fr/fr/candidats/" TargetMode="External" Id="rId533"/><Relationship Type="http://schemas.openxmlformats.org/officeDocument/2006/relationships/hyperlink" Target="https://etudesenfrance.diplomatie.gouv.fr/catalogue-formations/formation/13777/site/6513" TargetMode="External" Id="rId534"/><Relationship Type="http://schemas.openxmlformats.org/officeDocument/2006/relationships/hyperlink" Target="https://www.unistra.fr/fr/node/8168" TargetMode="External" Id="rId535"/><Relationship Type="http://schemas.openxmlformats.org/officeDocument/2006/relationships/hyperlink" Target="https://www.insa-strasbourg.fr/fr/candidats/" TargetMode="External" Id="rId536"/><Relationship Type="http://schemas.openxmlformats.org/officeDocument/2006/relationships/hyperlink" Target="https://etudesenfrance.diplomatie.gouv.fr/catalogue-formations/formation/13775/site/6513" TargetMode="External" Id="rId537"/><Relationship Type="http://schemas.openxmlformats.org/officeDocument/2006/relationships/hyperlink" Target="https://www.univ-grenoble-alpes.fr/actualites/a-la-une/actualites-universite/etudiants-internationaux-ce-que-change-le-nouveau-decret-sur-les-droits-d-inscription-a-l-uga-1775870.kjsp" TargetMode="External" Id="rId538"/><Relationship Type="http://schemas.openxmlformats.org/officeDocument/2006/relationships/hyperlink" Target="https://phelma.grenoble-inp.fr/fr/formation/admission" TargetMode="External" Id="rId539"/><Relationship Type="http://schemas.openxmlformats.org/officeDocument/2006/relationships/hyperlink" Target="https://etudesenfrance.diplomatie.gouv.fr/catalogue-formations/formation/27228/site/6858" TargetMode="External" Id="rId540"/><Relationship Type="http://schemas.openxmlformats.org/officeDocument/2006/relationships/hyperlink" Target="http://www.polytech-angers.fr/" TargetMode="External" Id="rId541"/><Relationship Type="http://schemas.openxmlformats.org/officeDocument/2006/relationships/hyperlink" Target="https://etudesenfrance.diplomatie.gouv.fr/catalogue-formations/formation/53646/site/14615" TargetMode="External" Id="rId542"/><Relationship Type="http://schemas.openxmlformats.org/officeDocument/2006/relationships/hyperlink" Target="https://polytech.u-bourgogne.fr/robotique-cobotique" TargetMode="External" Id="rId543"/><Relationship Type="http://schemas.openxmlformats.org/officeDocument/2006/relationships/hyperlink" Target="https://etudesenfrance.diplomatie.gouv.fr/catalogue-formations/formation/56636/site/14403" TargetMode="External" Id="rId544"/><Relationship Type="http://schemas.openxmlformats.org/officeDocument/2006/relationships/hyperlink" Target="https://imt-nord-europe.fr/annuaire-formations/telecommunications-et-informatique/" TargetMode="External" Id="rId545"/><Relationship Type="http://schemas.openxmlformats.org/officeDocument/2006/relationships/hyperlink" Target="https://etudesenfrance.diplomatie.gouv.fr/catalogue-formations/formation/51782/site/6878" TargetMode="External" Id="rId546"/><Relationship Type="http://schemas.openxmlformats.org/officeDocument/2006/relationships/hyperlink" Target="https://etudesenfrance.diplomatie.gouv.fr/catalogue-formations/formation/45068/site/13863" TargetMode="External" Id="rId547"/><Relationship Type="http://schemas.openxmlformats.org/officeDocument/2006/relationships/hyperlink" Target="https://etudesenfrance.diplomatie.gouv.fr/catalogue-formations/formation/45070/site/13863" TargetMode="External" Id="rId548"/><Relationship Type="http://schemas.openxmlformats.org/officeDocument/2006/relationships/hyperlink" Target="http://www.mines-stetienne.fr/formation-mines-saint-etienne/" TargetMode="External" Id="rId549"/><Relationship Type="http://schemas.openxmlformats.org/officeDocument/2006/relationships/hyperlink" Target="https://etudesenfrance.diplomatie.gouv.fr/catalogue-formations/formation/45068/site/6734" TargetMode="External" Id="rId550"/><Relationship Type="http://schemas.openxmlformats.org/officeDocument/2006/relationships/hyperlink" Target="https://polytech.u-bourgogne.fr/electronique-systemes-numeriques" TargetMode="External" Id="rId551"/><Relationship Type="http://schemas.openxmlformats.org/officeDocument/2006/relationships/hyperlink" Target="https://etudesenfrance.diplomatie.gouv.fr/catalogue-formations/formation/56635/site/14402" TargetMode="External" Id="rId552"/><Relationship Type="http://schemas.openxmlformats.org/officeDocument/2006/relationships/hyperlink" Target="http://www.ensil-ensci.unilim.fr/accueil/admissions/cycle-ingenieur/" TargetMode="External" Id="rId553"/><Relationship Type="http://schemas.openxmlformats.org/officeDocument/2006/relationships/hyperlink" Target="https://etudesenfrance.diplomatie.gouv.fr/catalogue-formations/formation/15677/site/14172" TargetMode="External" Id="rId554"/><Relationship Type="http://schemas.openxmlformats.org/officeDocument/2006/relationships/hyperlink" Target="http://www.ensil-ensci.unilim.fr/accueil/admissions/cycle-ingenieur/" TargetMode="External" Id="rId555"/><Relationship Type="http://schemas.openxmlformats.org/officeDocument/2006/relationships/hyperlink" Target="https://etudesenfrance.diplomatie.gouv.fr/catalogue-formations/formation/15676/site/14172" TargetMode="External" Id="rId556"/><Relationship Type="http://schemas.openxmlformats.org/officeDocument/2006/relationships/hyperlink" Target="https://www.ensil-ensci.unilim.fr/" TargetMode="External" Id="rId557"/><Relationship Type="http://schemas.openxmlformats.org/officeDocument/2006/relationships/hyperlink" Target="https://etudesenfrance.diplomatie.gouv.fr/catalogue-formations/formation/58051/site/14172" TargetMode="External" Id="rId558"/><Relationship Type="http://schemas.openxmlformats.org/officeDocument/2006/relationships/hyperlink" Target="http://www.polytech.univ-nantes.fr/" TargetMode="External" Id="rId559"/><Relationship Type="http://schemas.openxmlformats.org/officeDocument/2006/relationships/hyperlink" Target="https://etudesenfrance.diplomatie.gouv.fr/catalogue-formations/formation/37261/site/13559" TargetMode="External" Id="rId560"/><Relationship Type="http://schemas.openxmlformats.org/officeDocument/2006/relationships/hyperlink" Target="https://www.univ-tours.fr/international/etudes-stages-a-tours/droits-dinscription-differencies-pour-les-etudiants-extra-communautaires-2026-2027" TargetMode="External" Id="rId561"/><Relationship Type="http://schemas.openxmlformats.org/officeDocument/2006/relationships/hyperlink" Target="http://polytech.univ-tours.fr/electronique" TargetMode="External" Id="rId562"/><Relationship Type="http://schemas.openxmlformats.org/officeDocument/2006/relationships/hyperlink" Target="https://etudesenfrance.diplomatie.gouv.fr/catalogue-formations/formation/13769/site/6765" TargetMode="External" Id="rId563"/><Relationship Type="http://schemas.openxmlformats.org/officeDocument/2006/relationships/hyperlink" Target="http://www.polytech.univ-nantes.fr/" TargetMode="External" Id="rId564"/><Relationship Type="http://schemas.openxmlformats.org/officeDocument/2006/relationships/hyperlink" Target="https://etudesenfrance.diplomatie.gouv.fr/catalogue-formations/formation/37258/site/6799" TargetMode="External" Id="rId565"/><Relationship Type="http://schemas.openxmlformats.org/officeDocument/2006/relationships/hyperlink" Target="http://www.polytech.umontpellier.fr/" TargetMode="External" Id="rId566"/><Relationship Type="http://schemas.openxmlformats.org/officeDocument/2006/relationships/hyperlink" Target="https://etudesenfrance.diplomatie.gouv.fr/catalogue-formations/formation/37222/site/6779" TargetMode="External" Id="rId567"/><Relationship Type="http://schemas.openxmlformats.org/officeDocument/2006/relationships/hyperlink" Target="http://www.polytech-orleans.fr/" TargetMode="External" Id="rId568"/><Relationship Type="http://schemas.openxmlformats.org/officeDocument/2006/relationships/hyperlink" Target="https://etudesenfrance.diplomatie.gouv.fr/catalogue-formations/formation/31981/site/6798" TargetMode="External" Id="rId569"/><Relationship Type="http://schemas.openxmlformats.org/officeDocument/2006/relationships/hyperlink" Target="http://www.enseeiht.fr/" TargetMode="External" Id="rId570"/><Relationship Type="http://schemas.openxmlformats.org/officeDocument/2006/relationships/hyperlink" Target="https://etudesenfrance.diplomatie.gouv.fr/catalogue-formations/formation/13829/site/6517" TargetMode="External" Id="rId571"/><Relationship Type="http://schemas.openxmlformats.org/officeDocument/2006/relationships/hyperlink" Target="http://www.enseeiht.fr/" TargetMode="External" Id="rId572"/><Relationship Type="http://schemas.openxmlformats.org/officeDocument/2006/relationships/hyperlink" Target="https://etudesenfrance.diplomatie.gouv.fr/catalogue-formations/formation/13827/site/6517" TargetMode="External" Id="rId573"/><Relationship Type="http://schemas.openxmlformats.org/officeDocument/2006/relationships/hyperlink" Target="http://www.enseeiht.fr/" TargetMode="External" Id="rId574"/><Relationship Type="http://schemas.openxmlformats.org/officeDocument/2006/relationships/hyperlink" Target="https://etudesenfrance.diplomatie.gouv.fr/catalogue-formations/formation/13830/site/6517" TargetMode="External" Id="rId575"/><Relationship Type="http://schemas.openxmlformats.org/officeDocument/2006/relationships/hyperlink" Target="https://www.ens2m.fr/" TargetMode="External" Id="rId576"/><Relationship Type="http://schemas.openxmlformats.org/officeDocument/2006/relationships/hyperlink" Target="https://etudesenfrance.diplomatie.gouv.fr/catalogue-formations/formation/40369/site/6843" TargetMode="External" Id="rId577"/><Relationship Type="http://schemas.openxmlformats.org/officeDocument/2006/relationships/hyperlink" Target="https://www.cpe.fr/" TargetMode="External" Id="rId578"/><Relationship Type="http://schemas.openxmlformats.org/officeDocument/2006/relationships/hyperlink" Target="https://etudesenfrance.diplomatie.gouv.fr/catalogue-formations/formation/61517/site/6731" TargetMode="External" Id="rId579"/><Relationship Type="http://schemas.openxmlformats.org/officeDocument/2006/relationships/hyperlink" Target="http://www.enseirb-matmeca.fr/" TargetMode="External" Id="rId580"/><Relationship Type="http://schemas.openxmlformats.org/officeDocument/2006/relationships/hyperlink" Target="https://etudesenfrance.diplomatie.gouv.fr/catalogue-formations/formation/17893/site/6859" TargetMode="External" Id="rId581"/><Relationship Type="http://schemas.openxmlformats.org/officeDocument/2006/relationships/hyperlink" Target="http://www.enseirb-matmeca.fr/" TargetMode="External" Id="rId582"/><Relationship Type="http://schemas.openxmlformats.org/officeDocument/2006/relationships/hyperlink" Target="https://etudesenfrance.diplomatie.gouv.fr/catalogue-formations/formation/17892/site/6859" TargetMode="External" Id="rId583"/><Relationship Type="http://schemas.openxmlformats.org/officeDocument/2006/relationships/hyperlink" Target="http://www.enseirb-matmeca.fr/" TargetMode="External" Id="rId584"/><Relationship Type="http://schemas.openxmlformats.org/officeDocument/2006/relationships/hyperlink" Target="https://etudesenfrance.diplomatie.gouv.fr/catalogue-formations/formation/17890/site/6859" TargetMode="External" Id="rId585"/><Relationship Type="http://schemas.openxmlformats.org/officeDocument/2006/relationships/hyperlink" Target="http://www.enseirb-matmeca.fr/" TargetMode="External" Id="rId586"/><Relationship Type="http://schemas.openxmlformats.org/officeDocument/2006/relationships/hyperlink" Target="https://etudesenfrance.diplomatie.gouv.fr/catalogue-formations/formation/17891/site/6859" TargetMode="External" Id="rId587"/><Relationship Type="http://schemas.openxmlformats.org/officeDocument/2006/relationships/hyperlink" Target="https://etudesenfrance.diplomatie.gouv.fr/catalogue-formations/formation/42689/site/6755" TargetMode="External" Id="rId588"/><Relationship Type="http://schemas.openxmlformats.org/officeDocument/2006/relationships/hyperlink" Target="http://www.esiee-amiens.fr/" TargetMode="External" Id="rId589"/><Relationship Type="http://schemas.openxmlformats.org/officeDocument/2006/relationships/hyperlink" Target="https://etudesenfrance.diplomatie.gouv.fr/catalogue-formations/formation/17826/site/6872" TargetMode="External" Id="rId590"/><Relationship Type="http://schemas.openxmlformats.org/officeDocument/2006/relationships/hyperlink" Target="https://polytech.univ-cotedazur.fr/" TargetMode="External" Id="rId591"/><Relationship Type="http://schemas.openxmlformats.org/officeDocument/2006/relationships/hyperlink" Target="https://etudesenfrance.diplomatie.gouv.fr/catalogue-formations/formation/51712/site/10964" TargetMode="External" Id="rId592"/><Relationship Type="http://schemas.openxmlformats.org/officeDocument/2006/relationships/hyperlink" Target="https://www.insa-lyon.fr/fr/formation/" TargetMode="External" Id="rId593"/><Relationship Type="http://schemas.openxmlformats.org/officeDocument/2006/relationships/hyperlink" Target="https://etudesenfrance.diplomatie.gouv.fr/catalogue-formations/formation/14401/site/6504" TargetMode="External" Id="rId594"/><Relationship Type="http://schemas.openxmlformats.org/officeDocument/2006/relationships/hyperlink" Target="https://www.insa-hautsdefrance.fr/formation-ingenieurs" TargetMode="External" Id="rId595"/><Relationship Type="http://schemas.openxmlformats.org/officeDocument/2006/relationships/hyperlink" Target="https://etudesenfrance.diplomatie.gouv.fr/catalogue-formations/formation/19385/site/13986" TargetMode="External" Id="rId596"/><Relationship Type="http://schemas.openxmlformats.org/officeDocument/2006/relationships/hyperlink" Target="https://www.insa-lyon.fr/fr/formation/" TargetMode="External" Id="rId597"/><Relationship Type="http://schemas.openxmlformats.org/officeDocument/2006/relationships/hyperlink" Target="https://etudesenfrance.diplomatie.gouv.fr/catalogue-formations/formation/14398/site/6504" TargetMode="External" Id="rId598"/><Relationship Type="http://schemas.openxmlformats.org/officeDocument/2006/relationships/hyperlink" Target="https://www.insa-hautsdefrance.fr/formation-ingenieurs" TargetMode="External" Id="rId599"/><Relationship Type="http://schemas.openxmlformats.org/officeDocument/2006/relationships/hyperlink" Target="https://etudesenfrance.diplomatie.gouv.fr/catalogue-formations/formation/47698/site/13986" TargetMode="External" Id="rId600"/><Relationship Type="http://schemas.openxmlformats.org/officeDocument/2006/relationships/hyperlink" Target="https://www.insa-hautsdefrance.fr/formation-ingenieurs" TargetMode="External" Id="rId601"/><Relationship Type="http://schemas.openxmlformats.org/officeDocument/2006/relationships/hyperlink" Target="https://etudesenfrance.diplomatie.gouv.fr/catalogue-formations/formation/47697/site/13986" TargetMode="External" Id="rId602"/><Relationship Type="http://schemas.openxmlformats.org/officeDocument/2006/relationships/hyperlink" Target="https://www.utbm.fr/formations/ingenieur/energie-genie-electrique/" TargetMode="External" Id="rId603"/><Relationship Type="http://schemas.openxmlformats.org/officeDocument/2006/relationships/hyperlink" Target="https://etudesenfrance.diplomatie.gouv.fr/catalogue-formations/formation/17943/site/6746" TargetMode="External" Id="rId604"/><Relationship Type="http://schemas.openxmlformats.org/officeDocument/2006/relationships/hyperlink" Target="http://www.telecomnancy.eu/" TargetMode="External" Id="rId605"/><Relationship Type="http://schemas.openxmlformats.org/officeDocument/2006/relationships/hyperlink" Target="https://etudesenfrance.diplomatie.gouv.fr/catalogue-formations/formation/13751/site/6769" TargetMode="External" Id="rId606"/><Relationship Type="http://schemas.openxmlformats.org/officeDocument/2006/relationships/hyperlink" Target="http://imt-nord-europe.fr/" TargetMode="External" Id="rId607"/><Relationship Type="http://schemas.openxmlformats.org/officeDocument/2006/relationships/hyperlink" Target="https://etudesenfrance.diplomatie.gouv.fr/catalogue-formations/formation/18906/site/6469" TargetMode="External" Id="rId608"/><Relationship Type="http://schemas.openxmlformats.org/officeDocument/2006/relationships/hyperlink" Target="https://univ-cotedazur.eu/msc/modeling-for-neuronal-and-cognitive-systems" TargetMode="External" Id="rId609"/><Relationship Type="http://schemas.openxmlformats.org/officeDocument/2006/relationships/hyperlink" Target="https://etudesenfrance.diplomatie.gouv.fr/catalogue-formations/formation/41162/site/13709" TargetMode="External" Id="rId610"/><Relationship Type="http://schemas.openxmlformats.org/officeDocument/2006/relationships/hyperlink" Target="https://www.telecom-sudparis.eu/en/formation/master-of-science-electrical-and-optical-engineering/" TargetMode="External" Id="rId611"/><Relationship Type="http://schemas.openxmlformats.org/officeDocument/2006/relationships/hyperlink" Target="https://etudesenfrance.diplomatie.gouv.fr/catalogue-formations/formation/53371/site/6506" TargetMode="External" Id="rId612"/><Relationship Type="http://schemas.openxmlformats.org/officeDocument/2006/relationships/hyperlink" Target="https://www.telecom-sudparis.eu/en/formation/master-of-science-electrical-and-optical-engineering/" TargetMode="External" Id="rId613"/><Relationship Type="http://schemas.openxmlformats.org/officeDocument/2006/relationships/hyperlink" Target="https://etudesenfrance.diplomatie.gouv.fr/catalogue-formations/formation/26178/site/6506" TargetMode="External" Id="rId614"/><Relationship Type="http://schemas.openxmlformats.org/officeDocument/2006/relationships/table" Target="/xl/tables/table1.xml" Id="rId615"/></Relationships>
</file>

<file path=xl/worksheets/_rels/sheet4.xml.rels><Relationships xmlns="http://schemas.openxmlformats.org/package/2006/relationships"><Relationship Type="http://schemas.openxmlformats.org/officeDocument/2006/relationships/hyperlink" Target="https://master.roc.cnam.fr/" TargetMode="External" Id="rId1"/><Relationship Type="http://schemas.openxmlformats.org/officeDocument/2006/relationships/hyperlink" Target="https://etudesenfrance.diplomatie.gouv.fr/catalogue-formations/formation/47681/site/13979" TargetMode="External" Id="rId2"/><Relationship Type="http://schemas.openxmlformats.org/officeDocument/2006/relationships/hyperlink" Target="https://www.umontpellier.fr/en/international/etudier-a-letranger/etudiants-internationaux-annee-universitaire-2026-2027/" TargetMode="External" Id="rId3"/><Relationship Type="http://schemas.openxmlformats.org/officeDocument/2006/relationships/hyperlink" Target="https://idil.edu.umontpellier.fr/master-idil/les-parcours/" TargetMode="External" Id="rId4"/><Relationship Type="http://schemas.openxmlformats.org/officeDocument/2006/relationships/hyperlink" Target="https://etudesenfrance.diplomatie.gouv.fr/catalogue-formations/formation/48981/site/13853" TargetMode="External" Id="rId5"/><Relationship Type="http://schemas.openxmlformats.org/officeDocument/2006/relationships/hyperlink" Target="https://www.umlp.fr/sites/default/files/2026-07-02-page-droits-differencies-vf.pdf" TargetMode="External" Id="rId6"/><Relationship Type="http://schemas.openxmlformats.org/officeDocument/2006/relationships/hyperlink" Target="https://formations.univ-fcomte.fr/fr/formations/feuilleter-le-catalogue/master-lmd-XB/master-electronique-energie-electrique-automatique-M4QUAZ0D.html" TargetMode="External" Id="rId7"/><Relationship Type="http://schemas.openxmlformats.org/officeDocument/2006/relationships/hyperlink" Target="https://etudesenfrance.diplomatie.gouv.fr/catalogue-formations/formation/60313/site/6954" TargetMode="External" Id="rId8"/><Relationship Type="http://schemas.openxmlformats.org/officeDocument/2006/relationships/hyperlink" Target="https://www.univ-grenoble-alpes.fr/actualites/a-la-une/actualites-universite/etudiants-internationaux-ce-que-change-le-nouveau-decret-sur-les-droits-d-inscription-a-l-uga-1775870.kjsp" TargetMode="External" Id="rId9"/><Relationship Type="http://schemas.openxmlformats.org/officeDocument/2006/relationships/hyperlink" Target="https://formations.univ-grenoble-alpes.fr/fr/offre-de-formation/master-XB/master-biologie-sante-IAQKB0GE/parcours-molecular-and-cellular-biology-1re-annee-IK43J2QV.html" TargetMode="External" Id="rId10"/><Relationship Type="http://schemas.openxmlformats.org/officeDocument/2006/relationships/hyperlink" Target="https://etudesenfrance.diplomatie.gouv.fr/catalogue-formations/formation/61813/site/6553" TargetMode="External" Id="rId11"/><Relationship Type="http://schemas.openxmlformats.org/officeDocument/2006/relationships/hyperlink" Target="https://www.univ-grenoble-alpes.fr/actualites/a-la-une/actualites-universite/etudiants-internationaux-ce-que-change-le-nouveau-decret-sur-les-droits-d-inscription-a-l-uga-1775870.kjsp" TargetMode="External" Id="rId12"/><Relationship Type="http://schemas.openxmlformats.org/officeDocument/2006/relationships/hyperlink" Target="https://formations.univ-grenoble-alpes.fr/fr/catalogue-2021/master-XB/master-ingenierie-de-la-sante-IAQKSXOB.html" TargetMode="External" Id="rId13"/><Relationship Type="http://schemas.openxmlformats.org/officeDocument/2006/relationships/hyperlink" Target="https://etudesenfrance.diplomatie.gouv.fr/catalogue-formations/formation/61898/site/13701" TargetMode="External" Id="rId14"/><Relationship Type="http://schemas.openxmlformats.org/officeDocument/2006/relationships/hyperlink" Target="https://life.univ-cotedazur.fr/international/imagein" TargetMode="External" Id="rId15"/><Relationship Type="http://schemas.openxmlformats.org/officeDocument/2006/relationships/hyperlink" Target="https://etudesenfrance.diplomatie.gouv.fr/catalogue-formations/formation/56128/site/6953" TargetMode="External" Id="rId16"/><Relationship Type="http://schemas.openxmlformats.org/officeDocument/2006/relationships/hyperlink" Target="https://www.umlp.fr/sites/default/files/2026-07-02-page-droits-differencies-vf.pdf" TargetMode="External" Id="rId17"/><Relationship Type="http://schemas.openxmlformats.org/officeDocument/2006/relationships/hyperlink" Target="https://stgi.umlp.fr/" TargetMode="External" Id="rId18"/><Relationship Type="http://schemas.openxmlformats.org/officeDocument/2006/relationships/hyperlink" Target="https://etudesenfrance.diplomatie.gouv.fr/catalogue-formations/formation/55135/site/10753" TargetMode="External" Id="rId19"/><Relationship Type="http://schemas.openxmlformats.org/officeDocument/2006/relationships/hyperlink" Target="https://www.unistra.fr/fr/node/8168" TargetMode="External" Id="rId20"/><Relationship Type="http://schemas.openxmlformats.org/officeDocument/2006/relationships/hyperlink" Target="https://pharmacie.unistra.fr/" TargetMode="External" Id="rId21"/><Relationship Type="http://schemas.openxmlformats.org/officeDocument/2006/relationships/hyperlink" Target="https://etudesenfrance.diplomatie.gouv.fr/catalogue-formations/formation/41621/site/7101" TargetMode="External" Id="rId22"/><Relationship Type="http://schemas.openxmlformats.org/officeDocument/2006/relationships/hyperlink" Target="https://www.unistra.fr/fr/node/8168" TargetMode="External" Id="rId23"/><Relationship Type="http://schemas.openxmlformats.org/officeDocument/2006/relationships/hyperlink" Target="http://sciencesvie.unistra.fr/" TargetMode="External" Id="rId24"/><Relationship Type="http://schemas.openxmlformats.org/officeDocument/2006/relationships/hyperlink" Target="https://etudesenfrance.diplomatie.gouv.fr/catalogue-formations/formation/33665/site/6978" TargetMode="External" Id="rId25"/><Relationship Type="http://schemas.openxmlformats.org/officeDocument/2006/relationships/hyperlink" Target="https://www.unilim.fr/gradschool-ceramics-ict/formation/smart-iot/" TargetMode="External" Id="rId26"/><Relationship Type="http://schemas.openxmlformats.org/officeDocument/2006/relationships/hyperlink" Target="https://etudesenfrance.diplomatie.gouv.fr/catalogue-formations/formation/48577/site/6963" TargetMode="External" Id="rId27"/><Relationship Type="http://schemas.openxmlformats.org/officeDocument/2006/relationships/hyperlink" Target="https://www.unistra.fr/fr/node/8168" TargetMode="External" Id="rId28"/><Relationship Type="http://schemas.openxmlformats.org/officeDocument/2006/relationships/hyperlink" Target="https://chirurgie-dentaire.unistra.fr/" TargetMode="External" Id="rId29"/><Relationship Type="http://schemas.openxmlformats.org/officeDocument/2006/relationships/hyperlink" Target="https://etudesenfrance.diplomatie.gouv.fr/catalogue-formations/formation/54393/site/7066" TargetMode="External" Id="rId30"/><Relationship Type="http://schemas.openxmlformats.org/officeDocument/2006/relationships/hyperlink" Target="https://etudesenfrance.diplomatie.gouv.fr/catalogue-formations/formation/60732/site/11087" TargetMode="External" Id="rId31"/><Relationship Type="http://schemas.openxmlformats.org/officeDocument/2006/relationships/hyperlink" Target="https://www.sorbonne-universite.fr/actualites/le-conseil-dadministration-de-sorbonne-universite-vote-lunanimite-le-7-juillet-2026-sa" TargetMode="External" Id="rId32"/><Relationship Type="http://schemas.openxmlformats.org/officeDocument/2006/relationships/hyperlink" Target="https://masters-sdi.sorbonne-universite.fr/electronique-energie-electrique-automatique" TargetMode="External" Id="rId33"/><Relationship Type="http://schemas.openxmlformats.org/officeDocument/2006/relationships/hyperlink" Target="https://etudesenfrance.diplomatie.gouv.fr/catalogue-formations/formation/44359/site/13735" TargetMode="External" Id="rId34"/><Relationship Type="http://schemas.openxmlformats.org/officeDocument/2006/relationships/hyperlink" Target="https://www.univ-grenoble-alpes.fr/actualites/a-la-une/actualites-universite/etudiants-internationaux-ce-que-change-le-nouveau-decret-sur-les-droits-d-inscription-a-l-uga-1775870.kjsp" TargetMode="External" Id="rId35"/><Relationship Type="http://schemas.openxmlformats.org/officeDocument/2006/relationships/hyperlink" Target="https://formations.univ-grenoble-alpes.fr/fr/catalogue-2021/master-XB/master-electronique-energie-electrique-automatique-IFZ3DRB9/parcours-microelectronique-integration-des-systemes-temps-reels-embarques-mistre-1re-et-2e-annees-IFZ5TP7C.html" TargetMode="External" Id="rId36"/><Relationship Type="http://schemas.openxmlformats.org/officeDocument/2006/relationships/hyperlink" Target="https://etudesenfrance.diplomatie.gouv.fr/catalogue-formations/formation/42608/site/13729" TargetMode="External" Id="rId37"/><Relationship Type="http://schemas.openxmlformats.org/officeDocument/2006/relationships/hyperlink" Target="https://www.sorbonne-universite.fr/actualites/le-conseil-dadministration-de-sorbonne-universite-vote-lunanimite-le-7-juillet-2026-sa" TargetMode="External" Id="rId38"/><Relationship Type="http://schemas.openxmlformats.org/officeDocument/2006/relationships/hyperlink" Target="https://masters-sdi.sorbonne-universite.fr/electronique-energie-electrique-automatique" TargetMode="External" Id="rId39"/><Relationship Type="http://schemas.openxmlformats.org/officeDocument/2006/relationships/hyperlink" Target="https://etudesenfrance.diplomatie.gouv.fr/catalogue-formations/formation/44360/site/13735" TargetMode="External" Id="rId40"/><Relationship Type="http://schemas.openxmlformats.org/officeDocument/2006/relationships/hyperlink" Target="https://u-paris.fr/droits-dinscription-tarifs-exonerations/" TargetMode="External" Id="rId41"/><Relationship Type="http://schemas.openxmlformats.org/officeDocument/2006/relationships/hyperlink" Target="https://odf.u-paris.fr/fr/offre-de-formation/master-XB/sciences-technologies-sante-STS/ingenierie-de-la-sante-K2NDJ7KW.html" TargetMode="External" Id="rId42"/><Relationship Type="http://schemas.openxmlformats.org/officeDocument/2006/relationships/hyperlink" Target="https://etudesenfrance.diplomatie.gouv.fr/catalogue-formations/formation/39436/site/7430" TargetMode="External" Id="rId43"/><Relationship Type="http://schemas.openxmlformats.org/officeDocument/2006/relationships/hyperlink" Target="https://www.mines-stetienne.fr/en/academic/msc-cyber-physical-social-systems-cps2/" TargetMode="External" Id="rId44"/><Relationship Type="http://schemas.openxmlformats.org/officeDocument/2006/relationships/hyperlink" Target="https://etudesenfrance.diplomatie.gouv.fr/catalogue-formations/formation/45073/site/6734" TargetMode="External" Id="rId45"/><Relationship Type="http://schemas.openxmlformats.org/officeDocument/2006/relationships/hyperlink" Target="https://www.umlp.fr/sites/default/files/2026-07-02-page-droits-differencies-vf.pdf" TargetMode="External" Id="rId46"/><Relationship Type="http://schemas.openxmlformats.org/officeDocument/2006/relationships/hyperlink" Target="http://isifc.univ-fcomte.fr/" TargetMode="External" Id="rId47"/><Relationship Type="http://schemas.openxmlformats.org/officeDocument/2006/relationships/hyperlink" Target="https://etudesenfrance.diplomatie.gouv.fr/catalogue-formations/formation/27190/site/6886" TargetMode="External" Id="rId48"/><Relationship Type="http://schemas.openxmlformats.org/officeDocument/2006/relationships/hyperlink" Target="http://www.esigelec.fr/" TargetMode="External" Id="rId49"/><Relationship Type="http://schemas.openxmlformats.org/officeDocument/2006/relationships/hyperlink" Target="https://etudesenfrance.diplomatie.gouv.fr/catalogue-formations/formation/26656/site/10955" TargetMode="External" Id="rId50"/><Relationship Type="http://schemas.openxmlformats.org/officeDocument/2006/relationships/hyperlink" Target="https://www.imt-atlantique.fr/en/study/masters/msc/it-embedded-ai" TargetMode="External" Id="rId51"/><Relationship Type="http://schemas.openxmlformats.org/officeDocument/2006/relationships/hyperlink" Target="https://etudesenfrance.diplomatie.gouv.fr/catalogue-formations/formation/60298/site/6501" TargetMode="External" Id="rId52"/><Relationship Type="http://schemas.openxmlformats.org/officeDocument/2006/relationships/hyperlink" Target="https://www.imt-atlantique.fr/en/study/masters/msc/it-aeiot" TargetMode="External" Id="rId53"/><Relationship Type="http://schemas.openxmlformats.org/officeDocument/2006/relationships/hyperlink" Target="https://etudesenfrance.diplomatie.gouv.fr/catalogue-formations/formation/27865/site/13749" TargetMode="External" Id="rId54"/><Relationship Type="http://schemas.openxmlformats.org/officeDocument/2006/relationships/hyperlink" Target="https://centralelille.fr/en/formation/masters/master-biomedical-engineering/" TargetMode="External" Id="rId55"/><Relationship Type="http://schemas.openxmlformats.org/officeDocument/2006/relationships/hyperlink" Target="https://etudesenfrance.diplomatie.gouv.fr/catalogue-formations/formation/61185/site/10697" TargetMode="External" Id="rId56"/><Relationship Type="http://schemas.openxmlformats.org/officeDocument/2006/relationships/hyperlink" Target="https://isen-mediterranee.fr/en/formation/msc-master-of-science-in-intelligent-embedded-systems-engineering/" TargetMode="External" Id="rId57"/><Relationship Type="http://schemas.openxmlformats.org/officeDocument/2006/relationships/hyperlink" Target="https://etudesenfrance.diplomatie.gouv.fr/catalogue-formations/formation/60405/site/11891" TargetMode="External" Id="rId58"/><Relationship Type="http://schemas.openxmlformats.org/officeDocument/2006/relationships/hyperlink" Target="http://www.insa-toulouse.fr/fr/formation.html" TargetMode="External" Id="rId59"/><Relationship Type="http://schemas.openxmlformats.org/officeDocument/2006/relationships/hyperlink" Target="https://etudesenfrance.diplomatie.gouv.fr/catalogue-formations/formation/27870/site/6502" TargetMode="External" Id="rId60"/><Relationship Type="http://schemas.openxmlformats.org/officeDocument/2006/relationships/hyperlink" Target="https://etudesenfrance.diplomatie.gouv.fr/catalogue-formations/formation/60631/site/6517" TargetMode="External" Id="rId61"/><Relationship Type="http://schemas.openxmlformats.org/officeDocument/2006/relationships/hyperlink" Target="https://www.junia.com/en/home/" TargetMode="External" Id="rId62"/><Relationship Type="http://schemas.openxmlformats.org/officeDocument/2006/relationships/hyperlink" Target="https://etudesenfrance.diplomatie.gouv.fr/catalogue-formations/formation/61343/site/14123" TargetMode="External" Id="rId63"/><Relationship Type="http://schemas.openxmlformats.org/officeDocument/2006/relationships/hyperlink" Target="https://www.junia.com/en/academics/master-of-science-and-engineering-in-electronics-and-embedded-systems/" TargetMode="External" Id="rId64"/><Relationship Type="http://schemas.openxmlformats.org/officeDocument/2006/relationships/hyperlink" Target="https://etudesenfrance.diplomatie.gouv.fr/catalogue-formations/formation/50601/site/14123" TargetMode="External" Id="rId65"/><Relationship Type="http://schemas.openxmlformats.org/officeDocument/2006/relationships/hyperlink" Target="https://www.centrale-mediterranee.fr/fr/formation/masters/master-biomedical-engineering" TargetMode="External" Id="rId66"/><Relationship Type="http://schemas.openxmlformats.org/officeDocument/2006/relationships/hyperlink" Target="https://etudesenfrance.diplomatie.gouv.fr/catalogue-formations/formation/45191/site/6733" TargetMode="External" Id="rId67"/><Relationship Type="http://schemas.openxmlformats.org/officeDocument/2006/relationships/hyperlink" Target="http://www.enseeiht.fr/" TargetMode="External" Id="rId68"/><Relationship Type="http://schemas.openxmlformats.org/officeDocument/2006/relationships/hyperlink" Target="https://etudesenfrance.diplomatie.gouv.fr/catalogue-formations/formation/43439/site/6517" TargetMode="External" Id="rId69"/><Relationship Type="http://schemas.openxmlformats.org/officeDocument/2006/relationships/hyperlink" Target="https://esigelec.fr/fr" TargetMode="External" Id="rId70"/><Relationship Type="http://schemas.openxmlformats.org/officeDocument/2006/relationships/hyperlink" Target="https://etudesenfrance.diplomatie.gouv.fr/catalogue-formations/formation/52935/site/10955" TargetMode="External" Id="rId71"/><Relationship Type="http://schemas.openxmlformats.org/officeDocument/2006/relationships/hyperlink" Target="https://bit.ly/3sYFUba" TargetMode="External" Id="rId72"/><Relationship Type="http://schemas.openxmlformats.org/officeDocument/2006/relationships/hyperlink" Target="https://etudesenfrance.diplomatie.gouv.fr/catalogue-formations/formation/43243/site/6722" TargetMode="External" Id="rId73"/><Relationship Type="http://schemas.openxmlformats.org/officeDocument/2006/relationships/hyperlink" Target="http://www.esigelec.fr/" TargetMode="External" Id="rId74"/><Relationship Type="http://schemas.openxmlformats.org/officeDocument/2006/relationships/hyperlink" Target="https://etudesenfrance.diplomatie.gouv.fr/catalogue-formations/formation/52381/site/10955" TargetMode="External" Id="rId75"/><Relationship Type="http://schemas.openxmlformats.org/officeDocument/2006/relationships/hyperlink" Target="https://www.tsaae.fr/" TargetMode="External" Id="rId76"/><Relationship Type="http://schemas.openxmlformats.org/officeDocument/2006/relationships/hyperlink" Target="https://etudesenfrance.diplomatie.gouv.fr/catalogue-formations/formation/26245/site/6489" TargetMode="External" Id="rId77"/><Relationship Type="http://schemas.openxmlformats.org/officeDocument/2006/relationships/hyperlink" Target="https://www.tsaae.fr/" TargetMode="External" Id="rId78"/><Relationship Type="http://schemas.openxmlformats.org/officeDocument/2006/relationships/hyperlink" Target="https://etudesenfrance.diplomatie.gouv.fr/catalogue-formations/formation/27798/site/6489" TargetMode="External" Id="rId79"/><Relationship Type="http://schemas.openxmlformats.org/officeDocument/2006/relationships/hyperlink" Target="https://www.eurecom.fr/fr/les-formations/master-en-reseaux-et-telecommunication/master-en-reseaux-et-telecommunication-1" TargetMode="External" Id="rId80"/><Relationship Type="http://schemas.openxmlformats.org/officeDocument/2006/relationships/hyperlink" Target="https://etudesenfrance.diplomatie.gouv.fr/catalogue-formations/formation/39142/site/6868" TargetMode="External" Id="rId81"/><Relationship Type="http://schemas.openxmlformats.org/officeDocument/2006/relationships/hyperlink" Target="https://www.eurecom.fr/en/teaching/master-networks-and-telecommunication/msc-networks-and-telecommunication-internet-things" TargetMode="External" Id="rId82"/><Relationship Type="http://schemas.openxmlformats.org/officeDocument/2006/relationships/hyperlink" Target="https://etudesenfrance.diplomatie.gouv.fr/catalogue-formations/formation/56810/site/6868" TargetMode="External" Id="rId83"/><Relationship Type="http://schemas.openxmlformats.org/officeDocument/2006/relationships/hyperlink" Target="https://observalgerie.com/2026/06/13/misc/frais-dinscription-en-france-lille-maintient-un-avantage-pour-les-etudiants-etrangers/" TargetMode="External" Id="rId84"/><Relationship Type="http://schemas.openxmlformats.org/officeDocument/2006/relationships/hyperlink" Target="https://formation.univ-lille.fr/fr/offre-de-formation/master-lmd-XB/master-automatique-et-systemes-electriques-MG001978/energie-electrique-et-developpement-durable-electrical-engineering-for-sustainable-development-m2-MX002024.html" TargetMode="External" Id="rId85"/><Relationship Type="http://schemas.openxmlformats.org/officeDocument/2006/relationships/hyperlink" Target="https://etudesenfrance.diplomatie.gouv.fr/catalogue-formations/formation/60845/site/6597" TargetMode="External" Id="rId86"/><Relationship Type="http://schemas.openxmlformats.org/officeDocument/2006/relationships/hyperlink" Target="https://www.unistra.fr/fr/node/8168" TargetMode="External" Id="rId87"/><Relationship Type="http://schemas.openxmlformats.org/officeDocument/2006/relationships/hyperlink" Target="http://sciencesvie.unistra.fr/" TargetMode="External" Id="rId88"/><Relationship Type="http://schemas.openxmlformats.org/officeDocument/2006/relationships/hyperlink" Target="https://etudesenfrance.diplomatie.gouv.fr/catalogue-formations/formation/59586/site/6978" TargetMode="External" Id="rId89"/><Relationship Type="http://schemas.openxmlformats.org/officeDocument/2006/relationships/hyperlink" Target="https://www.unistra.fr/fr/node/8168" TargetMode="External" Id="rId90"/><Relationship Type="http://schemas.openxmlformats.org/officeDocument/2006/relationships/hyperlink" Target="http://sciencesvie.unistra.fr/" TargetMode="External" Id="rId91"/><Relationship Type="http://schemas.openxmlformats.org/officeDocument/2006/relationships/hyperlink" Target="https://etudesenfrance.diplomatie.gouv.fr/catalogue-formations/formation/59583/site/6978" TargetMode="External" Id="rId92"/><Relationship Type="http://schemas.openxmlformats.org/officeDocument/2006/relationships/hyperlink" Target="http://sciences-tech.u-pec.fr/" TargetMode="External" Id="rId93"/><Relationship Type="http://schemas.openxmlformats.org/officeDocument/2006/relationships/hyperlink" Target="https://etudesenfrance.diplomatie.gouv.fr/catalogue-formations/formation/33308/site/10975" TargetMode="External" Id="rId94"/><Relationship Type="http://schemas.openxmlformats.org/officeDocument/2006/relationships/hyperlink" Target="https://www.unistra.fr/fr/node/8168" TargetMode="External" Id="rId95"/><Relationship Type="http://schemas.openxmlformats.org/officeDocument/2006/relationships/hyperlink" Target="http://sciencesvie.unistra.fr/" TargetMode="External" Id="rId96"/><Relationship Type="http://schemas.openxmlformats.org/officeDocument/2006/relationships/hyperlink" Target="https://etudesenfrance.diplomatie.gouv.fr/catalogue-formations/formation/33663/site/6978" TargetMode="External" Id="rId97"/><Relationship Type="http://schemas.openxmlformats.org/officeDocument/2006/relationships/hyperlink" Target="https://idmc.univ-lorraine.fr/idmc-master-degree-in-natural-language-processing/" TargetMode="External" Id="rId98"/><Relationship Type="http://schemas.openxmlformats.org/officeDocument/2006/relationships/hyperlink" Target="https://etudesenfrance.diplomatie.gouv.fr/catalogue-formations/formation/55050/site/10974" TargetMode="External" Id="rId99"/><Relationship Type="http://schemas.openxmlformats.org/officeDocument/2006/relationships/hyperlink" Target="https://observalgerie.com/2026/06/13/misc/frais-dinscription-en-france-lille-maintient-un-avantage-pour-les-etudiants-etrangers/" TargetMode="External" Id="rId100"/><Relationship Type="http://schemas.openxmlformats.org/officeDocument/2006/relationships/hyperlink" Target="https://formation.univ-lille.fr/fr/offre-de-formation/master-lmd-XB/master-physique-fondamentale-et-applications-MG001988/quantum-and-photonic-technologies-m1-m2-MX195427.html" TargetMode="External" Id="rId101"/><Relationship Type="http://schemas.openxmlformats.org/officeDocument/2006/relationships/hyperlink" Target="https://etudesenfrance.diplomatie.gouv.fr/catalogue-formations/formation/58532/site/6537" TargetMode="External" Id="rId102"/><Relationship Type="http://schemas.openxmlformats.org/officeDocument/2006/relationships/hyperlink" Target="https://www.univ-lyon1.fr/formation/inscription-et-scolarite/etudiantes-et-etudiants-internationaux-droits-dinscription-differencies-et-exonerations" TargetMode="External" Id="rId103"/><Relationship Type="http://schemas.openxmlformats.org/officeDocument/2006/relationships/hyperlink" Target="https://ufr-biosciences.univ-lyon1.fr/" TargetMode="External" Id="rId104"/><Relationship Type="http://schemas.openxmlformats.org/officeDocument/2006/relationships/hyperlink" Target="https://etudesenfrance.diplomatie.gouv.fr/catalogue-formations/formation/30849/site/7315" TargetMode="External" Id="rId105"/><Relationship Type="http://schemas.openxmlformats.org/officeDocument/2006/relationships/hyperlink" Target="https://eeap.cnam.fr/" TargetMode="External" Id="rId106"/><Relationship Type="http://schemas.openxmlformats.org/officeDocument/2006/relationships/hyperlink" Target="https://etudesenfrance.diplomatie.gouv.fr/catalogue-formations/formation/46977/site/13973" TargetMode="External" Id="rId107"/><Relationship Type="http://schemas.openxmlformats.org/officeDocument/2006/relationships/hyperlink" Target="https://observalgerie.com/2026/06/13/misc/frais-dinscription-en-france-lille-maintient-un-avantage-pour-les-etudiants-etrangers/" TargetMode="External" Id="rId108"/><Relationship Type="http://schemas.openxmlformats.org/officeDocument/2006/relationships/hyperlink" Target="https://www.univ-lille.fr/formations/fr-00002031" TargetMode="External" Id="rId109"/><Relationship Type="http://schemas.openxmlformats.org/officeDocument/2006/relationships/hyperlink" Target="https://etudesenfrance.diplomatie.gouv.fr/catalogue-formations/formation/56653/site/6597" TargetMode="External" Id="rId110"/><Relationship Type="http://schemas.openxmlformats.org/officeDocument/2006/relationships/hyperlink" Target="https://www.ec-lyon.fr/formation/international-master-nanoscale-engineering" TargetMode="External" Id="rId111"/><Relationship Type="http://schemas.openxmlformats.org/officeDocument/2006/relationships/hyperlink" Target="https://etudesenfrance.diplomatie.gouv.fr/catalogue-formations/formation/49278/site/6504" TargetMode="External" Id="rId112"/><Relationship Type="http://schemas.openxmlformats.org/officeDocument/2006/relationships/hyperlink" Target="https://www.ec-lyon.fr/formation/international-master-nanoscale-engineering" TargetMode="External" Id="rId113"/><Relationship Type="http://schemas.openxmlformats.org/officeDocument/2006/relationships/hyperlink" Target="https://etudesenfrance.diplomatie.gouv.fr/catalogue-formations/formation/49280/site/6504" TargetMode="External" Id="rId114"/><Relationship Type="http://schemas.openxmlformats.org/officeDocument/2006/relationships/hyperlink" Target="https://www.univ-grenoble-alpes.fr/actualites/a-la-une/actualites-universite/etudiants-internationaux-ce-que-change-le-nouveau-decret-sur-les-droits-d-inscription-a-l-uga-1775870.kjsp" TargetMode="External" Id="rId115"/><Relationship Type="http://schemas.openxmlformats.org/officeDocument/2006/relationships/hyperlink" Target="https://ense3.grenoble-inp.fr/en/study-at-ense3/masters-in-english" TargetMode="External" Id="rId116"/><Relationship Type="http://schemas.openxmlformats.org/officeDocument/2006/relationships/hyperlink" Target="https://etudesenfrance.diplomatie.gouv.fr/catalogue-formations/formation/38697/site/6840" TargetMode="External" Id="rId117"/><Relationship Type="http://schemas.openxmlformats.org/officeDocument/2006/relationships/hyperlink" Target="https://www.erasmus-mundus.emimep.eu/" TargetMode="External" Id="rId118"/><Relationship Type="http://schemas.openxmlformats.org/officeDocument/2006/relationships/hyperlink" Target="https://etudesenfrance.diplomatie.gouv.fr/catalogue-formations/formation/45162/site/7171" TargetMode="External" Id="rId119"/><Relationship Type="http://schemas.openxmlformats.org/officeDocument/2006/relationships/hyperlink" Target="https://www.umlp.fr/sites/default/files/2026-07-02-page-droits-differencies-vf.pdf" TargetMode="External" Id="rId120"/><Relationship Type="http://schemas.openxmlformats.org/officeDocument/2006/relationships/hyperlink" Target="https://taughtie.campusfrance.org/tiesearch/" TargetMode="External" Id="rId121"/><Relationship Type="http://schemas.openxmlformats.org/officeDocument/2006/relationships/hyperlink" Target="https://etudesenfrance.diplomatie.gouv.fr/catalogue-formations/formation/55269/site/6954" TargetMode="External" Id="rId122"/><Relationship Type="http://schemas.openxmlformats.org/officeDocument/2006/relationships/hyperlink" Target="https://www.univ-amu.fr/fr/actualites/aix-marseille-universite-mobilise-pleinement-capacite-dexoneration-continuer-accueillir" TargetMode="External" Id="rId123"/><Relationship Type="http://schemas.openxmlformats.org/officeDocument/2006/relationships/hyperlink" Target="https://formations.univ-amu.fr/fr/master/5SNN/PRSNN5C3" TargetMode="External" Id="rId124"/><Relationship Type="http://schemas.openxmlformats.org/officeDocument/2006/relationships/hyperlink" Target="https://etudesenfrance.diplomatie.gouv.fr/catalogue-formations/formation/59062/site/6655" TargetMode="External" Id="rId125"/><Relationship Type="http://schemas.openxmlformats.org/officeDocument/2006/relationships/hyperlink" Target="https://www.umontpellier.fr/en/international/etudier-a-letranger/etudiants-internationaux-annee-universitaire-2026-2027/" TargetMode="External" Id="rId126"/><Relationship Type="http://schemas.openxmlformats.org/officeDocument/2006/relationships/hyperlink" Target="https://idil.edu.umontpellier.fr/" TargetMode="External" Id="rId127"/><Relationship Type="http://schemas.openxmlformats.org/officeDocument/2006/relationships/hyperlink" Target="https://etudesenfrance.diplomatie.gouv.fr/catalogue-formations/formation/62037/site/6552" TargetMode="External" Id="rId128"/><Relationship Type="http://schemas.openxmlformats.org/officeDocument/2006/relationships/hyperlink" Target="https://www.umontpellier.fr/en/international/etudier-a-letranger/etudiants-internationaux-annee-universitaire-2026-2027/" TargetMode="External" Id="rId129"/><Relationship Type="http://schemas.openxmlformats.org/officeDocument/2006/relationships/hyperlink" Target="https://idil.edu.umontpellier.fr/" TargetMode="External" Id="rId130"/><Relationship Type="http://schemas.openxmlformats.org/officeDocument/2006/relationships/hyperlink" Target="https://etudesenfrance.diplomatie.gouv.fr/catalogue-formations/formation/55215/site/6552" TargetMode="External" Id="rId131"/><Relationship Type="http://schemas.openxmlformats.org/officeDocument/2006/relationships/hyperlink" Target="http://www.polytech.univ-smb.fr/en/programs/masters/advanced-mechatronics.html" TargetMode="External" Id="rId132"/><Relationship Type="http://schemas.openxmlformats.org/officeDocument/2006/relationships/hyperlink" Target="https://etudesenfrance.diplomatie.gouv.fr/catalogue-formations/formation/42147/site/13557" TargetMode="External" Id="rId133"/><Relationship Type="http://schemas.openxmlformats.org/officeDocument/2006/relationships/hyperlink" Target="https://www.umlp.fr/sites/default/files/2026-07-02-page-droits-differencies-vf.pdf" TargetMode="External" Id="rId134"/><Relationship Type="http://schemas.openxmlformats.org/officeDocument/2006/relationships/hyperlink" Target="https://taughtie.campusfrance.org/tiesearch/" TargetMode="External" Id="rId135"/><Relationship Type="http://schemas.openxmlformats.org/officeDocument/2006/relationships/hyperlink" Target="https://etudesenfrance.diplomatie.gouv.fr/catalogue-formations/formation/55399/site/6954" TargetMode="External" Id="rId136"/><Relationship Type="http://schemas.openxmlformats.org/officeDocument/2006/relationships/hyperlink" Target="https://www.univ-grenoble-alpes.fr/actualites/a-la-une/actualites-universite/etudiants-internationaux-ce-que-change-le-nouveau-decret-sur-les-droits-d-inscription-a-l-uga-1775870.kjsp" TargetMode="External" Id="rId137"/><Relationship Type="http://schemas.openxmlformats.org/officeDocument/2006/relationships/hyperlink" Target="https://formations.univ-grenoble-alpes.fr/fr/catalogue-2021/master-XB/master-electronique-energie-electrique-automatique-IFZ3DRB9/parcours-electrical-engineering-and-control-systems-1ere-annee-KVQSSM5S.html" TargetMode="External" Id="rId138"/><Relationship Type="http://schemas.openxmlformats.org/officeDocument/2006/relationships/hyperlink" Target="https://etudesenfrance.diplomatie.gouv.fr/catalogue-formations/formation/61779/site/13729" TargetMode="External" Id="rId139"/><Relationship Type="http://schemas.openxmlformats.org/officeDocument/2006/relationships/hyperlink" Target="https://www.univ-grenoble-alpes.fr/actualites/a-la-une/actualites-universite/etudiants-internationaux-ce-que-change-le-nouveau-decret-sur-les-droits-d-inscription-a-l-uga-1775870.kjsp" TargetMode="External" Id="rId140"/><Relationship Type="http://schemas.openxmlformats.org/officeDocument/2006/relationships/hyperlink" Target="https://ense3.grenoble-inp.fr/en/study-at-ense3/masters-in-english" TargetMode="External" Id="rId141"/><Relationship Type="http://schemas.openxmlformats.org/officeDocument/2006/relationships/hyperlink" Target="https://etudesenfrance.diplomatie.gouv.fr/catalogue-formations/formation/38572/site/6840" TargetMode="External" Id="rId142"/><Relationship Type="http://schemas.openxmlformats.org/officeDocument/2006/relationships/hyperlink" Target="https://www.umontpellier.fr/en/international/etudier-a-letranger/etudiants-internationaux-annee-universitaire-2026-2027/" TargetMode="External" Id="rId143"/><Relationship Type="http://schemas.openxmlformats.org/officeDocument/2006/relationships/hyperlink" Target="http://www.eea.univ-montp2.fr/?-Robotique-Automatique-" TargetMode="External" Id="rId144"/><Relationship Type="http://schemas.openxmlformats.org/officeDocument/2006/relationships/hyperlink" Target="https://etudesenfrance.diplomatie.gouv.fr/catalogue-formations/formation/32452/site/6552" TargetMode="External" Id="rId145"/><Relationship Type="http://schemas.openxmlformats.org/officeDocument/2006/relationships/hyperlink" Target="https://www.univ-grenoble-alpes.fr/actualites/a-la-une/actualites-universite/etudiants-internationaux-ce-que-change-le-nouveau-decret-sur-les-droits-d-inscription-a-l-uga-1775870.kjsp" TargetMode="External" Id="rId146"/><Relationship Type="http://schemas.openxmlformats.org/officeDocument/2006/relationships/hyperlink" Target="https://formations.univ-grenoble-alpes.fr/fr/catalogue-2021/master-XB/master-nanosciences-et-nanotechnologies-IAQK78RT/parcours-nanophysics-quantum-physics-1re-annee-KLQGAWF7.html" TargetMode="External" Id="rId147"/><Relationship Type="http://schemas.openxmlformats.org/officeDocument/2006/relationships/hyperlink" Target="https://etudesenfrance.diplomatie.gouv.fr/catalogue-formations/formation/61770/site/6522" TargetMode="External" Id="rId148"/><Relationship Type="http://schemas.openxmlformats.org/officeDocument/2006/relationships/hyperlink" Target="https://www.univ-grenoble-alpes.fr/actualites/a-la-une/actualites-universite/etudiants-internationaux-ce-que-change-le-nouveau-decret-sur-les-droits-d-inscription-a-l-uga-1775870.kjsp" TargetMode="External" Id="rId149"/><Relationship Type="http://schemas.openxmlformats.org/officeDocument/2006/relationships/hyperlink" Target="https://formations.univ-grenoble-alpes.fr/fr/catalogue-2021/master-XB/master-nanosciences-et-nanotechnologies-IAQK78RT/parcours-physics-of-complex-matter-parcours-international-1re-annee-IATOD7FB.html" TargetMode="External" Id="rId150"/><Relationship Type="http://schemas.openxmlformats.org/officeDocument/2006/relationships/hyperlink" Target="https://etudesenfrance.diplomatie.gouv.fr/catalogue-formations/formation/61771/site/6522" TargetMode="External" Id="rId151"/><Relationship Type="http://schemas.openxmlformats.org/officeDocument/2006/relationships/hyperlink" Target="https://www.univ-grenoble-alpes.fr/actualites/a-la-une/actualites-universite/etudiants-internationaux-ce-que-change-le-nouveau-decret-sur-les-droits-d-inscription-a-l-uga-1775870.kjsp" TargetMode="External" Id="rId152"/><Relationship Type="http://schemas.openxmlformats.org/officeDocument/2006/relationships/hyperlink" Target="https://phelma.grenoble-inp.fr/fr/formation/master-nanosciences-and-nanotechnologies-parcours-nanomedicine-and-structural-biology" TargetMode="External" Id="rId153"/><Relationship Type="http://schemas.openxmlformats.org/officeDocument/2006/relationships/hyperlink" Target="https://etudesenfrance.diplomatie.gouv.fr/catalogue-formations/formation/38527/site/6858" TargetMode="External" Id="rId154"/><Relationship Type="http://schemas.openxmlformats.org/officeDocument/2006/relationships/hyperlink" Target="https://formations.u-bordeaux.fr/" TargetMode="External" Id="rId155"/><Relationship Type="http://schemas.openxmlformats.org/officeDocument/2006/relationships/hyperlink" Target="https://etudesenfrance.diplomatie.gouv.fr/catalogue-formations/formation/45727/site/6682" TargetMode="External" Id="rId156"/><Relationship Type="http://schemas.openxmlformats.org/officeDocument/2006/relationships/hyperlink" Target="https://life.univ-cotedazur.fr/international/erasmus-mundus-joint-master-membiomed" TargetMode="External" Id="rId157"/><Relationship Type="http://schemas.openxmlformats.org/officeDocument/2006/relationships/hyperlink" Target="https://etudesenfrance.diplomatie.gouv.fr/catalogue-formations/formation/56117/site/6953" TargetMode="External" Id="rId158"/><Relationship Type="http://schemas.openxmlformats.org/officeDocument/2006/relationships/hyperlink" Target="https://www.univ-amu.fr/fr/actualites/aix-marseille-universite-mobilise-pleinement-capacite-dexoneration-continuer-accueillir" TargetMode="External" Id="rId159"/><Relationship Type="http://schemas.openxmlformats.org/officeDocument/2006/relationships/hyperlink" Target="https://formations.univ-amu.fr/fr/master/5SNN/PRSNN5C3" TargetMode="External" Id="rId160"/><Relationship Type="http://schemas.openxmlformats.org/officeDocument/2006/relationships/hyperlink" Target="https://etudesenfrance.diplomatie.gouv.fr/catalogue-formations/formation/59061/site/6655" TargetMode="External" Id="rId161"/><Relationship Type="http://schemas.openxmlformats.org/officeDocument/2006/relationships/hyperlink" Target="https://www.univ-amu.fr/fr/actualites/aix-marseille-universite-mobilise-pleinement-capacite-dexoneration-continuer-accueillir" TargetMode="External" Id="rId162"/><Relationship Type="http://schemas.openxmlformats.org/officeDocument/2006/relationships/hyperlink" Target="https://formations.univ-amu.fr/fr/master/5SNE" TargetMode="External" Id="rId163"/><Relationship Type="http://schemas.openxmlformats.org/officeDocument/2006/relationships/hyperlink" Target="https://etudesenfrance.diplomatie.gouv.fr/catalogue-formations/formation/39459/site/12194" TargetMode="External" Id="rId164"/><Relationship Type="http://schemas.openxmlformats.org/officeDocument/2006/relationships/hyperlink" Target="https://www.univ-amu.fr/fr/actualites/aix-marseille-universite-mobilise-pleinement-capacite-dexoneration-continuer-accueillir" TargetMode="External" Id="rId165"/><Relationship Type="http://schemas.openxmlformats.org/officeDocument/2006/relationships/hyperlink" Target="https://formations.univ-amu.fr/fr/master/5SPF/PRSPF5C4" TargetMode="External" Id="rId166"/><Relationship Type="http://schemas.openxmlformats.org/officeDocument/2006/relationships/hyperlink" Target="https://etudesenfrance.diplomatie.gouv.fr/catalogue-formations/formation/54508/site/6655" TargetMode="External" Id="rId167"/><Relationship Type="http://schemas.openxmlformats.org/officeDocument/2006/relationships/hyperlink" Target="https://www.umontpellier.fr/en/international/etudier-a-letranger/etudiants-internationaux-annee-universitaire-2026-2027/" TargetMode="External" Id="rId168"/><Relationship Type="http://schemas.openxmlformats.org/officeDocument/2006/relationships/hyperlink" Target="https://idil.edu.umontpellier.fr/" TargetMode="External" Id="rId169"/><Relationship Type="http://schemas.openxmlformats.org/officeDocument/2006/relationships/hyperlink" Target="https://etudesenfrance.diplomatie.gouv.fr/catalogue-formations/formation/61939/site/6552" TargetMode="External" Id="rId170"/><Relationship Type="http://schemas.openxmlformats.org/officeDocument/2006/relationships/hyperlink" Target="https://www.umontpellier.fr/en/international/etudier-a-letranger/etudiants-internationaux-annee-universitaire-2026-2027/" TargetMode="External" Id="rId171"/><Relationship Type="http://schemas.openxmlformats.org/officeDocument/2006/relationships/hyperlink" Target="https://idil.edu.umontpellier.fr/" TargetMode="External" Id="rId172"/><Relationship Type="http://schemas.openxmlformats.org/officeDocument/2006/relationships/hyperlink" Target="https://etudesenfrance.diplomatie.gouv.fr/catalogue-formations/formation/53585/site/6552" TargetMode="External" Id="rId173"/><Relationship Type="http://schemas.openxmlformats.org/officeDocument/2006/relationships/hyperlink" Target="https://u-paris.fr/droits-dinscription-tarifs-exonerations/" TargetMode="External" Id="rId174"/><Relationship Type="http://schemas.openxmlformats.org/officeDocument/2006/relationships/hyperlink" Target="https://odf.u-paris.fr/fr/offre-de-formation/master-XB/sciences-technologies-sante-STS/sciences-cognitives-K5CBPO1E.html" TargetMode="External" Id="rId175"/><Relationship Type="http://schemas.openxmlformats.org/officeDocument/2006/relationships/hyperlink" Target="https://etudesenfrance.diplomatie.gouv.fr/catalogue-formations/formation/58440/site/7430" TargetMode="External" Id="rId176"/><Relationship Type="http://schemas.openxmlformats.org/officeDocument/2006/relationships/hyperlink" Target="https://www.sorbonne-universite.fr/actualites/le-conseil-dadministration-de-sorbonne-universite-vote-lunanimite-le-7-juillet-2026-sa" TargetMode="External" Id="rId177"/><Relationship Type="http://schemas.openxmlformats.org/officeDocument/2006/relationships/hyperlink" Target="https://sciences.sorbonne-universite.fr/formation-sciences/offre-de-formation/masters/master-sciences-cognitives" TargetMode="External" Id="rId178"/><Relationship Type="http://schemas.openxmlformats.org/officeDocument/2006/relationships/hyperlink" Target="https://etudesenfrance.diplomatie.gouv.fr/catalogue-formations/formation/58440/site/13735" TargetMode="External" Id="rId179"/><Relationship Type="http://schemas.openxmlformats.org/officeDocument/2006/relationships/hyperlink" Target="https://u-paris.fr/droits-dinscription-tarifs-exonerations/" TargetMode="External" Id="rId180"/><Relationship Type="http://schemas.openxmlformats.org/officeDocument/2006/relationships/hyperlink" Target="https://odf.u-paris.fr/fr/offre-de-formation/master-XB/sciences-technologies-sante-STS/sciences-cognitives-K5CBPO1E.html" TargetMode="External" Id="rId181"/><Relationship Type="http://schemas.openxmlformats.org/officeDocument/2006/relationships/hyperlink" Target="https://etudesenfrance.diplomatie.gouv.fr/catalogue-formations/formation/58443/site/7430" TargetMode="External" Id="rId182"/><Relationship Type="http://schemas.openxmlformats.org/officeDocument/2006/relationships/hyperlink" Target="https://www.sorbonne-universite.fr/actualites/le-conseil-dadministration-de-sorbonne-universite-vote-lunanimite-le-7-juillet-2026-sa" TargetMode="External" Id="rId183"/><Relationship Type="http://schemas.openxmlformats.org/officeDocument/2006/relationships/hyperlink" Target="https://sciences.sorbonne-universite.fr/formation-sciences/offre-de-formation/masters/master-sciences-cognitives" TargetMode="External" Id="rId184"/><Relationship Type="http://schemas.openxmlformats.org/officeDocument/2006/relationships/hyperlink" Target="https://etudesenfrance.diplomatie.gouv.fr/catalogue-formations/formation/58443/site/13735" TargetMode="External" Id="rId185"/><Relationship Type="http://schemas.openxmlformats.org/officeDocument/2006/relationships/hyperlink" Target="https://www.univ-amu.fr/fr/actualites/aix-marseille-universite-mobilise-pleinement-capacite-dexoneration-continuer-accueillir" TargetMode="External" Id="rId186"/><Relationship Type="http://schemas.openxmlformats.org/officeDocument/2006/relationships/hyperlink" Target="https://formations.univ-amu.fr/fr/master/5SPF/PRSPF5C4" TargetMode="External" Id="rId187"/><Relationship Type="http://schemas.openxmlformats.org/officeDocument/2006/relationships/hyperlink" Target="https://etudesenfrance.diplomatie.gouv.fr/catalogue-formations/formation/44402/site/6655" TargetMode="External" Id="rId188"/><Relationship Type="http://schemas.openxmlformats.org/officeDocument/2006/relationships/hyperlink" Target="https://odf.univ-spn.fr/fr/offre-de-formation/master-lmd-XB/master-mention-biologie-sante-parcours-therapies-et-technologie-du-vivant-BI4TPH_117.html" TargetMode="External" Id="rId189"/><Relationship Type="http://schemas.openxmlformats.org/officeDocument/2006/relationships/hyperlink" Target="https://etudesenfrance.diplomatie.gouv.fr/catalogue-formations/formation/45027/site/6707" TargetMode="External" Id="rId190"/><Relationship Type="http://schemas.openxmlformats.org/officeDocument/2006/relationships/hyperlink" Target="https://www.unilim.fr/gradschool-ceramics-ict/" TargetMode="External" Id="rId191"/><Relationship Type="http://schemas.openxmlformats.org/officeDocument/2006/relationships/hyperlink" Target="https://etudesenfrance.diplomatie.gouv.fr/catalogue-formations/formation/47622/site/7171" TargetMode="External" Id="rId192"/><Relationship Type="http://schemas.openxmlformats.org/officeDocument/2006/relationships/hyperlink" Target="https://www.unilim.fr/gradschool-ceramics-ict/" TargetMode="External" Id="rId193"/><Relationship Type="http://schemas.openxmlformats.org/officeDocument/2006/relationships/hyperlink" Target="https://etudesenfrance.diplomatie.gouv.fr/catalogue-formations/formation/47825/site/7171" TargetMode="External" Id="rId194"/><Relationship Type="http://schemas.openxmlformats.org/officeDocument/2006/relationships/hyperlink" Target="https://formations.univ-rennes.fr/" TargetMode="External" Id="rId195"/><Relationship Type="http://schemas.openxmlformats.org/officeDocument/2006/relationships/hyperlink" Target="https://etudesenfrance.diplomatie.gouv.fr/catalogue-formations/formation/38228/site/14529" TargetMode="External" Id="rId196"/><Relationship Type="http://schemas.openxmlformats.org/officeDocument/2006/relationships/hyperlink" Target="https://formations.univ-rennes.fr/" TargetMode="External" Id="rId197"/><Relationship Type="http://schemas.openxmlformats.org/officeDocument/2006/relationships/hyperlink" Target="https://etudesenfrance.diplomatie.gouv.fr/catalogue-formations/formation/38227/site/14529" TargetMode="External" Id="rId198"/><Relationship Type="http://schemas.openxmlformats.org/officeDocument/2006/relationships/hyperlink" Target="https://www.unistra.fr/fr/node/8168" TargetMode="External" Id="rId199"/><Relationship Type="http://schemas.openxmlformats.org/officeDocument/2006/relationships/hyperlink" Target="https://etudesenfrance.diplomatie.gouv.fr/catalogue-formations/formation/41770/site/6978" TargetMode="External" Id="rId200"/><Relationship Type="http://schemas.openxmlformats.org/officeDocument/2006/relationships/hyperlink" Target="https://www.unistra.fr/fr/node/8168" TargetMode="External" Id="rId201"/><Relationship Type="http://schemas.openxmlformats.org/officeDocument/2006/relationships/hyperlink" Target="http://sciencesvie.unistra.fr/" TargetMode="External" Id="rId202"/><Relationship Type="http://schemas.openxmlformats.org/officeDocument/2006/relationships/hyperlink" Target="https://etudesenfrance.diplomatie.gouv.fr/catalogue-formations/formation/33656/site/6978" TargetMode="External" Id="rId203"/><Relationship Type="http://schemas.openxmlformats.org/officeDocument/2006/relationships/hyperlink" Target="https://www.utc.fr/formations/diplome-de-master/mention-ingenierie-des-systemes-complexes-isc/parcours-automatique-et-robotique-des-systemes-intelligents-ars/" TargetMode="External" Id="rId204"/><Relationship Type="http://schemas.openxmlformats.org/officeDocument/2006/relationships/hyperlink" Target="https://etudesenfrance.diplomatie.gouv.fr/catalogue-formations/formation/57731/site/11087" TargetMode="External" Id="rId205"/><Relationship Type="http://schemas.openxmlformats.org/officeDocument/2006/relationships/hyperlink" Target="https://www.utc.fr/formations/diplome-de-master/mention-ingenierie-des-systemes-complexes-isc/parcours-systemes-mecatroniques-smt/" TargetMode="External" Id="rId206"/><Relationship Type="http://schemas.openxmlformats.org/officeDocument/2006/relationships/hyperlink" Target="https://etudesenfrance.diplomatie.gouv.fr/catalogue-formations/formation/57734/site/11087" TargetMode="External" Id="rId207"/><Relationship Type="http://schemas.openxmlformats.org/officeDocument/2006/relationships/hyperlink" Target="https://www.sorbonne-universite.fr/actualites/le-conseil-dadministration-de-sorbonne-universite-vote-lunanimite-le-7-juillet-2026-sa" TargetMode="External" Id="rId208"/><Relationship Type="http://schemas.openxmlformats.org/officeDocument/2006/relationships/hyperlink" Target="https://masters-sdi.sorbonne-universite.fr/electronique-energie-electrique-automatique" TargetMode="External" Id="rId209"/><Relationship Type="http://schemas.openxmlformats.org/officeDocument/2006/relationships/hyperlink" Target="https://etudesenfrance.diplomatie.gouv.fr/catalogue-formations/formation/44357/site/13735" TargetMode="External" Id="rId210"/><Relationship Type="http://schemas.openxmlformats.org/officeDocument/2006/relationships/hyperlink" Target="https://www.sorbonne-universite.fr/actualites/le-conseil-dadministration-de-sorbonne-universite-vote-lunanimite-le-7-juillet-2026-sa" TargetMode="External" Id="rId211"/><Relationship Type="http://schemas.openxmlformats.org/officeDocument/2006/relationships/hyperlink" Target="https://masters-sdi.sorbonne-universite.fr/electronique-energie-electrique-automatique" TargetMode="External" Id="rId212"/><Relationship Type="http://schemas.openxmlformats.org/officeDocument/2006/relationships/hyperlink" Target="https://etudesenfrance.diplomatie.gouv.fr/catalogue-formations/formation/44358/site/13735" TargetMode="External" Id="rId213"/><Relationship Type="http://schemas.openxmlformats.org/officeDocument/2006/relationships/hyperlink" Target="https://www.umlp.fr/sites/default/files/2026-07-02-page-droits-differencies-vf.pdf" TargetMode="External" Id="rId214"/><Relationship Type="http://schemas.openxmlformats.org/officeDocument/2006/relationships/hyperlink" Target="https://stgi.umlp.fr/" TargetMode="External" Id="rId215"/><Relationship Type="http://schemas.openxmlformats.org/officeDocument/2006/relationships/hyperlink" Target="https://etudesenfrance.diplomatie.gouv.fr/catalogue-formations/formation/28821/site/10750" TargetMode="External" Id="rId216"/><Relationship Type="http://schemas.openxmlformats.org/officeDocument/2006/relationships/hyperlink" Target="http://www.enseeiht.fr/fr/formation/masters-internationaux-masters-of-science/ees-electrical-energy-systems.html" TargetMode="External" Id="rId217"/><Relationship Type="http://schemas.openxmlformats.org/officeDocument/2006/relationships/hyperlink" Target="https://etudesenfrance.diplomatie.gouv.fr/catalogue-formations/formation/39224/site/6517" TargetMode="External" Id="rId218"/><Relationship Type="http://schemas.openxmlformats.org/officeDocument/2006/relationships/hyperlink" Target="https://www.sorbonne-universite.fr/actualites/le-conseil-dadministration-de-sorbonne-universite-vote-lunanimite-le-7-juillet-2026-sa" TargetMode="External" Id="rId219"/><Relationship Type="http://schemas.openxmlformats.org/officeDocument/2006/relationships/hyperlink" Target="https://sciences.sorbonne-universite.fr/formation-sciences/offre-de-formation/masters/master-informatique/parcours-ima" TargetMode="External" Id="rId220"/><Relationship Type="http://schemas.openxmlformats.org/officeDocument/2006/relationships/hyperlink" Target="https://etudesenfrance.diplomatie.gouv.fr/catalogue-formations/formation/44278/site/13735" TargetMode="External" Id="rId221"/><Relationship Type="http://schemas.openxmlformats.org/officeDocument/2006/relationships/hyperlink" Target="https://u-paris.fr/droits-dinscription-tarifs-exonerations/" TargetMode="External" Id="rId222"/><Relationship Type="http://schemas.openxmlformats.org/officeDocument/2006/relationships/hyperlink" Target="https://odf.u-paris.fr/fr/offre-de-formation/master-XB/sciences-technologies-sante-STS/neurosciences-K2NDMRJL.html" TargetMode="External" Id="rId223"/><Relationship Type="http://schemas.openxmlformats.org/officeDocument/2006/relationships/hyperlink" Target="https://etudesenfrance.diplomatie.gouv.fr/catalogue-formations/formation/44763/site/7430" TargetMode="External" Id="rId224"/><Relationship Type="http://schemas.openxmlformats.org/officeDocument/2006/relationships/hyperlink" Target="https://www.umlp.fr/sites/default/files/2026-07-02-page-droits-differencies-vf.pdf" TargetMode="External" Id="rId225"/><Relationship Type="http://schemas.openxmlformats.org/officeDocument/2006/relationships/hyperlink" Target="https://stgi.umlp.fr/" TargetMode="External" Id="rId226"/><Relationship Type="http://schemas.openxmlformats.org/officeDocument/2006/relationships/hyperlink" Target="https://etudesenfrance.diplomatie.gouv.fr/catalogue-formations/formation/51356/site/10750" TargetMode="External" Id="rId227"/><Relationship Type="http://schemas.openxmlformats.org/officeDocument/2006/relationships/hyperlink" Target="http://www.insa-rennes.fr/" TargetMode="External" Id="rId228"/><Relationship Type="http://schemas.openxmlformats.org/officeDocument/2006/relationships/hyperlink" Target="https://etudesenfrance.diplomatie.gouv.fr/catalogue-formations/formation/17868/site/6797" TargetMode="External" Id="rId229"/><Relationship Type="http://schemas.openxmlformats.org/officeDocument/2006/relationships/hyperlink" Target="http://www.insa-rennes.fr/" TargetMode="External" Id="rId230"/><Relationship Type="http://schemas.openxmlformats.org/officeDocument/2006/relationships/hyperlink" Target="https://etudesenfrance.diplomatie.gouv.fr/catalogue-formations/formation/17866/site/6797" TargetMode="External" Id="rId231"/><Relationship Type="http://schemas.openxmlformats.org/officeDocument/2006/relationships/hyperlink" Target="http://www.insa-rennes.fr/" TargetMode="External" Id="rId232"/><Relationship Type="http://schemas.openxmlformats.org/officeDocument/2006/relationships/hyperlink" Target="https://etudesenfrance.diplomatie.gouv.fr/catalogue-formations/formation/17870/site/6797" TargetMode="External" Id="rId233"/><Relationship Type="http://schemas.openxmlformats.org/officeDocument/2006/relationships/hyperlink" Target="http://www.utt.fr/" TargetMode="External" Id="rId234"/><Relationship Type="http://schemas.openxmlformats.org/officeDocument/2006/relationships/hyperlink" Target="https://etudesenfrance.diplomatie.gouv.fr/catalogue-formations/formation/14365/site/6619" TargetMode="External" Id="rId235"/><Relationship Type="http://schemas.openxmlformats.org/officeDocument/2006/relationships/hyperlink" Target="https://univ-cotedazur.eu/msc/modeling-for-neuronal-and-cognitive-systems" TargetMode="External" Id="rId236"/><Relationship Type="http://schemas.openxmlformats.org/officeDocument/2006/relationships/hyperlink" Target="https://etudesenfrance.diplomatie.gouv.fr/catalogue-formations/formation/41162/site/13709" TargetMode="External" Id="rId237"/><Relationship Type="http://schemas.openxmlformats.org/officeDocument/2006/relationships/hyperlink" Target="https://www.telecom-sudparis.eu/en/formation/master-of-science-electrical-and-optical-engineering/" TargetMode="External" Id="rId238"/><Relationship Type="http://schemas.openxmlformats.org/officeDocument/2006/relationships/hyperlink" Target="https://etudesenfrance.diplomatie.gouv.fr/catalogue-formations/formation/53371/site/6506" TargetMode="External" Id="rId239"/><Relationship Type="http://schemas.openxmlformats.org/officeDocument/2006/relationships/hyperlink" Target="https://www.telecom-sudparis.eu/en/formation/master-of-science-electrical-and-optical-engineering/" TargetMode="External" Id="rId240"/><Relationship Type="http://schemas.openxmlformats.org/officeDocument/2006/relationships/hyperlink" Target="https://etudesenfrance.diplomatie.gouv.fr/catalogue-formations/formation/26178/site/6506" TargetMode="External" Id="rId241"/><Relationship Type="http://schemas.openxmlformats.org/officeDocument/2006/relationships/hyperlink" Target="http://www.isep.fr/" TargetMode="External" Id="rId242"/><Relationship Type="http://schemas.openxmlformats.org/officeDocument/2006/relationships/hyperlink" Target="https://etudesenfrance.diplomatie.gouv.fr/catalogue-formations/formation/18981/site/6867" TargetMode="External" Id="rId243"/><Relationship Type="http://schemas.openxmlformats.org/officeDocument/2006/relationships/hyperlink" Target="http://www.telecom-sudparis.eu/" TargetMode="External" Id="rId244"/><Relationship Type="http://schemas.openxmlformats.org/officeDocument/2006/relationships/hyperlink" Target="https://etudesenfrance.diplomatie.gouv.fr/catalogue-formations/formation/18997/site/6506" TargetMode="External" Id="rId245"/><Relationship Type="http://schemas.openxmlformats.org/officeDocument/2006/relationships/hyperlink" Target="https://etudesenfrance.diplomatie.gouv.fr/catalogue-formations/formation/57323/site/6764" TargetMode="External" Id="rId246"/><Relationship Type="http://schemas.openxmlformats.org/officeDocument/2006/relationships/hyperlink" Target="https://www.ec-nantes.fr/study/masters/data-science-signal-and-image-processing" TargetMode="External" Id="rId247"/><Relationship Type="http://schemas.openxmlformats.org/officeDocument/2006/relationships/hyperlink" Target="https://etudesenfrance.diplomatie.gouv.fr/catalogue-formations/formation/57324/site/6764" TargetMode="External" Id="rId248"/><Relationship Type="http://schemas.openxmlformats.org/officeDocument/2006/relationships/hyperlink" Target="http://www.tsaae.fr/" TargetMode="External" Id="rId249"/><Relationship Type="http://schemas.openxmlformats.org/officeDocument/2006/relationships/hyperlink" Target="https://etudesenfrance.diplomatie.gouv.fr/catalogue-formations/formation/27863/site/6498" TargetMode="External" Id="rId250"/><Relationship Type="http://schemas.openxmlformats.org/officeDocument/2006/relationships/hyperlink" Target="https://www.eurecom.fr/en/teaching/master-networks-and-telecommunication/msc-networks-and-telecommunication-intelligent" TargetMode="External" Id="rId251"/><Relationship Type="http://schemas.openxmlformats.org/officeDocument/2006/relationships/hyperlink" Target="https://etudesenfrance.diplomatie.gouv.fr/catalogue-formations/formation/56811/site/6868" TargetMode="External" Id="rId252"/><Relationship Type="http://schemas.openxmlformats.org/officeDocument/2006/relationships/hyperlink" Target="https://www.eurecom.fr/fr/les-formations/master-en-reseaux-et-telecommunication/master-en-reseaux-et-telecommunication" TargetMode="External" Id="rId253"/><Relationship Type="http://schemas.openxmlformats.org/officeDocument/2006/relationships/hyperlink" Target="https://etudesenfrance.diplomatie.gouv.fr/catalogue-formations/formation/39141/site/6868" TargetMode="External" Id="rId254"/><Relationship Type="http://schemas.openxmlformats.org/officeDocument/2006/relationships/hyperlink" Target="https://www.umlp.fr/sites/default/files/2026-07-02-page-droits-differencies-vf.pdf" TargetMode="External" Id="rId255"/><Relationship Type="http://schemas.openxmlformats.org/officeDocument/2006/relationships/hyperlink" Target="https://gradschool.eiphi.ubfc.fr/?page_id=1357" TargetMode="External" Id="rId256"/><Relationship Type="http://schemas.openxmlformats.org/officeDocument/2006/relationships/hyperlink" Target="https://etudesenfrance.diplomatie.gouv.fr/catalogue-formations/formation/49438/site/6954" TargetMode="External" Id="rId257"/><Relationship Type="http://schemas.openxmlformats.org/officeDocument/2006/relationships/hyperlink" Target="https://www.unilim.fr/gradschool-ceramics-ict/" TargetMode="External" Id="rId258"/><Relationship Type="http://schemas.openxmlformats.org/officeDocument/2006/relationships/hyperlink" Target="https://etudesenfrance.diplomatie.gouv.fr/catalogue-formations/formation/47620/site/7171" TargetMode="External" Id="rId259"/><Relationship Type="http://schemas.openxmlformats.org/officeDocument/2006/relationships/hyperlink" Target="https://etudesenfrance.diplomatie.gouv.fr/catalogue-formations/formation/55270/site/13979" TargetMode="External" Id="rId260"/><Relationship Type="http://schemas.openxmlformats.org/officeDocument/2006/relationships/hyperlink" Target="https://observalgerie.com/2026/06/13/misc/frais-dinscription-en-france-lille-maintient-un-avantage-pour-les-etudiants-etrangers/" TargetMode="External" Id="rId261"/><Relationship Type="http://schemas.openxmlformats.org/officeDocument/2006/relationships/hyperlink" Target="https://formation.univ-lille.fr/fr/offre-de-formation/master-lmd-XB/master-informatique-MG001981/computer-sciences-MX195387.html" TargetMode="External" Id="rId262"/><Relationship Type="http://schemas.openxmlformats.org/officeDocument/2006/relationships/hyperlink" Target="https://etudesenfrance.diplomatie.gouv.fr/catalogue-formations/formation/60987/site/13783" TargetMode="External" Id="rId263"/><Relationship Type="http://schemas.openxmlformats.org/officeDocument/2006/relationships/hyperlink" Target="http://www.ut-capitole.fr/" TargetMode="External" Id="rId264"/><Relationship Type="http://schemas.openxmlformats.org/officeDocument/2006/relationships/hyperlink" Target="https://etudesenfrance.diplomatie.gouv.fr/catalogue-formations/formation/39015/site/7423" TargetMode="External" Id="rId265"/><Relationship Type="http://schemas.openxmlformats.org/officeDocument/2006/relationships/hyperlink" Target="http://cni.istic.univ-rennes.fr/" TargetMode="External" Id="rId266"/><Relationship Type="http://schemas.openxmlformats.org/officeDocument/2006/relationships/hyperlink" Target="https://etudesenfrance.diplomatie.gouv.fr/catalogue-formations/formation/54883/site/6612" TargetMode="External" Id="rId267"/><Relationship Type="http://schemas.openxmlformats.org/officeDocument/2006/relationships/hyperlink" Target="http://www.univ-brest.fr/ufr-sciences" TargetMode="External" Id="rId268"/><Relationship Type="http://schemas.openxmlformats.org/officeDocument/2006/relationships/hyperlink" Target="https://etudesenfrance.diplomatie.gouv.fr/catalogue-formations/formation/45442/site/6955" TargetMode="External" Id="rId269"/><Relationship Type="http://schemas.openxmlformats.org/officeDocument/2006/relationships/hyperlink" Target="https://univ-cotedazur.fr/formation/offre-de-formation/parcours-de-master/master-informatique-m2-parcours-ubinet" TargetMode="External" Id="rId270"/><Relationship Type="http://schemas.openxmlformats.org/officeDocument/2006/relationships/hyperlink" Target="https://etudesenfrance.diplomatie.gouv.fr/catalogue-formations/formation/48437/site/14121" TargetMode="External" Id="rId271"/><Relationship Type="http://schemas.openxmlformats.org/officeDocument/2006/relationships/hyperlink" Target="https://istic.univ-rennes.fr/en/financial-technologies-track-eit-digital-master-school" TargetMode="External" Id="rId272"/><Relationship Type="http://schemas.openxmlformats.org/officeDocument/2006/relationships/hyperlink" Target="https://etudesenfrance.diplomatie.gouv.fr/catalogue-formations/formation/56460/site/6612" TargetMode="External" Id="rId273"/><Relationship Type="http://schemas.openxmlformats.org/officeDocument/2006/relationships/hyperlink" Target="https://observalgerie.com/2026/06/13/misc/frais-dinscription-en-france-lille-maintient-un-avantage-pour-les-etudiants-etrangers/" TargetMode="External" Id="rId274"/><Relationship Type="http://schemas.openxmlformats.org/officeDocument/2006/relationships/hyperlink" Target="https://formation.univ-lille.fr/fr/offre-de-formation/master-lmd-XB/master-informatique-MG001981/computer-sciences-MX195387.html" TargetMode="External" Id="rId275"/><Relationship Type="http://schemas.openxmlformats.org/officeDocument/2006/relationships/hyperlink" Target="https://etudesenfrance.diplomatie.gouv.fr/catalogue-formations/formation/58463/site/13783" TargetMode="External" Id="rId276"/><Relationship Type="http://schemas.openxmlformats.org/officeDocument/2006/relationships/hyperlink" Target="https://observalgerie.com/2026/06/13/misc/frais-dinscription-en-france-lille-maintient-un-avantage-pour-les-etudiants-etrangers/" TargetMode="External" Id="rId277"/><Relationship Type="http://schemas.openxmlformats.org/officeDocument/2006/relationships/hyperlink" Target="https://formation.univ-lille.fr/fr/offre-de-formation/master-lmd-XB/master-science-des-donnees-MG020709/data-science-MX148265.html" TargetMode="External" Id="rId278"/><Relationship Type="http://schemas.openxmlformats.org/officeDocument/2006/relationships/hyperlink" Target="https://etudesenfrance.diplomatie.gouv.fr/catalogue-formations/formation/60991/site/13783" TargetMode="External" Id="rId279"/><Relationship Type="http://schemas.openxmlformats.org/officeDocument/2006/relationships/hyperlink" Target="https://www.sorbonne-universite.fr/actualites/le-conseil-dadministration-de-sorbonne-universite-vote-lunanimite-le-7-juillet-2026-sa" TargetMode="External" Id="rId280"/><Relationship Type="http://schemas.openxmlformats.org/officeDocument/2006/relationships/hyperlink" Target="https://sciences.sorbonne-universite.fr/en/masters/master-computer-science/qi" TargetMode="External" Id="rId281"/><Relationship Type="http://schemas.openxmlformats.org/officeDocument/2006/relationships/hyperlink" Target="https://etudesenfrance.diplomatie.gouv.fr/catalogue-formations/formation/50787/site/13735" TargetMode="External" Id="rId282"/><Relationship Type="http://schemas.openxmlformats.org/officeDocument/2006/relationships/hyperlink" Target="https://www.sorbonne-universite.fr/actualites/le-conseil-dadministration-de-sorbonne-universite-vote-lunanimite-le-7-juillet-2026-sa" TargetMode="External" Id="rId283"/><Relationship Type="http://schemas.openxmlformats.org/officeDocument/2006/relationships/hyperlink" Target="https://sciences.sorbonne-universite.fr/en/formation-sciences/masters/master-informatique/digit-international" TargetMode="External" Id="rId284"/><Relationship Type="http://schemas.openxmlformats.org/officeDocument/2006/relationships/hyperlink" Target="https://etudesenfrance.diplomatie.gouv.fr/catalogue-formations/formation/50786/site/13735" TargetMode="External" Id="rId285"/><Relationship Type="http://schemas.openxmlformats.org/officeDocument/2006/relationships/hyperlink" Target="https://www.sorbonne-universite.fr/actualites/le-conseil-dadministration-de-sorbonne-universite-vote-lunanimite-le-7-juillet-2026-sa" TargetMode="External" Id="rId286"/><Relationship Type="http://schemas.openxmlformats.org/officeDocument/2006/relationships/hyperlink" Target="https://sciences.sorbonne-universite.fr/en/Masters/masters-degree-mathematics-and-applications/masters-high-performance-computing-hpc" TargetMode="External" Id="rId287"/><Relationship Type="http://schemas.openxmlformats.org/officeDocument/2006/relationships/hyperlink" Target="https://etudesenfrance.diplomatie.gouv.fr/catalogue-formations/formation/53213/site/13735" TargetMode="External" Id="rId288"/><Relationship Type="http://schemas.openxmlformats.org/officeDocument/2006/relationships/hyperlink" Target="https://www.univ-grenoble-alpes.fr/actualites/a-la-une/actualites-universite/etudiants-internationaux-ce-que-change-le-nouveau-decret-sur-les-droits-d-inscription-a-l-uga-1775870.kjsp" TargetMode="External" Id="rId289"/><Relationship Type="http://schemas.openxmlformats.org/officeDocument/2006/relationships/hyperlink" Target="https://m-ai.imag.fr/" TargetMode="External" Id="rId290"/><Relationship Type="http://schemas.openxmlformats.org/officeDocument/2006/relationships/hyperlink" Target="https://etudesenfrance.diplomatie.gouv.fr/catalogue-formations/formation/58324/site/6768" TargetMode="External" Id="rId291"/><Relationship Type="http://schemas.openxmlformats.org/officeDocument/2006/relationships/hyperlink" Target="https://formations.uphf.fr/fr/formations/master-master/master-informatique-KZZQ4B8O/information-technology-for-smart-and-sustainable-mobility-it4ssm-eunice-alliance-LS4R6Q1G.html" TargetMode="External" Id="rId292"/><Relationship Type="http://schemas.openxmlformats.org/officeDocument/2006/relationships/hyperlink" Target="https://etudesenfrance.diplomatie.gouv.fr/catalogue-formations/formation/60175/site/13986" TargetMode="External" Id="rId293"/><Relationship Type="http://schemas.openxmlformats.org/officeDocument/2006/relationships/hyperlink" Target="https://www.univ-grenoble-alpes.fr/actualites/a-la-une/actualites-universite/etudiants-internationaux-ce-que-change-le-nouveau-decret-sur-les-droits-d-inscription-a-l-uga-1775870.kjsp" TargetMode="External" Id="rId294"/><Relationship Type="http://schemas.openxmlformats.org/officeDocument/2006/relationships/hyperlink" Target="https://mosig.imag.fr/" TargetMode="External" Id="rId295"/><Relationship Type="http://schemas.openxmlformats.org/officeDocument/2006/relationships/hyperlink" Target="https://etudesenfrance.diplomatie.gouv.fr/catalogue-formations/formation/39027/site/6768" TargetMode="External" Id="rId296"/><Relationship Type="http://schemas.openxmlformats.org/officeDocument/2006/relationships/hyperlink" Target="https://www.univ-grenoble-alpes.fr/actualites/a-la-une/actualites-universite/etudiants-internationaux-ce-que-change-le-nouveau-decret-sur-les-droits-d-inscription-a-l-uga-1775870.kjsp" TargetMode="External" Id="rId297"/><Relationship Type="http://schemas.openxmlformats.org/officeDocument/2006/relationships/hyperlink" Target="https://m-ai.imag.fr/" TargetMode="External" Id="rId298"/><Relationship Type="http://schemas.openxmlformats.org/officeDocument/2006/relationships/hyperlink" Target="https://etudesenfrance.diplomatie.gouv.fr/catalogue-formations/formation/61825/site/6528" TargetMode="External" Id="rId299"/><Relationship Type="http://schemas.openxmlformats.org/officeDocument/2006/relationships/hyperlink" Target="https://www.univ-grenoble-alpes.fr/actualites/a-la-une/actualites-universite/etudiants-internationaux-ce-que-change-le-nouveau-decret-sur-les-droits-d-inscription-a-l-uga-1775870.kjsp" TargetMode="External" Id="rId300"/><Relationship Type="http://schemas.openxmlformats.org/officeDocument/2006/relationships/hyperlink" Target="https://im2ag.univ-grenoble-alpes.fr/formation/offre-de-formation/" TargetMode="External" Id="rId301"/><Relationship Type="http://schemas.openxmlformats.org/officeDocument/2006/relationships/hyperlink" Target="https://etudesenfrance.diplomatie.gouv.fr/catalogue-formations/formation/61798/site/6528" TargetMode="External" Id="rId302"/><Relationship Type="http://schemas.openxmlformats.org/officeDocument/2006/relationships/hyperlink" Target="https://www.umlp.fr/sites/default/files/2026-07-02-page-droits-differencies-vf.pdf" TargetMode="External" Id="rId303"/><Relationship Type="http://schemas.openxmlformats.org/officeDocument/2006/relationships/hyperlink" Target="https://taughtie.campusfrance.org/tiesearch/" TargetMode="External" Id="rId304"/><Relationship Type="http://schemas.openxmlformats.org/officeDocument/2006/relationships/hyperlink" Target="https://etudesenfrance.diplomatie.gouv.fr/catalogue-formations/formation/60855/site/6954" TargetMode="External" Id="rId305"/><Relationship Type="http://schemas.openxmlformats.org/officeDocument/2006/relationships/hyperlink" Target="https://www.univ-grenoble-alpes.fr/actualites/a-la-une/actualites-universite/etudiants-internationaux-ce-que-change-le-nouveau-decret-sur-les-droits-d-inscription-a-l-uga-1775870.kjsp" TargetMode="External" Id="rId306"/><Relationship Type="http://schemas.openxmlformats.org/officeDocument/2006/relationships/hyperlink" Target="https://mosig.imag.fr/" TargetMode="External" Id="rId307"/><Relationship Type="http://schemas.openxmlformats.org/officeDocument/2006/relationships/hyperlink" Target="https://etudesenfrance.diplomatie.gouv.fr/catalogue-formations/formation/61801/site/6528" TargetMode="External" Id="rId308"/><Relationship Type="http://schemas.openxmlformats.org/officeDocument/2006/relationships/hyperlink" Target="https://www.uca.fr/medias/fichier/delib-ca-20251205-15-tarifs-differencies_1765204050111-pdf" TargetMode="External" Id="rId309"/><Relationship Type="http://schemas.openxmlformats.org/officeDocument/2006/relationships/hyperlink" Target="https://www.uca.fr/formation/nos-formations/catalogue-des-formations/master-info" TargetMode="External" Id="rId310"/><Relationship Type="http://schemas.openxmlformats.org/officeDocument/2006/relationships/hyperlink" Target="https://etudesenfrance.diplomatie.gouv.fr/catalogue-formations/formation/35535/site/6876" TargetMode="External" Id="rId311"/><Relationship Type="http://schemas.openxmlformats.org/officeDocument/2006/relationships/hyperlink" Target="https://www.umlp.fr/sites/default/files/2026-07-02-page-droits-differencies-vf.pdf" TargetMode="External" Id="rId312"/><Relationship Type="http://schemas.openxmlformats.org/officeDocument/2006/relationships/hyperlink" Target="https://taughtie.campusfrance.org/tiesearch/" TargetMode="External" Id="rId313"/><Relationship Type="http://schemas.openxmlformats.org/officeDocument/2006/relationships/hyperlink" Target="https://etudesenfrance.diplomatie.gouv.fr/catalogue-formations/formation/60857/site/6954" TargetMode="External" Id="rId314"/><Relationship Type="http://schemas.openxmlformats.org/officeDocument/2006/relationships/hyperlink" Target="https://formations.uphf.fr/fr/formations/master-master/master-informatique-KZZQ4B8O/information-technology-for-smart-and-sustainable-mobility-it4ssm-eunice-alliance-LS4R6Q1G.html" TargetMode="External" Id="rId315"/><Relationship Type="http://schemas.openxmlformats.org/officeDocument/2006/relationships/hyperlink" Target="https://etudesenfrance.diplomatie.gouv.fr/catalogue-formations/formation/60106/site/13986" TargetMode="External" Id="rId316"/><Relationship Type="http://schemas.openxmlformats.org/officeDocument/2006/relationships/hyperlink" Target="https://formation.univ-pau.fr/fr/catalogue/master-XB/master-mention-mathematiques-et-applications-L3Y9AGO1/parcours-methodes-stochastiques-et-informatiques-pour-la-decision-L3Y9BRCU.html" TargetMode="External" Id="rId317"/><Relationship Type="http://schemas.openxmlformats.org/officeDocument/2006/relationships/hyperlink" Target="https://etudesenfrance.diplomatie.gouv.fr/catalogue-formations/formation/31533/site/13758" TargetMode="External" Id="rId318"/><Relationship Type="http://schemas.openxmlformats.org/officeDocument/2006/relationships/hyperlink" Target="https://sciences-techniques.univ-nantes.fr/formations/masters/graduate-programme-smart-computing-master-level" TargetMode="External" Id="rId319"/><Relationship Type="http://schemas.openxmlformats.org/officeDocument/2006/relationships/hyperlink" Target="https://etudesenfrance.diplomatie.gouv.fr/catalogue-formations/formation/55343/site/6543" TargetMode="External" Id="rId320"/><Relationship Type="http://schemas.openxmlformats.org/officeDocument/2006/relationships/hyperlink" Target="https://univ-cotedazur.fr/formation/offre-de-formation/parcours-de-master/master-informatique-parcours-intelligence-artificielle" TargetMode="External" Id="rId321"/><Relationship Type="http://schemas.openxmlformats.org/officeDocument/2006/relationships/hyperlink" Target="https://etudesenfrance.diplomatie.gouv.fr/catalogue-formations/formation/54549/site/14121" TargetMode="External" Id="rId322"/><Relationship Type="http://schemas.openxmlformats.org/officeDocument/2006/relationships/hyperlink" Target="https://ai4ci.eu/" TargetMode="External" Id="rId323"/><Relationship Type="http://schemas.openxmlformats.org/officeDocument/2006/relationships/hyperlink" Target="https://etudesenfrance.diplomatie.gouv.fr/catalogue-formations/formation/56541/site/11486" TargetMode="External" Id="rId324"/><Relationship Type="http://schemas.openxmlformats.org/officeDocument/2006/relationships/hyperlink" Target="https://univ-cotedazur.fr/formation/offre-de-formation/parcours-de-master/master-informatique-parcours-systemes-logiciels-et-calculs-distribues" TargetMode="External" Id="rId325"/><Relationship Type="http://schemas.openxmlformats.org/officeDocument/2006/relationships/hyperlink" Target="https://etudesenfrance.diplomatie.gouv.fr/catalogue-formations/formation/61618/site/14121" TargetMode="External" Id="rId326"/><Relationship Type="http://schemas.openxmlformats.org/officeDocument/2006/relationships/hyperlink" Target="https://etudesenfrance.diplomatie.gouv.fr/catalogue-formations/formation/56263/site/11087" TargetMode="External" Id="rId327"/><Relationship Type="http://schemas.openxmlformats.org/officeDocument/2006/relationships/hyperlink" Target="https://formations.ube.fr/fr/offre-de-formation/master-XB/master-informatique-LMGC26NA/sante-et-intelligence-artificielle-health-ai-LMGEPLWL.html" TargetMode="External" Id="rId328"/><Relationship Type="http://schemas.openxmlformats.org/officeDocument/2006/relationships/hyperlink" Target="https://etudesenfrance.diplomatie.gouv.fr/catalogue-formations/formation/60257/site/6538" TargetMode="External" Id="rId329"/><Relationship Type="http://schemas.openxmlformats.org/officeDocument/2006/relationships/hyperlink" Target="http://www.insa-rennes.fr/" TargetMode="External" Id="rId330"/><Relationship Type="http://schemas.openxmlformats.org/officeDocument/2006/relationships/hyperlink" Target="https://etudesenfrance.diplomatie.gouv.fr/catalogue-formations/formation/17865/site/6797" TargetMode="External" Id="rId331"/><Relationship Type="http://schemas.openxmlformats.org/officeDocument/2006/relationships/hyperlink" Target="http://www.insa-rennes.fr/" TargetMode="External" Id="rId332"/><Relationship Type="http://schemas.openxmlformats.org/officeDocument/2006/relationships/hyperlink" Target="https://etudesenfrance.diplomatie.gouv.fr/catalogue-formations/formation/17871/site/6797" TargetMode="External" Id="rId333"/><Relationship Type="http://schemas.openxmlformats.org/officeDocument/2006/relationships/hyperlink" Target="http://www.utt.fr/" TargetMode="External" Id="rId334"/><Relationship Type="http://schemas.openxmlformats.org/officeDocument/2006/relationships/hyperlink" Target="https://etudesenfrance.diplomatie.gouv.fr/catalogue-formations/formation/14369/site/6619" TargetMode="External" Id="rId335"/><Relationship Type="http://schemas.openxmlformats.org/officeDocument/2006/relationships/hyperlink" Target="https://univ-cotedazur.eu/msc/msc-data-science-and-artificial-intelligence" TargetMode="External" Id="rId336"/><Relationship Type="http://schemas.openxmlformats.org/officeDocument/2006/relationships/hyperlink" Target="https://etudesenfrance.diplomatie.gouv.fr/catalogue-formations/formation/56214/site/13709" TargetMode="External" Id="rId337"/><Relationship Type="http://schemas.openxmlformats.org/officeDocument/2006/relationships/hyperlink" Target="https://www.imt-atlantique.fr/en/study/masters/msc/it-cybersecurity" TargetMode="External" Id="rId338"/><Relationship Type="http://schemas.openxmlformats.org/officeDocument/2006/relationships/hyperlink" Target="https://etudesenfrance.diplomatie.gouv.fr/catalogue-formations/formation/27867/site/13749" TargetMode="External" Id="rId339"/><Relationship Type="http://schemas.openxmlformats.org/officeDocument/2006/relationships/hyperlink" Target="https://www.imt-atlantique.fr/en/study/msc/it-ds" TargetMode="External" Id="rId340"/><Relationship Type="http://schemas.openxmlformats.org/officeDocument/2006/relationships/hyperlink" Target="https://etudesenfrance.diplomatie.gouv.fr/catalogue-formations/formation/27866/site/6501" TargetMode="External" Id="rId341"/><Relationship Type="http://schemas.openxmlformats.org/officeDocument/2006/relationships/hyperlink" Target="https://www.telecom-sudparis.eu/formation/mastere-specialise-cybersecurite/" TargetMode="External" Id="rId342"/><Relationship Type="http://schemas.openxmlformats.org/officeDocument/2006/relationships/hyperlink" Target="https://etudesenfrance.diplomatie.gouv.fr/catalogue-formations/formation/45164/site/13908" TargetMode="External" Id="rId343"/><Relationship Type="http://schemas.openxmlformats.org/officeDocument/2006/relationships/hyperlink" Target="https://www.telecom-sudparis.eu/formation/mastere-specialise-reseaux-services/" TargetMode="External" Id="rId344"/><Relationship Type="http://schemas.openxmlformats.org/officeDocument/2006/relationships/hyperlink" Target="https://etudesenfrance.diplomatie.gouv.fr/catalogue-formations/formation/19517/site/6506" TargetMode="External" Id="rId345"/><Relationship Type="http://schemas.openxmlformats.org/officeDocument/2006/relationships/hyperlink" Target="https://www.cesi.fr/en/trainings/master-degree-in-computer-science/" TargetMode="External" Id="rId346"/><Relationship Type="http://schemas.openxmlformats.org/officeDocument/2006/relationships/hyperlink" Target="https://etudesenfrance.diplomatie.gouv.fr/catalogue-formations/formation/56880/site/13772" TargetMode="External" Id="rId347"/><Relationship Type="http://schemas.openxmlformats.org/officeDocument/2006/relationships/hyperlink" Target="https://www.cesi.fr/en/trainings/master-degree-in-computer-science/" TargetMode="External" Id="rId348"/><Relationship Type="http://schemas.openxmlformats.org/officeDocument/2006/relationships/hyperlink" Target="https://etudesenfrance.diplomatie.gouv.fr/catalogue-formations/formation/56880/site/13771" TargetMode="External" Id="rId349"/><Relationship Type="http://schemas.openxmlformats.org/officeDocument/2006/relationships/hyperlink" Target="https://www.cesi.fr/en/trainings/master-degree-in-computer-science/" TargetMode="External" Id="rId350"/><Relationship Type="http://schemas.openxmlformats.org/officeDocument/2006/relationships/hyperlink" Target="https://etudesenfrance.diplomatie.gouv.fr/catalogue-formations/formation/56880/site/13766" TargetMode="External" Id="rId351"/><Relationship Type="http://schemas.openxmlformats.org/officeDocument/2006/relationships/hyperlink" Target="https://www.cesi.fr/en/trainings/master-degree-in-computer-science/" TargetMode="External" Id="rId352"/><Relationship Type="http://schemas.openxmlformats.org/officeDocument/2006/relationships/hyperlink" Target="https://etudesenfrance.diplomatie.gouv.fr/catalogue-formations/formation/56880/site/13767" TargetMode="External" Id="rId353"/><Relationship Type="http://schemas.openxmlformats.org/officeDocument/2006/relationships/hyperlink" Target="https://www.cesi.fr/en/trainings/master-degree-in-computer-science/" TargetMode="External" Id="rId354"/><Relationship Type="http://schemas.openxmlformats.org/officeDocument/2006/relationships/hyperlink" Target="https://etudesenfrance.diplomatie.gouv.fr/catalogue-formations/formation/56880/site/13764" TargetMode="External" Id="rId355"/><Relationship Type="http://schemas.openxmlformats.org/officeDocument/2006/relationships/hyperlink" Target="https://www.cesi.fr/en/trainings/master-degree-in-computer-science/" TargetMode="External" Id="rId356"/><Relationship Type="http://schemas.openxmlformats.org/officeDocument/2006/relationships/hyperlink" Target="https://etudesenfrance.diplomatie.gouv.fr/catalogue-formations/formation/56880/site/13860" TargetMode="External" Id="rId357"/><Relationship Type="http://schemas.openxmlformats.org/officeDocument/2006/relationships/hyperlink" Target="https://www.cesi.fr/formation/ingenieur-e-specialite-informatique-sous-statut-etudiant-2019208/" TargetMode="External" Id="rId358"/><Relationship Type="http://schemas.openxmlformats.org/officeDocument/2006/relationships/hyperlink" Target="https://etudesenfrance.diplomatie.gouv.fr/catalogue-formations/formation/59672/site/13962" TargetMode="External" Id="rId359"/><Relationship Type="http://schemas.openxmlformats.org/officeDocument/2006/relationships/hyperlink" Target="https://www.esiee.fr/en/programmes/international-programmes/artificial-intelligence-and-cybersecurity" TargetMode="External" Id="rId360"/><Relationship Type="http://schemas.openxmlformats.org/officeDocument/2006/relationships/hyperlink" Target="https://etudesenfrance.diplomatie.gouv.fr/catalogue-formations/formation/27747/site/6475" TargetMode="External" Id="rId361"/><Relationship Type="http://schemas.openxmlformats.org/officeDocument/2006/relationships/hyperlink" Target="https://en.esaip.org/" TargetMode="External" Id="rId362"/><Relationship Type="http://schemas.openxmlformats.org/officeDocument/2006/relationships/hyperlink" Target="https://etudesenfrance.diplomatie.gouv.fr/catalogue-formations/formation/55172/site/6756" TargetMode="External" Id="rId363"/><Relationship Type="http://schemas.openxmlformats.org/officeDocument/2006/relationships/hyperlink" Target="https://www.cesi.fr/programmes/cursus-ingenieur-3-ans/" TargetMode="External" Id="rId364"/><Relationship Type="http://schemas.openxmlformats.org/officeDocument/2006/relationships/hyperlink" Target="https://etudesenfrance.diplomatie.gouv.fr/catalogue-formations/formation/51545/site/13766" TargetMode="External" Id="rId365"/><Relationship Type="http://schemas.openxmlformats.org/officeDocument/2006/relationships/hyperlink" Target="https://www.cesi.fr/en/trainings/master-degree-in-computer-science/" TargetMode="External" Id="rId366"/><Relationship Type="http://schemas.openxmlformats.org/officeDocument/2006/relationships/hyperlink" Target="https://etudesenfrance.diplomatie.gouv.fr/catalogue-formations/formation/51545/site/13771" TargetMode="External" Id="rId367"/><Relationship Type="http://schemas.openxmlformats.org/officeDocument/2006/relationships/hyperlink" Target="https://www.cesi.fr/programmes/cursus-ingenieur-3-ans/" TargetMode="External" Id="rId368"/><Relationship Type="http://schemas.openxmlformats.org/officeDocument/2006/relationships/hyperlink" Target="https://etudesenfrance.diplomatie.gouv.fr/catalogue-formations/formation/51545/site/13860" TargetMode="External" Id="rId369"/><Relationship Type="http://schemas.openxmlformats.org/officeDocument/2006/relationships/hyperlink" Target="https://www.junia.com/en/academics/master-of-science-and-engineering-in-data-and-artificial-intelligence/" TargetMode="External" Id="rId370"/><Relationship Type="http://schemas.openxmlformats.org/officeDocument/2006/relationships/hyperlink" Target="https://etudesenfrance.diplomatie.gouv.fr/catalogue-formations/formation/57036/site/14123" TargetMode="External" Id="rId371"/><Relationship Type="http://schemas.openxmlformats.org/officeDocument/2006/relationships/hyperlink" Target="https://www.junia.com/en/academics/master-of-science-and-engineering-in-information-systems-and-software-engineering/" TargetMode="External" Id="rId372"/><Relationship Type="http://schemas.openxmlformats.org/officeDocument/2006/relationships/hyperlink" Target="https://etudesenfrance.diplomatie.gouv.fr/catalogue-formations/formation/50598/site/14123" TargetMode="External" Id="rId373"/><Relationship Type="http://schemas.openxmlformats.org/officeDocument/2006/relationships/hyperlink" Target="https://www.centrale-mediterranee.fr/fr/formation/masters/master-science-and-technology-complex-systems-engineering-msct-cse" TargetMode="External" Id="rId374"/><Relationship Type="http://schemas.openxmlformats.org/officeDocument/2006/relationships/hyperlink" Target="https://etudesenfrance.diplomatie.gouv.fr/catalogue-formations/formation/45190/site/6733" TargetMode="External" Id="rId375"/><Relationship Type="http://schemas.openxmlformats.org/officeDocument/2006/relationships/hyperlink" Target="https://www.cesi.fr/programmes/cursus-ingenieur-3-ans/" TargetMode="External" Id="rId376"/><Relationship Type="http://schemas.openxmlformats.org/officeDocument/2006/relationships/hyperlink" Target="https://etudesenfrance.diplomatie.gouv.fr/catalogue-formations/formation/51545/site/13773" TargetMode="External" Id="rId377"/><Relationship Type="http://schemas.openxmlformats.org/officeDocument/2006/relationships/hyperlink" Target="https://www.cesi.fr/programmes/cursus-ingenieur-3-ans/" TargetMode="External" Id="rId378"/><Relationship Type="http://schemas.openxmlformats.org/officeDocument/2006/relationships/hyperlink" Target="https://etudesenfrance.diplomatie.gouv.fr/catalogue-formations/formation/51545/site/13767" TargetMode="External" Id="rId379"/><Relationship Type="http://schemas.openxmlformats.org/officeDocument/2006/relationships/hyperlink" Target="https://www.cesi.fr/programmes/cursus-ingenieur-3-ans/" TargetMode="External" Id="rId380"/><Relationship Type="http://schemas.openxmlformats.org/officeDocument/2006/relationships/hyperlink" Target="https://etudesenfrance.diplomatie.gouv.fr/catalogue-formations/formation/51545/site/13764" TargetMode="External" Id="rId381"/><Relationship Type="http://schemas.openxmlformats.org/officeDocument/2006/relationships/hyperlink" Target="https://etudesenfrance.diplomatie.gouv.fr/catalogue-formations/formation/51545/site/13772" TargetMode="External" Id="rId382"/><Relationship Type="http://schemas.openxmlformats.org/officeDocument/2006/relationships/hyperlink" Target="https://www.fges.fr/formations/master-cyber/" TargetMode="External" Id="rId383"/><Relationship Type="http://schemas.openxmlformats.org/officeDocument/2006/relationships/hyperlink" Target="https://etudesenfrance.diplomatie.gouv.fr/catalogue-formations/formation/51361/site/11140" TargetMode="External" Id="rId384"/><Relationship Type="http://schemas.openxmlformats.org/officeDocument/2006/relationships/hyperlink" Target="https://www.fges.fr/formations/master-data-intelligence-artificielle/" TargetMode="External" Id="rId385"/><Relationship Type="http://schemas.openxmlformats.org/officeDocument/2006/relationships/hyperlink" Target="https://etudesenfrance.diplomatie.gouv.fr/catalogue-formations/formation/51360/site/11140" TargetMode="External" Id="rId386"/><Relationship Type="http://schemas.openxmlformats.org/officeDocument/2006/relationships/hyperlink" Target="http://www.enac.fr/" TargetMode="External" Id="rId387"/><Relationship Type="http://schemas.openxmlformats.org/officeDocument/2006/relationships/hyperlink" Target="https://etudesenfrance.diplomatie.gouv.fr/catalogue-formations/formation/26253/site/6498" TargetMode="External" Id="rId388"/><Relationship Type="http://schemas.openxmlformats.org/officeDocument/2006/relationships/hyperlink" Target="https://etudesenfrance.diplomatie.gouv.fr/catalogue-formations/formation/57296/site/11090" TargetMode="External" Id="rId389"/><Relationship Type="http://schemas.openxmlformats.org/officeDocument/2006/relationships/hyperlink" Target="http://www.esigelec.fr/" TargetMode="External" Id="rId390"/><Relationship Type="http://schemas.openxmlformats.org/officeDocument/2006/relationships/hyperlink" Target="https://etudesenfrance.diplomatie.gouv.fr/catalogue-formations/formation/28537/site/10955" TargetMode="External" Id="rId391"/><Relationship Type="http://schemas.openxmlformats.org/officeDocument/2006/relationships/hyperlink" Target="https://etudesenfrance.diplomatie.gouv.fr/catalogue-formations/formation/47258/site/11329" TargetMode="External" Id="rId392"/><Relationship Type="http://schemas.openxmlformats.org/officeDocument/2006/relationships/hyperlink" Target="https://etudesenfrance.diplomatie.gouv.fr/catalogue-formations/formation/47259/site/11329" TargetMode="External" Id="rId393"/><Relationship Type="http://schemas.openxmlformats.org/officeDocument/2006/relationships/hyperlink" Target="https://etudesenfrance.diplomatie.gouv.fr/catalogue-formations/formation/47257/site/11329" TargetMode="External" Id="rId394"/><Relationship Type="http://schemas.openxmlformats.org/officeDocument/2006/relationships/hyperlink" Target="https://www.insa-lyon.fr/fr/formation/master-minds-ia" TargetMode="External" Id="rId395"/><Relationship Type="http://schemas.openxmlformats.org/officeDocument/2006/relationships/hyperlink" Target="https://etudesenfrance.diplomatie.gouv.fr/catalogue-formations/formation/57253/site/6504" TargetMode="External" Id="rId396"/><Relationship Type="http://schemas.openxmlformats.org/officeDocument/2006/relationships/hyperlink" Target="https://www.centralesupelec.fr/programmes/master-science-artificial-intelligence" TargetMode="External" Id="rId397"/><Relationship Type="http://schemas.openxmlformats.org/officeDocument/2006/relationships/hyperlink" Target="https://etudesenfrance.diplomatie.gouv.fr/catalogue-formations/formation/60589/site/13682" TargetMode="External" Id="rId398"/><Relationship Type="http://schemas.openxmlformats.org/officeDocument/2006/relationships/hyperlink" Target="https://bit.ly/2ODB04w" TargetMode="External" Id="rId399"/><Relationship Type="http://schemas.openxmlformats.org/officeDocument/2006/relationships/hyperlink" Target="https://etudesenfrance.diplomatie.gouv.fr/catalogue-formations/formation/43238/site/6722" TargetMode="External" Id="rId400"/><Relationship Type="http://schemas.openxmlformats.org/officeDocument/2006/relationships/hyperlink" Target="https://www.tsaae.fr/" TargetMode="External" Id="rId401"/><Relationship Type="http://schemas.openxmlformats.org/officeDocument/2006/relationships/hyperlink" Target="https://etudesenfrance.diplomatie.gouv.fr/catalogue-formations/formation/27801/site/6489" TargetMode="External" Id="rId402"/><Relationship Type="http://schemas.openxmlformats.org/officeDocument/2006/relationships/hyperlink" Target="https://www.tsaae.fr/" TargetMode="External" Id="rId403"/><Relationship Type="http://schemas.openxmlformats.org/officeDocument/2006/relationships/hyperlink" Target="https://etudesenfrance.diplomatie.gouv.fr/catalogue-formations/formation/25579/site/6489" TargetMode="External" Id="rId404"/><Relationship Type="http://schemas.openxmlformats.org/officeDocument/2006/relationships/hyperlink" Target="https://www.tsaae.fr/" TargetMode="External" Id="rId405"/><Relationship Type="http://schemas.openxmlformats.org/officeDocument/2006/relationships/hyperlink" Target="https://etudesenfrance.diplomatie.gouv.fr/catalogue-formations/formation/26256/site/6489" TargetMode="External" Id="rId406"/><Relationship Type="http://schemas.openxmlformats.org/officeDocument/2006/relationships/hyperlink" Target="https://www.tsaae.fr/" TargetMode="External" Id="rId407"/><Relationship Type="http://schemas.openxmlformats.org/officeDocument/2006/relationships/hyperlink" Target="https://etudesenfrance.diplomatie.gouv.fr/catalogue-formations/formation/27803/site/6489" TargetMode="External" Id="rId408"/><Relationship Type="http://schemas.openxmlformats.org/officeDocument/2006/relationships/hyperlink" Target="https://www.epita.fr/en" TargetMode="External" Id="rId409"/><Relationship Type="http://schemas.openxmlformats.org/officeDocument/2006/relationships/hyperlink" Target="https://etudesenfrance.diplomatie.gouv.fr/catalogue-formations/formation/45355/site/11329" TargetMode="External" Id="rId410"/><Relationship Type="http://schemas.openxmlformats.org/officeDocument/2006/relationships/hyperlink" Target="https://www.eurecom.fr/en/teaching/master-computer-science/msc-computer-science-data-science-track" TargetMode="External" Id="rId411"/><Relationship Type="http://schemas.openxmlformats.org/officeDocument/2006/relationships/hyperlink" Target="https://etudesenfrance.diplomatie.gouv.fr/catalogue-formations/formation/56818/site/6868" TargetMode="External" Id="rId412"/><Relationship Type="http://schemas.openxmlformats.org/officeDocument/2006/relationships/hyperlink" Target="https://www.eurecom.fr/en/teaching/master-computer-science/msc-computer-science-digital-security-track" TargetMode="External" Id="rId413"/><Relationship Type="http://schemas.openxmlformats.org/officeDocument/2006/relationships/hyperlink" Target="https://etudesenfrance.diplomatie.gouv.fr/catalogue-formations/formation/56814/site/6868" TargetMode="External" Id="rId414"/><Relationship Type="http://schemas.openxmlformats.org/officeDocument/2006/relationships/hyperlink" Target="https://www.eurecom.fr/fr/les-formations/master-en-informatique/master-en-informatique-parcours-science-des-donnees" TargetMode="External" Id="rId415"/><Relationship Type="http://schemas.openxmlformats.org/officeDocument/2006/relationships/hyperlink" Target="https://etudesenfrance.diplomatie.gouv.fr/catalogue-formations/formation/60048/site/6868" TargetMode="External" Id="rId416"/><Relationship Type="http://schemas.openxmlformats.org/officeDocument/2006/relationships/hyperlink" Target="https://www.eurecom.fr/fr/les-formations/master-en-informatique/master-en-informatique-parcours-securite-numerique" TargetMode="External" Id="rId417"/><Relationship Type="http://schemas.openxmlformats.org/officeDocument/2006/relationships/hyperlink" Target="https://etudesenfrance.diplomatie.gouv.fr/catalogue-formations/formation/56784/site/6868" TargetMode="External" Id="rId418"/><Relationship Type="http://schemas.openxmlformats.org/officeDocument/2006/relationships/hyperlink" Target="https://doctorat.u-bordeaux.fr/en/before-phd/graduate-programs/cancer-biology" TargetMode="External" Id="rId419"/><Relationship Type="http://schemas.openxmlformats.org/officeDocument/2006/relationships/hyperlink" Target="https://etudesenfrance.diplomatie.gouv.fr/catalogue-formations/formation/45693/site/6682" TargetMode="External" Id="rId420"/><Relationship Type="http://schemas.openxmlformats.org/officeDocument/2006/relationships/hyperlink" Target="https://msc-inp-insa-toulouse.fr/master-fluids-engineering-for-industrial-processes/" TargetMode="External" Id="rId421"/><Relationship Type="http://schemas.openxmlformats.org/officeDocument/2006/relationships/hyperlink" Target="https://etudesenfrance.diplomatie.gouv.fr/catalogue-formations/formation/27291/site/6502" TargetMode="External" Id="rId422"/><Relationship Type="http://schemas.openxmlformats.org/officeDocument/2006/relationships/hyperlink" Target="https://en.isep.fr/studying-at-isep/isep-engineering-master-degree/" TargetMode="External" Id="rId423"/><Relationship Type="http://schemas.openxmlformats.org/officeDocument/2006/relationships/hyperlink" Target="https://etudesenfrance.diplomatie.gouv.fr/catalogue-formations/formation/28022/site/6867" TargetMode="External" Id="rId424"/><Relationship Type="http://schemas.openxmlformats.org/officeDocument/2006/relationships/hyperlink" Target="https://www.isae-supaero.fr/" TargetMode="External" Id="rId425"/><Relationship Type="http://schemas.openxmlformats.org/officeDocument/2006/relationships/hyperlink" Target="https://etudesenfrance.diplomatie.gouv.fr/catalogue-formations/formation/44652/site/6489" TargetMode="External" Id="rId426"/><Relationship Type="http://schemas.openxmlformats.org/officeDocument/2006/relationships/hyperlink" Target="http://www.isat.fr/" TargetMode="External" Id="rId427"/><Relationship Type="http://schemas.openxmlformats.org/officeDocument/2006/relationships/hyperlink" Target="https://etudesenfrance.diplomatie.gouv.fr/catalogue-formations/formation/26481/site/6856" TargetMode="External" Id="rId428"/><Relationship Type="http://schemas.openxmlformats.org/officeDocument/2006/relationships/hyperlink" Target="https://www.estaca.fr/en/programs/post-master-degree/aeronautical-operation-maintenance/" TargetMode="External" Id="rId429"/><Relationship Type="http://schemas.openxmlformats.org/officeDocument/2006/relationships/hyperlink" Target="https://etudesenfrance.diplomatie.gouv.fr/catalogue-formations/formation/34959/site/13626" TargetMode="External" Id="rId430"/><Relationship Type="http://schemas.openxmlformats.org/officeDocument/2006/relationships/hyperlink" Target="https://www.tsaae.fr/" TargetMode="External" Id="rId431"/><Relationship Type="http://schemas.openxmlformats.org/officeDocument/2006/relationships/hyperlink" Target="https://etudesenfrance.diplomatie.gouv.fr/catalogue-formations/formation/19620/site/6489" TargetMode="External" Id="rId432"/><Relationship Type="http://schemas.openxmlformats.org/officeDocument/2006/relationships/hyperlink" Target="https://www.tsaae.fr/" TargetMode="External" Id="rId433"/><Relationship Type="http://schemas.openxmlformats.org/officeDocument/2006/relationships/hyperlink" Target="https://etudesenfrance.diplomatie.gouv.fr/catalogue-formations/formation/44653/site/6489" TargetMode="External" Id="rId434"/><Relationship Type="http://schemas.openxmlformats.org/officeDocument/2006/relationships/hyperlink" Target="https://www.tsaae.fr/" TargetMode="External" Id="rId435"/><Relationship Type="http://schemas.openxmlformats.org/officeDocument/2006/relationships/hyperlink" Target="https://etudesenfrance.diplomatie.gouv.fr/catalogue-formations/formation/26255/site/6489" TargetMode="External" Id="rId436"/><Relationship Type="http://schemas.openxmlformats.org/officeDocument/2006/relationships/hyperlink" Target="https://www.tsaae.fr/" TargetMode="External" Id="rId437"/><Relationship Type="http://schemas.openxmlformats.org/officeDocument/2006/relationships/hyperlink" Target="https://etudesenfrance.diplomatie.gouv.fr/catalogue-formations/formation/27802/site/6489" TargetMode="External" Id="rId438"/><Relationship Type="http://schemas.openxmlformats.org/officeDocument/2006/relationships/table" Target="/xl/tables/table2.xml" Id="rId439"/></Relationships>
</file>

<file path=xl/worksheets/_rels/sheet5.xml.rels><Relationships xmlns="http://schemas.openxmlformats.org/package/2006/relationships"><Relationship Type="http://schemas.openxmlformats.org/officeDocument/2006/relationships/hyperlink" Target="http://www.itii-aquitaine.com/" TargetMode="External" Id="rId1"/><Relationship Type="http://schemas.openxmlformats.org/officeDocument/2006/relationships/hyperlink" Target="https://etudesenfrance.diplomatie.gouv.fr/catalogue-formations/formation/17895/site/6790" TargetMode="External" Id="rId2"/><Relationship Type="http://schemas.openxmlformats.org/officeDocument/2006/relationships/hyperlink" Target="http://www.cfai-aquitaine.org/" TargetMode="External" Id="rId3"/><Relationship Type="http://schemas.openxmlformats.org/officeDocument/2006/relationships/hyperlink" Target="https://etudesenfrance.diplomatie.gouv.fr/catalogue-formations/formation/17895/site/7888" TargetMode="External" Id="rId4"/><Relationship Type="http://schemas.openxmlformats.org/officeDocument/2006/relationships/hyperlink" Target="https://etudesenfrance.diplomatie.gouv.fr/catalogue-formations/formation/55511/site/6475" TargetMode="External" Id="rId5"/><Relationship Type="http://schemas.openxmlformats.org/officeDocument/2006/relationships/hyperlink" Target="https://etudesenfrance.diplomatie.gouv.fr/catalogue-formations/formation/55506/site/6475" TargetMode="External" Id="rId6"/><Relationship Type="http://schemas.openxmlformats.org/officeDocument/2006/relationships/hyperlink" Target="https://master.roc.cnam.fr/" TargetMode="External" Id="rId7"/><Relationship Type="http://schemas.openxmlformats.org/officeDocument/2006/relationships/hyperlink" Target="https://etudesenfrance.diplomatie.gouv.fr/catalogue-formations/formation/47681/site/13979" TargetMode="External" Id="rId8"/><Relationship Type="http://schemas.openxmlformats.org/officeDocument/2006/relationships/hyperlink" Target="https://www.umontpellier.fr/en/international/etudier-a-letranger/etudiants-internationaux-annee-universitaire-2026-2027/" TargetMode="External" Id="rId9"/><Relationship Type="http://schemas.openxmlformats.org/officeDocument/2006/relationships/hyperlink" Target="https://idil.edu.umontpellier.fr/master-idil/les-parcours/" TargetMode="External" Id="rId10"/><Relationship Type="http://schemas.openxmlformats.org/officeDocument/2006/relationships/hyperlink" Target="https://etudesenfrance.diplomatie.gouv.fr/catalogue-formations/formation/48981/site/13853" TargetMode="External" Id="rId11"/><Relationship Type="http://schemas.openxmlformats.org/officeDocument/2006/relationships/hyperlink" Target="https://www.umlp.fr/sites/default/files/2026-07-02-page-droits-differencies-vf.pdf" TargetMode="External" Id="rId12"/><Relationship Type="http://schemas.openxmlformats.org/officeDocument/2006/relationships/hyperlink" Target="https://formations.univ-fcomte.fr/fr/formations/feuilleter-le-catalogue/master-lmd-XB/master-electronique-energie-electrique-automatique-M4QUAZ0D.html" TargetMode="External" Id="rId13"/><Relationship Type="http://schemas.openxmlformats.org/officeDocument/2006/relationships/hyperlink" Target="https://etudesenfrance.diplomatie.gouv.fr/catalogue-formations/formation/60313/site/6954" TargetMode="External" Id="rId14"/><Relationship Type="http://schemas.openxmlformats.org/officeDocument/2006/relationships/hyperlink" Target="https://www.univ-grenoble-alpes.fr/actualites/a-la-une/actualites-universite/etudiants-internationaux-ce-que-change-le-nouveau-decret-sur-les-droits-d-inscription-a-l-uga-1775870.kjsp" TargetMode="External" Id="rId15"/><Relationship Type="http://schemas.openxmlformats.org/officeDocument/2006/relationships/hyperlink" Target="https://formations.univ-grenoble-alpes.fr/fr/offre-de-formation/master-XB/master-biologie-sante-IAQKB0GE/parcours-molecular-and-cellular-biology-1re-annee-IK43J2QV.html" TargetMode="External" Id="rId16"/><Relationship Type="http://schemas.openxmlformats.org/officeDocument/2006/relationships/hyperlink" Target="https://etudesenfrance.diplomatie.gouv.fr/catalogue-formations/formation/61813/site/6553" TargetMode="External" Id="rId17"/><Relationship Type="http://schemas.openxmlformats.org/officeDocument/2006/relationships/hyperlink" Target="https://www.univ-grenoble-alpes.fr/actualites/a-la-une/actualites-universite/etudiants-internationaux-ce-que-change-le-nouveau-decret-sur-les-droits-d-inscription-a-l-uga-1775870.kjsp" TargetMode="External" Id="rId18"/><Relationship Type="http://schemas.openxmlformats.org/officeDocument/2006/relationships/hyperlink" Target="https://formations.univ-grenoble-alpes.fr/fr/catalogue-2021/master-XB/master-ingenierie-de-la-sante-IAQKSXOB.html" TargetMode="External" Id="rId19"/><Relationship Type="http://schemas.openxmlformats.org/officeDocument/2006/relationships/hyperlink" Target="https://etudesenfrance.diplomatie.gouv.fr/catalogue-formations/formation/61898/site/13701" TargetMode="External" Id="rId20"/><Relationship Type="http://schemas.openxmlformats.org/officeDocument/2006/relationships/hyperlink" Target="https://life.univ-cotedazur.fr/international/imagein" TargetMode="External" Id="rId21"/><Relationship Type="http://schemas.openxmlformats.org/officeDocument/2006/relationships/hyperlink" Target="https://etudesenfrance.diplomatie.gouv.fr/catalogue-formations/formation/56128/site/6953" TargetMode="External" Id="rId22"/><Relationship Type="http://schemas.openxmlformats.org/officeDocument/2006/relationships/hyperlink" Target="https://www.umlp.fr/sites/default/files/2026-07-02-page-droits-differencies-vf.pdf" TargetMode="External" Id="rId23"/><Relationship Type="http://schemas.openxmlformats.org/officeDocument/2006/relationships/hyperlink" Target="https://stgi.umlp.fr/" TargetMode="External" Id="rId24"/><Relationship Type="http://schemas.openxmlformats.org/officeDocument/2006/relationships/hyperlink" Target="https://etudesenfrance.diplomatie.gouv.fr/catalogue-formations/formation/55135/site/10753" TargetMode="External" Id="rId25"/><Relationship Type="http://schemas.openxmlformats.org/officeDocument/2006/relationships/hyperlink" Target="https://www.unistra.fr/fr/node/8168" TargetMode="External" Id="rId26"/><Relationship Type="http://schemas.openxmlformats.org/officeDocument/2006/relationships/hyperlink" Target="https://pharmacie.unistra.fr/" TargetMode="External" Id="rId27"/><Relationship Type="http://schemas.openxmlformats.org/officeDocument/2006/relationships/hyperlink" Target="https://etudesenfrance.diplomatie.gouv.fr/catalogue-formations/formation/41621/site/7101" TargetMode="External" Id="rId28"/><Relationship Type="http://schemas.openxmlformats.org/officeDocument/2006/relationships/hyperlink" Target="https://www.unistra.fr/fr/node/8168" TargetMode="External" Id="rId29"/><Relationship Type="http://schemas.openxmlformats.org/officeDocument/2006/relationships/hyperlink" Target="http://sciencesvie.unistra.fr/" TargetMode="External" Id="rId30"/><Relationship Type="http://schemas.openxmlformats.org/officeDocument/2006/relationships/hyperlink" Target="https://etudesenfrance.diplomatie.gouv.fr/catalogue-formations/formation/33665/site/6978" TargetMode="External" Id="rId31"/><Relationship Type="http://schemas.openxmlformats.org/officeDocument/2006/relationships/hyperlink" Target="https://www.unilim.fr/gradschool-ceramics-ict/formation/smart-iot/" TargetMode="External" Id="rId32"/><Relationship Type="http://schemas.openxmlformats.org/officeDocument/2006/relationships/hyperlink" Target="https://etudesenfrance.diplomatie.gouv.fr/catalogue-formations/formation/48577/site/6963" TargetMode="External" Id="rId33"/><Relationship Type="http://schemas.openxmlformats.org/officeDocument/2006/relationships/hyperlink" Target="https://www.unistra.fr/fr/node/8168" TargetMode="External" Id="rId34"/><Relationship Type="http://schemas.openxmlformats.org/officeDocument/2006/relationships/hyperlink" Target="https://chirurgie-dentaire.unistra.fr/" TargetMode="External" Id="rId35"/><Relationship Type="http://schemas.openxmlformats.org/officeDocument/2006/relationships/hyperlink" Target="https://etudesenfrance.diplomatie.gouv.fr/catalogue-formations/formation/54393/site/7066" TargetMode="External" Id="rId36"/><Relationship Type="http://schemas.openxmlformats.org/officeDocument/2006/relationships/hyperlink" Target="https://etudesenfrance.diplomatie.gouv.fr/catalogue-formations/formation/60732/site/11087" TargetMode="External" Id="rId37"/><Relationship Type="http://schemas.openxmlformats.org/officeDocument/2006/relationships/hyperlink" Target="https://www.sorbonne-universite.fr/actualites/le-conseil-dadministration-de-sorbonne-universite-vote-lunanimite-le-7-juillet-2026-sa" TargetMode="External" Id="rId38"/><Relationship Type="http://schemas.openxmlformats.org/officeDocument/2006/relationships/hyperlink" Target="https://masters-sdi.sorbonne-universite.fr/electronique-energie-electrique-automatique" TargetMode="External" Id="rId39"/><Relationship Type="http://schemas.openxmlformats.org/officeDocument/2006/relationships/hyperlink" Target="https://etudesenfrance.diplomatie.gouv.fr/catalogue-formations/formation/44359/site/13735" TargetMode="External" Id="rId40"/><Relationship Type="http://schemas.openxmlformats.org/officeDocument/2006/relationships/hyperlink" Target="https://www.univ-grenoble-alpes.fr/actualites/a-la-une/actualites-universite/etudiants-internationaux-ce-que-change-le-nouveau-decret-sur-les-droits-d-inscription-a-l-uga-1775870.kjsp" TargetMode="External" Id="rId41"/><Relationship Type="http://schemas.openxmlformats.org/officeDocument/2006/relationships/hyperlink" Target="https://formations.univ-grenoble-alpes.fr/fr/catalogue-2021/master-XB/master-electronique-energie-electrique-automatique-IFZ3DRB9/parcours-microelectronique-integration-des-systemes-temps-reels-embarques-mistre-1re-et-2e-annees-IFZ5TP7C.html" TargetMode="External" Id="rId42"/><Relationship Type="http://schemas.openxmlformats.org/officeDocument/2006/relationships/hyperlink" Target="https://etudesenfrance.diplomatie.gouv.fr/catalogue-formations/formation/42608/site/13729" TargetMode="External" Id="rId43"/><Relationship Type="http://schemas.openxmlformats.org/officeDocument/2006/relationships/hyperlink" Target="https://www.sorbonne-universite.fr/actualites/le-conseil-dadministration-de-sorbonne-universite-vote-lunanimite-le-7-juillet-2026-sa" TargetMode="External" Id="rId44"/><Relationship Type="http://schemas.openxmlformats.org/officeDocument/2006/relationships/hyperlink" Target="https://masters-sdi.sorbonne-universite.fr/electronique-energie-electrique-automatique" TargetMode="External" Id="rId45"/><Relationship Type="http://schemas.openxmlformats.org/officeDocument/2006/relationships/hyperlink" Target="https://etudesenfrance.diplomatie.gouv.fr/catalogue-formations/formation/44360/site/13735" TargetMode="External" Id="rId46"/><Relationship Type="http://schemas.openxmlformats.org/officeDocument/2006/relationships/hyperlink" Target="https://u-paris.fr/droits-dinscription-tarifs-exonerations/" TargetMode="External" Id="rId47"/><Relationship Type="http://schemas.openxmlformats.org/officeDocument/2006/relationships/hyperlink" Target="https://odf.u-paris.fr/fr/offre-de-formation/master-XB/sciences-technologies-sante-STS/ingenierie-de-la-sante-K2NDJ7KW.html" TargetMode="External" Id="rId48"/><Relationship Type="http://schemas.openxmlformats.org/officeDocument/2006/relationships/hyperlink" Target="https://etudesenfrance.diplomatie.gouv.fr/catalogue-formations/formation/39436/site/7430" TargetMode="External" Id="rId49"/><Relationship Type="http://schemas.openxmlformats.org/officeDocument/2006/relationships/hyperlink" Target="https://istic.univ-rennes.fr/master-eeea-electronique-energie-electrique-automatique" TargetMode="External" Id="rId50"/><Relationship Type="http://schemas.openxmlformats.org/officeDocument/2006/relationships/hyperlink" Target="https://etudesenfrance.diplomatie.gouv.fr/catalogue-formations/formation/57258/site/6612" TargetMode="External" Id="rId51"/><Relationship Type="http://schemas.openxmlformats.org/officeDocument/2006/relationships/hyperlink" Target="https://www.insset.u-picardie.fr/" TargetMode="External" Id="rId52"/><Relationship Type="http://schemas.openxmlformats.org/officeDocument/2006/relationships/hyperlink" Target="https://etudesenfrance.diplomatie.gouv.fr/catalogue-formations/formation/41322/site/7207" TargetMode="External" Id="rId53"/><Relationship Type="http://schemas.openxmlformats.org/officeDocument/2006/relationships/hyperlink" Target="http://www.univ-brest.fr/ufr-sciences" TargetMode="External" Id="rId54"/><Relationship Type="http://schemas.openxmlformats.org/officeDocument/2006/relationships/hyperlink" Target="https://etudesenfrance.diplomatie.gouv.fr/catalogue-formations/formation/34983/site/6955" TargetMode="External" Id="rId55"/><Relationship Type="http://schemas.openxmlformats.org/officeDocument/2006/relationships/hyperlink" Target="https://www.utc.fr/formations/diplome-de-master/mention-ingenierie-de-la-sante-ids/parcours-technologies-biomedicales-et-territoires-de-sante-tbts/" TargetMode="External" Id="rId56"/><Relationship Type="http://schemas.openxmlformats.org/officeDocument/2006/relationships/hyperlink" Target="https://etudesenfrance.diplomatie.gouv.fr/catalogue-formations/formation/60736/site/11087" TargetMode="External" Id="rId57"/><Relationship Type="http://schemas.openxmlformats.org/officeDocument/2006/relationships/hyperlink" Target="https://formations.univ-tln.fr/fr/offre-de-formation/master-XB/master-ingenierie-des-systemes-complexes-LO8RGPP1/master-ingenierie-des-systemes-complexes-parcours-robotique-intelligente-et-systemes-embarques-LPZRY65U.html" TargetMode="External" Id="rId58"/><Relationship Type="http://schemas.openxmlformats.org/officeDocument/2006/relationships/hyperlink" Target="https://etudesenfrance.diplomatie.gouv.fr/catalogue-formations/formation/42654/site/7169" TargetMode="External" Id="rId59"/><Relationship Type="http://schemas.openxmlformats.org/officeDocument/2006/relationships/hyperlink" Target="https://formations.univ-rennes.fr/" TargetMode="External" Id="rId60"/><Relationship Type="http://schemas.openxmlformats.org/officeDocument/2006/relationships/hyperlink" Target="https://etudesenfrance.diplomatie.gouv.fr/catalogue-formations/formation/38232/site/14529" TargetMode="External" Id="rId61"/><Relationship Type="http://schemas.openxmlformats.org/officeDocument/2006/relationships/hyperlink" Target="http://www-galilee.univ-paris13.fr/" TargetMode="External" Id="rId62"/><Relationship Type="http://schemas.openxmlformats.org/officeDocument/2006/relationships/hyperlink" Target="https://etudesenfrance.diplomatie.gouv.fr/catalogue-formations/formation/44131/site/6725" TargetMode="External" Id="rId63"/><Relationship Type="http://schemas.openxmlformats.org/officeDocument/2006/relationships/hyperlink" Target="https://www.univ-rouen.fr/actualites/application-des-droits-dinscription-differencies-a-luniversite-de-rouen-normandie-a-compter-de-la-rentree-universitaire-2026-2027/" TargetMode="External" Id="rId64"/><Relationship Type="http://schemas.openxmlformats.org/officeDocument/2006/relationships/hyperlink" Target="https://sciences-techniques.univ-rouen.fr/offre-de-formation-les-masters--332182.kjsp?RH=1392301431998&amp;RF=1378324428882" TargetMode="External" Id="rId65"/><Relationship Type="http://schemas.openxmlformats.org/officeDocument/2006/relationships/hyperlink" Target="https://etudesenfrance.diplomatie.gouv.fr/catalogue-formations/formation/58423/site/7173" TargetMode="External" Id="rId66"/><Relationship Type="http://schemas.openxmlformats.org/officeDocument/2006/relationships/hyperlink" Target="https://www.univ-rouen.fr/actualites/application-des-droits-dinscription-differencies-a-luniversite-de-rouen-normandie-a-compter-de-la-rentree-universitaire-2026-2027/" TargetMode="External" Id="rId67"/><Relationship Type="http://schemas.openxmlformats.org/officeDocument/2006/relationships/hyperlink" Target="https://sciences-techniques.univ-rouen.fr/" TargetMode="External" Id="rId68"/><Relationship Type="http://schemas.openxmlformats.org/officeDocument/2006/relationships/hyperlink" Target="https://etudesenfrance.diplomatie.gouv.fr/catalogue-formations/formation/38907/site/7173" TargetMode="External" Id="rId69"/><Relationship Type="http://schemas.openxmlformats.org/officeDocument/2006/relationships/hyperlink" Target="https://www.univ-rouen.fr/actualites/application-des-droits-dinscription-differencies-a-luniversite-de-rouen-normandie-a-compter-de-la-rentree-universitaire-2026-2027/" TargetMode="External" Id="rId70"/><Relationship Type="http://schemas.openxmlformats.org/officeDocument/2006/relationships/hyperlink" Target="https://sciences-techniques.univ-rouen.fr/" TargetMode="External" Id="rId71"/><Relationship Type="http://schemas.openxmlformats.org/officeDocument/2006/relationships/hyperlink" Target="https://etudesenfrance.diplomatie.gouv.fr/catalogue-formations/formation/48363/site/7173" TargetMode="External" Id="rId72"/><Relationship Type="http://schemas.openxmlformats.org/officeDocument/2006/relationships/hyperlink" Target="https://www.univ-rouen.fr/actualites/application-des-droits-dinscription-differencies-a-luniversite-de-rouen-normandie-a-compter-de-la-rentree-universitaire-2026-2027/" TargetMode="External" Id="rId73"/><Relationship Type="http://schemas.openxmlformats.org/officeDocument/2006/relationships/hyperlink" Target="http://sciences-techniques.univ-rouen.fr/" TargetMode="External" Id="rId74"/><Relationship Type="http://schemas.openxmlformats.org/officeDocument/2006/relationships/hyperlink" Target="https://etudesenfrance.diplomatie.gouv.fr/catalogue-formations/formation/52314/site/14602" TargetMode="External" Id="rId75"/><Relationship Type="http://schemas.openxmlformats.org/officeDocument/2006/relationships/hyperlink" Target="https://ufr-sitec.parisnanterre.fr/" TargetMode="External" Id="rId76"/><Relationship Type="http://schemas.openxmlformats.org/officeDocument/2006/relationships/hyperlink" Target="https://etudesenfrance.diplomatie.gouv.fr/catalogue-formations/formation/50853/site/10997" TargetMode="External" Id="rId77"/><Relationship Type="http://schemas.openxmlformats.org/officeDocument/2006/relationships/hyperlink" Target="https://fst.univ-lorraine.fr/formations/" TargetMode="External" Id="rId78"/><Relationship Type="http://schemas.openxmlformats.org/officeDocument/2006/relationships/hyperlink" Target="https://etudesenfrance.diplomatie.gouv.fr/catalogue-formations/formation/60708/site/6958" TargetMode="External" Id="rId79"/><Relationship Type="http://schemas.openxmlformats.org/officeDocument/2006/relationships/hyperlink" Target="https://medecine.univ-st-etienne.fr/fr/formation-initiale/licence-masters.html" TargetMode="External" Id="rId80"/><Relationship Type="http://schemas.openxmlformats.org/officeDocument/2006/relationships/hyperlink" Target="https://etudesenfrance.diplomatie.gouv.fr/catalogue-formations/formation/30301/site/7077" TargetMode="External" Id="rId81"/><Relationship Type="http://schemas.openxmlformats.org/officeDocument/2006/relationships/hyperlink" Target="https://www.utc.fr/formations/diplome-de-master/mention-ingenierie-de-la-sante-ids/parcours-dispositif-medical-et-affaires-reglementaires-dmar/" TargetMode="External" Id="rId82"/><Relationship Type="http://schemas.openxmlformats.org/officeDocument/2006/relationships/hyperlink" Target="https://etudesenfrance.diplomatie.gouv.fr/catalogue-formations/formation/60735/site/11087" TargetMode="External" Id="rId83"/><Relationship Type="http://schemas.openxmlformats.org/officeDocument/2006/relationships/hyperlink" Target="https://etudesenfrance.diplomatie.gouv.fr/catalogue-formations/formation/61392/site/6707" TargetMode="External" Id="rId84"/><Relationship Type="http://schemas.openxmlformats.org/officeDocument/2006/relationships/hyperlink" Target="https://etudesenfrance.diplomatie.gouv.fr/catalogue-formations/formation/61395/site/6707" TargetMode="External" Id="rId85"/><Relationship Type="http://schemas.openxmlformats.org/officeDocument/2006/relationships/hyperlink" Target="https://www.letudiant.fr/educpros/actualite/droits-d-inscription-majores-pour-les-etudiants-etrangers-pourquoi-l-application-du-decret-met-en-difficulte-de-nombreuses-universites.html" TargetMode="External" Id="rId86"/><Relationship Type="http://schemas.openxmlformats.org/officeDocument/2006/relationships/hyperlink" Target="http://sciences.univ-lemans.fr/" TargetMode="External" Id="rId87"/><Relationship Type="http://schemas.openxmlformats.org/officeDocument/2006/relationships/hyperlink" Target="https://etudesenfrance.diplomatie.gouv.fr/catalogue-formations/formation/14555/site/6596" TargetMode="External" Id="rId88"/><Relationship Type="http://schemas.openxmlformats.org/officeDocument/2006/relationships/hyperlink" Target="https://sciences-tech.u-pec.fr/formation/master-optique-image-vision-multimedia-parcours-signaux-et-image-en-medecine-sim" TargetMode="External" Id="rId89"/><Relationship Type="http://schemas.openxmlformats.org/officeDocument/2006/relationships/hyperlink" Target="https://etudesenfrance.diplomatie.gouv.fr/catalogue-formations/formation/49480/site/10975" TargetMode="External" Id="rId90"/><Relationship Type="http://schemas.openxmlformats.org/officeDocument/2006/relationships/hyperlink" Target="https://sciences-tech.u-pec.fr/formation/master-optique-image-vision-multimedia-parcours-intelligence-artificielle-sciences-des-donnees-et-systemes-cyber-physiques-ia2s" TargetMode="External" Id="rId91"/><Relationship Type="http://schemas.openxmlformats.org/officeDocument/2006/relationships/hyperlink" Target="https://etudesenfrance.diplomatie.gouv.fr/catalogue-formations/formation/48513/site/10975" TargetMode="External" Id="rId92"/><Relationship Type="http://schemas.openxmlformats.org/officeDocument/2006/relationships/hyperlink" Target="https://sfa.univ-poitiers.fr/formation/offre-de-formation-sciences-technologies-sante/" TargetMode="External" Id="rId93"/><Relationship Type="http://schemas.openxmlformats.org/officeDocument/2006/relationships/hyperlink" Target="https://etudesenfrance.diplomatie.gouv.fr/catalogue-formations/formation/50042/site/6963" TargetMode="External" Id="rId94"/><Relationship Type="http://schemas.openxmlformats.org/officeDocument/2006/relationships/hyperlink" Target="https://www.univ-rouen.fr/actualites/application-des-droits-dinscription-differencies-a-luniversite-de-rouen-normandie-a-compter-de-la-rentree-universitaire-2026-2027/" TargetMode="External" Id="rId95"/><Relationship Type="http://schemas.openxmlformats.org/officeDocument/2006/relationships/hyperlink" Target="http://sciences-techniques.univ-rouen.fr/" TargetMode="External" Id="rId96"/><Relationship Type="http://schemas.openxmlformats.org/officeDocument/2006/relationships/hyperlink" Target="https://etudesenfrance.diplomatie.gouv.fr/catalogue-formations/formation/38893/site/14602" TargetMode="External" Id="rId97"/><Relationship Type="http://schemas.openxmlformats.org/officeDocument/2006/relationships/hyperlink" Target="https://www.umontpellier.fr/en/international/etudier-a-letranger/etudiants-internationaux-annee-universitaire-2026-2027/" TargetMode="External" Id="rId98"/><Relationship Type="http://schemas.openxmlformats.org/officeDocument/2006/relationships/hyperlink" Target="https://idil.edu.umontpellier.fr/master-idil/les-parcours/" TargetMode="External" Id="rId99"/><Relationship Type="http://schemas.openxmlformats.org/officeDocument/2006/relationships/hyperlink" Target="https://etudesenfrance.diplomatie.gouv.fr/catalogue-formations/formation/27190/site/13853" TargetMode="External" Id="rId100"/><Relationship Type="http://schemas.openxmlformats.org/officeDocument/2006/relationships/hyperlink" Target="https://www.univ-amu.fr/fr/actualites/aix-marseille-universite-mobilise-pleinement-capacite-dexoneration-continuer-accueillir" TargetMode="External" Id="rId101"/><Relationship Type="http://schemas.openxmlformats.org/officeDocument/2006/relationships/hyperlink" Target="http://fss.univ-amu.fr/" TargetMode="External" Id="rId102"/><Relationship Type="http://schemas.openxmlformats.org/officeDocument/2006/relationships/hyperlink" Target="https://etudesenfrance.diplomatie.gouv.fr/catalogue-formations/formation/39811/site/6982" TargetMode="External" Id="rId103"/><Relationship Type="http://schemas.openxmlformats.org/officeDocument/2006/relationships/hyperlink" Target="https://www.utoulouse.fr/medias/fichier/2026-02-ca-075_1774430647495-pdf" TargetMode="External" Id="rId104"/><Relationship Type="http://schemas.openxmlformats.org/officeDocument/2006/relationships/hyperlink" Target="http://www.univ-tlse3.fr/" TargetMode="External" Id="rId105"/><Relationship Type="http://schemas.openxmlformats.org/officeDocument/2006/relationships/hyperlink" Target="https://etudesenfrance.diplomatie.gouv.fr/catalogue-formations/formation/37891/site/13714" TargetMode="External" Id="rId106"/><Relationship Type="http://schemas.openxmlformats.org/officeDocument/2006/relationships/hyperlink" Target="https://www.umontpellier.fr/en/international/etudier-a-letranger/etudiants-internationaux-annee-universitaire-2026-2027/" TargetMode="External" Id="rId107"/><Relationship Type="http://schemas.openxmlformats.org/officeDocument/2006/relationships/hyperlink" Target="http://sciences.edu.umontpellier.fr/" TargetMode="External" Id="rId108"/><Relationship Type="http://schemas.openxmlformats.org/officeDocument/2006/relationships/hyperlink" Target="https://etudesenfrance.diplomatie.gouv.fr/catalogue-formations/formation/32453/site/6552" TargetMode="External" Id="rId109"/><Relationship Type="http://schemas.openxmlformats.org/officeDocument/2006/relationships/hyperlink" Target="https://www.umontpellier.fr/en/international/etudier-a-letranger/etudiants-internationaux-annee-universitaire-2026-2027/" TargetMode="External" Id="rId110"/><Relationship Type="http://schemas.openxmlformats.org/officeDocument/2006/relationships/hyperlink" Target="http://sciences.edu.umontpellier.fr/" TargetMode="External" Id="rId111"/><Relationship Type="http://schemas.openxmlformats.org/officeDocument/2006/relationships/hyperlink" Target="https://etudesenfrance.diplomatie.gouv.fr/catalogue-formations/formation/32456/site/6552" TargetMode="External" Id="rId112"/><Relationship Type="http://schemas.openxmlformats.org/officeDocument/2006/relationships/hyperlink" Target="https://www.utoulouse.fr/medias/fichier/2026-02-ca-075_1774430647495-pdf" TargetMode="External" Id="rId113"/><Relationship Type="http://schemas.openxmlformats.org/officeDocument/2006/relationships/hyperlink" Target="http://www.univ-tlse3.fr/" TargetMode="External" Id="rId114"/><Relationship Type="http://schemas.openxmlformats.org/officeDocument/2006/relationships/hyperlink" Target="https://etudesenfrance.diplomatie.gouv.fr/catalogue-formations/formation/36585/site/13714" TargetMode="External" Id="rId115"/><Relationship Type="http://schemas.openxmlformats.org/officeDocument/2006/relationships/hyperlink" Target="https://www.utoulouse.fr/medias/fichier/2026-02-ca-075_1774430647495-pdf" TargetMode="External" Id="rId116"/><Relationship Type="http://schemas.openxmlformats.org/officeDocument/2006/relationships/hyperlink" Target="http://www.univ-tlse3.fr/" TargetMode="External" Id="rId117"/><Relationship Type="http://schemas.openxmlformats.org/officeDocument/2006/relationships/hyperlink" Target="https://etudesenfrance.diplomatie.gouv.fr/catalogue-formations/formation/36589/site/13714" TargetMode="External" Id="rId118"/><Relationship Type="http://schemas.openxmlformats.org/officeDocument/2006/relationships/hyperlink" Target="https://u-paris.fr/droits-dinscription-tarifs-exonerations/" TargetMode="External" Id="rId119"/><Relationship Type="http://schemas.openxmlformats.org/officeDocument/2006/relationships/hyperlink" Target="https://odf.u-paris.fr/fr/offre-de-formation/master-XB/sciences-technologies-sante-STS/informatique-K2NDIF4R//master-informatique-parcours-cybersecurite-et-esante-JT5NZSOS.html" TargetMode="External" Id="rId120"/><Relationship Type="http://schemas.openxmlformats.org/officeDocument/2006/relationships/hyperlink" Target="https://etudesenfrance.diplomatie.gouv.fr/catalogue-formations/formation/45758/site/7430" TargetMode="External" Id="rId121"/><Relationship Type="http://schemas.openxmlformats.org/officeDocument/2006/relationships/hyperlink" Target="https://www.utoulouse.fr/medias/fichier/2026-02-ca-075_1774430647495-pdf" TargetMode="External" Id="rId122"/><Relationship Type="http://schemas.openxmlformats.org/officeDocument/2006/relationships/hyperlink" Target="http://www.univ-tlse3.fr/" TargetMode="External" Id="rId123"/><Relationship Type="http://schemas.openxmlformats.org/officeDocument/2006/relationships/hyperlink" Target="https://etudesenfrance.diplomatie.gouv.fr/catalogue-formations/formation/29894/site/13714" TargetMode="External" Id="rId124"/><Relationship Type="http://schemas.openxmlformats.org/officeDocument/2006/relationships/hyperlink" Target="https://www.univ-grenoble-alpes.fr/actualites/a-la-une/actualites-universite/etudiants-internationaux-ce-que-change-le-nouveau-decret-sur-les-droits-d-inscription-a-l-uga-1775870.kjsp" TargetMode="External" Id="rId125"/><Relationship Type="http://schemas.openxmlformats.org/officeDocument/2006/relationships/hyperlink" Target="https://formations.univ-grenoble-alpes.fr/fr/catalogue-2021/master-XB/master-ingenierie-de-la-sante-IAQKSXOB.html" TargetMode="External" Id="rId126"/><Relationship Type="http://schemas.openxmlformats.org/officeDocument/2006/relationships/hyperlink" Target="https://etudesenfrance.diplomatie.gouv.fr/catalogue-formations/formation/31776/site/13701" TargetMode="External" Id="rId127"/><Relationship Type="http://schemas.openxmlformats.org/officeDocument/2006/relationships/hyperlink" Target="https://www.umontpellier.fr/en/international/etudier-a-letranger/etudiants-internationaux-annee-universitaire-2026-2027/" TargetMode="External" Id="rId128"/><Relationship Type="http://schemas.openxmlformats.org/officeDocument/2006/relationships/hyperlink" Target="http://www.fdsweb.univ-montp2.fr/etudier-a-la-fds/catalogue-de-formation-675" TargetMode="External" Id="rId129"/><Relationship Type="http://schemas.openxmlformats.org/officeDocument/2006/relationships/hyperlink" Target="https://etudesenfrance.diplomatie.gouv.fr/catalogue-formations/formation/32393/site/6552" TargetMode="External" Id="rId130"/><Relationship Type="http://schemas.openxmlformats.org/officeDocument/2006/relationships/hyperlink" Target="https://www.umlp.fr/sites/default/files/2026-07-02-page-droits-differencies-vf.pdf" TargetMode="External" Id="rId131"/><Relationship Type="http://schemas.openxmlformats.org/officeDocument/2006/relationships/hyperlink" Target="https://etudesenfrance.diplomatie.gouv.fr/catalogue-formations/formation/39437/site/6695" TargetMode="External" Id="rId132"/><Relationship Type="http://schemas.openxmlformats.org/officeDocument/2006/relationships/hyperlink" Target="https://u-paris.fr/droits-dinscription-tarifs-exonerations/" TargetMode="External" Id="rId133"/><Relationship Type="http://schemas.openxmlformats.org/officeDocument/2006/relationships/hyperlink" Target="https://pharmacie.u-paris.fr/" TargetMode="External" Id="rId134"/><Relationship Type="http://schemas.openxmlformats.org/officeDocument/2006/relationships/hyperlink" Target="https://etudesenfrance.diplomatie.gouv.fr/catalogue-formations/formation/58395/site/7103" TargetMode="External" Id="rId135"/><Relationship Type="http://schemas.openxmlformats.org/officeDocument/2006/relationships/hyperlink" Target="https://www.umlp.fr/sites/default/files/2026-07-02-page-droits-differencies-vf.pdf" TargetMode="External" Id="rId136"/><Relationship Type="http://schemas.openxmlformats.org/officeDocument/2006/relationships/hyperlink" Target="https://etudesenfrance.diplomatie.gouv.fr/catalogue-formations/formation/56651/site/6695" TargetMode="External" Id="rId137"/><Relationship Type="http://schemas.openxmlformats.org/officeDocument/2006/relationships/hyperlink" Target="https://www.univ-ubs.fr/fr/formation-initiale-continue/formations-2017-2018/master-XB/sciences-technologies-sante-STS/master-cyber-securite-des-systemes-embarques-program-5scy00-217-5scy01.html" TargetMode="External" Id="rId138"/><Relationship Type="http://schemas.openxmlformats.org/officeDocument/2006/relationships/hyperlink" Target="https://etudesenfrance.diplomatie.gouv.fr/catalogue-formations/formation/38122/site/6598" TargetMode="External" Id="rId139"/><Relationship Type="http://schemas.openxmlformats.org/officeDocument/2006/relationships/hyperlink" Target="https://www.univ-ubs.fr/fr/formation-initiale-continue/formations-2017-2018/master-XB/sciences-technologies-sante-STS/master-systemes-embarques-systemes-integres-program-5ssy00-217-4ssy01.html" TargetMode="External" Id="rId140"/><Relationship Type="http://schemas.openxmlformats.org/officeDocument/2006/relationships/hyperlink" Target="https://etudesenfrance.diplomatie.gouv.fr/catalogue-formations/formation/38121/site/6598" TargetMode="External" Id="rId141"/><Relationship Type="http://schemas.openxmlformats.org/officeDocument/2006/relationships/hyperlink" Target="https://esix.unicaen.fr/" TargetMode="External" Id="rId142"/><Relationship Type="http://schemas.openxmlformats.org/officeDocument/2006/relationships/hyperlink" Target="https://etudesenfrance.diplomatie.gouv.fr/catalogue-formations/formation/15670/site/13880" TargetMode="External" Id="rId143"/><Relationship Type="http://schemas.openxmlformats.org/officeDocument/2006/relationships/hyperlink" Target="http://www.sup-galilee.univ-paris13.fr/" TargetMode="External" Id="rId144"/><Relationship Type="http://schemas.openxmlformats.org/officeDocument/2006/relationships/hyperlink" Target="https://etudesenfrance.diplomatie.gouv.fr/catalogue-formations/formation/43840/site/6725" TargetMode="External" Id="rId145"/><Relationship Type="http://schemas.openxmlformats.org/officeDocument/2006/relationships/hyperlink" Target="https://episen.u-pec.fr/" TargetMode="External" Id="rId146"/><Relationship Type="http://schemas.openxmlformats.org/officeDocument/2006/relationships/hyperlink" Target="https://etudesenfrance.diplomatie.gouv.fr/catalogue-formations/formation/39057/site/13680" TargetMode="External" Id="rId147"/><Relationship Type="http://schemas.openxmlformats.org/officeDocument/2006/relationships/hyperlink" Target="https://episen.u-pec.fr/" TargetMode="External" Id="rId148"/><Relationship Type="http://schemas.openxmlformats.org/officeDocument/2006/relationships/hyperlink" Target="https://etudesenfrance.diplomatie.gouv.fr/catalogue-formations/formation/39059/site/13680" TargetMode="External" Id="rId149"/><Relationship Type="http://schemas.openxmlformats.org/officeDocument/2006/relationships/hyperlink" Target="https://www.polytech-lille.fr/formation/ingenieur-internet-des-objets-cybersecurite/" TargetMode="External" Id="rId150"/><Relationship Type="http://schemas.openxmlformats.org/officeDocument/2006/relationships/hyperlink" Target="https://etudesenfrance.diplomatie.gouv.fr/catalogue-formations/formation/56821/site/6660" TargetMode="External" Id="rId151"/><Relationship Type="http://schemas.openxmlformats.org/officeDocument/2006/relationships/hyperlink" Target="https://www.univ-amu.fr/fr/actualites/aix-marseille-universite-mobilise-pleinement-capacite-dexoneration-continuer-accueillir" TargetMode="External" Id="rId152"/><Relationship Type="http://schemas.openxmlformats.org/officeDocument/2006/relationships/hyperlink" Target="https://polytech.univ-amu.fr/fr/formations/cycle-ingenieur/genie-biomedical" TargetMode="External" Id="rId153"/><Relationship Type="http://schemas.openxmlformats.org/officeDocument/2006/relationships/hyperlink" Target="https://etudesenfrance.diplomatie.gouv.fr/catalogue-formations/formation/14354/site/12934" TargetMode="External" Id="rId154"/><Relationship Type="http://schemas.openxmlformats.org/officeDocument/2006/relationships/hyperlink" Target="http://www.polytech.univ-savoie.fr/" TargetMode="External" Id="rId155"/><Relationship Type="http://schemas.openxmlformats.org/officeDocument/2006/relationships/hyperlink" Target="https://etudesenfrance.diplomatie.gouv.fr/catalogue-formations/formation/13763/site/13557" TargetMode="External" Id="rId156"/><Relationship Type="http://schemas.openxmlformats.org/officeDocument/2006/relationships/hyperlink" Target="https://www.polytech.universite-paris-saclay.fr/formation/electronique-et-informatique-pour-lembarque" TargetMode="External" Id="rId157"/><Relationship Type="http://schemas.openxmlformats.org/officeDocument/2006/relationships/hyperlink" Target="https://etudesenfrance.diplomatie.gouv.fr/catalogue-formations/formation/14373/site/6758" TargetMode="External" Id="rId158"/><Relationship Type="http://schemas.openxmlformats.org/officeDocument/2006/relationships/hyperlink" Target="https://www.umlp.fr/sites/default/files/2026-07-02-page-droits-differencies-vf.pdf" TargetMode="External" Id="rId159"/><Relationship Type="http://schemas.openxmlformats.org/officeDocument/2006/relationships/hyperlink" Target="http://isifc.univ-fcomte.fr/" TargetMode="External" Id="rId160"/><Relationship Type="http://schemas.openxmlformats.org/officeDocument/2006/relationships/hyperlink" Target="https://etudesenfrance.diplomatie.gouv.fr/catalogue-formations/formation/19048/site/6886" TargetMode="External" Id="rId161"/><Relationship Type="http://schemas.openxmlformats.org/officeDocument/2006/relationships/hyperlink" Target="http://www.polytech-orleans.fr/" TargetMode="External" Id="rId162"/><Relationship Type="http://schemas.openxmlformats.org/officeDocument/2006/relationships/hyperlink" Target="https://etudesenfrance.diplomatie.gouv.fr/catalogue-formations/formation/31976/site/6798" TargetMode="External" Id="rId163"/><Relationship Type="http://schemas.openxmlformats.org/officeDocument/2006/relationships/hyperlink" Target="https://www.ensicaen.fr/" TargetMode="External" Id="rId164"/><Relationship Type="http://schemas.openxmlformats.org/officeDocument/2006/relationships/hyperlink" Target="https://etudesenfrance.diplomatie.gouv.fr/catalogue-formations/formation/24897/site/6792" TargetMode="External" Id="rId165"/><Relationship Type="http://schemas.openxmlformats.org/officeDocument/2006/relationships/hyperlink" Target="https://polytech.univ-cotedazur.fr/" TargetMode="External" Id="rId166"/><Relationship Type="http://schemas.openxmlformats.org/officeDocument/2006/relationships/hyperlink" Target="https://etudesenfrance.diplomatie.gouv.fr/catalogue-formations/formation/37265/site/10964" TargetMode="External" Id="rId167"/><Relationship Type="http://schemas.openxmlformats.org/officeDocument/2006/relationships/hyperlink" Target="https://www.uca.fr/medias/fichier/delib-ca-20251205-15-tarifs-differencies_1765204050111-pdf" TargetMode="External" Id="rId168"/><Relationship Type="http://schemas.openxmlformats.org/officeDocument/2006/relationships/hyperlink" Target="http://www.polytech-clermont.fr/" TargetMode="External" Id="rId169"/><Relationship Type="http://schemas.openxmlformats.org/officeDocument/2006/relationships/hyperlink" Target="https://etudesenfrance.diplomatie.gouv.fr/catalogue-formations/formation/44425/site/6721" TargetMode="External" Id="rId170"/><Relationship Type="http://schemas.openxmlformats.org/officeDocument/2006/relationships/hyperlink" Target="https://www.univ-grenoble-alpes.fr/actualites/a-la-une/actualites-universite/etudiants-internationaux-ce-que-change-le-nouveau-decret-sur-les-droits-d-inscription-a-l-uga-1775870.kjsp" TargetMode="External" Id="rId171"/><Relationship Type="http://schemas.openxmlformats.org/officeDocument/2006/relationships/hyperlink" Target="https://polytech.grenoble-inp.fr/" TargetMode="External" Id="rId172"/><Relationship Type="http://schemas.openxmlformats.org/officeDocument/2006/relationships/hyperlink" Target="https://etudesenfrance.diplomatie.gouv.fr/catalogue-formations/formation/37169/site/6753" TargetMode="External" Id="rId173"/><Relationship Type="http://schemas.openxmlformats.org/officeDocument/2006/relationships/hyperlink" Target="http://polytech.univ-lyon1.fr/" TargetMode="External" Id="rId174"/><Relationship Type="http://schemas.openxmlformats.org/officeDocument/2006/relationships/hyperlink" Target="https://etudesenfrance.diplomatie.gouv.fr/catalogue-formations/formation/37193/site/6772" TargetMode="External" Id="rId175"/><Relationship Type="http://schemas.openxmlformats.org/officeDocument/2006/relationships/hyperlink" Target="https://www.mines-stetienne.fr/en/academic/msc-cyber-physical-social-systems-cps2/" TargetMode="External" Id="rId176"/><Relationship Type="http://schemas.openxmlformats.org/officeDocument/2006/relationships/hyperlink" Target="https://etudesenfrance.diplomatie.gouv.fr/catalogue-formations/formation/45073/site/6734" TargetMode="External" Id="rId177"/><Relationship Type="http://schemas.openxmlformats.org/officeDocument/2006/relationships/hyperlink" Target="https://etudesenfrance.diplomatie.gouv.fr/catalogue-formations/formation/45101/site/6734" TargetMode="External" Id="rId178"/><Relationship Type="http://schemas.openxmlformats.org/officeDocument/2006/relationships/hyperlink" Target="https://www.umlp.fr/sites/default/files/2026-07-02-page-droits-differencies-vf.pdf" TargetMode="External" Id="rId179"/><Relationship Type="http://schemas.openxmlformats.org/officeDocument/2006/relationships/hyperlink" Target="http://isifc.univ-fcomte.fr/" TargetMode="External" Id="rId180"/><Relationship Type="http://schemas.openxmlformats.org/officeDocument/2006/relationships/hyperlink" Target="https://etudesenfrance.diplomatie.gouv.fr/catalogue-formations/formation/27190/site/6886" TargetMode="External" Id="rId181"/><Relationship Type="http://schemas.openxmlformats.org/officeDocument/2006/relationships/hyperlink" Target="http://www.esigelec.fr/" TargetMode="External" Id="rId182"/><Relationship Type="http://schemas.openxmlformats.org/officeDocument/2006/relationships/hyperlink" Target="https://etudesenfrance.diplomatie.gouv.fr/catalogue-formations/formation/26656/site/10955" TargetMode="External" Id="rId183"/><Relationship Type="http://schemas.openxmlformats.org/officeDocument/2006/relationships/hyperlink" Target="https://www.imt-atlantique.fr/en/study/masters/msc/it-embedded-ai" TargetMode="External" Id="rId184"/><Relationship Type="http://schemas.openxmlformats.org/officeDocument/2006/relationships/hyperlink" Target="https://etudesenfrance.diplomatie.gouv.fr/catalogue-formations/formation/60298/site/6501" TargetMode="External" Id="rId185"/><Relationship Type="http://schemas.openxmlformats.org/officeDocument/2006/relationships/hyperlink" Target="https://www.imt-atlantique.fr/en/study/masters/msc/it-aeiot" TargetMode="External" Id="rId186"/><Relationship Type="http://schemas.openxmlformats.org/officeDocument/2006/relationships/hyperlink" Target="https://etudesenfrance.diplomatie.gouv.fr/catalogue-formations/formation/27865/site/13749" TargetMode="External" Id="rId187"/><Relationship Type="http://schemas.openxmlformats.org/officeDocument/2006/relationships/hyperlink" Target="https://centralelille.fr/en/formation/masters/master-biomedical-engineering/" TargetMode="External" Id="rId188"/><Relationship Type="http://schemas.openxmlformats.org/officeDocument/2006/relationships/hyperlink" Target="https://etudesenfrance.diplomatie.gouv.fr/catalogue-formations/formation/61185/site/10697" TargetMode="External" Id="rId189"/><Relationship Type="http://schemas.openxmlformats.org/officeDocument/2006/relationships/hyperlink" Target="https://isen-mediterranee.fr/en/formation/msc-master-of-science-in-intelligent-embedded-systems-engineering/" TargetMode="External" Id="rId190"/><Relationship Type="http://schemas.openxmlformats.org/officeDocument/2006/relationships/hyperlink" Target="https://etudesenfrance.diplomatie.gouv.fr/catalogue-formations/formation/60405/site/11891" TargetMode="External" Id="rId191"/><Relationship Type="http://schemas.openxmlformats.org/officeDocument/2006/relationships/hyperlink" Target="http://www.insa-toulouse.fr/fr/formation.html" TargetMode="External" Id="rId192"/><Relationship Type="http://schemas.openxmlformats.org/officeDocument/2006/relationships/hyperlink" Target="https://etudesenfrance.diplomatie.gouv.fr/catalogue-formations/formation/27870/site/6502" TargetMode="External" Id="rId193"/><Relationship Type="http://schemas.openxmlformats.org/officeDocument/2006/relationships/hyperlink" Target="https://etudesenfrance.diplomatie.gouv.fr/catalogue-formations/formation/60631/site/6517" TargetMode="External" Id="rId194"/><Relationship Type="http://schemas.openxmlformats.org/officeDocument/2006/relationships/hyperlink" Target="http://www.insa-toulouse.fr/fr/formation.html" TargetMode="External" Id="rId195"/><Relationship Type="http://schemas.openxmlformats.org/officeDocument/2006/relationships/hyperlink" Target="https://etudesenfrance.diplomatie.gouv.fr/catalogue-formations/formation/57283/site/6502" TargetMode="External" Id="rId196"/><Relationship Type="http://schemas.openxmlformats.org/officeDocument/2006/relationships/hyperlink" Target="https://www.junia.com/en/home/" TargetMode="External" Id="rId197"/><Relationship Type="http://schemas.openxmlformats.org/officeDocument/2006/relationships/hyperlink" Target="https://etudesenfrance.diplomatie.gouv.fr/catalogue-formations/formation/61343/site/14123" TargetMode="External" Id="rId198"/><Relationship Type="http://schemas.openxmlformats.org/officeDocument/2006/relationships/hyperlink" Target="https://www.junia.com/en/academics/master-of-science-and-engineering-in-electronics-and-embedded-systems/" TargetMode="External" Id="rId199"/><Relationship Type="http://schemas.openxmlformats.org/officeDocument/2006/relationships/hyperlink" Target="https://etudesenfrance.diplomatie.gouv.fr/catalogue-formations/formation/50601/site/14123" TargetMode="External" Id="rId200"/><Relationship Type="http://schemas.openxmlformats.org/officeDocument/2006/relationships/hyperlink" Target="https://www.mines-stetienne.fr/formation/mastere-specialise-iot/" TargetMode="External" Id="rId201"/><Relationship Type="http://schemas.openxmlformats.org/officeDocument/2006/relationships/hyperlink" Target="https://etudesenfrance.diplomatie.gouv.fr/catalogue-formations/formation/51742/site/13863" TargetMode="External" Id="rId202"/><Relationship Type="http://schemas.openxmlformats.org/officeDocument/2006/relationships/hyperlink" Target="https://www.centrale-mediterranee.fr/fr/formation/masters/master-biomedical-engineering" TargetMode="External" Id="rId203"/><Relationship Type="http://schemas.openxmlformats.org/officeDocument/2006/relationships/hyperlink" Target="https://etudesenfrance.diplomatie.gouv.fr/catalogue-formations/formation/45191/site/6733" TargetMode="External" Id="rId204"/><Relationship Type="http://schemas.openxmlformats.org/officeDocument/2006/relationships/hyperlink" Target="https://etudesenfrance.diplomatie.gouv.fr/catalogue-formations/formation/61711/site/14186" TargetMode="External" Id="rId205"/><Relationship Type="http://schemas.openxmlformats.org/officeDocument/2006/relationships/hyperlink" Target="https://etudesenfrance.diplomatie.gouv.fr/catalogue-formations/formation/61714/site/14186" TargetMode="External" Id="rId206"/><Relationship Type="http://schemas.openxmlformats.org/officeDocument/2006/relationships/hyperlink" Target="http://www.supelec.fr/" TargetMode="External" Id="rId207"/><Relationship Type="http://schemas.openxmlformats.org/officeDocument/2006/relationships/hyperlink" Target="https://etudesenfrance.diplomatie.gouv.fr/catalogue-formations/formation/27479/site/10843" TargetMode="External" Id="rId208"/><Relationship Type="http://schemas.openxmlformats.org/officeDocument/2006/relationships/hyperlink" Target="https://exed.centralesupelec.fr/formation/mastere-specialise-sante-numerique/" TargetMode="External" Id="rId209"/><Relationship Type="http://schemas.openxmlformats.org/officeDocument/2006/relationships/hyperlink" Target="https://etudesenfrance.diplomatie.gouv.fr/catalogue-formations/formation/60463/site/6497" TargetMode="External" Id="rId210"/><Relationship Type="http://schemas.openxmlformats.org/officeDocument/2006/relationships/hyperlink" Target="http://www.enseeiht.fr/" TargetMode="External" Id="rId211"/><Relationship Type="http://schemas.openxmlformats.org/officeDocument/2006/relationships/hyperlink" Target="https://etudesenfrance.diplomatie.gouv.fr/catalogue-formations/formation/43439/site/6517" TargetMode="External" Id="rId212"/><Relationship Type="http://schemas.openxmlformats.org/officeDocument/2006/relationships/hyperlink" Target="https://esigelec.fr/fr" TargetMode="External" Id="rId213"/><Relationship Type="http://schemas.openxmlformats.org/officeDocument/2006/relationships/hyperlink" Target="https://etudesenfrance.diplomatie.gouv.fr/catalogue-formations/formation/52935/site/10955" TargetMode="External" Id="rId214"/><Relationship Type="http://schemas.openxmlformats.org/officeDocument/2006/relationships/hyperlink" Target="https://bit.ly/3sYFUba" TargetMode="External" Id="rId215"/><Relationship Type="http://schemas.openxmlformats.org/officeDocument/2006/relationships/hyperlink" Target="https://etudesenfrance.diplomatie.gouv.fr/catalogue-formations/formation/43243/site/6722" TargetMode="External" Id="rId216"/><Relationship Type="http://schemas.openxmlformats.org/officeDocument/2006/relationships/hyperlink" Target="http://www.esigelec.fr/" TargetMode="External" Id="rId217"/><Relationship Type="http://schemas.openxmlformats.org/officeDocument/2006/relationships/hyperlink" Target="https://etudesenfrance.diplomatie.gouv.fr/catalogue-formations/formation/52381/site/10955" TargetMode="External" Id="rId218"/><Relationship Type="http://schemas.openxmlformats.org/officeDocument/2006/relationships/hyperlink" Target="https://www.tsaae.fr/" TargetMode="External" Id="rId219"/><Relationship Type="http://schemas.openxmlformats.org/officeDocument/2006/relationships/hyperlink" Target="https://etudesenfrance.diplomatie.gouv.fr/catalogue-formations/formation/26245/site/6489" TargetMode="External" Id="rId220"/><Relationship Type="http://schemas.openxmlformats.org/officeDocument/2006/relationships/hyperlink" Target="https://www.tsaae.fr/" TargetMode="External" Id="rId221"/><Relationship Type="http://schemas.openxmlformats.org/officeDocument/2006/relationships/hyperlink" Target="https://etudesenfrance.diplomatie.gouv.fr/catalogue-formations/formation/27798/site/6489" TargetMode="External" Id="rId222"/><Relationship Type="http://schemas.openxmlformats.org/officeDocument/2006/relationships/hyperlink" Target="https://www.eurecom.fr/fr/les-formations/master-en-reseaux-et-telecommunication/master-en-reseaux-et-telecommunication-1" TargetMode="External" Id="rId223"/><Relationship Type="http://schemas.openxmlformats.org/officeDocument/2006/relationships/hyperlink" Target="https://etudesenfrance.diplomatie.gouv.fr/catalogue-formations/formation/39142/site/6868" TargetMode="External" Id="rId224"/><Relationship Type="http://schemas.openxmlformats.org/officeDocument/2006/relationships/hyperlink" Target="https://www.eurecom.fr/en/teaching/master-networks-and-telecommunication/msc-networks-and-telecommunication-internet-things" TargetMode="External" Id="rId225"/><Relationship Type="http://schemas.openxmlformats.org/officeDocument/2006/relationships/hyperlink" Target="https://etudesenfrance.diplomatie.gouv.fr/catalogue-formations/formation/56810/site/6868" TargetMode="External" Id="rId226"/><Relationship Type="http://schemas.openxmlformats.org/officeDocument/2006/relationships/hyperlink" Target="https://master.roc.cnam.fr/" TargetMode="External" Id="rId227"/><Relationship Type="http://schemas.openxmlformats.org/officeDocument/2006/relationships/hyperlink" Target="https://etudesenfrance.diplomatie.gouv.fr/catalogue-formations/formation/47685/site/13979" TargetMode="External" Id="rId228"/><Relationship Type="http://schemas.openxmlformats.org/officeDocument/2006/relationships/hyperlink" Target="https://www.univ-lyon1.fr/formation/inscription-et-scolarite/etudiantes-et-etudiants-internationaux-droits-dinscription-differencies-et-exonerations" TargetMode="External" Id="rId229"/><Relationship Type="http://schemas.openxmlformats.org/officeDocument/2006/relationships/hyperlink" Target="https://polytech.univ-lyon1.fr/formation/graduate-school" TargetMode="External" Id="rId230"/><Relationship Type="http://schemas.openxmlformats.org/officeDocument/2006/relationships/hyperlink" Target="https://etudesenfrance.diplomatie.gouv.fr/catalogue-formations/formation/55244/site/13586" TargetMode="External" Id="rId231"/><Relationship Type="http://schemas.openxmlformats.org/officeDocument/2006/relationships/hyperlink" Target="https://u-paris.fr/droits-dinscription-tarifs-exonerations/" TargetMode="External" Id="rId232"/><Relationship Type="http://schemas.openxmlformats.org/officeDocument/2006/relationships/hyperlink" Target="https://odf.u-paris.fr/fr/offre-de-formation/master-XB/sciences-technologies-sante-STS/ingenierie-de-la-sante-K2NDJ7KW.html" TargetMode="External" Id="rId233"/><Relationship Type="http://schemas.openxmlformats.org/officeDocument/2006/relationships/hyperlink" Target="https://etudesenfrance.diplomatie.gouv.fr/catalogue-formations/formation/60325/site/7430" TargetMode="External" Id="rId234"/><Relationship Type="http://schemas.openxmlformats.org/officeDocument/2006/relationships/hyperlink" Target="https://u-paris.fr/droits-dinscription-tarifs-exonerations/" TargetMode="External" Id="rId235"/><Relationship Type="http://schemas.openxmlformats.org/officeDocument/2006/relationships/hyperlink" Target="https://odf.u-paris.fr/fr/offre-de-formation/master-XB/sciences-technologies-sante-STS/ingenierie-de-la-sante-K2NDJ7KW.html" TargetMode="External" Id="rId236"/><Relationship Type="http://schemas.openxmlformats.org/officeDocument/2006/relationships/hyperlink" Target="https://etudesenfrance.diplomatie.gouv.fr/catalogue-formations/formation/60328/site/7430" TargetMode="External" Id="rId237"/><Relationship Type="http://schemas.openxmlformats.org/officeDocument/2006/relationships/hyperlink" Target="https://www.univ-grenoble-alpes.fr/actualites/a-la-une/actualites-universite/etudiants-internationaux-ce-que-change-le-nouveau-decret-sur-les-droits-d-inscription-a-l-uga-1775870.kjsp" TargetMode="External" Id="rId238"/><Relationship Type="http://schemas.openxmlformats.org/officeDocument/2006/relationships/hyperlink" Target="https://esisar.grenoble-inp.fr/fr/formation/master-mistre" TargetMode="External" Id="rId239"/><Relationship Type="http://schemas.openxmlformats.org/officeDocument/2006/relationships/hyperlink" Target="https://etudesenfrance.diplomatie.gouv.fr/catalogue-formations/formation/43195/site/6770" TargetMode="External" Id="rId240"/><Relationship Type="http://schemas.openxmlformats.org/officeDocument/2006/relationships/hyperlink" Target="https://www.univ-grenoble-alpes.fr/actualites/a-la-une/actualites-universite/etudiants-internationaux-ce-que-change-le-nouveau-decret-sur-les-droits-d-inscription-a-l-uga-1775870.kjsp" TargetMode="External" Id="rId241"/><Relationship Type="http://schemas.openxmlformats.org/officeDocument/2006/relationships/hyperlink" Target="https://esisar.grenoble-inp.fr/fr/formation/master-mistre" TargetMode="External" Id="rId242"/><Relationship Type="http://schemas.openxmlformats.org/officeDocument/2006/relationships/hyperlink" Target="https://etudesenfrance.diplomatie.gouv.fr/catalogue-formations/formation/32317/site/6770" TargetMode="External" Id="rId243"/><Relationship Type="http://schemas.openxmlformats.org/officeDocument/2006/relationships/hyperlink" Target="https://u-paris.fr/droits-dinscription-tarifs-exonerations/" TargetMode="External" Id="rId244"/><Relationship Type="http://schemas.openxmlformats.org/officeDocument/2006/relationships/hyperlink" Target="https://odf.u-paris.fr/fr/offre-de-formation/master-XB/sciences-technologies-sante-STS/ingenierie-de-la-sante-K2NDJ7KW.html" TargetMode="External" Id="rId245"/><Relationship Type="http://schemas.openxmlformats.org/officeDocument/2006/relationships/hyperlink" Target="https://etudesenfrance.diplomatie.gouv.fr/catalogue-formations/formation/60326/site/7430" TargetMode="External" Id="rId246"/><Relationship Type="http://schemas.openxmlformats.org/officeDocument/2006/relationships/hyperlink" Target="http://www.mines-stetienne.fr/formation-mines-saint-etienne/" TargetMode="External" Id="rId247"/><Relationship Type="http://schemas.openxmlformats.org/officeDocument/2006/relationships/hyperlink" Target="https://etudesenfrance.diplomatie.gouv.fr/catalogue-formations/formation/34803/site/6734" TargetMode="External" Id="rId248"/><Relationship Type="http://schemas.openxmlformats.org/officeDocument/2006/relationships/hyperlink" Target="https://u-paris.fr/droits-dinscription-tarifs-exonerations/" TargetMode="External" Id="rId249"/><Relationship Type="http://schemas.openxmlformats.org/officeDocument/2006/relationships/hyperlink" Target="https://odf.u-paris.fr/fr/offre-de-formation/master-XB/sciences-technologies-sante-STS/ingenierie-de-la-sante-K2NDJ7KW.html" TargetMode="External" Id="rId250"/><Relationship Type="http://schemas.openxmlformats.org/officeDocument/2006/relationships/hyperlink" Target="https://etudesenfrance.diplomatie.gouv.fr/catalogue-formations/formation/60329/site/7430" TargetMode="External" Id="rId251"/><Relationship Type="http://schemas.openxmlformats.org/officeDocument/2006/relationships/hyperlink" Target="https://www.univ-lyon1.fr/formation/inscription-et-scolarite/etudiantes-et-etudiants-internationaux-droits-dinscription-differencies-et-exonerations" TargetMode="External" Id="rId252"/><Relationship Type="http://schemas.openxmlformats.org/officeDocument/2006/relationships/hyperlink" Target="http://ispb.univ-lyon1.fr/" TargetMode="External" Id="rId253"/><Relationship Type="http://schemas.openxmlformats.org/officeDocument/2006/relationships/hyperlink" Target="https://etudesenfrance.diplomatie.gouv.fr/catalogue-formations/formation/53092/site/7102" TargetMode="External" Id="rId254"/><Relationship Type="http://schemas.openxmlformats.org/officeDocument/2006/relationships/hyperlink" Target="https://www.univ-lyon1.fr/formation/inscription-et-scolarite/etudiantes-et-etudiants-internationaux-droits-dinscription-differencies-et-exonerations" TargetMode="External" Id="rId255"/><Relationship Type="http://schemas.openxmlformats.org/officeDocument/2006/relationships/hyperlink" Target="http://ispb.univ-lyon1.fr/" TargetMode="External" Id="rId256"/><Relationship Type="http://schemas.openxmlformats.org/officeDocument/2006/relationships/hyperlink" Target="https://etudesenfrance.diplomatie.gouv.fr/catalogue-formations/formation/32309/site/7102" TargetMode="External" Id="rId257"/><Relationship Type="http://schemas.openxmlformats.org/officeDocument/2006/relationships/hyperlink" Target="https://www.univ-grenoble-alpes.fr/actualites/a-la-une/actualites-universite/etudiants-internationaux-ce-que-change-le-nouveau-decret-sur-les-droits-d-inscription-a-l-uga-1775870.kjsp" TargetMode="External" Id="rId258"/><Relationship Type="http://schemas.openxmlformats.org/officeDocument/2006/relationships/hyperlink" Target="https://formations.univ-grenoble-alpes.fr/fr/catalogue-2021/master-XB/master-ingenierie-de-la-sante-IAQKSXOB/parcours-genetique-genomique-et-infertilite-2e-annee-KJV5CKSF.html" TargetMode="External" Id="rId259"/><Relationship Type="http://schemas.openxmlformats.org/officeDocument/2006/relationships/hyperlink" Target="https://etudesenfrance.diplomatie.gouv.fr/catalogue-formations/formation/31782/site/13701" TargetMode="External" Id="rId260"/><Relationship Type="http://schemas.openxmlformats.org/officeDocument/2006/relationships/hyperlink" Target="https://www.univ-brest.fr/medecine" TargetMode="External" Id="rId261"/><Relationship Type="http://schemas.openxmlformats.org/officeDocument/2006/relationships/hyperlink" Target="https://etudesenfrance.diplomatie.gouv.fr/catalogue-formations/formation/40198/site/6706" TargetMode="External" Id="rId262"/><Relationship Type="http://schemas.openxmlformats.org/officeDocument/2006/relationships/hyperlink" Target="https://sante.u-pec.fr/" TargetMode="External" Id="rId263"/><Relationship Type="http://schemas.openxmlformats.org/officeDocument/2006/relationships/hyperlink" Target="https://etudesenfrance.diplomatie.gouv.fr/catalogue-formations/formation/33235/site/6705" TargetMode="External" Id="rId264"/><Relationship Type="http://schemas.openxmlformats.org/officeDocument/2006/relationships/hyperlink" Target="https://fst.univ-lorraine.fr/formations/" TargetMode="External" Id="rId265"/><Relationship Type="http://schemas.openxmlformats.org/officeDocument/2006/relationships/hyperlink" Target="https://etudesenfrance.diplomatie.gouv.fr/catalogue-formations/formation/40500/site/6958" TargetMode="External" Id="rId266"/><Relationship Type="http://schemas.openxmlformats.org/officeDocument/2006/relationships/hyperlink" Target="https://observalgerie.com/2026/06/13/misc/frais-dinscription-en-france-lille-maintient-un-avantage-pour-les-etudiants-etrangers/" TargetMode="External" Id="rId267"/><Relationship Type="http://schemas.openxmlformats.org/officeDocument/2006/relationships/hyperlink" Target="https://formation.univ-lille.fr/fr/offre-de-formation/master-lmd-XB/master-physique-fondamentale-et-applications-MG001988/physique-medicale-m2-MX002075.html" TargetMode="External" Id="rId268"/><Relationship Type="http://schemas.openxmlformats.org/officeDocument/2006/relationships/hyperlink" Target="https://etudesenfrance.diplomatie.gouv.fr/catalogue-formations/formation/46703/site/6537" TargetMode="External" Id="rId269"/><Relationship Type="http://schemas.openxmlformats.org/officeDocument/2006/relationships/hyperlink" Target="https://www.univ-rouen.fr/actualites/application-des-droits-dinscription-differencies-a-luniversite-de-rouen-normandie-a-compter-de-la-rentree-universitaire-2026-2027/" TargetMode="External" Id="rId270"/><Relationship Type="http://schemas.openxmlformats.org/officeDocument/2006/relationships/hyperlink" Target="http://sciences-techniques.univ-rouen.fr/" TargetMode="External" Id="rId271"/><Relationship Type="http://schemas.openxmlformats.org/officeDocument/2006/relationships/hyperlink" Target="https://etudesenfrance.diplomatie.gouv.fr/catalogue-formations/formation/38771/site/10673" TargetMode="External" Id="rId272"/><Relationship Type="http://schemas.openxmlformats.org/officeDocument/2006/relationships/hyperlink" Target="https://www.univ-lyon1.fr/formation/inscription-et-scolarite/etudiantes-et-etudiants-internationaux-droits-dinscription-differencies-et-exonerations" TargetMode="External" Id="rId273"/><Relationship Type="http://schemas.openxmlformats.org/officeDocument/2006/relationships/hyperlink" Target="http://ufr-gep.univ-lyon1.fr/" TargetMode="External" Id="rId274"/><Relationship Type="http://schemas.openxmlformats.org/officeDocument/2006/relationships/hyperlink" Target="https://etudesenfrance.diplomatie.gouv.fr/catalogue-formations/formation/32291/site/11113" TargetMode="External" Id="rId275"/><Relationship Type="http://schemas.openxmlformats.org/officeDocument/2006/relationships/hyperlink" Target="https://www.univ-lyon1.fr/formation/inscription-et-scolarite/etudiantes-et-etudiants-internationaux-droits-dinscription-differencies-et-exonerations" TargetMode="External" Id="rId276"/><Relationship Type="http://schemas.openxmlformats.org/officeDocument/2006/relationships/hyperlink" Target="https://etudesenfrance.diplomatie.gouv.fr/catalogue-formations/formation/59872/site/7102" TargetMode="External" Id="rId277"/><Relationship Type="http://schemas.openxmlformats.org/officeDocument/2006/relationships/hyperlink" Target="https://igm.univ-gustave-eiffel.fr/" TargetMode="External" Id="rId278"/><Relationship Type="http://schemas.openxmlformats.org/officeDocument/2006/relationships/hyperlink" Target="https://etudesenfrance.diplomatie.gouv.fr/catalogue-formations/formation/33988/site/10729" TargetMode="External" Id="rId279"/><Relationship Type="http://schemas.openxmlformats.org/officeDocument/2006/relationships/hyperlink" Target="https://www.univ-grenoble-alpes.fr/actualites/a-la-une/actualites-universite/etudiants-internationaux-ce-que-change-le-nouveau-decret-sur-les-droits-d-inscription-a-l-uga-1775870.kjsp" TargetMode="External" Id="rId280"/><Relationship Type="http://schemas.openxmlformats.org/officeDocument/2006/relationships/hyperlink" Target="https://formations.univ-grenoble-alpes.fr/fr/catalogue-2021/master-XB/master-ingenierie-de-la-sante-IAQKSXOB/parcours-methodes-pour-la-conception-et-la-conduite-de-projets-en-recherche-clinique-2e-annee-IBKJLUAL.html" TargetMode="External" Id="rId281"/><Relationship Type="http://schemas.openxmlformats.org/officeDocument/2006/relationships/hyperlink" Target="https://etudesenfrance.diplomatie.gouv.fr/catalogue-formations/formation/31779/site/13701" TargetMode="External" Id="rId282"/><Relationship Type="http://schemas.openxmlformats.org/officeDocument/2006/relationships/hyperlink" Target="https://www.univ-grenoble-alpes.fr/actualites/a-la-une/actualites-universite/etudiants-internationaux-ce-que-change-le-nouveau-decret-sur-les-droits-d-inscription-a-l-uga-1775870.kjsp" TargetMode="External" Id="rId283"/><Relationship Type="http://schemas.openxmlformats.org/officeDocument/2006/relationships/hyperlink" Target="https://formations.univ-grenoble-alpes.fr/fr/catalogue-2021/master-XB/master-ingenierie-de-la-sante-IAQKSXOB/parcours-physique-medicale-radioprotection-de-l-homme-et-de-l-environnement-2e-annee-IBKJN95V.html" TargetMode="External" Id="rId284"/><Relationship Type="http://schemas.openxmlformats.org/officeDocument/2006/relationships/hyperlink" Target="https://etudesenfrance.diplomatie.gouv.fr/catalogue-formations/formation/31781/site/13701" TargetMode="External" Id="rId285"/><Relationship Type="http://schemas.openxmlformats.org/officeDocument/2006/relationships/hyperlink" Target="https://formations.u-bordeaux.fr/" TargetMode="External" Id="rId286"/><Relationship Type="http://schemas.openxmlformats.org/officeDocument/2006/relationships/hyperlink" Target="https://etudesenfrance.diplomatie.gouv.fr/catalogue-formations/formation/45722/site/13664" TargetMode="External" Id="rId287"/><Relationship Type="http://schemas.openxmlformats.org/officeDocument/2006/relationships/hyperlink" Target="https://www.sorbonne-universite.fr/actualites/le-conseil-dadministration-de-sorbonne-universite-vote-lunanimite-le-7-juillet-2026-sa" TargetMode="External" Id="rId288"/><Relationship Type="http://schemas.openxmlformats.org/officeDocument/2006/relationships/hyperlink" Target="http://master.sante.sorbonne-universite.fr/fr/index.html" TargetMode="External" Id="rId289"/><Relationship Type="http://schemas.openxmlformats.org/officeDocument/2006/relationships/hyperlink" Target="https://etudesenfrance.diplomatie.gouv.fr/catalogue-formations/formation/43471/site/13736" TargetMode="External" Id="rId290"/><Relationship Type="http://schemas.openxmlformats.org/officeDocument/2006/relationships/hyperlink" Target="https://u-paris.fr/droits-dinscription-tarifs-exonerations/" TargetMode="External" Id="rId291"/><Relationship Type="http://schemas.openxmlformats.org/officeDocument/2006/relationships/hyperlink" Target="https://u-paris.fr/medecine/formation-initiale/masters/" TargetMode="External" Id="rId292"/><Relationship Type="http://schemas.openxmlformats.org/officeDocument/2006/relationships/hyperlink" Target="https://etudesenfrance.diplomatie.gouv.fr/catalogue-formations/formation/45657/site/10648" TargetMode="External" Id="rId293"/><Relationship Type="http://schemas.openxmlformats.org/officeDocument/2006/relationships/hyperlink" Target="https://www.univ-tours.fr/international/etudes-stages-a-tours/droits-dinscription-differencies-pour-les-etudiants-extra-communautaires-2026-2027" TargetMode="External" Id="rId294"/><Relationship Type="http://schemas.openxmlformats.org/officeDocument/2006/relationships/hyperlink" Target="https://www.univ-tours.fr/formations/master-sciences-technologies-sante-mention-sciences-du-vivant-parcours-infectiologie-immunite-vaccinologie-et-biomedicaments" TargetMode="External" Id="rId295"/><Relationship Type="http://schemas.openxmlformats.org/officeDocument/2006/relationships/hyperlink" Target="https://etudesenfrance.diplomatie.gouv.fr/catalogue-formations/formation/39373/site/7094" TargetMode="External" Id="rId296"/><Relationship Type="http://schemas.openxmlformats.org/officeDocument/2006/relationships/hyperlink" Target="https://formations.u-bordeaux.fr/details-formation?type=formation&amp;id=126" TargetMode="External" Id="rId297"/><Relationship Type="http://schemas.openxmlformats.org/officeDocument/2006/relationships/hyperlink" Target="https://etudesenfrance.diplomatie.gouv.fr/catalogue-formations/formation/61327/site/6682" TargetMode="External" Id="rId298"/><Relationship Type="http://schemas.openxmlformats.org/officeDocument/2006/relationships/hyperlink" Target="https://www.univ-grenoble-alpes.fr/actualites/a-la-une/actualites-universite/etudiants-internationaux-ce-que-change-le-nouveau-decret-sur-les-droits-d-inscription-a-l-uga-1775870.kjsp" TargetMode="External" Id="rId299"/><Relationship Type="http://schemas.openxmlformats.org/officeDocument/2006/relationships/hyperlink" Target="https://licences-masters-sante.univ-grenoble-alpes.fr/masters/medtechs-numerique-et-physique-appliques-a-la-sante/m2-modeles-innovation-technologique-imagerie-miti-/m2-modeles-innovation-technologique-imagerie-miti--279879.kjsp" TargetMode="External" Id="rId300"/><Relationship Type="http://schemas.openxmlformats.org/officeDocument/2006/relationships/hyperlink" Target="https://etudesenfrance.diplomatie.gouv.fr/catalogue-formations/formation/61904/site/13701" TargetMode="External" Id="rId301"/><Relationship Type="http://schemas.openxmlformats.org/officeDocument/2006/relationships/hyperlink" Target="https://www.univ-grenoble-alpes.fr/actualites/a-la-une/actualites-universite/etudiants-internationaux-ce-que-change-le-nouveau-decret-sur-les-droits-d-inscription-a-l-uga-1775870.kjsp" TargetMode="External" Id="rId302"/><Relationship Type="http://schemas.openxmlformats.org/officeDocument/2006/relationships/hyperlink" Target="https://formations.univ-grenoble-alpes.fr/fr/catalogue-2021/master-XB/master-physique-fondamentale-et-applications-IAQK7WZY.html" TargetMode="External" Id="rId303"/><Relationship Type="http://schemas.openxmlformats.org/officeDocument/2006/relationships/hyperlink" Target="https://etudesenfrance.diplomatie.gouv.fr/catalogue-formations/formation/62030/site/13729" TargetMode="External" Id="rId304"/><Relationship Type="http://schemas.openxmlformats.org/officeDocument/2006/relationships/hyperlink" Target="https://u-paris.fr/droits-dinscription-tarifs-exonerations/" TargetMode="External" Id="rId305"/><Relationship Type="http://schemas.openxmlformats.org/officeDocument/2006/relationships/hyperlink" Target="https://odf.u-paris.fr/fr/offre-de-formation/master-XB/sciences-technologies-sante-STS/sciences-et-genie-des-materiaux-K2M598T7/master-sciences-et-genie-des-materiaux-parcours-ingenierie-biomedicale-biomateriaux-biomolecules-K1AEGQPI.html" TargetMode="External" Id="rId306"/><Relationship Type="http://schemas.openxmlformats.org/officeDocument/2006/relationships/hyperlink" Target="https://etudesenfrance.diplomatie.gouv.fr/catalogue-formations/formation/58198/site/14120" TargetMode="External" Id="rId307"/><Relationship Type="http://schemas.openxmlformats.org/officeDocument/2006/relationships/hyperlink" Target="http://www.imt-atlantique.fr/" TargetMode="External" Id="rId308"/><Relationship Type="http://schemas.openxmlformats.org/officeDocument/2006/relationships/hyperlink" Target="https://etudesenfrance.diplomatie.gouv.fr/catalogue-formations/formation/24205/site/6501" TargetMode="External" Id="rId309"/><Relationship Type="http://schemas.openxmlformats.org/officeDocument/2006/relationships/hyperlink" Target="http://www.supelec.fr/" TargetMode="External" Id="rId310"/><Relationship Type="http://schemas.openxmlformats.org/officeDocument/2006/relationships/hyperlink" Target="https://etudesenfrance.diplomatie.gouv.fr/catalogue-formations/formation/24205/site/10843" TargetMode="External" Id="rId311"/><Relationship Type="http://schemas.openxmlformats.org/officeDocument/2006/relationships/hyperlink" Target="https://etudesenfrance.diplomatie.gouv.fr/catalogue-formations/formation/23855/site/13619" TargetMode="External" Id="rId312"/><Relationship Type="http://schemas.openxmlformats.org/officeDocument/2006/relationships/hyperlink" Target="http://www.mines-stetienne.fr/formation-mines-saint-etienne/" TargetMode="External" Id="rId313"/><Relationship Type="http://schemas.openxmlformats.org/officeDocument/2006/relationships/hyperlink" Target="https://etudesenfrance.diplomatie.gouv.fr/catalogue-formations/formation/27190/site/6734" TargetMode="External" Id="rId314"/><Relationship Type="http://schemas.openxmlformats.org/officeDocument/2006/relationships/hyperlink" Target="https://www.mines-stetienne.fr/en/academic/msc-biomedical-engineering-design-bmed/" TargetMode="External" Id="rId315"/><Relationship Type="http://schemas.openxmlformats.org/officeDocument/2006/relationships/hyperlink" Target="https://etudesenfrance.diplomatie.gouv.fr/catalogue-formations/formation/45080/site/6734" TargetMode="External" Id="rId316"/><Relationship Type="http://schemas.openxmlformats.org/officeDocument/2006/relationships/hyperlink" Target="http://www.mines-stetienne.fr/formation-mines-saint-etienne/" TargetMode="External" Id="rId317"/><Relationship Type="http://schemas.openxmlformats.org/officeDocument/2006/relationships/hyperlink" Target="https://etudesenfrance.diplomatie.gouv.fr/catalogue-formations/formation/27954/site/6734" TargetMode="External" Id="rId318"/><Relationship Type="http://schemas.openxmlformats.org/officeDocument/2006/relationships/hyperlink" Target="http://www.mines-stetienne.fr/formation-mines-saint-etienne/" TargetMode="External" Id="rId319"/><Relationship Type="http://schemas.openxmlformats.org/officeDocument/2006/relationships/hyperlink" Target="https://etudesenfrance.diplomatie.gouv.fr/catalogue-formations/formation/34907/site/6734" TargetMode="External" Id="rId320"/><Relationship Type="http://schemas.openxmlformats.org/officeDocument/2006/relationships/hyperlink" Target="http://www.ensta-paristech.fr/" TargetMode="External" Id="rId321"/><Relationship Type="http://schemas.openxmlformats.org/officeDocument/2006/relationships/hyperlink" Target="https://etudesenfrance.diplomatie.gouv.fr/catalogue-formations/formation/24023/site/6490" TargetMode="External" Id="rId322"/><Relationship Type="http://schemas.openxmlformats.org/officeDocument/2006/relationships/hyperlink" Target="https://polytech.univ-nantes.fr/les-formations/masters-internationaux/wireless-embedded-technologies-master-s-degree-wet--2355194.kjsp?RH=1382971139912" TargetMode="External" Id="rId323"/><Relationship Type="http://schemas.openxmlformats.org/officeDocument/2006/relationships/hyperlink" Target="https://etudesenfrance.diplomatie.gouv.fr/catalogue-formations/formation/38090/site/13620" TargetMode="External" Id="rId324"/><Relationship Type="http://schemas.openxmlformats.org/officeDocument/2006/relationships/hyperlink" Target="https://www.univ-amu.fr/fr/actualites/aix-marseille-universite-mobilise-pleinement-capacite-dexoneration-continuer-accueillir" TargetMode="External" Id="rId325"/><Relationship Type="http://schemas.openxmlformats.org/officeDocument/2006/relationships/hyperlink" Target="https://formations.univ-amu.fr/fr/master/5SIN/PRSIN5C5" TargetMode="External" Id="rId326"/><Relationship Type="http://schemas.openxmlformats.org/officeDocument/2006/relationships/hyperlink" Target="https://etudesenfrance.diplomatie.gouv.fr/catalogue-formations/formation/39689/site/7449" TargetMode="External" Id="rId327"/><Relationship Type="http://schemas.openxmlformats.org/officeDocument/2006/relationships/hyperlink" Target="https://www.utoulouse.fr/medias/fichier/2026-02-ca-075_1774430647495-pdf" TargetMode="External" Id="rId328"/><Relationship Type="http://schemas.openxmlformats.org/officeDocument/2006/relationships/hyperlink" Target="http://www.univ-tlse3.fr/" TargetMode="External" Id="rId329"/><Relationship Type="http://schemas.openxmlformats.org/officeDocument/2006/relationships/hyperlink" Target="https://etudesenfrance.diplomatie.gouv.fr/catalogue-formations/formation/36588/site/13714" TargetMode="External" Id="rId330"/><Relationship Type="http://schemas.openxmlformats.org/officeDocument/2006/relationships/hyperlink" Target="https://sciences-techniques.univ-nantes.fr/formations/masters/master-informatique" TargetMode="External" Id="rId331"/><Relationship Type="http://schemas.openxmlformats.org/officeDocument/2006/relationships/hyperlink" Target="https://etudesenfrance.diplomatie.gouv.fr/catalogue-formations/formation/34220/site/6543" TargetMode="External" Id="rId332"/><Relationship Type="http://schemas.openxmlformats.org/officeDocument/2006/relationships/hyperlink" Target="https://www.univ-rouen.fr/actualites/application-des-droits-dinscription-differencies-a-luniversite-de-rouen-normandie-a-compter-de-la-rentree-universitaire-2026-2027/" TargetMode="External" Id="rId333"/><Relationship Type="http://schemas.openxmlformats.org/officeDocument/2006/relationships/hyperlink" Target="http://sciences-techniques.univ-rouen.fr/" TargetMode="External" Id="rId334"/><Relationship Type="http://schemas.openxmlformats.org/officeDocument/2006/relationships/hyperlink" Target="https://etudesenfrance.diplomatie.gouv.fr/catalogue-formations/formation/58782/site/14602" TargetMode="External" Id="rId335"/><Relationship Type="http://schemas.openxmlformats.org/officeDocument/2006/relationships/hyperlink" Target="http://www.ensea.fr/" TargetMode="External" Id="rId336"/><Relationship Type="http://schemas.openxmlformats.org/officeDocument/2006/relationships/hyperlink" Target="https://etudesenfrance.diplomatie.gouv.fr/catalogue-formations/formation/14382/site/6869" TargetMode="External" Id="rId337"/><Relationship Type="http://schemas.openxmlformats.org/officeDocument/2006/relationships/hyperlink" Target="http://www.ensea.fr/" TargetMode="External" Id="rId338"/><Relationship Type="http://schemas.openxmlformats.org/officeDocument/2006/relationships/hyperlink" Target="https://etudesenfrance.diplomatie.gouv.fr/catalogue-formations/formation/14382/site/11342" TargetMode="External" Id="rId339"/><Relationship Type="http://schemas.openxmlformats.org/officeDocument/2006/relationships/hyperlink" Target="https://etudesenfrance.diplomatie.gouv.fr/catalogue-formations/formation/59932/site/6531" TargetMode="External" Id="rId340"/><Relationship Type="http://schemas.openxmlformats.org/officeDocument/2006/relationships/hyperlink" Target="http://www.itiibretagne.fr/" TargetMode="External" Id="rId341"/><Relationship Type="http://schemas.openxmlformats.org/officeDocument/2006/relationships/hyperlink" Target="https://etudesenfrance.diplomatie.gouv.fr/catalogue-formations/formation/18917/site/11083" TargetMode="External" Id="rId342"/><Relationship Type="http://schemas.openxmlformats.org/officeDocument/2006/relationships/hyperlink" Target="http://www.itii-iledefrance.fr:8080/article.php3?id_article=1" TargetMode="External" Id="rId343"/><Relationship Type="http://schemas.openxmlformats.org/officeDocument/2006/relationships/hyperlink" Target="https://etudesenfrance.diplomatie.gouv.fr/catalogue-formations/formation/14377/site/11092" TargetMode="External" Id="rId344"/><Relationship Type="http://schemas.openxmlformats.org/officeDocument/2006/relationships/hyperlink" Target="http://www.itii-paca.com/" TargetMode="External" Id="rId345"/><Relationship Type="http://schemas.openxmlformats.org/officeDocument/2006/relationships/hyperlink" Target="https://etudesenfrance.diplomatie.gouv.fr/catalogue-formations/formation/25508/site/11108" TargetMode="External" Id="rId346"/><Relationship Type="http://schemas.openxmlformats.org/officeDocument/2006/relationships/hyperlink" Target="http://www.itii-pdl.com/" TargetMode="External" Id="rId347"/><Relationship Type="http://schemas.openxmlformats.org/officeDocument/2006/relationships/hyperlink" Target="https://etudesenfrance.diplomatie.gouv.fr/catalogue-formations/formation/26332/site/6771" TargetMode="External" Id="rId348"/><Relationship Type="http://schemas.openxmlformats.org/officeDocument/2006/relationships/hyperlink" Target="http://www.itii-iledefrance.fr:8080/article.php3?id_article=1" TargetMode="External" Id="rId349"/><Relationship Type="http://schemas.openxmlformats.org/officeDocument/2006/relationships/hyperlink" Target="https://etudesenfrance.diplomatie.gouv.fr/catalogue-formations/formation/18921/site/11092" TargetMode="External" Id="rId350"/><Relationship Type="http://schemas.openxmlformats.org/officeDocument/2006/relationships/hyperlink" Target="http://www.itii-lyon.fr/" TargetMode="External" Id="rId351"/><Relationship Type="http://schemas.openxmlformats.org/officeDocument/2006/relationships/hyperlink" Target="https://etudesenfrance.diplomatie.gouv.fr/catalogue-formations/formation/13796/site/11070" TargetMode="External" Id="rId352"/><Relationship Type="http://schemas.openxmlformats.org/officeDocument/2006/relationships/hyperlink" Target="http://www.itii-pdl.com/" TargetMode="External" Id="rId353"/><Relationship Type="http://schemas.openxmlformats.org/officeDocument/2006/relationships/hyperlink" Target="https://etudesenfrance.diplomatie.gouv.fr/catalogue-formations/formation/18946/site/6771" TargetMode="External" Id="rId354"/><Relationship Type="http://schemas.openxmlformats.org/officeDocument/2006/relationships/hyperlink" Target="http://www.ingenieurs2000.com/" TargetMode="External" Id="rId355"/><Relationship Type="http://schemas.openxmlformats.org/officeDocument/2006/relationships/hyperlink" Target="https://etudesenfrance.diplomatie.gouv.fr/catalogue-formations/formation/14363/site/12016" TargetMode="External" Id="rId356"/><Relationship Type="http://schemas.openxmlformats.org/officeDocument/2006/relationships/hyperlink" Target="http://www.itii-iledefrance.fr:8080/article.php3?id_article=1" TargetMode="External" Id="rId357"/><Relationship Type="http://schemas.openxmlformats.org/officeDocument/2006/relationships/hyperlink" Target="https://etudesenfrance.diplomatie.gouv.fr/catalogue-formations/formation/28029/site/11092" TargetMode="External" Id="rId358"/><Relationship Type="http://schemas.openxmlformats.org/officeDocument/2006/relationships/hyperlink" Target="http://www.itii-lyon.fr/" TargetMode="External" Id="rId359"/><Relationship Type="http://schemas.openxmlformats.org/officeDocument/2006/relationships/hyperlink" Target="https://etudesenfrance.diplomatie.gouv.fr/catalogue-formations/formation/14408/site/11070" TargetMode="External" Id="rId360"/><Relationship Type="http://schemas.openxmlformats.org/officeDocument/2006/relationships/hyperlink" Target="https://www.unistra.fr/fr/node/8168" TargetMode="External" Id="rId361"/><Relationship Type="http://schemas.openxmlformats.org/officeDocument/2006/relationships/hyperlink" Target="http://www.itii-alsace.fr/" TargetMode="External" Id="rId362"/><Relationship Type="http://schemas.openxmlformats.org/officeDocument/2006/relationships/hyperlink" Target="https://etudesenfrance.diplomatie.gouv.fr/catalogue-formations/formation/13784/site/6763" TargetMode="External" Id="rId363"/><Relationship Type="http://schemas.openxmlformats.org/officeDocument/2006/relationships/hyperlink" Target="http://www.itii-aquitaine.com/" TargetMode="External" Id="rId364"/><Relationship Type="http://schemas.openxmlformats.org/officeDocument/2006/relationships/hyperlink" Target="https://etudesenfrance.diplomatie.gouv.fr/catalogue-formations/formation/17894/site/6790" TargetMode="External" Id="rId365"/><Relationship Type="http://schemas.openxmlformats.org/officeDocument/2006/relationships/hyperlink" Target="http://www.cfai-aquitaine.org/" TargetMode="External" Id="rId366"/><Relationship Type="http://schemas.openxmlformats.org/officeDocument/2006/relationships/hyperlink" Target="https://etudesenfrance.diplomatie.gouv.fr/catalogue-formations/formation/17894/site/7888" TargetMode="External" Id="rId367"/><Relationship Type="http://schemas.openxmlformats.org/officeDocument/2006/relationships/hyperlink" Target="https://www.univ-grenoble-alpes.fr/actualites/a-la-une/actualites-universite/etudiants-internationaux-ce-que-change-le-nouveau-decret-sur-les-droits-d-inscription-a-l-uga-1775870.kjsp" TargetMode="External" Id="rId368"/><Relationship Type="http://schemas.openxmlformats.org/officeDocument/2006/relationships/hyperlink" Target="http://www.grenoble-inp.fr/" TargetMode="External" Id="rId369"/><Relationship Type="http://schemas.openxmlformats.org/officeDocument/2006/relationships/hyperlink" Target="https://etudesenfrance.diplomatie.gouv.fr/catalogue-formations/formation/27229/site/11107" TargetMode="External" Id="rId370"/><Relationship Type="http://schemas.openxmlformats.org/officeDocument/2006/relationships/hyperlink" Target="https://www.univ-grenoble-alpes.fr/actualites/a-la-une/actualites-universite/etudiants-internationaux-ce-que-change-le-nouveau-decret-sur-les-droits-d-inscription-a-l-uga-1775870.kjsp" TargetMode="External" Id="rId371"/><Relationship Type="http://schemas.openxmlformats.org/officeDocument/2006/relationships/hyperlink" Target="http://www.grenoble-inp.fr/" TargetMode="External" Id="rId372"/><Relationship Type="http://schemas.openxmlformats.org/officeDocument/2006/relationships/hyperlink" Target="https://etudesenfrance.diplomatie.gouv.fr/catalogue-formations/formation/25690/site/11107" TargetMode="External" Id="rId373"/><Relationship Type="http://schemas.openxmlformats.org/officeDocument/2006/relationships/hyperlink" Target="http://www.itii-franche-comte.org/" TargetMode="External" Id="rId374"/><Relationship Type="http://schemas.openxmlformats.org/officeDocument/2006/relationships/hyperlink" Target="https://etudesenfrance.diplomatie.gouv.fr/catalogue-formations/formation/17945/site/11106" TargetMode="External" Id="rId375"/><Relationship Type="http://schemas.openxmlformats.org/officeDocument/2006/relationships/hyperlink" Target="http://www.itiibretagne.fr/" TargetMode="External" Id="rId376"/><Relationship Type="http://schemas.openxmlformats.org/officeDocument/2006/relationships/hyperlink" Target="https://etudesenfrance.diplomatie.gouv.fr/catalogue-formations/formation/18932/site/11083" TargetMode="External" Id="rId377"/><Relationship Type="http://schemas.openxmlformats.org/officeDocument/2006/relationships/hyperlink" Target="http://www.itii-lorraine.fr/" TargetMode="External" Id="rId378"/><Relationship Type="http://schemas.openxmlformats.org/officeDocument/2006/relationships/hyperlink" Target="https://etudesenfrance.diplomatie.gouv.fr/catalogue-formations/formation/27303/site/6849" TargetMode="External" Id="rId379"/><Relationship Type="http://schemas.openxmlformats.org/officeDocument/2006/relationships/hyperlink" Target="https://www.unistra.fr/fr/node/8168" TargetMode="External" Id="rId380"/><Relationship Type="http://schemas.openxmlformats.org/officeDocument/2006/relationships/hyperlink" Target="http://www.itii-alsace.fr/" TargetMode="External" Id="rId381"/><Relationship Type="http://schemas.openxmlformats.org/officeDocument/2006/relationships/hyperlink" Target="https://etudesenfrance.diplomatie.gouv.fr/catalogue-formations/formation/14479/site/6763" TargetMode="External" Id="rId382"/><Relationship Type="http://schemas.openxmlformats.org/officeDocument/2006/relationships/hyperlink" Target="https://www.unistra.fr/fr/node/8168" TargetMode="External" Id="rId383"/><Relationship Type="http://schemas.openxmlformats.org/officeDocument/2006/relationships/hyperlink" Target="http://www.itii-alsace.fr/" TargetMode="External" Id="rId384"/><Relationship Type="http://schemas.openxmlformats.org/officeDocument/2006/relationships/hyperlink" Target="https://etudesenfrance.diplomatie.gouv.fr/catalogue-formations/formation/14480/site/6763" TargetMode="External" Id="rId385"/><Relationship Type="http://schemas.openxmlformats.org/officeDocument/2006/relationships/hyperlink" Target="http://sciences-tech.u-pec.fr/" TargetMode="External" Id="rId386"/><Relationship Type="http://schemas.openxmlformats.org/officeDocument/2006/relationships/hyperlink" Target="https://etudesenfrance.diplomatie.gouv.fr/catalogue-formations/formation/33118/site/10975" TargetMode="External" Id="rId387"/><Relationship Type="http://schemas.openxmlformats.org/officeDocument/2006/relationships/hyperlink" Target="https://observalgerie.com/2026/06/13/misc/frais-dinscription-en-france-lille-maintient-un-avantage-pour-les-etudiants-etrangers/" TargetMode="External" Id="rId388"/><Relationship Type="http://schemas.openxmlformats.org/officeDocument/2006/relationships/hyperlink" Target="https://formation.univ-lille.fr/fr/offre-de-formation/master-lmd-XB/master-automatique-et-systemes-electriques-MG001978/energie-electrique-et-developpement-durable-electrical-engineering-for-sustainable-development-m2-MX002024.html" TargetMode="External" Id="rId389"/><Relationship Type="http://schemas.openxmlformats.org/officeDocument/2006/relationships/hyperlink" Target="https://etudesenfrance.diplomatie.gouv.fr/catalogue-formations/formation/60845/site/6597" TargetMode="External" Id="rId390"/><Relationship Type="http://schemas.openxmlformats.org/officeDocument/2006/relationships/hyperlink" Target="https://www.unistra.fr/fr/node/8168" TargetMode="External" Id="rId391"/><Relationship Type="http://schemas.openxmlformats.org/officeDocument/2006/relationships/hyperlink" Target="http://sciencesvie.unistra.fr/" TargetMode="External" Id="rId392"/><Relationship Type="http://schemas.openxmlformats.org/officeDocument/2006/relationships/hyperlink" Target="https://etudesenfrance.diplomatie.gouv.fr/catalogue-formations/formation/59586/site/6978" TargetMode="External" Id="rId393"/><Relationship Type="http://schemas.openxmlformats.org/officeDocument/2006/relationships/hyperlink" Target="https://www.unistra.fr/fr/node/8168" TargetMode="External" Id="rId394"/><Relationship Type="http://schemas.openxmlformats.org/officeDocument/2006/relationships/hyperlink" Target="http://sciencesvie.unistra.fr/" TargetMode="External" Id="rId395"/><Relationship Type="http://schemas.openxmlformats.org/officeDocument/2006/relationships/hyperlink" Target="https://etudesenfrance.diplomatie.gouv.fr/catalogue-formations/formation/59583/site/6978" TargetMode="External" Id="rId396"/><Relationship Type="http://schemas.openxmlformats.org/officeDocument/2006/relationships/hyperlink" Target="http://sciences-tech.u-pec.fr/" TargetMode="External" Id="rId397"/><Relationship Type="http://schemas.openxmlformats.org/officeDocument/2006/relationships/hyperlink" Target="https://etudesenfrance.diplomatie.gouv.fr/catalogue-formations/formation/33308/site/10975" TargetMode="External" Id="rId398"/><Relationship Type="http://schemas.openxmlformats.org/officeDocument/2006/relationships/hyperlink" Target="https://www.unistra.fr/fr/node/8168" TargetMode="External" Id="rId399"/><Relationship Type="http://schemas.openxmlformats.org/officeDocument/2006/relationships/hyperlink" Target="http://sciencesvie.unistra.fr/" TargetMode="External" Id="rId400"/><Relationship Type="http://schemas.openxmlformats.org/officeDocument/2006/relationships/hyperlink" Target="https://etudesenfrance.diplomatie.gouv.fr/catalogue-formations/formation/33663/site/6978" TargetMode="External" Id="rId401"/><Relationship Type="http://schemas.openxmlformats.org/officeDocument/2006/relationships/hyperlink" Target="https://idmc.univ-lorraine.fr/idmc-master-degree-in-natural-language-processing/" TargetMode="External" Id="rId402"/><Relationship Type="http://schemas.openxmlformats.org/officeDocument/2006/relationships/hyperlink" Target="https://etudesenfrance.diplomatie.gouv.fr/catalogue-formations/formation/55050/site/10974" TargetMode="External" Id="rId403"/><Relationship Type="http://schemas.openxmlformats.org/officeDocument/2006/relationships/hyperlink" Target="https://observalgerie.com/2026/06/13/misc/frais-dinscription-en-france-lille-maintient-un-avantage-pour-les-etudiants-etrangers/" TargetMode="External" Id="rId404"/><Relationship Type="http://schemas.openxmlformats.org/officeDocument/2006/relationships/hyperlink" Target="https://formation.univ-lille.fr/fr/offre-de-formation/master-lmd-XB/master-physique-fondamentale-et-applications-MG001988/quantum-and-photonic-technologies-m1-m2-MX195427.html" TargetMode="External" Id="rId405"/><Relationship Type="http://schemas.openxmlformats.org/officeDocument/2006/relationships/hyperlink" Target="https://etudesenfrance.diplomatie.gouv.fr/catalogue-formations/formation/58532/site/6537" TargetMode="External" Id="rId406"/><Relationship Type="http://schemas.openxmlformats.org/officeDocument/2006/relationships/hyperlink" Target="https://www.univ-lyon1.fr/formation/inscription-et-scolarite/etudiantes-et-etudiants-internationaux-droits-dinscription-differencies-et-exonerations" TargetMode="External" Id="rId407"/><Relationship Type="http://schemas.openxmlformats.org/officeDocument/2006/relationships/hyperlink" Target="https://ufr-biosciences.univ-lyon1.fr/" TargetMode="External" Id="rId408"/><Relationship Type="http://schemas.openxmlformats.org/officeDocument/2006/relationships/hyperlink" Target="https://etudesenfrance.diplomatie.gouv.fr/catalogue-formations/formation/30849/site/7315" TargetMode="External" Id="rId409"/><Relationship Type="http://schemas.openxmlformats.org/officeDocument/2006/relationships/hyperlink" Target="https://eeap.cnam.fr/" TargetMode="External" Id="rId410"/><Relationship Type="http://schemas.openxmlformats.org/officeDocument/2006/relationships/hyperlink" Target="https://etudesenfrance.diplomatie.gouv.fr/catalogue-formations/formation/46977/site/13973" TargetMode="External" Id="rId411"/><Relationship Type="http://schemas.openxmlformats.org/officeDocument/2006/relationships/hyperlink" Target="https://observalgerie.com/2026/06/13/misc/frais-dinscription-en-france-lille-maintient-un-avantage-pour-les-etudiants-etrangers/" TargetMode="External" Id="rId412"/><Relationship Type="http://schemas.openxmlformats.org/officeDocument/2006/relationships/hyperlink" Target="https://www.univ-lille.fr/formations/fr-00002031" TargetMode="External" Id="rId413"/><Relationship Type="http://schemas.openxmlformats.org/officeDocument/2006/relationships/hyperlink" Target="https://etudesenfrance.diplomatie.gouv.fr/catalogue-formations/formation/56653/site/6597" TargetMode="External" Id="rId414"/><Relationship Type="http://schemas.openxmlformats.org/officeDocument/2006/relationships/hyperlink" Target="https://www.ec-lyon.fr/formation/international-master-nanoscale-engineering" TargetMode="External" Id="rId415"/><Relationship Type="http://schemas.openxmlformats.org/officeDocument/2006/relationships/hyperlink" Target="https://etudesenfrance.diplomatie.gouv.fr/catalogue-formations/formation/49278/site/6504" TargetMode="External" Id="rId416"/><Relationship Type="http://schemas.openxmlformats.org/officeDocument/2006/relationships/hyperlink" Target="https://www.ec-lyon.fr/formation/international-master-nanoscale-engineering" TargetMode="External" Id="rId417"/><Relationship Type="http://schemas.openxmlformats.org/officeDocument/2006/relationships/hyperlink" Target="https://etudesenfrance.diplomatie.gouv.fr/catalogue-formations/formation/49280/site/6504" TargetMode="External" Id="rId418"/><Relationship Type="http://schemas.openxmlformats.org/officeDocument/2006/relationships/hyperlink" Target="https://www.univ-grenoble-alpes.fr/actualites/a-la-une/actualites-universite/etudiants-internationaux-ce-que-change-le-nouveau-decret-sur-les-droits-d-inscription-a-l-uga-1775870.kjsp" TargetMode="External" Id="rId419"/><Relationship Type="http://schemas.openxmlformats.org/officeDocument/2006/relationships/hyperlink" Target="https://ense3.grenoble-inp.fr/en/study-at-ense3/masters-in-english" TargetMode="External" Id="rId420"/><Relationship Type="http://schemas.openxmlformats.org/officeDocument/2006/relationships/hyperlink" Target="https://etudesenfrance.diplomatie.gouv.fr/catalogue-formations/formation/38697/site/6840" TargetMode="External" Id="rId421"/><Relationship Type="http://schemas.openxmlformats.org/officeDocument/2006/relationships/hyperlink" Target="https://www.erasmus-mundus.emimep.eu/" TargetMode="External" Id="rId422"/><Relationship Type="http://schemas.openxmlformats.org/officeDocument/2006/relationships/hyperlink" Target="https://etudesenfrance.diplomatie.gouv.fr/catalogue-formations/formation/45162/site/7171" TargetMode="External" Id="rId423"/><Relationship Type="http://schemas.openxmlformats.org/officeDocument/2006/relationships/hyperlink" Target="https://www.umlp.fr/sites/default/files/2026-07-02-page-droits-differencies-vf.pdf" TargetMode="External" Id="rId424"/><Relationship Type="http://schemas.openxmlformats.org/officeDocument/2006/relationships/hyperlink" Target="https://taughtie.campusfrance.org/tiesearch/" TargetMode="External" Id="rId425"/><Relationship Type="http://schemas.openxmlformats.org/officeDocument/2006/relationships/hyperlink" Target="https://etudesenfrance.diplomatie.gouv.fr/catalogue-formations/formation/55269/site/6954" TargetMode="External" Id="rId426"/><Relationship Type="http://schemas.openxmlformats.org/officeDocument/2006/relationships/hyperlink" Target="https://www.univ-amu.fr/fr/actualites/aix-marseille-universite-mobilise-pleinement-capacite-dexoneration-continuer-accueillir" TargetMode="External" Id="rId427"/><Relationship Type="http://schemas.openxmlformats.org/officeDocument/2006/relationships/hyperlink" Target="https://formations.univ-amu.fr/fr/master/5SNN/PRSNN5C3" TargetMode="External" Id="rId428"/><Relationship Type="http://schemas.openxmlformats.org/officeDocument/2006/relationships/hyperlink" Target="https://etudesenfrance.diplomatie.gouv.fr/catalogue-formations/formation/59062/site/6655" TargetMode="External" Id="rId429"/><Relationship Type="http://schemas.openxmlformats.org/officeDocument/2006/relationships/hyperlink" Target="https://www.umontpellier.fr/en/international/etudier-a-letranger/etudiants-internationaux-annee-universitaire-2026-2027/" TargetMode="External" Id="rId430"/><Relationship Type="http://schemas.openxmlformats.org/officeDocument/2006/relationships/hyperlink" Target="https://idil.edu.umontpellier.fr/" TargetMode="External" Id="rId431"/><Relationship Type="http://schemas.openxmlformats.org/officeDocument/2006/relationships/hyperlink" Target="https://etudesenfrance.diplomatie.gouv.fr/catalogue-formations/formation/62037/site/6552" TargetMode="External" Id="rId432"/><Relationship Type="http://schemas.openxmlformats.org/officeDocument/2006/relationships/hyperlink" Target="https://www.umontpellier.fr/en/international/etudier-a-letranger/etudiants-internationaux-annee-universitaire-2026-2027/" TargetMode="External" Id="rId433"/><Relationship Type="http://schemas.openxmlformats.org/officeDocument/2006/relationships/hyperlink" Target="https://idil.edu.umontpellier.fr/" TargetMode="External" Id="rId434"/><Relationship Type="http://schemas.openxmlformats.org/officeDocument/2006/relationships/hyperlink" Target="https://etudesenfrance.diplomatie.gouv.fr/catalogue-formations/formation/55215/site/6552" TargetMode="External" Id="rId435"/><Relationship Type="http://schemas.openxmlformats.org/officeDocument/2006/relationships/hyperlink" Target="http://www.polytech.univ-smb.fr/en/programs/masters/advanced-mechatronics.html" TargetMode="External" Id="rId436"/><Relationship Type="http://schemas.openxmlformats.org/officeDocument/2006/relationships/hyperlink" Target="https://etudesenfrance.diplomatie.gouv.fr/catalogue-formations/formation/42147/site/13557" TargetMode="External" Id="rId437"/><Relationship Type="http://schemas.openxmlformats.org/officeDocument/2006/relationships/hyperlink" Target="https://etudesenfrance.diplomatie.gouv.fr/catalogue-formations/formation/39130/site/13673" TargetMode="External" Id="rId438"/><Relationship Type="http://schemas.openxmlformats.org/officeDocument/2006/relationships/hyperlink" Target="https://www.umlp.fr/sites/default/files/2026-07-02-page-droits-differencies-vf.pdf" TargetMode="External" Id="rId439"/><Relationship Type="http://schemas.openxmlformats.org/officeDocument/2006/relationships/hyperlink" Target="https://taughtie.campusfrance.org/tiesearch/" TargetMode="External" Id="rId440"/><Relationship Type="http://schemas.openxmlformats.org/officeDocument/2006/relationships/hyperlink" Target="https://etudesenfrance.diplomatie.gouv.fr/catalogue-formations/formation/55399/site/6954" TargetMode="External" Id="rId441"/><Relationship Type="http://schemas.openxmlformats.org/officeDocument/2006/relationships/hyperlink" Target="https://www.ubfc.fr/en/masters/master-ppn/" TargetMode="External" Id="rId442"/><Relationship Type="http://schemas.openxmlformats.org/officeDocument/2006/relationships/hyperlink" Target="https://etudesenfrance.diplomatie.gouv.fr/catalogue-formations/formation/45209/site/13673" TargetMode="External" Id="rId443"/><Relationship Type="http://schemas.openxmlformats.org/officeDocument/2006/relationships/hyperlink" Target="https://www.univ-grenoble-alpes.fr/actualites/a-la-une/actualites-universite/etudiants-internationaux-ce-que-change-le-nouveau-decret-sur-les-droits-d-inscription-a-l-uga-1775870.kjsp" TargetMode="External" Id="rId444"/><Relationship Type="http://schemas.openxmlformats.org/officeDocument/2006/relationships/hyperlink" Target="https://formations.univ-grenoble-alpes.fr/fr/catalogue-2021/master-XB/master-electronique-energie-electrique-automatique-IFZ3DRB9/parcours-electrical-engineering-and-control-systems-1ere-annee-KVQSSM5S.html" TargetMode="External" Id="rId445"/><Relationship Type="http://schemas.openxmlformats.org/officeDocument/2006/relationships/hyperlink" Target="https://etudesenfrance.diplomatie.gouv.fr/catalogue-formations/formation/61779/site/13729" TargetMode="External" Id="rId446"/><Relationship Type="http://schemas.openxmlformats.org/officeDocument/2006/relationships/hyperlink" Target="https://www.univ-grenoble-alpes.fr/actualites/a-la-une/actualites-universite/etudiants-internationaux-ce-que-change-le-nouveau-decret-sur-les-droits-d-inscription-a-l-uga-1775870.kjsp" TargetMode="External" Id="rId447"/><Relationship Type="http://schemas.openxmlformats.org/officeDocument/2006/relationships/hyperlink" Target="https://ense3.grenoble-inp.fr/en/study-at-ense3/masters-in-english" TargetMode="External" Id="rId448"/><Relationship Type="http://schemas.openxmlformats.org/officeDocument/2006/relationships/hyperlink" Target="https://etudesenfrance.diplomatie.gouv.fr/catalogue-formations/formation/38572/site/6840" TargetMode="External" Id="rId449"/><Relationship Type="http://schemas.openxmlformats.org/officeDocument/2006/relationships/hyperlink" Target="https://www.umontpellier.fr/en/international/etudier-a-letranger/etudiants-internationaux-annee-universitaire-2026-2027/" TargetMode="External" Id="rId450"/><Relationship Type="http://schemas.openxmlformats.org/officeDocument/2006/relationships/hyperlink" Target="http://www.eea.univ-montp2.fr/?-Robotique-Automatique-" TargetMode="External" Id="rId451"/><Relationship Type="http://schemas.openxmlformats.org/officeDocument/2006/relationships/hyperlink" Target="https://etudesenfrance.diplomatie.gouv.fr/catalogue-formations/formation/32452/site/6552" TargetMode="External" Id="rId452"/><Relationship Type="http://schemas.openxmlformats.org/officeDocument/2006/relationships/hyperlink" Target="https://www.univ-grenoble-alpes.fr/actualites/a-la-une/actualites-universite/etudiants-internationaux-ce-que-change-le-nouveau-decret-sur-les-droits-d-inscription-a-l-uga-1775870.kjsp" TargetMode="External" Id="rId453"/><Relationship Type="http://schemas.openxmlformats.org/officeDocument/2006/relationships/hyperlink" Target="https://formations.univ-grenoble-alpes.fr/fr/catalogue-2021/master-XB/master-nanosciences-et-nanotechnologies-IAQK78RT/parcours-nanophysics-quantum-physics-1re-annee-KLQGAWF7.html" TargetMode="External" Id="rId454"/><Relationship Type="http://schemas.openxmlformats.org/officeDocument/2006/relationships/hyperlink" Target="https://etudesenfrance.diplomatie.gouv.fr/catalogue-formations/formation/61770/site/6522" TargetMode="External" Id="rId455"/><Relationship Type="http://schemas.openxmlformats.org/officeDocument/2006/relationships/hyperlink" Target="https://www.univ-grenoble-alpes.fr/actualites/a-la-une/actualites-universite/etudiants-internationaux-ce-que-change-le-nouveau-decret-sur-les-droits-d-inscription-a-l-uga-1775870.kjsp" TargetMode="External" Id="rId456"/><Relationship Type="http://schemas.openxmlformats.org/officeDocument/2006/relationships/hyperlink" Target="https://formations.univ-grenoble-alpes.fr/fr/catalogue-2021/master-XB/master-nanosciences-et-nanotechnologies-IAQK78RT/parcours-physics-of-complex-matter-parcours-international-1re-annee-IATOD7FB.html" TargetMode="External" Id="rId457"/><Relationship Type="http://schemas.openxmlformats.org/officeDocument/2006/relationships/hyperlink" Target="https://etudesenfrance.diplomatie.gouv.fr/catalogue-formations/formation/61771/site/6522" TargetMode="External" Id="rId458"/><Relationship Type="http://schemas.openxmlformats.org/officeDocument/2006/relationships/hyperlink" Target="https://www.univ-grenoble-alpes.fr/actualites/a-la-une/actualites-universite/etudiants-internationaux-ce-que-change-le-nouveau-decret-sur-les-droits-d-inscription-a-l-uga-1775870.kjsp" TargetMode="External" Id="rId459"/><Relationship Type="http://schemas.openxmlformats.org/officeDocument/2006/relationships/hyperlink" Target="https://phelma.grenoble-inp.fr/fr/formation/master-nanosciences-and-nanotechnologies-parcours-nanomedicine-and-structural-biology" TargetMode="External" Id="rId460"/><Relationship Type="http://schemas.openxmlformats.org/officeDocument/2006/relationships/hyperlink" Target="https://etudesenfrance.diplomatie.gouv.fr/catalogue-formations/formation/38527/site/6858" TargetMode="External" Id="rId461"/><Relationship Type="http://schemas.openxmlformats.org/officeDocument/2006/relationships/hyperlink" Target="https://formations.u-bordeaux.fr/" TargetMode="External" Id="rId462"/><Relationship Type="http://schemas.openxmlformats.org/officeDocument/2006/relationships/hyperlink" Target="https://etudesenfrance.diplomatie.gouv.fr/catalogue-formations/formation/45727/site/6682" TargetMode="External" Id="rId463"/><Relationship Type="http://schemas.openxmlformats.org/officeDocument/2006/relationships/hyperlink" Target="https://life.univ-cotedazur.fr/international/erasmus-mundus-joint-master-membiomed" TargetMode="External" Id="rId464"/><Relationship Type="http://schemas.openxmlformats.org/officeDocument/2006/relationships/hyperlink" Target="https://etudesenfrance.diplomatie.gouv.fr/catalogue-formations/formation/56117/site/6953" TargetMode="External" Id="rId465"/><Relationship Type="http://schemas.openxmlformats.org/officeDocument/2006/relationships/hyperlink" Target="https://www.univ-amu.fr/fr/actualites/aix-marseille-universite-mobilise-pleinement-capacite-dexoneration-continuer-accueillir" TargetMode="External" Id="rId466"/><Relationship Type="http://schemas.openxmlformats.org/officeDocument/2006/relationships/hyperlink" Target="https://formations.univ-amu.fr/fr/master/5SNN/PRSNN5C3" TargetMode="External" Id="rId467"/><Relationship Type="http://schemas.openxmlformats.org/officeDocument/2006/relationships/hyperlink" Target="https://etudesenfrance.diplomatie.gouv.fr/catalogue-formations/formation/59061/site/6655" TargetMode="External" Id="rId468"/><Relationship Type="http://schemas.openxmlformats.org/officeDocument/2006/relationships/hyperlink" Target="https://www.univ-amu.fr/fr/actualites/aix-marseille-universite-mobilise-pleinement-capacite-dexoneration-continuer-accueillir" TargetMode="External" Id="rId469"/><Relationship Type="http://schemas.openxmlformats.org/officeDocument/2006/relationships/hyperlink" Target="https://formations.univ-amu.fr/fr/master/5SNE" TargetMode="External" Id="rId470"/><Relationship Type="http://schemas.openxmlformats.org/officeDocument/2006/relationships/hyperlink" Target="https://etudesenfrance.diplomatie.gouv.fr/catalogue-formations/formation/39459/site/12194" TargetMode="External" Id="rId471"/><Relationship Type="http://schemas.openxmlformats.org/officeDocument/2006/relationships/hyperlink" Target="https://www.univ-amu.fr/fr/actualites/aix-marseille-universite-mobilise-pleinement-capacite-dexoneration-continuer-accueillir" TargetMode="External" Id="rId472"/><Relationship Type="http://schemas.openxmlformats.org/officeDocument/2006/relationships/hyperlink" Target="https://formations.univ-amu.fr/fr/master/5SPF/PRSPF5C4" TargetMode="External" Id="rId473"/><Relationship Type="http://schemas.openxmlformats.org/officeDocument/2006/relationships/hyperlink" Target="https://etudesenfrance.diplomatie.gouv.fr/catalogue-formations/formation/54508/site/6655" TargetMode="External" Id="rId474"/><Relationship Type="http://schemas.openxmlformats.org/officeDocument/2006/relationships/hyperlink" Target="https://www.umontpellier.fr/en/international/etudier-a-letranger/etudiants-internationaux-annee-universitaire-2026-2027/" TargetMode="External" Id="rId475"/><Relationship Type="http://schemas.openxmlformats.org/officeDocument/2006/relationships/hyperlink" Target="https://idil.edu.umontpellier.fr/" TargetMode="External" Id="rId476"/><Relationship Type="http://schemas.openxmlformats.org/officeDocument/2006/relationships/hyperlink" Target="https://etudesenfrance.diplomatie.gouv.fr/catalogue-formations/formation/61939/site/6552" TargetMode="External" Id="rId477"/><Relationship Type="http://schemas.openxmlformats.org/officeDocument/2006/relationships/hyperlink" Target="https://www.umontpellier.fr/en/international/etudier-a-letranger/etudiants-internationaux-annee-universitaire-2026-2027/" TargetMode="External" Id="rId478"/><Relationship Type="http://schemas.openxmlformats.org/officeDocument/2006/relationships/hyperlink" Target="https://idil.edu.umontpellier.fr/" TargetMode="External" Id="rId479"/><Relationship Type="http://schemas.openxmlformats.org/officeDocument/2006/relationships/hyperlink" Target="https://etudesenfrance.diplomatie.gouv.fr/catalogue-formations/formation/53585/site/6552" TargetMode="External" Id="rId480"/><Relationship Type="http://schemas.openxmlformats.org/officeDocument/2006/relationships/hyperlink" Target="https://u-paris.fr/droits-dinscription-tarifs-exonerations/" TargetMode="External" Id="rId481"/><Relationship Type="http://schemas.openxmlformats.org/officeDocument/2006/relationships/hyperlink" Target="https://odf.u-paris.fr/fr/offre-de-formation/master-XB/sciences-technologies-sante-STS/sciences-cognitives-K5CBPO1E.html" TargetMode="External" Id="rId482"/><Relationship Type="http://schemas.openxmlformats.org/officeDocument/2006/relationships/hyperlink" Target="https://etudesenfrance.diplomatie.gouv.fr/catalogue-formations/formation/58440/site/7430" TargetMode="External" Id="rId483"/><Relationship Type="http://schemas.openxmlformats.org/officeDocument/2006/relationships/hyperlink" Target="https://www.sorbonne-universite.fr/actualites/le-conseil-dadministration-de-sorbonne-universite-vote-lunanimite-le-7-juillet-2026-sa" TargetMode="External" Id="rId484"/><Relationship Type="http://schemas.openxmlformats.org/officeDocument/2006/relationships/hyperlink" Target="https://sciences.sorbonne-universite.fr/formation-sciences/offre-de-formation/masters/master-sciences-cognitives" TargetMode="External" Id="rId485"/><Relationship Type="http://schemas.openxmlformats.org/officeDocument/2006/relationships/hyperlink" Target="https://etudesenfrance.diplomatie.gouv.fr/catalogue-formations/formation/58440/site/13735" TargetMode="External" Id="rId486"/><Relationship Type="http://schemas.openxmlformats.org/officeDocument/2006/relationships/hyperlink" Target="https://u-paris.fr/droits-dinscription-tarifs-exonerations/" TargetMode="External" Id="rId487"/><Relationship Type="http://schemas.openxmlformats.org/officeDocument/2006/relationships/hyperlink" Target="https://odf.u-paris.fr/fr/offre-de-formation/master-XB/sciences-technologies-sante-STS/sciences-cognitives-K5CBPO1E.html" TargetMode="External" Id="rId488"/><Relationship Type="http://schemas.openxmlformats.org/officeDocument/2006/relationships/hyperlink" Target="https://etudesenfrance.diplomatie.gouv.fr/catalogue-formations/formation/58443/site/7430" TargetMode="External" Id="rId489"/><Relationship Type="http://schemas.openxmlformats.org/officeDocument/2006/relationships/hyperlink" Target="https://www.sorbonne-universite.fr/actualites/le-conseil-dadministration-de-sorbonne-universite-vote-lunanimite-le-7-juillet-2026-sa" TargetMode="External" Id="rId490"/><Relationship Type="http://schemas.openxmlformats.org/officeDocument/2006/relationships/hyperlink" Target="https://sciences.sorbonne-universite.fr/formation-sciences/offre-de-formation/masters/master-sciences-cognitives" TargetMode="External" Id="rId491"/><Relationship Type="http://schemas.openxmlformats.org/officeDocument/2006/relationships/hyperlink" Target="https://etudesenfrance.diplomatie.gouv.fr/catalogue-formations/formation/58443/site/13735" TargetMode="External" Id="rId492"/><Relationship Type="http://schemas.openxmlformats.org/officeDocument/2006/relationships/hyperlink" Target="https://www.univ-amu.fr/fr/actualites/aix-marseille-universite-mobilise-pleinement-capacite-dexoneration-continuer-accueillir" TargetMode="External" Id="rId493"/><Relationship Type="http://schemas.openxmlformats.org/officeDocument/2006/relationships/hyperlink" Target="https://formations.univ-amu.fr/fr/master/5SPF/PRSPF5C4" TargetMode="External" Id="rId494"/><Relationship Type="http://schemas.openxmlformats.org/officeDocument/2006/relationships/hyperlink" Target="https://etudesenfrance.diplomatie.gouv.fr/catalogue-formations/formation/44402/site/6655" TargetMode="External" Id="rId495"/><Relationship Type="http://schemas.openxmlformats.org/officeDocument/2006/relationships/hyperlink" Target="https://odf.univ-spn.fr/fr/offre-de-formation/master-lmd-XB/master-mention-biologie-sante-parcours-therapies-et-technologie-du-vivant-BI4TPH_117.html" TargetMode="External" Id="rId496"/><Relationship Type="http://schemas.openxmlformats.org/officeDocument/2006/relationships/hyperlink" Target="https://etudesenfrance.diplomatie.gouv.fr/catalogue-formations/formation/45027/site/6707" TargetMode="External" Id="rId497"/><Relationship Type="http://schemas.openxmlformats.org/officeDocument/2006/relationships/hyperlink" Target="https://www.unilim.fr/gradschool-ceramics-ict/" TargetMode="External" Id="rId498"/><Relationship Type="http://schemas.openxmlformats.org/officeDocument/2006/relationships/hyperlink" Target="https://etudesenfrance.diplomatie.gouv.fr/catalogue-formations/formation/47622/site/7171" TargetMode="External" Id="rId499"/><Relationship Type="http://schemas.openxmlformats.org/officeDocument/2006/relationships/hyperlink" Target="https://www.unilim.fr/gradschool-ceramics-ict/" TargetMode="External" Id="rId500"/><Relationship Type="http://schemas.openxmlformats.org/officeDocument/2006/relationships/hyperlink" Target="https://etudesenfrance.diplomatie.gouv.fr/catalogue-formations/formation/47825/site/7171" TargetMode="External" Id="rId501"/><Relationship Type="http://schemas.openxmlformats.org/officeDocument/2006/relationships/hyperlink" Target="https://formations.univ-rennes.fr/" TargetMode="External" Id="rId502"/><Relationship Type="http://schemas.openxmlformats.org/officeDocument/2006/relationships/hyperlink" Target="https://etudesenfrance.diplomatie.gouv.fr/catalogue-formations/formation/38228/site/14529" TargetMode="External" Id="rId503"/><Relationship Type="http://schemas.openxmlformats.org/officeDocument/2006/relationships/hyperlink" Target="https://formations.univ-rennes.fr/" TargetMode="External" Id="rId504"/><Relationship Type="http://schemas.openxmlformats.org/officeDocument/2006/relationships/hyperlink" Target="https://etudesenfrance.diplomatie.gouv.fr/catalogue-formations/formation/38227/site/14529" TargetMode="External" Id="rId505"/><Relationship Type="http://schemas.openxmlformats.org/officeDocument/2006/relationships/hyperlink" Target="https://www.unistra.fr/fr/node/8168" TargetMode="External" Id="rId506"/><Relationship Type="http://schemas.openxmlformats.org/officeDocument/2006/relationships/hyperlink" Target="https://etudesenfrance.diplomatie.gouv.fr/catalogue-formations/formation/41770/site/6978" TargetMode="External" Id="rId507"/><Relationship Type="http://schemas.openxmlformats.org/officeDocument/2006/relationships/hyperlink" Target="https://www.unistra.fr/fr/node/8168" TargetMode="External" Id="rId508"/><Relationship Type="http://schemas.openxmlformats.org/officeDocument/2006/relationships/hyperlink" Target="http://sciencesvie.unistra.fr/" TargetMode="External" Id="rId509"/><Relationship Type="http://schemas.openxmlformats.org/officeDocument/2006/relationships/hyperlink" Target="https://etudesenfrance.diplomatie.gouv.fr/catalogue-formations/formation/33656/site/6978" TargetMode="External" Id="rId510"/><Relationship Type="http://schemas.openxmlformats.org/officeDocument/2006/relationships/hyperlink" Target="https://www.utc.fr/formations/diplome-de-master/mention-ingenierie-des-systemes-complexes-isc/parcours-automatique-et-robotique-des-systemes-intelligents-ars/" TargetMode="External" Id="rId511"/><Relationship Type="http://schemas.openxmlformats.org/officeDocument/2006/relationships/hyperlink" Target="https://etudesenfrance.diplomatie.gouv.fr/catalogue-formations/formation/57731/site/11087" TargetMode="External" Id="rId512"/><Relationship Type="http://schemas.openxmlformats.org/officeDocument/2006/relationships/hyperlink" Target="https://www.utc.fr/formations/diplome-de-master/mention-ingenierie-des-systemes-complexes-isc/parcours-systemes-mecatroniques-smt/" TargetMode="External" Id="rId513"/><Relationship Type="http://schemas.openxmlformats.org/officeDocument/2006/relationships/hyperlink" Target="https://etudesenfrance.diplomatie.gouv.fr/catalogue-formations/formation/57734/site/11087" TargetMode="External" Id="rId514"/><Relationship Type="http://schemas.openxmlformats.org/officeDocument/2006/relationships/hyperlink" Target="https://www.sorbonne-universite.fr/actualites/le-conseil-dadministration-de-sorbonne-universite-vote-lunanimite-le-7-juillet-2026-sa" TargetMode="External" Id="rId515"/><Relationship Type="http://schemas.openxmlformats.org/officeDocument/2006/relationships/hyperlink" Target="https://masters-sdi.sorbonne-universite.fr/electronique-energie-electrique-automatique" TargetMode="External" Id="rId516"/><Relationship Type="http://schemas.openxmlformats.org/officeDocument/2006/relationships/hyperlink" Target="https://etudesenfrance.diplomatie.gouv.fr/catalogue-formations/formation/44357/site/13735" TargetMode="External" Id="rId517"/><Relationship Type="http://schemas.openxmlformats.org/officeDocument/2006/relationships/hyperlink" Target="https://www.sorbonne-universite.fr/actualites/le-conseil-dadministration-de-sorbonne-universite-vote-lunanimite-le-7-juillet-2026-sa" TargetMode="External" Id="rId518"/><Relationship Type="http://schemas.openxmlformats.org/officeDocument/2006/relationships/hyperlink" Target="https://masters-sdi.sorbonne-universite.fr/electronique-energie-electrique-automatique" TargetMode="External" Id="rId519"/><Relationship Type="http://schemas.openxmlformats.org/officeDocument/2006/relationships/hyperlink" Target="https://etudesenfrance.diplomatie.gouv.fr/catalogue-formations/formation/44358/site/13735" TargetMode="External" Id="rId520"/><Relationship Type="http://schemas.openxmlformats.org/officeDocument/2006/relationships/hyperlink" Target="https://www.umlp.fr/sites/default/files/2026-07-02-page-droits-differencies-vf.pdf" TargetMode="External" Id="rId521"/><Relationship Type="http://schemas.openxmlformats.org/officeDocument/2006/relationships/hyperlink" Target="https://stgi.umlp.fr/" TargetMode="External" Id="rId522"/><Relationship Type="http://schemas.openxmlformats.org/officeDocument/2006/relationships/hyperlink" Target="https://etudesenfrance.diplomatie.gouv.fr/catalogue-formations/formation/28821/site/10750" TargetMode="External" Id="rId523"/><Relationship Type="http://schemas.openxmlformats.org/officeDocument/2006/relationships/hyperlink" Target="http://www.enseeiht.fr/fr/formation/masters-internationaux-masters-of-science/ees-electrical-energy-systems.html" TargetMode="External" Id="rId524"/><Relationship Type="http://schemas.openxmlformats.org/officeDocument/2006/relationships/hyperlink" Target="https://etudesenfrance.diplomatie.gouv.fr/catalogue-formations/formation/39224/site/6517" TargetMode="External" Id="rId525"/><Relationship Type="http://schemas.openxmlformats.org/officeDocument/2006/relationships/hyperlink" Target="https://www.sorbonne-universite.fr/actualites/le-conseil-dadministration-de-sorbonne-universite-vote-lunanimite-le-7-juillet-2026-sa" TargetMode="External" Id="rId526"/><Relationship Type="http://schemas.openxmlformats.org/officeDocument/2006/relationships/hyperlink" Target="https://sciences.sorbonne-universite.fr/formation-sciences/offre-de-formation/masters/master-informatique/parcours-ima" TargetMode="External" Id="rId527"/><Relationship Type="http://schemas.openxmlformats.org/officeDocument/2006/relationships/hyperlink" Target="https://etudesenfrance.diplomatie.gouv.fr/catalogue-formations/formation/44278/site/13735" TargetMode="External" Id="rId528"/><Relationship Type="http://schemas.openxmlformats.org/officeDocument/2006/relationships/hyperlink" Target="https://u-paris.fr/droits-dinscription-tarifs-exonerations/" TargetMode="External" Id="rId529"/><Relationship Type="http://schemas.openxmlformats.org/officeDocument/2006/relationships/hyperlink" Target="https://odf.u-paris.fr/fr/offre-de-formation/master-XB/sciences-technologies-sante-STS/neurosciences-K2NDMRJL.html" TargetMode="External" Id="rId530"/><Relationship Type="http://schemas.openxmlformats.org/officeDocument/2006/relationships/hyperlink" Target="https://etudesenfrance.diplomatie.gouv.fr/catalogue-formations/formation/44763/site/7430" TargetMode="External" Id="rId531"/><Relationship Type="http://schemas.openxmlformats.org/officeDocument/2006/relationships/hyperlink" Target="https://www.umlp.fr/sites/default/files/2026-07-02-page-droits-differencies-vf.pdf" TargetMode="External" Id="rId532"/><Relationship Type="http://schemas.openxmlformats.org/officeDocument/2006/relationships/hyperlink" Target="https://stgi.umlp.fr/" TargetMode="External" Id="rId533"/><Relationship Type="http://schemas.openxmlformats.org/officeDocument/2006/relationships/hyperlink" Target="https://etudesenfrance.diplomatie.gouv.fr/catalogue-formations/formation/51356/site/10750" TargetMode="External" Id="rId534"/><Relationship Type="http://schemas.openxmlformats.org/officeDocument/2006/relationships/hyperlink" Target="https://www.univ-reims.fr/ufrsciences" TargetMode="External" Id="rId535"/><Relationship Type="http://schemas.openxmlformats.org/officeDocument/2006/relationships/hyperlink" Target="https://etudesenfrance.diplomatie.gouv.fr/catalogue-formations/formation/61528/site/6625" TargetMode="External" Id="rId536"/><Relationship Type="http://schemas.openxmlformats.org/officeDocument/2006/relationships/hyperlink" Target="https://etudesenfrance.diplomatie.gouv.fr/catalogue-formations/formation/61332/site/14612" TargetMode="External" Id="rId537"/><Relationship Type="http://schemas.openxmlformats.org/officeDocument/2006/relationships/hyperlink" Target="https://istic.univ-rennes.fr/master-2-eeea-parcours-signal-vision-ondes-systemes-sivos" TargetMode="External" Id="rId538"/><Relationship Type="http://schemas.openxmlformats.org/officeDocument/2006/relationships/hyperlink" Target="https://etudesenfrance.diplomatie.gouv.fr/catalogue-formations/formation/56430/site/6612" TargetMode="External" Id="rId539"/><Relationship Type="http://schemas.openxmlformats.org/officeDocument/2006/relationships/hyperlink" Target="http://www.univ-brest.fr/ufr-sciences" TargetMode="External" Id="rId540"/><Relationship Type="http://schemas.openxmlformats.org/officeDocument/2006/relationships/hyperlink" Target="https://etudesenfrance.diplomatie.gouv.fr/catalogue-formations/formation/50533/site/6955" TargetMode="External" Id="rId541"/><Relationship Type="http://schemas.openxmlformats.org/officeDocument/2006/relationships/hyperlink" Target="http://scifa.univ-lorraine.fr/" TargetMode="External" Id="rId542"/><Relationship Type="http://schemas.openxmlformats.org/officeDocument/2006/relationships/hyperlink" Target="https://etudesenfrance.diplomatie.gouv.fr/catalogue-formations/formation/40501/site/10878" TargetMode="External" Id="rId543"/><Relationship Type="http://schemas.openxmlformats.org/officeDocument/2006/relationships/hyperlink" Target="http://scifa.univ-lorraine.fr/" TargetMode="External" Id="rId544"/><Relationship Type="http://schemas.openxmlformats.org/officeDocument/2006/relationships/hyperlink" Target="https://etudesenfrance.diplomatie.gouv.fr/catalogue-formations/formation/40700/site/10878" TargetMode="External" Id="rId545"/><Relationship Type="http://schemas.openxmlformats.org/officeDocument/2006/relationships/hyperlink" Target="http://scifa.univ-lorraine.fr/" TargetMode="External" Id="rId546"/><Relationship Type="http://schemas.openxmlformats.org/officeDocument/2006/relationships/hyperlink" Target="https://etudesenfrance.diplomatie.gouv.fr/catalogue-formations/formation/40699/site/10878" TargetMode="External" Id="rId547"/><Relationship Type="http://schemas.openxmlformats.org/officeDocument/2006/relationships/hyperlink" Target="https://ufr-st.univ-lehavre.fr/" TargetMode="External" Id="rId548"/><Relationship Type="http://schemas.openxmlformats.org/officeDocument/2006/relationships/hyperlink" Target="https://etudesenfrance.diplomatie.gouv.fr/catalogue-formations/formation/36266/site/6626" TargetMode="External" Id="rId549"/><Relationship Type="http://schemas.openxmlformats.org/officeDocument/2006/relationships/hyperlink" Target="https://iut-roanne.univ-st-etienne.fr/fr/formations/master-XB/master-XB/master-electronique-energie-electrique-automatique-parcours-traitement-de-l-information-et-instrumentation-pour-l-ingenieur-5_14_07_0003_FR.html" TargetMode="External" Id="rId550"/><Relationship Type="http://schemas.openxmlformats.org/officeDocument/2006/relationships/hyperlink" Target="https://etudesenfrance.diplomatie.gouv.fr/catalogue-formations/formation/50216/site/7392" TargetMode="External" Id="rId551"/><Relationship Type="http://schemas.openxmlformats.org/officeDocument/2006/relationships/hyperlink" Target="https://ufr-st.univ-lehavre.fr/" TargetMode="External" Id="rId552"/><Relationship Type="http://schemas.openxmlformats.org/officeDocument/2006/relationships/hyperlink" Target="https://etudesenfrance.diplomatie.gouv.fr/catalogue-formations/formation/36265/site/6626" TargetMode="External" Id="rId553"/><Relationship Type="http://schemas.openxmlformats.org/officeDocument/2006/relationships/hyperlink" Target="https://sciences.u-picardie.fr/accueil-ufr-sciences" TargetMode="External" Id="rId554"/><Relationship Type="http://schemas.openxmlformats.org/officeDocument/2006/relationships/hyperlink" Target="https://etudesenfrance.diplomatie.gouv.fr/catalogue-formations/formation/41525/site/6548" TargetMode="External" Id="rId555"/><Relationship Type="http://schemas.openxmlformats.org/officeDocument/2006/relationships/hyperlink" Target="https://sciences.u-picardie.fr/accueil-ufr-sciences" TargetMode="External" Id="rId556"/><Relationship Type="http://schemas.openxmlformats.org/officeDocument/2006/relationships/hyperlink" Target="https://etudesenfrance.diplomatie.gouv.fr/catalogue-formations/formation/41526/site/6548" TargetMode="External" Id="rId557"/><Relationship Type="http://schemas.openxmlformats.org/officeDocument/2006/relationships/hyperlink" Target="https://sciences.u-picardie.fr/accueil-ufr-sciences" TargetMode="External" Id="rId558"/><Relationship Type="http://schemas.openxmlformats.org/officeDocument/2006/relationships/hyperlink" Target="https://etudesenfrance.diplomatie.gouv.fr/catalogue-formations/formation/41527/site/6548" TargetMode="External" Id="rId559"/><Relationship Type="http://schemas.openxmlformats.org/officeDocument/2006/relationships/hyperlink" Target="https://sfa.univ-poitiers.fr/formation/offre-de-formation-sciences-technologies-sante/" TargetMode="External" Id="rId560"/><Relationship Type="http://schemas.openxmlformats.org/officeDocument/2006/relationships/hyperlink" Target="https://etudesenfrance.diplomatie.gouv.fr/catalogue-formations/formation/42776/site/6963" TargetMode="External" Id="rId561"/><Relationship Type="http://schemas.openxmlformats.org/officeDocument/2006/relationships/hyperlink" Target="https://www.unistra.fr/fr/node/8168" TargetMode="External" Id="rId562"/><Relationship Type="http://schemas.openxmlformats.org/officeDocument/2006/relationships/hyperlink" Target="http://mathinfo.unistra.fr/" TargetMode="External" Id="rId563"/><Relationship Type="http://schemas.openxmlformats.org/officeDocument/2006/relationships/hyperlink" Target="https://etudesenfrance.diplomatie.gouv.fr/catalogue-formations/formation/33738/site/6521" TargetMode="External" Id="rId564"/><Relationship Type="http://schemas.openxmlformats.org/officeDocument/2006/relationships/hyperlink" Target="http://www.sciences.unilim.fr/" TargetMode="External" Id="rId565"/><Relationship Type="http://schemas.openxmlformats.org/officeDocument/2006/relationships/hyperlink" Target="https://etudesenfrance.diplomatie.gouv.fr/catalogue-formations/formation/37663/site/7171" TargetMode="External" Id="rId566"/><Relationship Type="http://schemas.openxmlformats.org/officeDocument/2006/relationships/hyperlink" Target="http://www.univ-brest.fr/ufr-sciences" TargetMode="External" Id="rId567"/><Relationship Type="http://schemas.openxmlformats.org/officeDocument/2006/relationships/hyperlink" Target="https://etudesenfrance.diplomatie.gouv.fr/catalogue-formations/formation/42030/site/6955" TargetMode="External" Id="rId568"/><Relationship Type="http://schemas.openxmlformats.org/officeDocument/2006/relationships/hyperlink" Target="https://formations.univ-tln.fr/fr/offre-de-formation/master-XB/master-ingenierie-des-systemes-complexes-LO8RGPP1/master-ingenierie-des-systemes-complexes-parcours-vision-signal-trajectographie-et-automatique-LPZS1DK9.html" TargetMode="External" Id="rId569"/><Relationship Type="http://schemas.openxmlformats.org/officeDocument/2006/relationships/hyperlink" Target="https://etudesenfrance.diplomatie.gouv.fr/catalogue-formations/formation/42510/site/7169" TargetMode="External" Id="rId570"/><Relationship Type="http://schemas.openxmlformats.org/officeDocument/2006/relationships/hyperlink" Target="https://fst.univ-lorraine.fr/formations/" TargetMode="External" Id="rId571"/><Relationship Type="http://schemas.openxmlformats.org/officeDocument/2006/relationships/hyperlink" Target="https://etudesenfrance.diplomatie.gouv.fr/catalogue-formations/formation/40802/site/6958" TargetMode="External" Id="rId572"/><Relationship Type="http://schemas.openxmlformats.org/officeDocument/2006/relationships/hyperlink" Target="https://etudesenfrance.diplomatie.gouv.fr/catalogue-formations/formation/45473/site/6725" TargetMode="External" Id="rId573"/><Relationship Type="http://schemas.openxmlformats.org/officeDocument/2006/relationships/hyperlink" Target="http://www-galilee.univ-paris13.fr/" TargetMode="External" Id="rId574"/><Relationship Type="http://schemas.openxmlformats.org/officeDocument/2006/relationships/hyperlink" Target="https://etudesenfrance.diplomatie.gouv.fr/catalogue-formations/formation/29025/site/6725" TargetMode="External" Id="rId575"/><Relationship Type="http://schemas.openxmlformats.org/officeDocument/2006/relationships/hyperlink" Target="https://etudesenfrance.diplomatie.gouv.fr/catalogue-formations/formation/60651/site/13820" TargetMode="External" Id="rId576"/><Relationship Type="http://schemas.openxmlformats.org/officeDocument/2006/relationships/hyperlink" Target="https://www.unistra.fr/fr/node/8168" TargetMode="External" Id="rId577"/><Relationship Type="http://schemas.openxmlformats.org/officeDocument/2006/relationships/hyperlink" Target="http://www.physique-ingenierie.unistra.fr/" TargetMode="External" Id="rId578"/><Relationship Type="http://schemas.openxmlformats.org/officeDocument/2006/relationships/hyperlink" Target="https://etudesenfrance.diplomatie.gouv.fr/catalogue-formations/formation/41636/site/6975" TargetMode="External" Id="rId579"/><Relationship Type="http://schemas.openxmlformats.org/officeDocument/2006/relationships/hyperlink" Target="https://www.univ-orleans.fr/fr/sciences-techniques/formation/physique" TargetMode="External" Id="rId580"/><Relationship Type="http://schemas.openxmlformats.org/officeDocument/2006/relationships/hyperlink" Target="https://etudesenfrance.diplomatie.gouv.fr/catalogue-formations/formation/42025/site/6540" TargetMode="External" Id="rId581"/><Relationship Type="http://schemas.openxmlformats.org/officeDocument/2006/relationships/hyperlink" Target="https://www.univ-angers.fr/fr/acces-directs/facultes-et-instituts/faculte-des-sciences.html" TargetMode="External" Id="rId582"/><Relationship Type="http://schemas.openxmlformats.org/officeDocument/2006/relationships/hyperlink" Target="https://etudesenfrance.diplomatie.gouv.fr/catalogue-formations/formation/42900/site/7170" TargetMode="External" Id="rId583"/><Relationship Type="http://schemas.openxmlformats.org/officeDocument/2006/relationships/hyperlink" Target="https://www.unistra.fr/fr/node/8168" TargetMode="External" Id="rId584"/><Relationship Type="http://schemas.openxmlformats.org/officeDocument/2006/relationships/hyperlink" Target="http://www.physique-ingenierie.unistra.fr/" TargetMode="External" Id="rId585"/><Relationship Type="http://schemas.openxmlformats.org/officeDocument/2006/relationships/hyperlink" Target="https://etudesenfrance.diplomatie.gouv.fr/catalogue-formations/formation/41637/site/6975" TargetMode="External" Id="rId586"/><Relationship Type="http://schemas.openxmlformats.org/officeDocument/2006/relationships/hyperlink" Target="https://www.insa-hautsdefrance.fr/sites/default/files/media/2024-10/master_cdsi.pdf" TargetMode="External" Id="rId587"/><Relationship Type="http://schemas.openxmlformats.org/officeDocument/2006/relationships/hyperlink" Target="https://etudesenfrance.diplomatie.gouv.fr/catalogue-formations/formation/48588/site/13986" TargetMode="External" Id="rId588"/><Relationship Type="http://schemas.openxmlformats.org/officeDocument/2006/relationships/hyperlink" Target="http://www.univ-brest.fr/ufr-sciences" TargetMode="External" Id="rId589"/><Relationship Type="http://schemas.openxmlformats.org/officeDocument/2006/relationships/hyperlink" Target="https://etudesenfrance.diplomatie.gouv.fr/catalogue-formations/formation/43374/site/6955" TargetMode="External" Id="rId590"/><Relationship Type="http://schemas.openxmlformats.org/officeDocument/2006/relationships/hyperlink" Target="https://sciences-techniques.univ-nantes.fr/" TargetMode="External" Id="rId591"/><Relationship Type="http://schemas.openxmlformats.org/officeDocument/2006/relationships/hyperlink" Target="https://etudesenfrance.diplomatie.gouv.fr/catalogue-formations/formation/45541/site/6543" TargetMode="External" Id="rId592"/><Relationship Type="http://schemas.openxmlformats.org/officeDocument/2006/relationships/hyperlink" Target="https://www.univ-reims.fr/eisine/" TargetMode="External" Id="rId593"/><Relationship Type="http://schemas.openxmlformats.org/officeDocument/2006/relationships/hyperlink" Target="https://etudesenfrance.diplomatie.gouv.fr/catalogue-formations/formation/55209/site/13889" TargetMode="External" Id="rId594"/><Relationship Type="http://schemas.openxmlformats.org/officeDocument/2006/relationships/hyperlink" Target="https://www.univ-rouen.fr/actualites/application-des-droits-dinscription-differencies-a-luniversite-de-rouen-normandie-a-compter-de-la-rentree-universitaire-2026-2027/" TargetMode="External" Id="rId595"/><Relationship Type="http://schemas.openxmlformats.org/officeDocument/2006/relationships/hyperlink" Target="https://sciences-techniques.univ-rouen.fr/" TargetMode="External" Id="rId596"/><Relationship Type="http://schemas.openxmlformats.org/officeDocument/2006/relationships/hyperlink" Target="https://etudesenfrance.diplomatie.gouv.fr/catalogue-formations/formation/57078/site/7173" TargetMode="External" Id="rId597"/><Relationship Type="http://schemas.openxmlformats.org/officeDocument/2006/relationships/hyperlink" Target="http://ufr-phillia.parisnanterre.fr/" TargetMode="External" Id="rId598"/><Relationship Type="http://schemas.openxmlformats.org/officeDocument/2006/relationships/hyperlink" Target="https://etudesenfrance.diplomatie.gouv.fr/catalogue-formations/formation/60208/site/6943" TargetMode="External" Id="rId599"/><Relationship Type="http://schemas.openxmlformats.org/officeDocument/2006/relationships/hyperlink" Target="https://observalgerie.com/2026/06/13/misc/frais-dinscription-en-france-lille-maintient-un-avantage-pour-les-etudiants-etrangers/" TargetMode="External" Id="rId600"/><Relationship Type="http://schemas.openxmlformats.org/officeDocument/2006/relationships/hyperlink" Target="https://formation.univ-lille.fr/fr/offre-de-formation/master-lmd-XB/master-automatique-et-systemes-electriques-MG001978/automatique-et-systemes-electriques-m1-tronc-commun-MX002023.html" TargetMode="External" Id="rId601"/><Relationship Type="http://schemas.openxmlformats.org/officeDocument/2006/relationships/hyperlink" Target="https://etudesenfrance.diplomatie.gouv.fr/catalogue-formations/formation/58456/site/6597" TargetMode="External" Id="rId602"/><Relationship Type="http://schemas.openxmlformats.org/officeDocument/2006/relationships/hyperlink" Target="https://www.univ-lyon1.fr/formation/inscription-et-scolarite/etudiantes-et-etudiants-internationaux-droits-dinscription-differencies-et-exonerations" TargetMode="External" Id="rId603"/><Relationship Type="http://schemas.openxmlformats.org/officeDocument/2006/relationships/hyperlink" Target="http://fst-meca.univ-lyon1.fr/" TargetMode="External" Id="rId604"/><Relationship Type="http://schemas.openxmlformats.org/officeDocument/2006/relationships/hyperlink" Target="https://etudesenfrance.diplomatie.gouv.fr/catalogue-formations/formation/42392/site/6659" TargetMode="External" Id="rId605"/><Relationship Type="http://schemas.openxmlformats.org/officeDocument/2006/relationships/hyperlink" Target="https://www.univ-orleans.fr/fr/polytech/formations/les-autres-formations-de-lecole/master-mars" TargetMode="External" Id="rId606"/><Relationship Type="http://schemas.openxmlformats.org/officeDocument/2006/relationships/hyperlink" Target="https://etudesenfrance.diplomatie.gouv.fr/catalogue-formations/formation/55301/site/14310" TargetMode="External" Id="rId607"/><Relationship Type="http://schemas.openxmlformats.org/officeDocument/2006/relationships/hyperlink" Target="http://www.fsa.univ-artois.fr/les-fiches-formations" TargetMode="External" Id="rId608"/><Relationship Type="http://schemas.openxmlformats.org/officeDocument/2006/relationships/hyperlink" Target="https://etudesenfrance.diplomatie.gouv.fr/catalogue-formations/formation/30966/site/7352" TargetMode="External" Id="rId609"/><Relationship Type="http://schemas.openxmlformats.org/officeDocument/2006/relationships/hyperlink" Target="https://fst.univ-lorraine.fr/formations/" TargetMode="External" Id="rId610"/><Relationship Type="http://schemas.openxmlformats.org/officeDocument/2006/relationships/hyperlink" Target="https://etudesenfrance.diplomatie.gouv.fr/catalogue-formations/formation/60707/site/6958" TargetMode="External" Id="rId611"/><Relationship Type="http://schemas.openxmlformats.org/officeDocument/2006/relationships/hyperlink" Target="http://www.univ-brest.fr/ufr-sciences" TargetMode="External" Id="rId612"/><Relationship Type="http://schemas.openxmlformats.org/officeDocument/2006/relationships/hyperlink" Target="https://etudesenfrance.diplomatie.gouv.fr/catalogue-formations/formation/50530/site/6955" TargetMode="External" Id="rId613"/><Relationship Type="http://schemas.openxmlformats.org/officeDocument/2006/relationships/hyperlink" Target="https://www.insset.u-picardie.fr/" TargetMode="External" Id="rId614"/><Relationship Type="http://schemas.openxmlformats.org/officeDocument/2006/relationships/hyperlink" Target="https://etudesenfrance.diplomatie.gouv.fr/catalogue-formations/formation/52955/site/7207" TargetMode="External" Id="rId615"/><Relationship Type="http://schemas.openxmlformats.org/officeDocument/2006/relationships/hyperlink" Target="https://www.utbm.fr/formations/masters" TargetMode="External" Id="rId616"/><Relationship Type="http://schemas.openxmlformats.org/officeDocument/2006/relationships/hyperlink" Target="https://etudesenfrance.diplomatie.gouv.fr/catalogue-formations/formation/59869/site/6746" TargetMode="External" Id="rId617"/><Relationship Type="http://schemas.openxmlformats.org/officeDocument/2006/relationships/hyperlink" Target="https://galilee.univ-paris13.fr/master/master-ingenierie-innovation-images-reseaux-m3ir/" TargetMode="External" Id="rId618"/><Relationship Type="http://schemas.openxmlformats.org/officeDocument/2006/relationships/hyperlink" Target="https://etudesenfrance.diplomatie.gouv.fr/catalogue-formations/formation/15205/site/6725" TargetMode="External" Id="rId619"/><Relationship Type="http://schemas.openxmlformats.org/officeDocument/2006/relationships/hyperlink" Target="https://www.unistra.fr/fr/node/8168" TargetMode="External" Id="rId620"/><Relationship Type="http://schemas.openxmlformats.org/officeDocument/2006/relationships/hyperlink" Target="https://www.master-iriv.fr/" TargetMode="External" Id="rId621"/><Relationship Type="http://schemas.openxmlformats.org/officeDocument/2006/relationships/hyperlink" Target="https://etudesenfrance.diplomatie.gouv.fr/catalogue-formations/formation/61002/site/6794" TargetMode="External" Id="rId622"/><Relationship Type="http://schemas.openxmlformats.org/officeDocument/2006/relationships/hyperlink" Target="https://etudesenfrance.diplomatie.gouv.fr/catalogue-formations/formation/60972/site/10975" TargetMode="External" Id="rId623"/><Relationship Type="http://schemas.openxmlformats.org/officeDocument/2006/relationships/hyperlink" Target="https://www.univ-littoral.fr/" TargetMode="External" Id="rId624"/><Relationship Type="http://schemas.openxmlformats.org/officeDocument/2006/relationships/hyperlink" Target="https://etudesenfrance.diplomatie.gouv.fr/catalogue-formations/formation/33117/site/6662" TargetMode="External" Id="rId625"/><Relationship Type="http://schemas.openxmlformats.org/officeDocument/2006/relationships/hyperlink" Target="https://www.inalco.fr/" TargetMode="External" Id="rId626"/><Relationship Type="http://schemas.openxmlformats.org/officeDocument/2006/relationships/hyperlink" Target="https://etudesenfrance.diplomatie.gouv.fr/catalogue-formations/formation/59632/site/14235" TargetMode="External" Id="rId627"/><Relationship Type="http://schemas.openxmlformats.org/officeDocument/2006/relationships/hyperlink" Target="http://sciences-techniques.u-bourgogne.fr/" TargetMode="External" Id="rId628"/><Relationship Type="http://schemas.openxmlformats.org/officeDocument/2006/relationships/hyperlink" Target="https://etudesenfrance.diplomatie.gouv.fr/catalogue-formations/formation/36277/site/6538" TargetMode="External" Id="rId629"/><Relationship Type="http://schemas.openxmlformats.org/officeDocument/2006/relationships/hyperlink" Target="https://www.umlp.fr/sites/default/files/2026-07-02-page-droits-differencies-vf.pdf" TargetMode="External" Id="rId630"/><Relationship Type="http://schemas.openxmlformats.org/officeDocument/2006/relationships/hyperlink" Target="https://formations.univ-fcomte.fr/fr/index/formations/feuilleter-le-catalogue/master-lmd-XB/master-biologie-sante-M3PNGH7Y/master-biologie-sante-signalisation-cellulaire-et-moleculaire-M3PNHB5T.html" TargetMode="External" Id="rId631"/><Relationship Type="http://schemas.openxmlformats.org/officeDocument/2006/relationships/hyperlink" Target="https://etudesenfrance.diplomatie.gouv.fr/catalogue-formations/formation/58945/site/6954" TargetMode="External" Id="rId632"/><Relationship Type="http://schemas.openxmlformats.org/officeDocument/2006/relationships/hyperlink" Target="https://www.univ-amu.fr/fr/actualites/aix-marseille-universite-mobilise-pleinement-capacite-dexoneration-continuer-accueillir" TargetMode="External" Id="rId633"/><Relationship Type="http://schemas.openxmlformats.org/officeDocument/2006/relationships/hyperlink" Target="https://formations.univ-amu.fr/fr/master/5SEA/PRSEA5C1" TargetMode="External" Id="rId634"/><Relationship Type="http://schemas.openxmlformats.org/officeDocument/2006/relationships/hyperlink" Target="https://etudesenfrance.diplomatie.gouv.fr/catalogue-formations/formation/51706/site/6655" TargetMode="External" Id="rId635"/><Relationship Type="http://schemas.openxmlformats.org/officeDocument/2006/relationships/hyperlink" Target="https://www.uca.fr/medias/fichier/delib-ca-20251205-15-tarifs-differencies_1765204050111-pdf" TargetMode="External" Id="rId636"/><Relationship Type="http://schemas.openxmlformats.org/officeDocument/2006/relationships/hyperlink" Target="https://eupi.uca.fr/" TargetMode="External" Id="rId637"/><Relationship Type="http://schemas.openxmlformats.org/officeDocument/2006/relationships/hyperlink" Target="https://etudesenfrance.diplomatie.gouv.fr/catalogue-formations/formation/47609/site/13635" TargetMode="External" Id="rId638"/><Relationship Type="http://schemas.openxmlformats.org/officeDocument/2006/relationships/hyperlink" Target="https://www.uca.fr/medias/fichier/delib-ca-20251205-15-tarifs-differencies_1765204050111-pdf" TargetMode="External" Id="rId639"/><Relationship Type="http://schemas.openxmlformats.org/officeDocument/2006/relationships/hyperlink" Target="https://eupi.uca.fr/" TargetMode="External" Id="rId640"/><Relationship Type="http://schemas.openxmlformats.org/officeDocument/2006/relationships/hyperlink" Target="https://etudesenfrance.diplomatie.gouv.fr/catalogue-formations/formation/37814/site/13635" TargetMode="External" Id="rId641"/><Relationship Type="http://schemas.openxmlformats.org/officeDocument/2006/relationships/hyperlink" Target="https://www.univ-tours.fr/international/etudes-stages-a-tours/droits-dinscription-differencies-pour-les-etudiants-extra-communautaires-2026-2027" TargetMode="External" Id="rId642"/><Relationship Type="http://schemas.openxmlformats.org/officeDocument/2006/relationships/hyperlink" Target="https://etudesenfrance.diplomatie.gouv.fr/catalogue-formations/formation/54590/site/6957" TargetMode="External" Id="rId643"/><Relationship Type="http://schemas.openxmlformats.org/officeDocument/2006/relationships/hyperlink" Target="https://www.umontpellier.fr/en/international/etudier-a-letranger/etudiants-internationaux-annee-universitaire-2026-2027/" TargetMode="External" Id="rId644"/><Relationship Type="http://schemas.openxmlformats.org/officeDocument/2006/relationships/hyperlink" Target="https://formations.umontpellier.fr/fr/formations/master-XB/master-biologie-sante-KJMN3CNB/neuroprotheses-sensorielles-et-motrices-KJMOP5GH.html" TargetMode="External" Id="rId645"/><Relationship Type="http://schemas.openxmlformats.org/officeDocument/2006/relationships/hyperlink" Target="https://etudesenfrance.diplomatie.gouv.fr/catalogue-formations/formation/32404/site/13853" TargetMode="External" Id="rId646"/><Relationship Type="http://schemas.openxmlformats.org/officeDocument/2006/relationships/hyperlink" Target="https://www.uca.fr/medias/fichier/delib-ca-20251205-15-tarifs-differencies_1765204050111-pdf" TargetMode="External" Id="rId647"/><Relationship Type="http://schemas.openxmlformats.org/officeDocument/2006/relationships/hyperlink" Target="https://eupi.uca.fr/" TargetMode="External" Id="rId648"/><Relationship Type="http://schemas.openxmlformats.org/officeDocument/2006/relationships/hyperlink" Target="https://etudesenfrance.diplomatie.gouv.fr/catalogue-formations/formation/35675/site/13635" TargetMode="External" Id="rId649"/><Relationship Type="http://schemas.openxmlformats.org/officeDocument/2006/relationships/hyperlink" Target="https://www.univ-grenoble-alpes.fr/actualites/a-la-une/actualites-universite/etudiants-internationaux-ce-que-change-le-nouveau-decret-sur-les-droits-d-inscription-a-l-uga-1775870.kjsp" TargetMode="External" Id="rId650"/><Relationship Type="http://schemas.openxmlformats.org/officeDocument/2006/relationships/hyperlink" Target="https://formations.univ-grenoble-alpes.fr/fr/catalogue-2021/master-XB/master-electronique-energie-electrique-automatique-IFZ3DRB9/parcours-conception-des-systemes-d-energie-electrique-csee-1re-et-2e-annees-IFZ42B5H.html" TargetMode="External" Id="rId651"/><Relationship Type="http://schemas.openxmlformats.org/officeDocument/2006/relationships/hyperlink" Target="https://etudesenfrance.diplomatie.gouv.fr/catalogue-formations/formation/32316/site/13729" TargetMode="External" Id="rId652"/><Relationship Type="http://schemas.openxmlformats.org/officeDocument/2006/relationships/hyperlink" Target="https://www.umontpellier.fr/en/international/etudier-a-letranger/etudiants-internationaux-annee-universitaire-2026-2027/" TargetMode="External" Id="rId653"/><Relationship Type="http://schemas.openxmlformats.org/officeDocument/2006/relationships/hyperlink" Target="http://sciences.edu.umontpellier.fr/" TargetMode="External" Id="rId654"/><Relationship Type="http://schemas.openxmlformats.org/officeDocument/2006/relationships/hyperlink" Target="https://etudesenfrance.diplomatie.gouv.fr/catalogue-formations/formation/32451/site/6552" TargetMode="External" Id="rId655"/><Relationship Type="http://schemas.openxmlformats.org/officeDocument/2006/relationships/hyperlink" Target="https://www.umontpellier.fr/en/international/etudier-a-letranger/etudiants-internationaux-annee-universitaire-2026-2027/" TargetMode="External" Id="rId656"/><Relationship Type="http://schemas.openxmlformats.org/officeDocument/2006/relationships/hyperlink" Target="https://hermes.edu.umontpellier.fr/enseignement/" TargetMode="External" Id="rId657"/><Relationship Type="http://schemas.openxmlformats.org/officeDocument/2006/relationships/hyperlink" Target="https://etudesenfrance.diplomatie.gouv.fr/catalogue-formations/formation/32450/site/6552" TargetMode="External" Id="rId658"/><Relationship Type="http://schemas.openxmlformats.org/officeDocument/2006/relationships/hyperlink" Target="https://univ-cotedazur.fr/formation/offre-de-formation/master-electronique-energie-electrique-automatique" TargetMode="External" Id="rId659"/><Relationship Type="http://schemas.openxmlformats.org/officeDocument/2006/relationships/hyperlink" Target="https://etudesenfrance.diplomatie.gouv.fr/catalogue-formations/formation/43643/site/6953" TargetMode="External" Id="rId660"/><Relationship Type="http://schemas.openxmlformats.org/officeDocument/2006/relationships/hyperlink" Target="https://www.utoulouse.fr/medias/fichier/2026-02-ca-075_1774430647495-pdf" TargetMode="External" Id="rId661"/><Relationship Type="http://schemas.openxmlformats.org/officeDocument/2006/relationships/hyperlink" Target="http://www.univ-tlse3.fr/" TargetMode="External" Id="rId662"/><Relationship Type="http://schemas.openxmlformats.org/officeDocument/2006/relationships/hyperlink" Target="https://etudesenfrance.diplomatie.gouv.fr/catalogue-formations/formation/36584/site/13714" TargetMode="External" Id="rId663"/><Relationship Type="http://schemas.openxmlformats.org/officeDocument/2006/relationships/hyperlink" Target="https://www.utoulouse.fr/medias/fichier/2026-02-ca-075_1774430647495-pdf" TargetMode="External" Id="rId664"/><Relationship Type="http://schemas.openxmlformats.org/officeDocument/2006/relationships/hyperlink" Target="http://www.univ-tlse3.fr/" TargetMode="External" Id="rId665"/><Relationship Type="http://schemas.openxmlformats.org/officeDocument/2006/relationships/hyperlink" Target="https://etudesenfrance.diplomatie.gouv.fr/catalogue-formations/formation/36586/site/13714" TargetMode="External" Id="rId666"/><Relationship Type="http://schemas.openxmlformats.org/officeDocument/2006/relationships/hyperlink" Target="https://www.sorbonne-universite.fr/actualites/le-conseil-dadministration-de-sorbonne-universite-vote-lunanimite-le-7-juillet-2026-sa" TargetMode="External" Id="rId667"/><Relationship Type="http://schemas.openxmlformats.org/officeDocument/2006/relationships/hyperlink" Target="https://sciences.sorbonne-universite.fr/formation-sciences/offre-de-formation/masters/master-informatique/parcours-res" TargetMode="External" Id="rId668"/><Relationship Type="http://schemas.openxmlformats.org/officeDocument/2006/relationships/hyperlink" Target="https://etudesenfrance.diplomatie.gouv.fr/catalogue-formations/formation/44279/site/13735" TargetMode="External" Id="rId669"/><Relationship Type="http://schemas.openxmlformats.org/officeDocument/2006/relationships/hyperlink" Target="https://www.sorbonne-universite.fr/actualites/le-conseil-dadministration-de-sorbonne-universite-vote-lunanimite-le-7-juillet-2026-sa" TargetMode="External" Id="rId670"/><Relationship Type="http://schemas.openxmlformats.org/officeDocument/2006/relationships/hyperlink" Target="https://sciences.sorbonne-universite.fr/formation-sciences/masters/master-informatique/parcours-sesi" TargetMode="External" Id="rId671"/><Relationship Type="http://schemas.openxmlformats.org/officeDocument/2006/relationships/hyperlink" Target="https://etudesenfrance.diplomatie.gouv.fr/catalogue-formations/formation/44283/site/13735" TargetMode="External" Id="rId672"/><Relationship Type="http://schemas.openxmlformats.org/officeDocument/2006/relationships/hyperlink" Target="https://www.univ-grenoble-alpes.fr/actualites/a-la-une/actualites-universite/etudiants-internationaux-ce-que-change-le-nouveau-decret-sur-les-droits-d-inscription-a-l-uga-1775870.kjsp" TargetMode="External" Id="rId673"/><Relationship Type="http://schemas.openxmlformats.org/officeDocument/2006/relationships/hyperlink" Target="https://formations.univ-grenoble-alpes.fr/fr/catalogue-2021/master-XB/master-mecanique-IAQK579W/parcours-simulation-et-instrumentation-en-mecanique-1re-et-2e-annees-IAS8R70F.html" TargetMode="External" Id="rId674"/><Relationship Type="http://schemas.openxmlformats.org/officeDocument/2006/relationships/hyperlink" Target="https://etudesenfrance.diplomatie.gouv.fr/catalogue-formations/formation/31723/site/6522" TargetMode="External" Id="rId675"/><Relationship Type="http://schemas.openxmlformats.org/officeDocument/2006/relationships/hyperlink" Target="https://www.umontpellier.fr/en/international/etudier-a-letranger/etudiants-internationaux-annee-universitaire-2026-2027/" TargetMode="External" Id="rId676"/><Relationship Type="http://schemas.openxmlformats.org/officeDocument/2006/relationships/hyperlink" Target="http://www.fdsweb.univ-montp2.fr/etudier-a-la-fds/catalogue-de-formation-675" TargetMode="External" Id="rId677"/><Relationship Type="http://schemas.openxmlformats.org/officeDocument/2006/relationships/hyperlink" Target="https://etudesenfrance.diplomatie.gouv.fr/catalogue-formations/formation/32414/site/6552" TargetMode="External" Id="rId678"/><Relationship Type="http://schemas.openxmlformats.org/officeDocument/2006/relationships/hyperlink" Target="https://www.univ-amu.fr/fr/actualites/aix-marseille-universite-mobilise-pleinement-capacite-dexoneration-continuer-accueillir" TargetMode="External" Id="rId679"/><Relationship Type="http://schemas.openxmlformats.org/officeDocument/2006/relationships/hyperlink" Target="https://formations.univ-amu.fr/fr/master/5SEA" TargetMode="External" Id="rId680"/><Relationship Type="http://schemas.openxmlformats.org/officeDocument/2006/relationships/hyperlink" Target="https://etudesenfrance.diplomatie.gouv.fr/catalogue-formations/formation/39420/site/6655" TargetMode="External" Id="rId681"/><Relationship Type="http://schemas.openxmlformats.org/officeDocument/2006/relationships/hyperlink" Target="https://www.univ-amu.fr/fr/actualites/aix-marseille-universite-mobilise-pleinement-capacite-dexoneration-continuer-accueillir" TargetMode="External" Id="rId682"/><Relationship Type="http://schemas.openxmlformats.org/officeDocument/2006/relationships/hyperlink" Target="https://formations.univ-amu.fr/fr/master/5SMI" TargetMode="External" Id="rId683"/><Relationship Type="http://schemas.openxmlformats.org/officeDocument/2006/relationships/hyperlink" Target="https://etudesenfrance.diplomatie.gouv.fr/catalogue-formations/formation/39438/site/6655" TargetMode="External" Id="rId684"/><Relationship Type="http://schemas.openxmlformats.org/officeDocument/2006/relationships/hyperlink" Target="https://www.univ-amu.fr/fr/actualites/aix-marseille-universite-mobilise-pleinement-capacite-dexoneration-continuer-accueillir" TargetMode="External" Id="rId685"/><Relationship Type="http://schemas.openxmlformats.org/officeDocument/2006/relationships/hyperlink" Target="https://formations.univ-amu.fr/fr/master/5SNN/PRSNN5C2" TargetMode="External" Id="rId686"/><Relationship Type="http://schemas.openxmlformats.org/officeDocument/2006/relationships/hyperlink" Target="https://etudesenfrance.diplomatie.gouv.fr/catalogue-formations/formation/59060/site/6655" TargetMode="External" Id="rId687"/><Relationship Type="http://schemas.openxmlformats.org/officeDocument/2006/relationships/hyperlink" Target="https://www.univ-amu.fr/fr/actualites/aix-marseille-universite-mobilise-pleinement-capacite-dexoneration-continuer-accueillir" TargetMode="External" Id="rId688"/><Relationship Type="http://schemas.openxmlformats.org/officeDocument/2006/relationships/hyperlink" Target="https://formations.univ-amu.fr/fr/master/5SRT" TargetMode="External" Id="rId689"/><Relationship Type="http://schemas.openxmlformats.org/officeDocument/2006/relationships/hyperlink" Target="https://etudesenfrance.diplomatie.gouv.fr/catalogue-formations/formation/39463/site/7449" TargetMode="External" Id="rId690"/><Relationship Type="http://schemas.openxmlformats.org/officeDocument/2006/relationships/hyperlink" Target="https://www.univ-amu.fr/fr/actualites/aix-marseille-universite-mobilise-pleinement-capacite-dexoneration-continuer-accueillir" TargetMode="External" Id="rId691"/><Relationship Type="http://schemas.openxmlformats.org/officeDocument/2006/relationships/hyperlink" Target="https://formations.univ-amu.fr/fr/master/5STS" TargetMode="External" Id="rId692"/><Relationship Type="http://schemas.openxmlformats.org/officeDocument/2006/relationships/hyperlink" Target="https://etudesenfrance.diplomatie.gouv.fr/catalogue-formations/formation/39446/site/6655" TargetMode="External" Id="rId693"/><Relationship Type="http://schemas.openxmlformats.org/officeDocument/2006/relationships/hyperlink" Target="https://www.sorbonne-universite.fr/actualites/le-conseil-dadministration-de-sorbonne-universite-vote-lunanimite-le-7-juillet-2026-sa" TargetMode="External" Id="rId694"/><Relationship Type="http://schemas.openxmlformats.org/officeDocument/2006/relationships/hyperlink" Target="https://masters-sdi.sorbonne-universite.fr/automatique-robotique" TargetMode="External" Id="rId695"/><Relationship Type="http://schemas.openxmlformats.org/officeDocument/2006/relationships/hyperlink" Target="https://etudesenfrance.diplomatie.gouv.fr/catalogue-formations/formation/56515/site/13735" TargetMode="External" Id="rId696"/><Relationship Type="http://schemas.openxmlformats.org/officeDocument/2006/relationships/hyperlink" Target="https://www.uca.fr/medias/fichier/delib-ca-20251205-15-tarifs-differencies_1765204050111-pdf" TargetMode="External" Id="rId697"/><Relationship Type="http://schemas.openxmlformats.org/officeDocument/2006/relationships/hyperlink" Target="https://eupi.uca.fr/" TargetMode="External" Id="rId698"/><Relationship Type="http://schemas.openxmlformats.org/officeDocument/2006/relationships/hyperlink" Target="https://etudesenfrance.diplomatie.gouv.fr/catalogue-formations/formation/32329/site/13635" TargetMode="External" Id="rId699"/><Relationship Type="http://schemas.openxmlformats.org/officeDocument/2006/relationships/hyperlink" Target="https://etudesenfrance.diplomatie.gouv.fr/catalogue-formations/formation/57604/site/10878" TargetMode="External" Id="rId700"/><Relationship Type="http://schemas.openxmlformats.org/officeDocument/2006/relationships/hyperlink" Target="https://igm.univ-gustave-eiffel.fr/" TargetMode="External" Id="rId701"/><Relationship Type="http://schemas.openxmlformats.org/officeDocument/2006/relationships/hyperlink" Target="https://etudesenfrance.diplomatie.gouv.fr/catalogue-formations/formation/33552/site/10729" TargetMode="External" Id="rId702"/><Relationship Type="http://schemas.openxmlformats.org/officeDocument/2006/relationships/hyperlink" Target="http://www.fst.uha.fr/" TargetMode="External" Id="rId703"/><Relationship Type="http://schemas.openxmlformats.org/officeDocument/2006/relationships/hyperlink" Target="https://etudesenfrance.diplomatie.gouv.fr/catalogue-formations/formation/33552/site/10803" TargetMode="External" Id="rId704"/><Relationship Type="http://schemas.openxmlformats.org/officeDocument/2006/relationships/hyperlink" Target="https://u-paris.fr/droits-dinscription-tarifs-exonerations/" TargetMode="External" Id="rId705"/><Relationship Type="http://schemas.openxmlformats.org/officeDocument/2006/relationships/hyperlink" Target="https://math-info.u-paris.fr/" TargetMode="External" Id="rId706"/><Relationship Type="http://schemas.openxmlformats.org/officeDocument/2006/relationships/hyperlink" Target="https://etudesenfrance.diplomatie.gouv.fr/catalogue-formations/formation/52756/site/10684" TargetMode="External" Id="rId707"/><Relationship Type="http://schemas.openxmlformats.org/officeDocument/2006/relationships/hyperlink" Target="https://www.sorbonne-universite.fr/actualites/le-conseil-dadministration-de-sorbonne-universite-vote-lunanimite-le-7-juillet-2026-sa" TargetMode="External" Id="rId708"/><Relationship Type="http://schemas.openxmlformats.org/officeDocument/2006/relationships/hyperlink" Target="https://sciences.sorbonne-universite.fr/formation-sciences/offre-de-formation/masters/master-neurosciences" TargetMode="External" Id="rId709"/><Relationship Type="http://schemas.openxmlformats.org/officeDocument/2006/relationships/hyperlink" Target="https://etudesenfrance.diplomatie.gouv.fr/catalogue-formations/formation/56144/site/13735" TargetMode="External" Id="rId710"/><Relationship Type="http://schemas.openxmlformats.org/officeDocument/2006/relationships/hyperlink" Target="https://etudesenfrance.diplomatie.gouv.fr/catalogue-formations/formation/60930/site/6953" TargetMode="External" Id="rId711"/><Relationship Type="http://schemas.openxmlformats.org/officeDocument/2006/relationships/hyperlink" Target="https://etudesenfrance.diplomatie.gouv.fr/catalogue-formations/formation/59047/site/6953" TargetMode="External" Id="rId712"/><Relationship Type="http://schemas.openxmlformats.org/officeDocument/2006/relationships/hyperlink" Target="https://univ-cotedazur.fr/formation/offre-de-formation/master-physique-fondamentale-et-applications" TargetMode="External" Id="rId713"/><Relationship Type="http://schemas.openxmlformats.org/officeDocument/2006/relationships/hyperlink" Target="https://etudesenfrance.diplomatie.gouv.fr/catalogue-formations/formation/54536/site/6953" TargetMode="External" Id="rId714"/><Relationship Type="http://schemas.openxmlformats.org/officeDocument/2006/relationships/hyperlink" Target="http://www.ensea.fr/" TargetMode="External" Id="rId715"/><Relationship Type="http://schemas.openxmlformats.org/officeDocument/2006/relationships/hyperlink" Target="https://etudesenfrance.diplomatie.gouv.fr/catalogue-formations/formation/24603/site/6869" TargetMode="External" Id="rId716"/><Relationship Type="http://schemas.openxmlformats.org/officeDocument/2006/relationships/hyperlink" Target="http://www.supelec.fr/" TargetMode="External" Id="rId717"/><Relationship Type="http://schemas.openxmlformats.org/officeDocument/2006/relationships/hyperlink" Target="https://etudesenfrance.diplomatie.gouv.fr/catalogue-formations/formation/24204/site/10843" TargetMode="External" Id="rId718"/><Relationship Type="http://schemas.openxmlformats.org/officeDocument/2006/relationships/hyperlink" Target="http://www.ifma.fr/" TargetMode="External" Id="rId719"/><Relationship Type="http://schemas.openxmlformats.org/officeDocument/2006/relationships/hyperlink" Target="https://etudesenfrance.diplomatie.gouv.fr/catalogue-formations/formation/24059/site/6847" TargetMode="External" Id="rId720"/><Relationship Type="http://schemas.openxmlformats.org/officeDocument/2006/relationships/hyperlink" Target="http://www.ismin.fr/" TargetMode="External" Id="rId721"/><Relationship Type="http://schemas.openxmlformats.org/officeDocument/2006/relationships/hyperlink" Target="https://etudesenfrance.diplomatie.gouv.fr/catalogue-formations/formation/23897/site/6760" TargetMode="External" Id="rId722"/><Relationship Type="http://schemas.openxmlformats.org/officeDocument/2006/relationships/hyperlink" Target="http://www.polytech.upmc.fr/" TargetMode="External" Id="rId723"/><Relationship Type="http://schemas.openxmlformats.org/officeDocument/2006/relationships/hyperlink" Target="https://etudesenfrance.diplomatie.gouv.fr/catalogue-formations/formation/37274/site/6767" TargetMode="External" Id="rId724"/><Relationship Type="http://schemas.openxmlformats.org/officeDocument/2006/relationships/hyperlink" Target="http://www.polytech.upmc.fr/" TargetMode="External" Id="rId725"/><Relationship Type="http://schemas.openxmlformats.org/officeDocument/2006/relationships/hyperlink" Target="https://etudesenfrance.diplomatie.gouv.fr/catalogue-formations/formation/37275/site/6767" TargetMode="External" Id="rId726"/><Relationship Type="http://schemas.openxmlformats.org/officeDocument/2006/relationships/hyperlink" Target="http://www.eia.univ-artois.fr/" TargetMode="External" Id="rId727"/><Relationship Type="http://schemas.openxmlformats.org/officeDocument/2006/relationships/hyperlink" Target="https://etudesenfrance.diplomatie.gouv.fr/catalogue-formations/formation/55208/site/14335" TargetMode="External" Id="rId728"/><Relationship Type="http://schemas.openxmlformats.org/officeDocument/2006/relationships/hyperlink" Target="http://www.sup-galilee.univ-paris13.fr/" TargetMode="External" Id="rId729"/><Relationship Type="http://schemas.openxmlformats.org/officeDocument/2006/relationships/hyperlink" Target="https://etudesenfrance.diplomatie.gouv.fr/catalogue-formations/formation/17881/site/6725" TargetMode="External" Id="rId730"/><Relationship Type="http://schemas.openxmlformats.org/officeDocument/2006/relationships/hyperlink" Target="http://www.insa-rennes.fr/" TargetMode="External" Id="rId731"/><Relationship Type="http://schemas.openxmlformats.org/officeDocument/2006/relationships/hyperlink" Target="https://etudesenfrance.diplomatie.gouv.fr/catalogue-formations/formation/17868/site/6797" TargetMode="External" Id="rId732"/><Relationship Type="http://schemas.openxmlformats.org/officeDocument/2006/relationships/hyperlink" Target="http://www.insa-rennes.fr/" TargetMode="External" Id="rId733"/><Relationship Type="http://schemas.openxmlformats.org/officeDocument/2006/relationships/hyperlink" Target="https://etudesenfrance.diplomatie.gouv.fr/catalogue-formations/formation/17866/site/6797" TargetMode="External" Id="rId734"/><Relationship Type="http://schemas.openxmlformats.org/officeDocument/2006/relationships/hyperlink" Target="http://www.insa-rennes.fr/" TargetMode="External" Id="rId735"/><Relationship Type="http://schemas.openxmlformats.org/officeDocument/2006/relationships/hyperlink" Target="https://etudesenfrance.diplomatie.gouv.fr/catalogue-formations/formation/17870/site/6797" TargetMode="External" Id="rId736"/><Relationship Type="http://schemas.openxmlformats.org/officeDocument/2006/relationships/hyperlink" Target="http://www.utt.fr/" TargetMode="External" Id="rId737"/><Relationship Type="http://schemas.openxmlformats.org/officeDocument/2006/relationships/hyperlink" Target="https://etudesenfrance.diplomatie.gouv.fr/catalogue-formations/formation/14365/site/6619" TargetMode="External" Id="rId738"/><Relationship Type="http://schemas.openxmlformats.org/officeDocument/2006/relationships/hyperlink" Target="http://www.ensea.fr/" TargetMode="External" Id="rId739"/><Relationship Type="http://schemas.openxmlformats.org/officeDocument/2006/relationships/hyperlink" Target="https://etudesenfrance.diplomatie.gouv.fr/catalogue-formations/formation/14381/site/6869" TargetMode="External" Id="rId740"/><Relationship Type="http://schemas.openxmlformats.org/officeDocument/2006/relationships/hyperlink" Target="http://www.ismin.fr/" TargetMode="External" Id="rId741"/><Relationship Type="http://schemas.openxmlformats.org/officeDocument/2006/relationships/hyperlink" Target="https://etudesenfrance.diplomatie.gouv.fr/catalogue-formations/formation/18984/site/6760" TargetMode="External" Id="rId742"/><Relationship Type="http://schemas.openxmlformats.org/officeDocument/2006/relationships/hyperlink" Target="http://www.ensisa.uha.fr/" TargetMode="External" Id="rId743"/><Relationship Type="http://schemas.openxmlformats.org/officeDocument/2006/relationships/hyperlink" Target="https://etudesenfrance.diplomatie.gouv.fr/catalogue-formations/formation/13789/site/10689" TargetMode="External" Id="rId744"/><Relationship Type="http://schemas.openxmlformats.org/officeDocument/2006/relationships/hyperlink" Target="https://etudesenfrance.diplomatie.gouv.fr/catalogue-formations/formation/58303/site/6758" TargetMode="External" Id="rId745"/><Relationship Type="http://schemas.openxmlformats.org/officeDocument/2006/relationships/hyperlink" Target="https://www.polytech-lille.fr/formation/instrumentation-et-ingenierie-d-affaires/" TargetMode="External" Id="rId746"/><Relationship Type="http://schemas.openxmlformats.org/officeDocument/2006/relationships/hyperlink" Target="https://etudesenfrance.diplomatie.gouv.fr/catalogue-formations/formation/37177/site/6660" TargetMode="External" Id="rId747"/><Relationship Type="http://schemas.openxmlformats.org/officeDocument/2006/relationships/hyperlink" Target="https://www.univ-amu.fr/fr/actualites/aix-marseille-universite-mobilise-pleinement-capacite-dexoneration-continuer-accueillir" TargetMode="External" Id="rId748"/><Relationship Type="http://schemas.openxmlformats.org/officeDocument/2006/relationships/hyperlink" Target="https://polytech.univ-amu.fr/fr/formations/cycle-ingenieur/microelectronique-telecommunications" TargetMode="External" Id="rId749"/><Relationship Type="http://schemas.openxmlformats.org/officeDocument/2006/relationships/hyperlink" Target="https://etudesenfrance.diplomatie.gouv.fr/catalogue-formations/formation/14359/site/13555" TargetMode="External" Id="rId750"/><Relationship Type="http://schemas.openxmlformats.org/officeDocument/2006/relationships/hyperlink" Target="https://www.univ-smb.fr/polytech/" TargetMode="External" Id="rId751"/><Relationship Type="http://schemas.openxmlformats.org/officeDocument/2006/relationships/hyperlink" Target="https://etudesenfrance.diplomatie.gouv.fr/catalogue-formations/formation/37164/site/13557" TargetMode="External" Id="rId752"/><Relationship Type="http://schemas.openxmlformats.org/officeDocument/2006/relationships/hyperlink" Target="https://www.univ-smb.fr/polytech/" TargetMode="External" Id="rId753"/><Relationship Type="http://schemas.openxmlformats.org/officeDocument/2006/relationships/hyperlink" Target="https://etudesenfrance.diplomatie.gouv.fr/catalogue-formations/formation/59501/site/13556" TargetMode="External" Id="rId754"/><Relationship Type="http://schemas.openxmlformats.org/officeDocument/2006/relationships/hyperlink" Target="http://www.insa-rennes.fr/" TargetMode="External" Id="rId755"/><Relationship Type="http://schemas.openxmlformats.org/officeDocument/2006/relationships/hyperlink" Target="https://etudesenfrance.diplomatie.gouv.fr/catalogue-formations/formation/28007/site/6797" TargetMode="External" Id="rId756"/><Relationship Type="http://schemas.openxmlformats.org/officeDocument/2006/relationships/hyperlink" Target="https://www.unistra.fr/fr/node/8168" TargetMode="External" Id="rId757"/><Relationship Type="http://schemas.openxmlformats.org/officeDocument/2006/relationships/hyperlink" Target="https://www.insa-strasbourg.fr/fr/candidats/" TargetMode="External" Id="rId758"/><Relationship Type="http://schemas.openxmlformats.org/officeDocument/2006/relationships/hyperlink" Target="https://etudesenfrance.diplomatie.gouv.fr/catalogue-formations/formation/13777/site/6513" TargetMode="External" Id="rId759"/><Relationship Type="http://schemas.openxmlformats.org/officeDocument/2006/relationships/hyperlink" Target="https://www.unistra.fr/fr/node/8168" TargetMode="External" Id="rId760"/><Relationship Type="http://schemas.openxmlformats.org/officeDocument/2006/relationships/hyperlink" Target="https://www.insa-strasbourg.fr/fr/candidats/" TargetMode="External" Id="rId761"/><Relationship Type="http://schemas.openxmlformats.org/officeDocument/2006/relationships/hyperlink" Target="https://etudesenfrance.diplomatie.gouv.fr/catalogue-formations/formation/13775/site/6513" TargetMode="External" Id="rId762"/><Relationship Type="http://schemas.openxmlformats.org/officeDocument/2006/relationships/hyperlink" Target="https://www.univ-grenoble-alpes.fr/actualites/a-la-une/actualites-universite/etudiants-internationaux-ce-que-change-le-nouveau-decret-sur-les-droits-d-inscription-a-l-uga-1775870.kjsp" TargetMode="External" Id="rId763"/><Relationship Type="http://schemas.openxmlformats.org/officeDocument/2006/relationships/hyperlink" Target="https://phelma.grenoble-inp.fr/fr/formation/admission" TargetMode="External" Id="rId764"/><Relationship Type="http://schemas.openxmlformats.org/officeDocument/2006/relationships/hyperlink" Target="https://etudesenfrance.diplomatie.gouv.fr/catalogue-formations/formation/27228/site/6858" TargetMode="External" Id="rId765"/><Relationship Type="http://schemas.openxmlformats.org/officeDocument/2006/relationships/hyperlink" Target="http://www.itiibretagne.fr/" TargetMode="External" Id="rId766"/><Relationship Type="http://schemas.openxmlformats.org/officeDocument/2006/relationships/hyperlink" Target="https://etudesenfrance.diplomatie.gouv.fr/catalogue-formations/formation/26078/site/11083" TargetMode="External" Id="rId767"/><Relationship Type="http://schemas.openxmlformats.org/officeDocument/2006/relationships/hyperlink" Target="http://www.polytech-angers.fr/" TargetMode="External" Id="rId768"/><Relationship Type="http://schemas.openxmlformats.org/officeDocument/2006/relationships/hyperlink" Target="https://etudesenfrance.diplomatie.gouv.fr/catalogue-formations/formation/53646/site/14615" TargetMode="External" Id="rId769"/><Relationship Type="http://schemas.openxmlformats.org/officeDocument/2006/relationships/hyperlink" Target="https://polytech.u-bourgogne.fr/robotique-cobotique" TargetMode="External" Id="rId770"/><Relationship Type="http://schemas.openxmlformats.org/officeDocument/2006/relationships/hyperlink" Target="https://etudesenfrance.diplomatie.gouv.fr/catalogue-formations/formation/56636/site/14403" TargetMode="External" Id="rId771"/><Relationship Type="http://schemas.openxmlformats.org/officeDocument/2006/relationships/hyperlink" Target="https://imt-nord-europe.fr/annuaire-formations/telecommunications-et-informatique/" TargetMode="External" Id="rId772"/><Relationship Type="http://schemas.openxmlformats.org/officeDocument/2006/relationships/hyperlink" Target="https://etudesenfrance.diplomatie.gouv.fr/catalogue-formations/formation/51782/site/6878" TargetMode="External" Id="rId773"/><Relationship Type="http://schemas.openxmlformats.org/officeDocument/2006/relationships/hyperlink" Target="http://www.cnam-poitou-charentes.fr/" TargetMode="External" Id="rId774"/><Relationship Type="http://schemas.openxmlformats.org/officeDocument/2006/relationships/hyperlink" Target="https://etudesenfrance.diplomatie.gouv.fr/catalogue-formations/formation/16786/site/11684" TargetMode="External" Id="rId775"/><Relationship Type="http://schemas.openxmlformats.org/officeDocument/2006/relationships/hyperlink" Target="https://etudesenfrance.diplomatie.gouv.fr/catalogue-formations/formation/45068/site/13863" TargetMode="External" Id="rId776"/><Relationship Type="http://schemas.openxmlformats.org/officeDocument/2006/relationships/hyperlink" Target="https://etudesenfrance.diplomatie.gouv.fr/catalogue-formations/formation/45070/site/13863" TargetMode="External" Id="rId777"/><Relationship Type="http://schemas.openxmlformats.org/officeDocument/2006/relationships/hyperlink" Target="http://www.mines-stetienne.fr/formation-mines-saint-etienne/" TargetMode="External" Id="rId778"/><Relationship Type="http://schemas.openxmlformats.org/officeDocument/2006/relationships/hyperlink" Target="https://etudesenfrance.diplomatie.gouv.fr/catalogue-formations/formation/45068/site/6734" TargetMode="External" Id="rId779"/><Relationship Type="http://schemas.openxmlformats.org/officeDocument/2006/relationships/hyperlink" Target="https://polytech.u-bourgogne.fr/electronique-systemes-numeriques" TargetMode="External" Id="rId780"/><Relationship Type="http://schemas.openxmlformats.org/officeDocument/2006/relationships/hyperlink" Target="https://etudesenfrance.diplomatie.gouv.fr/catalogue-formations/formation/56635/site/14402" TargetMode="External" Id="rId781"/><Relationship Type="http://schemas.openxmlformats.org/officeDocument/2006/relationships/hyperlink" Target="http://www.ensil-ensci.unilim.fr/accueil/admissions/cycle-ingenieur/" TargetMode="External" Id="rId782"/><Relationship Type="http://schemas.openxmlformats.org/officeDocument/2006/relationships/hyperlink" Target="https://etudesenfrance.diplomatie.gouv.fr/catalogue-formations/formation/15677/site/14172" TargetMode="External" Id="rId783"/><Relationship Type="http://schemas.openxmlformats.org/officeDocument/2006/relationships/hyperlink" Target="http://www.ensil-ensci.unilim.fr/accueil/admissions/cycle-ingenieur/" TargetMode="External" Id="rId784"/><Relationship Type="http://schemas.openxmlformats.org/officeDocument/2006/relationships/hyperlink" Target="https://etudesenfrance.diplomatie.gouv.fr/catalogue-formations/formation/15676/site/14172" TargetMode="External" Id="rId785"/><Relationship Type="http://schemas.openxmlformats.org/officeDocument/2006/relationships/hyperlink" Target="https://www.ensil-ensci.unilim.fr/" TargetMode="External" Id="rId786"/><Relationship Type="http://schemas.openxmlformats.org/officeDocument/2006/relationships/hyperlink" Target="https://etudesenfrance.diplomatie.gouv.fr/catalogue-formations/formation/58051/site/14172" TargetMode="External" Id="rId787"/><Relationship Type="http://schemas.openxmlformats.org/officeDocument/2006/relationships/hyperlink" Target="http://www.polytech.univ-nantes.fr/" TargetMode="External" Id="rId788"/><Relationship Type="http://schemas.openxmlformats.org/officeDocument/2006/relationships/hyperlink" Target="https://etudesenfrance.diplomatie.gouv.fr/catalogue-formations/formation/37261/site/13559" TargetMode="External" Id="rId789"/><Relationship Type="http://schemas.openxmlformats.org/officeDocument/2006/relationships/hyperlink" Target="https://www.univ-tours.fr/international/etudes-stages-a-tours/droits-dinscription-differencies-pour-les-etudiants-extra-communautaires-2026-2027" TargetMode="External" Id="rId790"/><Relationship Type="http://schemas.openxmlformats.org/officeDocument/2006/relationships/hyperlink" Target="http://polytech.univ-tours.fr/electronique" TargetMode="External" Id="rId791"/><Relationship Type="http://schemas.openxmlformats.org/officeDocument/2006/relationships/hyperlink" Target="https://etudesenfrance.diplomatie.gouv.fr/catalogue-formations/formation/13769/site/6765" TargetMode="External" Id="rId792"/><Relationship Type="http://schemas.openxmlformats.org/officeDocument/2006/relationships/hyperlink" Target="http://www.polytech.univ-nantes.fr/" TargetMode="External" Id="rId793"/><Relationship Type="http://schemas.openxmlformats.org/officeDocument/2006/relationships/hyperlink" Target="https://etudesenfrance.diplomatie.gouv.fr/catalogue-formations/formation/37258/site/6799" TargetMode="External" Id="rId794"/><Relationship Type="http://schemas.openxmlformats.org/officeDocument/2006/relationships/hyperlink" Target="http://www.polytech.umontpellier.fr/" TargetMode="External" Id="rId795"/><Relationship Type="http://schemas.openxmlformats.org/officeDocument/2006/relationships/hyperlink" Target="https://etudesenfrance.diplomatie.gouv.fr/catalogue-formations/formation/37222/site/6779" TargetMode="External" Id="rId796"/><Relationship Type="http://schemas.openxmlformats.org/officeDocument/2006/relationships/hyperlink" Target="http://www.polytech-orleans.fr/" TargetMode="External" Id="rId797"/><Relationship Type="http://schemas.openxmlformats.org/officeDocument/2006/relationships/hyperlink" Target="https://etudesenfrance.diplomatie.gouv.fr/catalogue-formations/formation/31981/site/6798" TargetMode="External" Id="rId798"/><Relationship Type="http://schemas.openxmlformats.org/officeDocument/2006/relationships/hyperlink" Target="http://www.enseeiht.fr/" TargetMode="External" Id="rId799"/><Relationship Type="http://schemas.openxmlformats.org/officeDocument/2006/relationships/hyperlink" Target="https://etudesenfrance.diplomatie.gouv.fr/catalogue-formations/formation/13829/site/6517" TargetMode="External" Id="rId800"/><Relationship Type="http://schemas.openxmlformats.org/officeDocument/2006/relationships/hyperlink" Target="http://www.enseeiht.fr/" TargetMode="External" Id="rId801"/><Relationship Type="http://schemas.openxmlformats.org/officeDocument/2006/relationships/hyperlink" Target="https://etudesenfrance.diplomatie.gouv.fr/catalogue-formations/formation/13827/site/6517" TargetMode="External" Id="rId802"/><Relationship Type="http://schemas.openxmlformats.org/officeDocument/2006/relationships/hyperlink" Target="http://www.enseeiht.fr/" TargetMode="External" Id="rId803"/><Relationship Type="http://schemas.openxmlformats.org/officeDocument/2006/relationships/hyperlink" Target="https://etudesenfrance.diplomatie.gouv.fr/catalogue-formations/formation/13830/site/6517" TargetMode="External" Id="rId804"/><Relationship Type="http://schemas.openxmlformats.org/officeDocument/2006/relationships/hyperlink" Target="https://www.ens2m.fr/" TargetMode="External" Id="rId805"/><Relationship Type="http://schemas.openxmlformats.org/officeDocument/2006/relationships/hyperlink" Target="https://etudesenfrance.diplomatie.gouv.fr/catalogue-formations/formation/40369/site/6843" TargetMode="External" Id="rId806"/><Relationship Type="http://schemas.openxmlformats.org/officeDocument/2006/relationships/hyperlink" Target="https://www.cpe.fr/" TargetMode="External" Id="rId807"/><Relationship Type="http://schemas.openxmlformats.org/officeDocument/2006/relationships/hyperlink" Target="https://etudesenfrance.diplomatie.gouv.fr/catalogue-formations/formation/61517/site/6731" TargetMode="External" Id="rId808"/><Relationship Type="http://schemas.openxmlformats.org/officeDocument/2006/relationships/hyperlink" Target="http://www.enseirb-matmeca.fr/" TargetMode="External" Id="rId809"/><Relationship Type="http://schemas.openxmlformats.org/officeDocument/2006/relationships/hyperlink" Target="https://etudesenfrance.diplomatie.gouv.fr/catalogue-formations/formation/17893/site/6859" TargetMode="External" Id="rId810"/><Relationship Type="http://schemas.openxmlformats.org/officeDocument/2006/relationships/hyperlink" Target="http://www.enseirb-matmeca.fr/" TargetMode="External" Id="rId811"/><Relationship Type="http://schemas.openxmlformats.org/officeDocument/2006/relationships/hyperlink" Target="https://etudesenfrance.diplomatie.gouv.fr/catalogue-formations/formation/17892/site/6859" TargetMode="External" Id="rId812"/><Relationship Type="http://schemas.openxmlformats.org/officeDocument/2006/relationships/hyperlink" Target="http://www.enseirb-matmeca.fr/" TargetMode="External" Id="rId813"/><Relationship Type="http://schemas.openxmlformats.org/officeDocument/2006/relationships/hyperlink" Target="https://etudesenfrance.diplomatie.gouv.fr/catalogue-formations/formation/17890/site/6859" TargetMode="External" Id="rId814"/><Relationship Type="http://schemas.openxmlformats.org/officeDocument/2006/relationships/hyperlink" Target="http://www.enseirb-matmeca.fr/" TargetMode="External" Id="rId815"/><Relationship Type="http://schemas.openxmlformats.org/officeDocument/2006/relationships/hyperlink" Target="https://etudesenfrance.diplomatie.gouv.fr/catalogue-formations/formation/17891/site/6859" TargetMode="External" Id="rId816"/><Relationship Type="http://schemas.openxmlformats.org/officeDocument/2006/relationships/hyperlink" Target="https://etudesenfrance.diplomatie.gouv.fr/catalogue-formations/formation/42689/site/6755" TargetMode="External" Id="rId817"/><Relationship Type="http://schemas.openxmlformats.org/officeDocument/2006/relationships/hyperlink" Target="http://www.esiee-amiens.fr/" TargetMode="External" Id="rId818"/><Relationship Type="http://schemas.openxmlformats.org/officeDocument/2006/relationships/hyperlink" Target="https://etudesenfrance.diplomatie.gouv.fr/catalogue-formations/formation/17826/site/6872" TargetMode="External" Id="rId819"/><Relationship Type="http://schemas.openxmlformats.org/officeDocument/2006/relationships/hyperlink" Target="https://polytech.univ-cotedazur.fr/" TargetMode="External" Id="rId820"/><Relationship Type="http://schemas.openxmlformats.org/officeDocument/2006/relationships/hyperlink" Target="https://etudesenfrance.diplomatie.gouv.fr/catalogue-formations/formation/51712/site/10964" TargetMode="External" Id="rId821"/><Relationship Type="http://schemas.openxmlformats.org/officeDocument/2006/relationships/hyperlink" Target="https://www.insa-lyon.fr/fr/formation/" TargetMode="External" Id="rId822"/><Relationship Type="http://schemas.openxmlformats.org/officeDocument/2006/relationships/hyperlink" Target="https://etudesenfrance.diplomatie.gouv.fr/catalogue-formations/formation/14401/site/6504" TargetMode="External" Id="rId823"/><Relationship Type="http://schemas.openxmlformats.org/officeDocument/2006/relationships/hyperlink" Target="https://www.insa-hautsdefrance.fr/formation-ingenieurs" TargetMode="External" Id="rId824"/><Relationship Type="http://schemas.openxmlformats.org/officeDocument/2006/relationships/hyperlink" Target="https://etudesenfrance.diplomatie.gouv.fr/catalogue-formations/formation/19385/site/13986" TargetMode="External" Id="rId825"/><Relationship Type="http://schemas.openxmlformats.org/officeDocument/2006/relationships/hyperlink" Target="https://www.insa-lyon.fr/fr/formation/" TargetMode="External" Id="rId826"/><Relationship Type="http://schemas.openxmlformats.org/officeDocument/2006/relationships/hyperlink" Target="https://etudesenfrance.diplomatie.gouv.fr/catalogue-formations/formation/14398/site/6504" TargetMode="External" Id="rId827"/><Relationship Type="http://schemas.openxmlformats.org/officeDocument/2006/relationships/hyperlink" Target="https://www.insa-hautsdefrance.fr/formation-ingenieurs" TargetMode="External" Id="rId828"/><Relationship Type="http://schemas.openxmlformats.org/officeDocument/2006/relationships/hyperlink" Target="https://etudesenfrance.diplomatie.gouv.fr/catalogue-formations/formation/47698/site/13986" TargetMode="External" Id="rId829"/><Relationship Type="http://schemas.openxmlformats.org/officeDocument/2006/relationships/hyperlink" Target="https://www.insa-hautsdefrance.fr/formation-ingenieurs" TargetMode="External" Id="rId830"/><Relationship Type="http://schemas.openxmlformats.org/officeDocument/2006/relationships/hyperlink" Target="https://etudesenfrance.diplomatie.gouv.fr/catalogue-formations/formation/47697/site/13986" TargetMode="External" Id="rId831"/><Relationship Type="http://schemas.openxmlformats.org/officeDocument/2006/relationships/hyperlink" Target="https://www.utbm.fr/formations/ingenieur/energie-genie-electrique/" TargetMode="External" Id="rId832"/><Relationship Type="http://schemas.openxmlformats.org/officeDocument/2006/relationships/hyperlink" Target="https://etudesenfrance.diplomatie.gouv.fr/catalogue-formations/formation/17943/site/6746" TargetMode="External" Id="rId833"/><Relationship Type="http://schemas.openxmlformats.org/officeDocument/2006/relationships/hyperlink" Target="http://www.telecomnancy.eu/" TargetMode="External" Id="rId834"/><Relationship Type="http://schemas.openxmlformats.org/officeDocument/2006/relationships/hyperlink" Target="https://etudesenfrance.diplomatie.gouv.fr/catalogue-formations/formation/13751/site/6769" TargetMode="External" Id="rId835"/><Relationship Type="http://schemas.openxmlformats.org/officeDocument/2006/relationships/hyperlink" Target="http://imt-nord-europe.fr/" TargetMode="External" Id="rId836"/><Relationship Type="http://schemas.openxmlformats.org/officeDocument/2006/relationships/hyperlink" Target="https://etudesenfrance.diplomatie.gouv.fr/catalogue-formations/formation/18906/site/6469" TargetMode="External" Id="rId837"/><Relationship Type="http://schemas.openxmlformats.org/officeDocument/2006/relationships/hyperlink" Target="https://univ-cotedazur.eu/msc/modeling-for-neuronal-and-cognitive-systems" TargetMode="External" Id="rId838"/><Relationship Type="http://schemas.openxmlformats.org/officeDocument/2006/relationships/hyperlink" Target="https://etudesenfrance.diplomatie.gouv.fr/catalogue-formations/formation/41162/site/13709" TargetMode="External" Id="rId839"/><Relationship Type="http://schemas.openxmlformats.org/officeDocument/2006/relationships/hyperlink" Target="https://www.telecom-sudparis.eu/en/formation/master-of-science-electrical-and-optical-engineering/" TargetMode="External" Id="rId840"/><Relationship Type="http://schemas.openxmlformats.org/officeDocument/2006/relationships/hyperlink" Target="https://etudesenfrance.diplomatie.gouv.fr/catalogue-formations/formation/53371/site/6506" TargetMode="External" Id="rId841"/><Relationship Type="http://schemas.openxmlformats.org/officeDocument/2006/relationships/hyperlink" Target="https://www.telecom-sudparis.eu/en/formation/master-of-science-electrical-and-optical-engineering/" TargetMode="External" Id="rId842"/><Relationship Type="http://schemas.openxmlformats.org/officeDocument/2006/relationships/hyperlink" Target="https://etudesenfrance.diplomatie.gouv.fr/catalogue-formations/formation/26178/site/6506" TargetMode="External" Id="rId843"/><Relationship Type="http://schemas.openxmlformats.org/officeDocument/2006/relationships/hyperlink" Target="http://www.isep.fr/" TargetMode="External" Id="rId844"/><Relationship Type="http://schemas.openxmlformats.org/officeDocument/2006/relationships/hyperlink" Target="https://etudesenfrance.diplomatie.gouv.fr/catalogue-formations/formation/18981/site/6867" TargetMode="External" Id="rId845"/><Relationship Type="http://schemas.openxmlformats.org/officeDocument/2006/relationships/hyperlink" Target="https://etudesenfrance.diplomatie.gouv.fr/catalogue-formations/formation/61698/site/14186" TargetMode="External" Id="rId846"/><Relationship Type="http://schemas.openxmlformats.org/officeDocument/2006/relationships/hyperlink" Target="https://etudesenfrance.diplomatie.gouv.fr/catalogue-formations/formation/61706/site/14186" TargetMode="External" Id="rId847"/><Relationship Type="http://schemas.openxmlformats.org/officeDocument/2006/relationships/hyperlink" Target="http://www.telecom-sudparis.eu/" TargetMode="External" Id="rId848"/><Relationship Type="http://schemas.openxmlformats.org/officeDocument/2006/relationships/hyperlink" Target="https://etudesenfrance.diplomatie.gouv.fr/catalogue-formations/formation/18997/site/6506" TargetMode="External" Id="rId849"/><Relationship Type="http://schemas.openxmlformats.org/officeDocument/2006/relationships/hyperlink" Target="https://etudesenfrance.diplomatie.gouv.fr/catalogue-formations/formation/49950/site/14586" TargetMode="External" Id="rId850"/><Relationship Type="http://schemas.openxmlformats.org/officeDocument/2006/relationships/hyperlink" Target="https://etudesenfrance.diplomatie.gouv.fr/catalogue-formations/formation/57323/site/6764" TargetMode="External" Id="rId851"/><Relationship Type="http://schemas.openxmlformats.org/officeDocument/2006/relationships/hyperlink" Target="https://www.ec-nantes.fr/study/masters/data-science-signal-and-image-processing" TargetMode="External" Id="rId852"/><Relationship Type="http://schemas.openxmlformats.org/officeDocument/2006/relationships/hyperlink" Target="https://etudesenfrance.diplomatie.gouv.fr/catalogue-formations/formation/57324/site/6764" TargetMode="External" Id="rId853"/><Relationship Type="http://schemas.openxmlformats.org/officeDocument/2006/relationships/hyperlink" Target="http://www.ensta-paristech.fr/" TargetMode="External" Id="rId854"/><Relationship Type="http://schemas.openxmlformats.org/officeDocument/2006/relationships/hyperlink" Target="https://etudesenfrance.diplomatie.gouv.fr/catalogue-formations/formation/27122/site/6490" TargetMode="External" Id="rId855"/><Relationship Type="http://schemas.openxmlformats.org/officeDocument/2006/relationships/hyperlink" Target="http://www.tsaae.fr/" TargetMode="External" Id="rId856"/><Relationship Type="http://schemas.openxmlformats.org/officeDocument/2006/relationships/hyperlink" Target="https://etudesenfrance.diplomatie.gouv.fr/catalogue-formations/formation/27863/site/6498" TargetMode="External" Id="rId857"/><Relationship Type="http://schemas.openxmlformats.org/officeDocument/2006/relationships/hyperlink" Target="https://www.eurecom.fr/en/teaching/master-networks-and-telecommunication/msc-networks-and-telecommunication-intelligent" TargetMode="External" Id="rId858"/><Relationship Type="http://schemas.openxmlformats.org/officeDocument/2006/relationships/hyperlink" Target="https://etudesenfrance.diplomatie.gouv.fr/catalogue-formations/formation/56811/site/6868" TargetMode="External" Id="rId859"/><Relationship Type="http://schemas.openxmlformats.org/officeDocument/2006/relationships/hyperlink" Target="https://www.eurecom.fr/fr/les-formations/master-en-reseaux-et-telecommunication/master-en-reseaux-et-telecommunication" TargetMode="External" Id="rId860"/><Relationship Type="http://schemas.openxmlformats.org/officeDocument/2006/relationships/hyperlink" Target="https://etudesenfrance.diplomatie.gouv.fr/catalogue-formations/formation/39141/site/6868" TargetMode="External" Id="rId861"/><Relationship Type="http://schemas.openxmlformats.org/officeDocument/2006/relationships/hyperlink" Target="https://www.univ-amu.fr/fr/actualites/aix-marseille-universite-mobilise-pleinement-capacite-dexoneration-continuer-accueillir" TargetMode="External" Id="rId862"/><Relationship Type="http://schemas.openxmlformats.org/officeDocument/2006/relationships/hyperlink" Target="https://formations.univ-amu.fr/fr/master/5SIN/PRSIN5C5" TargetMode="External" Id="rId863"/><Relationship Type="http://schemas.openxmlformats.org/officeDocument/2006/relationships/hyperlink" Target="https://etudesenfrance.diplomatie.gouv.fr/catalogue-formations/formation/39689/site/6655" TargetMode="External" Id="rId864"/><Relationship Type="http://schemas.openxmlformats.org/officeDocument/2006/relationships/hyperlink" Target="http://sciences-techniques.u-bourgogne.fr/" TargetMode="External" Id="rId865"/><Relationship Type="http://schemas.openxmlformats.org/officeDocument/2006/relationships/hyperlink" Target="https://etudesenfrance.diplomatie.gouv.fr/catalogue-formations/formation/32146/site/6538" TargetMode="External" Id="rId866"/><Relationship Type="http://schemas.openxmlformats.org/officeDocument/2006/relationships/hyperlink" Target="https://observalgerie.com/2026/06/13/misc/frais-dinscription-en-france-lille-maintient-un-avantage-pour-les-etudiants-etrangers/" TargetMode="External" Id="rId867"/><Relationship Type="http://schemas.openxmlformats.org/officeDocument/2006/relationships/hyperlink" Target="https://formation.univ-lille.fr/fr/offre-de-formation/master-lmd-XB/master-nanosciences-et-nanotechnologies-MG035198/electronic-technologies-for-smart-communicating-systems-MX002031.html" TargetMode="External" Id="rId868"/><Relationship Type="http://schemas.openxmlformats.org/officeDocument/2006/relationships/hyperlink" Target="https://etudesenfrance.diplomatie.gouv.fr/catalogue-formations/formation/58459/site/6597" TargetMode="External" Id="rId869"/><Relationship Type="http://schemas.openxmlformats.org/officeDocument/2006/relationships/hyperlink" Target="https://formations.univ-rennes.fr/" TargetMode="External" Id="rId870"/><Relationship Type="http://schemas.openxmlformats.org/officeDocument/2006/relationships/hyperlink" Target="https://etudesenfrance.diplomatie.gouv.fr/catalogue-formations/formation/54857/site/14529" TargetMode="External" Id="rId871"/><Relationship Type="http://schemas.openxmlformats.org/officeDocument/2006/relationships/hyperlink" Target="https://istic.univ-rennes.fr/international-master-intelligent-communicating-systems-ics" TargetMode="External" Id="rId872"/><Relationship Type="http://schemas.openxmlformats.org/officeDocument/2006/relationships/hyperlink" Target="https://etudesenfrance.diplomatie.gouv.fr/catalogue-formations/formation/58211/site/6612" TargetMode="External" Id="rId873"/><Relationship Type="http://schemas.openxmlformats.org/officeDocument/2006/relationships/hyperlink" Target="https://www.unistra.fr/fr/node/8168" TargetMode="External" Id="rId874"/><Relationship Type="http://schemas.openxmlformats.org/officeDocument/2006/relationships/hyperlink" Target="http://physique-ingenierie.unistra.fr/" TargetMode="External" Id="rId875"/><Relationship Type="http://schemas.openxmlformats.org/officeDocument/2006/relationships/hyperlink" Target="https://etudesenfrance.diplomatie.gouv.fr/catalogue-formations/formation/44087/site/6975" TargetMode="External" Id="rId876"/><Relationship Type="http://schemas.openxmlformats.org/officeDocument/2006/relationships/hyperlink" Target="https://www.univ-lyon1.fr/formation/inscription-et-scolarite/etudiantes-et-etudiants-internationaux-droits-dinscription-differencies-et-exonerations" TargetMode="External" Id="rId877"/><Relationship Type="http://schemas.openxmlformats.org/officeDocument/2006/relationships/hyperlink" Target="https://masterneuro.univ-lyon1.fr/" TargetMode="External" Id="rId878"/><Relationship Type="http://schemas.openxmlformats.org/officeDocument/2006/relationships/hyperlink" Target="https://etudesenfrance.diplomatie.gouv.fr/catalogue-formations/formation/31866/site/7315" TargetMode="External" Id="rId879"/><Relationship Type="http://schemas.openxmlformats.org/officeDocument/2006/relationships/hyperlink" Target="https://www.univ-lyon1.fr/formation/inscription-et-scolarite/etudiantes-et-etudiants-internationaux-droits-dinscription-differencies-et-exonerations" TargetMode="External" Id="rId880"/><Relationship Type="http://schemas.openxmlformats.org/officeDocument/2006/relationships/hyperlink" Target="https://ufr-biosciences.univ-lyon1.fr/" TargetMode="External" Id="rId881"/><Relationship Type="http://schemas.openxmlformats.org/officeDocument/2006/relationships/hyperlink" Target="https://etudesenfrance.diplomatie.gouv.fr/catalogue-formations/formation/31865/site/7315" TargetMode="External" Id="rId882"/><Relationship Type="http://schemas.openxmlformats.org/officeDocument/2006/relationships/hyperlink" Target="https://www.unistra.fr/fr/node/8168" TargetMode="External" Id="rId883"/><Relationship Type="http://schemas.openxmlformats.org/officeDocument/2006/relationships/hyperlink" Target="https://www.master-iriv.fr/" TargetMode="External" Id="rId884"/><Relationship Type="http://schemas.openxmlformats.org/officeDocument/2006/relationships/hyperlink" Target="https://etudesenfrance.diplomatie.gouv.fr/catalogue-formations/formation/42320/site/6794" TargetMode="External" Id="rId885"/><Relationship Type="http://schemas.openxmlformats.org/officeDocument/2006/relationships/hyperlink" Target="https://idmc.univ-lorraine.fr/idmc-master-degree-in-natural-language-processing/" TargetMode="External" Id="rId886"/><Relationship Type="http://schemas.openxmlformats.org/officeDocument/2006/relationships/hyperlink" Target="https://etudesenfrance.diplomatie.gouv.fr/catalogue-formations/formation/43372/site/10974" TargetMode="External" Id="rId887"/><Relationship Type="http://schemas.openxmlformats.org/officeDocument/2006/relationships/hyperlink" Target="https://observalgerie.com/2026/06/13/misc/frais-dinscription-en-france-lille-maintient-un-avantage-pour-les-etudiants-etrangers/" TargetMode="External" Id="rId888"/><Relationship Type="http://schemas.openxmlformats.org/officeDocument/2006/relationships/hyperlink" Target="https://formation.univ-lille.fr/fr/offre-de-formation/master-lmd-XB/master-automatique-et-systemes-electriques-MG001978/energie-electrique-et-developpement-durable-electrical-engineering-for-sustainable-development-m2-MX002024.html" TargetMode="External" Id="rId889"/><Relationship Type="http://schemas.openxmlformats.org/officeDocument/2006/relationships/hyperlink" Target="https://etudesenfrance.diplomatie.gouv.fr/catalogue-formations/formation/48831/site/6597" TargetMode="External" Id="rId890"/><Relationship Type="http://schemas.openxmlformats.org/officeDocument/2006/relationships/hyperlink" Target="https://www.univ-lyon1.fr/formation/inscription-et-scolarite/etudiantes-et-etudiants-internationaux-droits-dinscription-differencies-et-exonerations" TargetMode="External" Id="rId891"/><Relationship Type="http://schemas.openxmlformats.org/officeDocument/2006/relationships/hyperlink" Target="https://etudesenfrance.diplomatie.gouv.fr/catalogue-formations/formation/62090/site/7315" TargetMode="External" Id="rId892"/><Relationship Type="http://schemas.openxmlformats.org/officeDocument/2006/relationships/hyperlink" Target="https://etudesenfrance.diplomatie.gouv.fr/catalogue-formations/formation/39166/site/13620" TargetMode="External" Id="rId893"/><Relationship Type="http://schemas.openxmlformats.org/officeDocument/2006/relationships/hyperlink" Target="https://www.univ-lyon1.fr/formation/inscription-et-scolarite/etudiantes-et-etudiants-internationaux-droits-dinscription-differencies-et-exonerations" TargetMode="External" Id="rId894"/><Relationship Type="http://schemas.openxmlformats.org/officeDocument/2006/relationships/hyperlink" Target="https://etudesenfrance.diplomatie.gouv.fr/catalogue-formations/formation/57243/site/7315" TargetMode="External" Id="rId895"/><Relationship Type="http://schemas.openxmlformats.org/officeDocument/2006/relationships/hyperlink" Target="https://www.unistra.fr/fr/node/8168" TargetMode="External" Id="rId896"/><Relationship Type="http://schemas.openxmlformats.org/officeDocument/2006/relationships/hyperlink" Target="https://www.master-iriv.fr/" TargetMode="External" Id="rId897"/><Relationship Type="http://schemas.openxmlformats.org/officeDocument/2006/relationships/hyperlink" Target="https://etudesenfrance.diplomatie.gouv.fr/catalogue-formations/formation/56791/site/6794" TargetMode="External" Id="rId898"/><Relationship Type="http://schemas.openxmlformats.org/officeDocument/2006/relationships/hyperlink" Target="https://centralelille.fr/en/formation/masters/fiche-master-e-tech/" TargetMode="External" Id="rId899"/><Relationship Type="http://schemas.openxmlformats.org/officeDocument/2006/relationships/hyperlink" Target="https://etudesenfrance.diplomatie.gouv.fr/catalogue-formations/formation/61222/site/10697" TargetMode="External" Id="rId900"/><Relationship Type="http://schemas.openxmlformats.org/officeDocument/2006/relationships/hyperlink" Target="https://centralelille.fr/en/formation/masters/fiche-master-e2sd/" TargetMode="External" Id="rId901"/><Relationship Type="http://schemas.openxmlformats.org/officeDocument/2006/relationships/hyperlink" Target="https://etudesenfrance.diplomatie.gouv.fr/catalogue-formations/formation/61225/site/10697" TargetMode="External" Id="rId902"/><Relationship Type="http://schemas.openxmlformats.org/officeDocument/2006/relationships/hyperlink" Target="https://www.insa-lyon.fr/fr/formation/" TargetMode="External" Id="rId903"/><Relationship Type="http://schemas.openxmlformats.org/officeDocument/2006/relationships/hyperlink" Target="https://etudesenfrance.diplomatie.gouv.fr/catalogue-formations/formation/24215/site/6504" TargetMode="External" Id="rId904"/><Relationship Type="http://schemas.openxmlformats.org/officeDocument/2006/relationships/hyperlink" Target="https://www.univ-grenoble-alpes.fr/actualites/a-la-une/actualites-universite/etudiants-internationaux-ce-que-change-le-nouveau-decret-sur-les-droits-d-inscription-a-l-uga-1775870.kjsp" TargetMode="External" Id="rId905"/><Relationship Type="http://schemas.openxmlformats.org/officeDocument/2006/relationships/hyperlink" Target="https://ense3.grenoble-inp.fr/en/study-at-ense3/masters-in-english" TargetMode="External" Id="rId906"/><Relationship Type="http://schemas.openxmlformats.org/officeDocument/2006/relationships/hyperlink" Target="https://etudesenfrance.diplomatie.gouv.fr/catalogue-formations/formation/46178/site/6840" TargetMode="External" Id="rId907"/><Relationship Type="http://schemas.openxmlformats.org/officeDocument/2006/relationships/hyperlink" Target="https://www.univ-amu.fr/fr/actualites/aix-marseille-universite-mobilise-pleinement-capacite-dexoneration-continuer-accueillir" TargetMode="External" Id="rId908"/><Relationship Type="http://schemas.openxmlformats.org/officeDocument/2006/relationships/hyperlink" Target="https://formations.univ-amu.fr/fr/master/5SNE/PRSNE5C2" TargetMode="External" Id="rId909"/><Relationship Type="http://schemas.openxmlformats.org/officeDocument/2006/relationships/hyperlink" Target="https://etudesenfrance.diplomatie.gouv.fr/catalogue-formations/formation/57800/site/12194" TargetMode="External" Id="rId910"/><Relationship Type="http://schemas.openxmlformats.org/officeDocument/2006/relationships/hyperlink" Target="https://www.univ-amu.fr/fr/actualites/aix-marseille-universite-mobilise-pleinement-capacite-dexoneration-continuer-accueillir" TargetMode="External" Id="rId911"/><Relationship Type="http://schemas.openxmlformats.org/officeDocument/2006/relationships/hyperlink" Target="https://formations.univ-amu.fr/fr/master/5SNE/PRSNE5C1" TargetMode="External" Id="rId912"/><Relationship Type="http://schemas.openxmlformats.org/officeDocument/2006/relationships/hyperlink" Target="https://etudesenfrance.diplomatie.gouv.fr/catalogue-formations/formation/57799/site/12194" TargetMode="External" Id="rId913"/><Relationship Type="http://schemas.openxmlformats.org/officeDocument/2006/relationships/hyperlink" Target="https://www.univ-amu.fr/fr/actualites/aix-marseille-universite-mobilise-pleinement-capacite-dexoneration-continuer-accueillir" TargetMode="External" Id="rId914"/><Relationship Type="http://schemas.openxmlformats.org/officeDocument/2006/relationships/hyperlink" Target="https://formations.univ-amu.fr/fr/master/5SMI/PRSMI5C5" TargetMode="External" Id="rId915"/><Relationship Type="http://schemas.openxmlformats.org/officeDocument/2006/relationships/hyperlink" Target="https://etudesenfrance.diplomatie.gouv.fr/catalogue-formations/formation/52372/site/6655" TargetMode="External" Id="rId916"/><Relationship Type="http://schemas.openxmlformats.org/officeDocument/2006/relationships/hyperlink" Target="https://www.sorbonne-universite.fr/actualites/le-conseil-dadministration-de-sorbonne-universite-vote-lunanimite-le-7-juillet-2026-sa" TargetMode="External" Id="rId917"/><Relationship Type="http://schemas.openxmlformats.org/officeDocument/2006/relationships/hyperlink" Target="https://etudesenfrance.diplomatie.gouv.fr/catalogue-formations/formation/56582/site/13735" TargetMode="External" Id="rId918"/><Relationship Type="http://schemas.openxmlformats.org/officeDocument/2006/relationships/hyperlink" Target="https://www.sorbonne-universite.fr/actualites/le-conseil-dadministration-de-sorbonne-universite-vote-lunanimite-le-7-juillet-2026-sa" TargetMode="External" Id="rId919"/><Relationship Type="http://schemas.openxmlformats.org/officeDocument/2006/relationships/hyperlink" Target="https://etudesenfrance.diplomatie.gouv.fr/catalogue-formations/formation/56583/site/13735" TargetMode="External" Id="rId920"/><Relationship Type="http://schemas.openxmlformats.org/officeDocument/2006/relationships/hyperlink" Target="https://www.univ-grenoble-alpes.fr/actualites/a-la-une/actualites-universite/etudiants-internationaux-ce-que-change-le-nouveau-decret-sur-les-droits-d-inscription-a-l-uga-1775870.kjsp" TargetMode="External" Id="rId921"/><Relationship Type="http://schemas.openxmlformats.org/officeDocument/2006/relationships/hyperlink" Target="https://pagora.grenoble-inp.fr/en/education/master-sustainable-printed-and-integrated-electronics" TargetMode="External" Id="rId922"/><Relationship Type="http://schemas.openxmlformats.org/officeDocument/2006/relationships/hyperlink" Target="https://etudesenfrance.diplomatie.gouv.fr/catalogue-formations/formation/53592/site/6816" TargetMode="External" Id="rId923"/><Relationship Type="http://schemas.openxmlformats.org/officeDocument/2006/relationships/hyperlink" Target="https://www.univ-amu.fr/fr/actualites/aix-marseille-universite-mobilise-pleinement-capacite-dexoneration-continuer-accueillir" TargetMode="External" Id="rId924"/><Relationship Type="http://schemas.openxmlformats.org/officeDocument/2006/relationships/hyperlink" Target="https://formations.univ-amu.fr/fr/master/5SNE/PRSNE5C1" TargetMode="External" Id="rId925"/><Relationship Type="http://schemas.openxmlformats.org/officeDocument/2006/relationships/hyperlink" Target="https://etudesenfrance.diplomatie.gouv.fr/catalogue-formations/formation/54427/site/12194" TargetMode="External" Id="rId926"/><Relationship Type="http://schemas.openxmlformats.org/officeDocument/2006/relationships/hyperlink" Target="https://www.univ-amu.fr/fr/actualites/aix-marseille-universite-mobilise-pleinement-capacite-dexoneration-continuer-accueillir" TargetMode="External" Id="rId927"/><Relationship Type="http://schemas.openxmlformats.org/officeDocument/2006/relationships/hyperlink" Target="https://formations.univ-amu.fr/fr/master/5SNE/PRSNE5C2" TargetMode="External" Id="rId928"/><Relationship Type="http://schemas.openxmlformats.org/officeDocument/2006/relationships/hyperlink" Target="https://etudesenfrance.diplomatie.gouv.fr/catalogue-formations/formation/40679/site/12194" TargetMode="External" Id="rId929"/><Relationship Type="http://schemas.openxmlformats.org/officeDocument/2006/relationships/hyperlink" Target="https://www.sorbonne-universite.fr/actualites/le-conseil-dadministration-de-sorbonne-universite-vote-lunanimite-le-7-juillet-2026-sa" TargetMode="External" Id="rId930"/><Relationship Type="http://schemas.openxmlformats.org/officeDocument/2006/relationships/hyperlink" Target="https://masters-sdi.sorbonne-universite.fr/automatique-robotique" TargetMode="External" Id="rId931"/><Relationship Type="http://schemas.openxmlformats.org/officeDocument/2006/relationships/hyperlink" Target="https://etudesenfrance.diplomatie.gouv.fr/catalogue-formations/formation/58240/site/13735" TargetMode="External" Id="rId932"/><Relationship Type="http://schemas.openxmlformats.org/officeDocument/2006/relationships/hyperlink" Target="https://www.sorbonne-universite.fr/actualites/le-conseil-dadministration-de-sorbonne-universite-vote-lunanimite-le-7-juillet-2026-sa" TargetMode="External" Id="rId933"/><Relationship Type="http://schemas.openxmlformats.org/officeDocument/2006/relationships/hyperlink" Target="https://sciences.sorbonne-universite.fr/en/masters-degree-waves-and-devices-advanced-wireless-communication-systems-wavewicom" TargetMode="External" Id="rId934"/><Relationship Type="http://schemas.openxmlformats.org/officeDocument/2006/relationships/hyperlink" Target="https://etudesenfrance.diplomatie.gouv.fr/catalogue-formations/formation/53038/site/13735" TargetMode="External" Id="rId935"/><Relationship Type="http://schemas.openxmlformats.org/officeDocument/2006/relationships/hyperlink" Target="https://www.univ-grenoble-alpes.fr/actualites/a-la-une/actualites-universite/etudiants-internationaux-ce-que-change-le-nouveau-decret-sur-les-droits-d-inscription-a-l-uga-1775870.kjsp" TargetMode="External" Id="rId936"/><Relationship Type="http://schemas.openxmlformats.org/officeDocument/2006/relationships/hyperlink" Target="https://formations.univ-grenoble-alpes.fr/fr/catalogue-2021/master-XB/master-biologie-IAQKB0GE/parcours-neurosciences-neurobiology-2e-annee-IBAVERI3.html" TargetMode="External" Id="rId937"/><Relationship Type="http://schemas.openxmlformats.org/officeDocument/2006/relationships/hyperlink" Target="https://etudesenfrance.diplomatie.gouv.fr/catalogue-formations/formation/61424/site/6553" TargetMode="External" Id="rId938"/><Relationship Type="http://schemas.openxmlformats.org/officeDocument/2006/relationships/hyperlink" Target="https://www.univ-grenoble-alpes.fr/actualites/a-la-une/actualites-universite/etudiants-internationaux-ce-que-change-le-nouveau-decret-sur-les-droits-d-inscription-a-l-uga-1775870.kjsp" TargetMode="External" Id="rId939"/><Relationship Type="http://schemas.openxmlformats.org/officeDocument/2006/relationships/hyperlink" Target="https://formations.univ-grenoble-alpes.fr/fr/catalogue-2021/master-XB/master-electronique-energie-electrique-automatique-IFZ3DRB9.html" TargetMode="External" Id="rId940"/><Relationship Type="http://schemas.openxmlformats.org/officeDocument/2006/relationships/hyperlink" Target="https://etudesenfrance.diplomatie.gouv.fr/catalogue-formations/formation/62019/site/6522" TargetMode="External" Id="rId941"/><Relationship Type="http://schemas.openxmlformats.org/officeDocument/2006/relationships/hyperlink" Target="https://www.univ-grenoble-alpes.fr/actualites/a-la-une/actualites-universite/etudiants-internationaux-ce-que-change-le-nouveau-decret-sur-les-droits-d-inscription-a-l-uga-1775870.kjsp" TargetMode="External" Id="rId942"/><Relationship Type="http://schemas.openxmlformats.org/officeDocument/2006/relationships/hyperlink" Target="https://formations.univ-grenoble-alpes.fr/fr/catalogue-2021/master-XB/master-electronique-energie-electrique-automatique-IFZ3DRB9.html" TargetMode="External" Id="rId943"/><Relationship Type="http://schemas.openxmlformats.org/officeDocument/2006/relationships/hyperlink" Target="https://etudesenfrance.diplomatie.gouv.fr/catalogue-formations/formation/62027/site/13729" TargetMode="External" Id="rId944"/><Relationship Type="http://schemas.openxmlformats.org/officeDocument/2006/relationships/hyperlink" Target="https://www.univ-grenoble-alpes.fr/actualites/a-la-une/actualites-universite/etudiants-internationaux-ce-que-change-le-nouveau-decret-sur-les-droits-d-inscription-a-l-uga-1775870.kjsp" TargetMode="External" Id="rId945"/><Relationship Type="http://schemas.openxmlformats.org/officeDocument/2006/relationships/hyperlink" Target="https://formations.univ-grenoble-alpes.fr/fr/catalogue-2021/master-XB/master-nanosciences-et-nanotechnologies-IAQK78RT/parcours-nano-biotechnology-2e-annee-KIFWCDJ8.html" TargetMode="External" Id="rId946"/><Relationship Type="http://schemas.openxmlformats.org/officeDocument/2006/relationships/hyperlink" Target="https://etudesenfrance.diplomatie.gouv.fr/catalogue-formations/formation/61776/site/6522" TargetMode="External" Id="rId947"/><Relationship Type="http://schemas.openxmlformats.org/officeDocument/2006/relationships/hyperlink" Target="https://www.univ-grenoble-alpes.fr/actualites/a-la-une/actualites-universite/etudiants-internationaux-ce-que-change-le-nouveau-decret-sur-les-droits-d-inscription-a-l-uga-1775870.kjsp" TargetMode="External" Id="rId948"/><Relationship Type="http://schemas.openxmlformats.org/officeDocument/2006/relationships/hyperlink" Target="https://formations.univ-grenoble-alpes.fr/fr/catalogue-2021/master-XB/master-nanosciences-et-nanotechnologies-IAQK78RT.html" TargetMode="External" Id="rId949"/><Relationship Type="http://schemas.openxmlformats.org/officeDocument/2006/relationships/hyperlink" Target="https://etudesenfrance.diplomatie.gouv.fr/catalogue-formations/formation/62072/site/6522" TargetMode="External" Id="rId950"/><Relationship Type="http://schemas.openxmlformats.org/officeDocument/2006/relationships/hyperlink" Target="https://www.univ-grenoble-alpes.fr/actualites/a-la-une/actualites-universite/etudiants-internationaux-ce-que-change-le-nouveau-decret-sur-les-droits-d-inscription-a-l-uga-1775870.kjsp" TargetMode="External" Id="rId951"/><Relationship Type="http://schemas.openxmlformats.org/officeDocument/2006/relationships/hyperlink" Target="https://formations.univ-grenoble-alpes.fr/fr/catalogue-2021/master-XB/master-nanosciences-et-nanotechnologies-IAQK78RT.html" TargetMode="External" Id="rId952"/><Relationship Type="http://schemas.openxmlformats.org/officeDocument/2006/relationships/hyperlink" Target="https://etudesenfrance.diplomatie.gouv.fr/catalogue-formations/formation/62071/site/6522" TargetMode="External" Id="rId953"/><Relationship Type="http://schemas.openxmlformats.org/officeDocument/2006/relationships/hyperlink" Target="https://www.univ-grenoble-alpes.fr/actualites/a-la-une/actualites-universite/etudiants-internationaux-ce-que-change-le-nouveau-decret-sur-les-droits-d-inscription-a-l-uga-1775870.kjsp" TargetMode="External" Id="rId954"/><Relationship Type="http://schemas.openxmlformats.org/officeDocument/2006/relationships/hyperlink" Target="https://ense3.grenoble-inp.fr/en/study-at-ense3/masters-in-english" TargetMode="External" Id="rId955"/><Relationship Type="http://schemas.openxmlformats.org/officeDocument/2006/relationships/hyperlink" Target="https://etudesenfrance.diplomatie.gouv.fr/catalogue-formations/formation/60526/site/6840" TargetMode="External" Id="rId956"/><Relationship Type="http://schemas.openxmlformats.org/officeDocument/2006/relationships/hyperlink" Target="https://www.univ-amu.fr/fr/actualites/aix-marseille-universite-mobilise-pleinement-capacite-dexoneration-continuer-accueillir" TargetMode="External" Id="rId957"/><Relationship Type="http://schemas.openxmlformats.org/officeDocument/2006/relationships/hyperlink" Target="https://formations.univ-amu.fr/fr/master/5SMI/PRSMI5C5" TargetMode="External" Id="rId958"/><Relationship Type="http://schemas.openxmlformats.org/officeDocument/2006/relationships/hyperlink" Target="https://etudesenfrance.diplomatie.gouv.fr/catalogue-formations/formation/52370/site/6655" TargetMode="External" Id="rId959"/><Relationship Type="http://schemas.openxmlformats.org/officeDocument/2006/relationships/hyperlink" Target="https://www.sorbonne-universite.fr/actualites/le-conseil-dadministration-de-sorbonne-universite-vote-lunanimite-le-7-juillet-2026-sa" TargetMode="External" Id="rId960"/><Relationship Type="http://schemas.openxmlformats.org/officeDocument/2006/relationships/hyperlink" Target="https://sciences.sorbonne-universite.fr/formation-sciences/offre-de-formation/masters/master-neurosciences/" TargetMode="External" Id="rId961"/><Relationship Type="http://schemas.openxmlformats.org/officeDocument/2006/relationships/hyperlink" Target="https://etudesenfrance.diplomatie.gouv.fr/catalogue-formations/formation/61123/site/13735" TargetMode="External" Id="rId962"/><Relationship Type="http://schemas.openxmlformats.org/officeDocument/2006/relationships/hyperlink" Target="https://www.sorbonne-universite.fr/actualites/le-conseil-dadministration-de-sorbonne-universite-vote-lunanimite-le-7-juillet-2026-sa" TargetMode="External" Id="rId963"/><Relationship Type="http://schemas.openxmlformats.org/officeDocument/2006/relationships/hyperlink" Target="https://sciences.sorbonne-universite.fr/formation-sciences/offre-de-formation/masters/master-neurosciences/" TargetMode="External" Id="rId964"/><Relationship Type="http://schemas.openxmlformats.org/officeDocument/2006/relationships/hyperlink" Target="https://etudesenfrance.diplomatie.gouv.fr/catalogue-formations/formation/61124/site/13735" TargetMode="External" Id="rId965"/><Relationship Type="http://schemas.openxmlformats.org/officeDocument/2006/relationships/hyperlink" Target="https://www.univ-grenoble-alpes.fr/actualites/a-la-une/actualites-universite/etudiants-internationaux-ce-que-change-le-nouveau-decret-sur-les-droits-d-inscription-a-l-uga-1775870.kjsp" TargetMode="External" Id="rId966"/><Relationship Type="http://schemas.openxmlformats.org/officeDocument/2006/relationships/hyperlink" Target="https://ense3.grenoble-inp.fr/en/study-at-ense3/masters-in-english" TargetMode="External" Id="rId967"/><Relationship Type="http://schemas.openxmlformats.org/officeDocument/2006/relationships/hyperlink" Target="https://etudesenfrance.diplomatie.gouv.fr/catalogue-formations/formation/60604/site/6840" TargetMode="External" Id="rId968"/><Relationship Type="http://schemas.openxmlformats.org/officeDocument/2006/relationships/hyperlink" Target="https://www.cyu.fr/master-informatique-et-ingenierie-des-systemes-complexes-electronique-des-systemes-intelligents" TargetMode="External" Id="rId969"/><Relationship Type="http://schemas.openxmlformats.org/officeDocument/2006/relationships/hyperlink" Target="https://etudesenfrance.diplomatie.gouv.fr/catalogue-formations/formation/29579/site/6965" TargetMode="External" Id="rId970"/><Relationship Type="http://schemas.openxmlformats.org/officeDocument/2006/relationships/hyperlink" Target="https://www.cyu.fr/master-informatique-et-ingenierie-des-systemes-complexes-intelligence-artificielle-et-robotique" TargetMode="External" Id="rId971"/><Relationship Type="http://schemas.openxmlformats.org/officeDocument/2006/relationships/hyperlink" Target="https://etudesenfrance.diplomatie.gouv.fr/catalogue-formations/formation/29582/site/6965" TargetMode="External" Id="rId972"/><Relationship Type="http://schemas.openxmlformats.org/officeDocument/2006/relationships/hyperlink" Target="https://www.cyu.fr/master-informatique-et-ingenierie-des-systemes-complexes-signal-information-et-telecommunications" TargetMode="External" Id="rId973"/><Relationship Type="http://schemas.openxmlformats.org/officeDocument/2006/relationships/hyperlink" Target="https://etudesenfrance.diplomatie.gouv.fr/catalogue-formations/formation/29583/site/6965" TargetMode="External" Id="rId974"/><Relationship Type="http://schemas.openxmlformats.org/officeDocument/2006/relationships/hyperlink" Target="https://www.sorbonne-universite.fr/actualites/le-conseil-dadministration-de-sorbonne-universite-vote-lunanimite-le-7-juillet-2026-sa" TargetMode="External" Id="rId975"/><Relationship Type="http://schemas.openxmlformats.org/officeDocument/2006/relationships/hyperlink" Target="https://masters-sdi.sorbonne-universite.fr/automatique-robotique" TargetMode="External" Id="rId976"/><Relationship Type="http://schemas.openxmlformats.org/officeDocument/2006/relationships/hyperlink" Target="https://etudesenfrance.diplomatie.gouv.fr/catalogue-formations/formation/44356/site/13735" TargetMode="External" Id="rId977"/><Relationship Type="http://schemas.openxmlformats.org/officeDocument/2006/relationships/hyperlink" Target="https://www.sorbonne-universite.fr/actualites/le-conseil-dadministration-de-sorbonne-universite-vote-lunanimite-le-7-juillet-2026-sa" TargetMode="External" Id="rId978"/><Relationship Type="http://schemas.openxmlformats.org/officeDocument/2006/relationships/hyperlink" Target="https://sciences.sorbonne-universite.fr/formation-sciences/offre-de-formation/masters/master-neurosciences" TargetMode="External" Id="rId979"/><Relationship Type="http://schemas.openxmlformats.org/officeDocument/2006/relationships/hyperlink" Target="https://etudesenfrance.diplomatie.gouv.fr/catalogue-formations/formation/56568/site/13735" TargetMode="External" Id="rId980"/><Relationship Type="http://schemas.openxmlformats.org/officeDocument/2006/relationships/hyperlink" Target="https://www.sorbonne-universite.fr/actualites/le-conseil-dadministration-de-sorbonne-universite-vote-lunanimite-le-7-juillet-2026-sa" TargetMode="External" Id="rId981"/><Relationship Type="http://schemas.openxmlformats.org/officeDocument/2006/relationships/hyperlink" Target="https://sciences.sorbonne-universite.fr/formation-sciences/offre-de-formation/masters/master-neurosciences" TargetMode="External" Id="rId982"/><Relationship Type="http://schemas.openxmlformats.org/officeDocument/2006/relationships/hyperlink" Target="https://etudesenfrance.diplomatie.gouv.fr/catalogue-formations/formation/56566/site/13735" TargetMode="External" Id="rId983"/><Relationship Type="http://schemas.openxmlformats.org/officeDocument/2006/relationships/hyperlink" Target="https://www.sorbonne-universite.fr/actualites/le-conseil-dadministration-de-sorbonne-universite-vote-lunanimite-le-7-juillet-2026-sa" TargetMode="External" Id="rId984"/><Relationship Type="http://schemas.openxmlformats.org/officeDocument/2006/relationships/hyperlink" Target="https://sciences.sorbonne-universite.fr/formation-sciences/offre-de-formation/masters/master-neurosciences" TargetMode="External" Id="rId985"/><Relationship Type="http://schemas.openxmlformats.org/officeDocument/2006/relationships/hyperlink" Target="https://etudesenfrance.diplomatie.gouv.fr/catalogue-formations/formation/56570/site/13735" TargetMode="External" Id="rId986"/><Relationship Type="http://schemas.openxmlformats.org/officeDocument/2006/relationships/hyperlink" Target="https://www.sorbonne-universite.fr/actualites/le-conseil-dadministration-de-sorbonne-universite-vote-lunanimite-le-7-juillet-2026-sa" TargetMode="External" Id="rId987"/><Relationship Type="http://schemas.openxmlformats.org/officeDocument/2006/relationships/hyperlink" Target="https://sciences.sorbonne-universite.fr/formation-sciences/offre-de-formation/masters/master-neurosciences" TargetMode="External" Id="rId988"/><Relationship Type="http://schemas.openxmlformats.org/officeDocument/2006/relationships/hyperlink" Target="https://etudesenfrance.diplomatie.gouv.fr/catalogue-formations/formation/56569/site/13735" TargetMode="External" Id="rId989"/><Relationship Type="http://schemas.openxmlformats.org/officeDocument/2006/relationships/hyperlink" Target="http://www.enssat.fr/" TargetMode="External" Id="rId990"/><Relationship Type="http://schemas.openxmlformats.org/officeDocument/2006/relationships/hyperlink" Target="https://etudesenfrance.diplomatie.gouv.fr/catalogue-formations/formation/14877/site/6531" TargetMode="External" Id="rId991"/><Relationship Type="http://schemas.openxmlformats.org/officeDocument/2006/relationships/hyperlink" Target="https://www.unistra.fr/fr/node/8168" TargetMode="External" Id="rId992"/><Relationship Type="http://schemas.openxmlformats.org/officeDocument/2006/relationships/hyperlink" Target="https://www.master-iriv.fr/" TargetMode="External" Id="rId993"/><Relationship Type="http://schemas.openxmlformats.org/officeDocument/2006/relationships/hyperlink" Target="https://etudesenfrance.diplomatie.gouv.fr/catalogue-formations/formation/59627/site/6794" TargetMode="External" Id="rId994"/><Relationship Type="http://schemas.openxmlformats.org/officeDocument/2006/relationships/hyperlink" Target="https://observalgerie.com/2026/06/13/misc/frais-dinscription-en-france-lille-maintient-un-avantage-pour-les-etudiants-etrangers/" TargetMode="External" Id="rId995"/><Relationship Type="http://schemas.openxmlformats.org/officeDocument/2006/relationships/hyperlink" Target="https://formation.univ-lille.fr/fr/offre-de-formation/master-lmd-XB/master-automatique-et-systemes-electriques-MG001978/vehicules-intelligents-electriques-m2-MX002025.html" TargetMode="External" Id="rId996"/><Relationship Type="http://schemas.openxmlformats.org/officeDocument/2006/relationships/hyperlink" Target="https://etudesenfrance.diplomatie.gouv.fr/catalogue-formations/formation/35477/site/6597" TargetMode="External" Id="rId997"/><Relationship Type="http://schemas.openxmlformats.org/officeDocument/2006/relationships/hyperlink" Target="https://www.univ-lyon1.fr/formation/inscription-et-scolarite/etudiantes-et-etudiants-internationaux-droits-dinscription-differencies-et-exonerations" TargetMode="External" Id="rId998"/><Relationship Type="http://schemas.openxmlformats.org/officeDocument/2006/relationships/hyperlink" Target="http://fst-meca.univ-lyon1.fr/" TargetMode="External" Id="rId999"/><Relationship Type="http://schemas.openxmlformats.org/officeDocument/2006/relationships/hyperlink" Target="https://etudesenfrance.diplomatie.gouv.fr/catalogue-formations/formation/50174/site/6659" TargetMode="External" Id="rId1000"/><Relationship Type="http://schemas.openxmlformats.org/officeDocument/2006/relationships/hyperlink" Target="https://sante.u-pec.fr/" TargetMode="External" Id="rId1001"/><Relationship Type="http://schemas.openxmlformats.org/officeDocument/2006/relationships/hyperlink" Target="https://etudesenfrance.diplomatie.gouv.fr/catalogue-formations/formation/33233/site/6705" TargetMode="External" Id="rId1002"/><Relationship Type="http://schemas.openxmlformats.org/officeDocument/2006/relationships/hyperlink" Target="https://fst.univ-lorraine.fr/formations/" TargetMode="External" Id="rId1003"/><Relationship Type="http://schemas.openxmlformats.org/officeDocument/2006/relationships/hyperlink" Target="https://etudesenfrance.diplomatie.gouv.fr/catalogue-formations/formation/40701/site/6958" TargetMode="External" Id="rId1004"/><Relationship Type="http://schemas.openxmlformats.org/officeDocument/2006/relationships/hyperlink" Target="https://fst.univ-lorraine.fr/formations/" TargetMode="External" Id="rId1005"/><Relationship Type="http://schemas.openxmlformats.org/officeDocument/2006/relationships/hyperlink" Target="https://etudesenfrance.diplomatie.gouv.fr/catalogue-formations/formation/40703/site/6958" TargetMode="External" Id="rId1006"/><Relationship Type="http://schemas.openxmlformats.org/officeDocument/2006/relationships/hyperlink" Target="https://fst.univ-lorraine.fr/formations/" TargetMode="External" Id="rId1007"/><Relationship Type="http://schemas.openxmlformats.org/officeDocument/2006/relationships/hyperlink" Target="https://etudesenfrance.diplomatie.gouv.fr/catalogue-formations/formation/40702/site/6958" TargetMode="External" Id="rId1008"/><Relationship Type="http://schemas.openxmlformats.org/officeDocument/2006/relationships/hyperlink" Target="http://www.fsa.univ-artois.fr/les-fiches-formations" TargetMode="External" Id="rId1009"/><Relationship Type="http://schemas.openxmlformats.org/officeDocument/2006/relationships/hyperlink" Target="https://etudesenfrance.diplomatie.gouv.fr/catalogue-formations/formation/31716/site/7352" TargetMode="External" Id="rId1010"/><Relationship Type="http://schemas.openxmlformats.org/officeDocument/2006/relationships/hyperlink" Target="http://www.fsa.univ-artois.fr/les-fiches-formations" TargetMode="External" Id="rId1011"/><Relationship Type="http://schemas.openxmlformats.org/officeDocument/2006/relationships/hyperlink" Target="https://etudesenfrance.diplomatie.gouv.fr/catalogue-formations/formation/31718/site/7352" TargetMode="External" Id="rId1012"/><Relationship Type="http://schemas.openxmlformats.org/officeDocument/2006/relationships/hyperlink" Target="http://see.univ-perp.fr/" TargetMode="External" Id="rId1013"/><Relationship Type="http://schemas.openxmlformats.org/officeDocument/2006/relationships/hyperlink" Target="https://etudesenfrance.diplomatie.gouv.fr/catalogue-formations/formation/31578/site/13820" TargetMode="External" Id="rId1014"/><Relationship Type="http://schemas.openxmlformats.org/officeDocument/2006/relationships/hyperlink" Target="https://fst.univ-lorraine.fr/formations/" TargetMode="External" Id="rId1015"/><Relationship Type="http://schemas.openxmlformats.org/officeDocument/2006/relationships/hyperlink" Target="https://etudesenfrance.diplomatie.gouv.fr/catalogue-formations/formation/40636/site/6958" TargetMode="External" Id="rId1016"/><Relationship Type="http://schemas.openxmlformats.org/officeDocument/2006/relationships/hyperlink" Target="https://fst.univ-lorraine.fr/formations/" TargetMode="External" Id="rId1017"/><Relationship Type="http://schemas.openxmlformats.org/officeDocument/2006/relationships/hyperlink" Target="https://etudesenfrance.diplomatie.gouv.fr/catalogue-formations/formation/40695/site/6958" TargetMode="External" Id="rId1018"/><Relationship Type="http://schemas.openxmlformats.org/officeDocument/2006/relationships/hyperlink" Target="https://www.unistra.fr/fr/node/8168" TargetMode="External" Id="rId1019"/><Relationship Type="http://schemas.openxmlformats.org/officeDocument/2006/relationships/hyperlink" Target="https://www.master-iriv.fr/" TargetMode="External" Id="rId1020"/><Relationship Type="http://schemas.openxmlformats.org/officeDocument/2006/relationships/hyperlink" Target="https://etudesenfrance.diplomatie.gouv.fr/catalogue-formations/formation/42321/site/6794" TargetMode="External" Id="rId1021"/><Relationship Type="http://schemas.openxmlformats.org/officeDocument/2006/relationships/hyperlink" Target="https://www.unistra.fr/fr/node/8168" TargetMode="External" Id="rId1022"/><Relationship Type="http://schemas.openxmlformats.org/officeDocument/2006/relationships/hyperlink" Target="https://www.master-iriv.fr/" TargetMode="External" Id="rId1023"/><Relationship Type="http://schemas.openxmlformats.org/officeDocument/2006/relationships/hyperlink" Target="https://etudesenfrance.diplomatie.gouv.fr/catalogue-formations/formation/42323/site/6794" TargetMode="External" Id="rId1024"/><Relationship Type="http://schemas.openxmlformats.org/officeDocument/2006/relationships/hyperlink" Target="https://www.unistra.fr/fr/node/8168" TargetMode="External" Id="rId1025"/><Relationship Type="http://schemas.openxmlformats.org/officeDocument/2006/relationships/hyperlink" Target="https://www.master-iriv.fr/" TargetMode="External" Id="rId1026"/><Relationship Type="http://schemas.openxmlformats.org/officeDocument/2006/relationships/hyperlink" Target="https://etudesenfrance.diplomatie.gouv.fr/catalogue-formations/formation/42324/site/6794" TargetMode="External" Id="rId1027"/><Relationship Type="http://schemas.openxmlformats.org/officeDocument/2006/relationships/hyperlink" Target="http://scifa.univ-lorraine.fr/" TargetMode="External" Id="rId1028"/><Relationship Type="http://schemas.openxmlformats.org/officeDocument/2006/relationships/hyperlink" Target="https://etudesenfrance.diplomatie.gouv.fr/catalogue-formations/formation/40499/site/10878" TargetMode="External" Id="rId1029"/><Relationship Type="http://schemas.openxmlformats.org/officeDocument/2006/relationships/hyperlink" Target="https://observalgerie.com/2026/06/13/misc/frais-dinscription-en-france-lille-maintient-un-avantage-pour-les-etudiants-etrangers/" TargetMode="External" Id="rId1030"/><Relationship Type="http://schemas.openxmlformats.org/officeDocument/2006/relationships/hyperlink" Target="https://formation.univ-lille.fr/fr/offre-de-formation/master-lmd-XB/master-physique-fondamentale-et-applications-MG001988/instrumentation-mesures-qualite-m2-MX002074.html" TargetMode="External" Id="rId1031"/><Relationship Type="http://schemas.openxmlformats.org/officeDocument/2006/relationships/hyperlink" Target="https://etudesenfrance.diplomatie.gouv.fr/catalogue-formations/formation/46700/site/6537" TargetMode="External" Id="rId1032"/><Relationship Type="http://schemas.openxmlformats.org/officeDocument/2006/relationships/hyperlink" Target="http://www.univ-brest.fr/ufr-sciences" TargetMode="External" Id="rId1033"/><Relationship Type="http://schemas.openxmlformats.org/officeDocument/2006/relationships/hyperlink" Target="https://etudesenfrance.diplomatie.gouv.fr/catalogue-formations/formation/38880/site/6955" TargetMode="External" Id="rId1034"/><Relationship Type="http://schemas.openxmlformats.org/officeDocument/2006/relationships/hyperlink" Target="http://www.univ-brest.fr/ufr-sciences" TargetMode="External" Id="rId1035"/><Relationship Type="http://schemas.openxmlformats.org/officeDocument/2006/relationships/hyperlink" Target="https://etudesenfrance.diplomatie.gouv.fr/catalogue-formations/formation/38879/site/6955" TargetMode="External" Id="rId1036"/><Relationship Type="http://schemas.openxmlformats.org/officeDocument/2006/relationships/hyperlink" Target="https://www.insa-rennes.fr/master-physique-fondamentale-applications.html" TargetMode="External" Id="rId1037"/><Relationship Type="http://schemas.openxmlformats.org/officeDocument/2006/relationships/hyperlink" Target="https://etudesenfrance.diplomatie.gouv.fr/catalogue-formations/formation/38879/site/6797" TargetMode="External" Id="rId1038"/><Relationship Type="http://schemas.openxmlformats.org/officeDocument/2006/relationships/hyperlink" Target="http://www.univ-brest.fr/ufr-sciences" TargetMode="External" Id="rId1039"/><Relationship Type="http://schemas.openxmlformats.org/officeDocument/2006/relationships/hyperlink" Target="https://etudesenfrance.diplomatie.gouv.fr/catalogue-formations/formation/38102/site/6955" TargetMode="External" Id="rId1040"/><Relationship Type="http://schemas.openxmlformats.org/officeDocument/2006/relationships/hyperlink" Target="https://fst.univ-lorraine.fr/formations/" TargetMode="External" Id="rId1041"/><Relationship Type="http://schemas.openxmlformats.org/officeDocument/2006/relationships/hyperlink" Target="https://etudesenfrance.diplomatie.gouv.fr/catalogue-formations/formation/40793/site/6958" TargetMode="External" Id="rId1042"/><Relationship Type="http://schemas.openxmlformats.org/officeDocument/2006/relationships/hyperlink" Target="https://www.insa-rennes.fr/sciences-ingenieur-applications.html" TargetMode="External" Id="rId1043"/><Relationship Type="http://schemas.openxmlformats.org/officeDocument/2006/relationships/hyperlink" Target="https://etudesenfrance.diplomatie.gouv.fr/catalogue-formations/formation/50619/site/6797" TargetMode="External" Id="rId1044"/><Relationship Type="http://schemas.openxmlformats.org/officeDocument/2006/relationships/hyperlink" Target="http://sciences-techniques.u-bourgogne.fr/" TargetMode="External" Id="rId1045"/><Relationship Type="http://schemas.openxmlformats.org/officeDocument/2006/relationships/hyperlink" Target="https://etudesenfrance.diplomatie.gouv.fr/catalogue-formations/formation/36282/site/6538" TargetMode="External" Id="rId1046"/><Relationship Type="http://schemas.openxmlformats.org/officeDocument/2006/relationships/hyperlink" Target="https://sciences-techniques.univ-nantes.fr/" TargetMode="External" Id="rId1047"/><Relationship Type="http://schemas.openxmlformats.org/officeDocument/2006/relationships/hyperlink" Target="https://etudesenfrance.diplomatie.gouv.fr/catalogue-formations/formation/42041/site/6543" TargetMode="External" Id="rId1048"/><Relationship Type="http://schemas.openxmlformats.org/officeDocument/2006/relationships/hyperlink" Target="https://observalgerie.com/2026/06/13/misc/frais-dinscription-en-france-lille-maintient-un-avantage-pour-les-etudiants-etrangers/" TargetMode="External" Id="rId1049"/><Relationship Type="http://schemas.openxmlformats.org/officeDocument/2006/relationships/hyperlink" Target="https://formation.univ-lille.fr/fr/offre-de-formation/master-lmd-XB/master-automatique-et-systemes-electriques-MG001978/gestion-des-reseaux-d-energie-electrique-m2-MX002027.html" TargetMode="External" Id="rId1050"/><Relationship Type="http://schemas.openxmlformats.org/officeDocument/2006/relationships/hyperlink" Target="https://etudesenfrance.diplomatie.gouv.fr/catalogue-formations/formation/14962/site/6597" TargetMode="External" Id="rId1051"/><Relationship Type="http://schemas.openxmlformats.org/officeDocument/2006/relationships/hyperlink" Target="https://observalgerie.com/2026/06/13/misc/frais-dinscription-en-france-lille-maintient-un-avantage-pour-les-etudiants-etrangers/" TargetMode="External" Id="rId1052"/><Relationship Type="http://schemas.openxmlformats.org/officeDocument/2006/relationships/hyperlink" Target="https://formation.univ-lille.fr/fr/offre-de-formation/master-lmd-XB/master-automatique-et-systemes-electriques-MG001978/systemes-machines-autonomes-et-reseaux-de-terrains-m2-MX002026.html" TargetMode="External" Id="rId1053"/><Relationship Type="http://schemas.openxmlformats.org/officeDocument/2006/relationships/hyperlink" Target="https://etudesenfrance.diplomatie.gouv.fr/catalogue-formations/formation/57367/site/6597" TargetMode="External" Id="rId1054"/><Relationship Type="http://schemas.openxmlformats.org/officeDocument/2006/relationships/hyperlink" Target="https://www.univ-lyon1.fr/formation/inscription-et-scolarite/etudiantes-et-etudiants-internationaux-droits-dinscription-differencies-et-exonerations" TargetMode="External" Id="rId1055"/><Relationship Type="http://schemas.openxmlformats.org/officeDocument/2006/relationships/hyperlink" Target="http://fst-meca.univ-lyon1.fr/" TargetMode="External" Id="rId1056"/><Relationship Type="http://schemas.openxmlformats.org/officeDocument/2006/relationships/hyperlink" Target="https://etudesenfrance.diplomatie.gouv.fr/catalogue-formations/formation/50417/site/6659" TargetMode="External" Id="rId1057"/><Relationship Type="http://schemas.openxmlformats.org/officeDocument/2006/relationships/hyperlink" Target="https://www.univ-angers.fr/fr/acces-directs/facultes-et-instituts/faculte-de-sante.html" TargetMode="External" Id="rId1058"/><Relationship Type="http://schemas.openxmlformats.org/officeDocument/2006/relationships/hyperlink" Target="https://etudesenfrance.diplomatie.gouv.fr/catalogue-formations/formation/52742/site/13882" TargetMode="External" Id="rId1059"/><Relationship Type="http://schemas.openxmlformats.org/officeDocument/2006/relationships/hyperlink" Target="https://sciences.u-picardie.fr/accueil-ufr-sciences" TargetMode="External" Id="rId1060"/><Relationship Type="http://schemas.openxmlformats.org/officeDocument/2006/relationships/hyperlink" Target="https://etudesenfrance.diplomatie.gouv.fr/catalogue-formations/formation/61181/site/6548" TargetMode="External" Id="rId1061"/><Relationship Type="http://schemas.openxmlformats.org/officeDocument/2006/relationships/hyperlink" Target="https://sciences-tech.u-pec.fr/formation/master-genie-industriel-parcours-instrumentation-de-la-pollution-atmospherique-ipa" TargetMode="External" Id="rId1062"/><Relationship Type="http://schemas.openxmlformats.org/officeDocument/2006/relationships/hyperlink" Target="https://etudesenfrance.diplomatie.gouv.fr/catalogue-formations/formation/48527/site/10975" TargetMode="External" Id="rId1063"/><Relationship Type="http://schemas.openxmlformats.org/officeDocument/2006/relationships/hyperlink" Target="http://sciences-techniques.u-bourgogne.fr/" TargetMode="External" Id="rId1064"/><Relationship Type="http://schemas.openxmlformats.org/officeDocument/2006/relationships/hyperlink" Target="https://etudesenfrance.diplomatie.gouv.fr/catalogue-formations/formation/36285/site/6538" TargetMode="External" Id="rId1065"/><Relationship Type="http://schemas.openxmlformats.org/officeDocument/2006/relationships/hyperlink" Target="http://sciences-techniques.u-bourgogne.fr/" TargetMode="External" Id="rId1066"/><Relationship Type="http://schemas.openxmlformats.org/officeDocument/2006/relationships/hyperlink" Target="https://etudesenfrance.diplomatie.gouv.fr/catalogue-formations/formation/36276/site/6538" TargetMode="External" Id="rId1067"/><Relationship Type="http://schemas.openxmlformats.org/officeDocument/2006/relationships/hyperlink" Target="https://www.univ-amu.fr/fr/actualites/aix-marseille-universite-mobilise-pleinement-capacite-dexoneration-continuer-accueillir" TargetMode="External" Id="rId1068"/><Relationship Type="http://schemas.openxmlformats.org/officeDocument/2006/relationships/hyperlink" Target="https://formations.univ-amu.fr/fr/master/5SEA/PRSEA5C4" TargetMode="External" Id="rId1069"/><Relationship Type="http://schemas.openxmlformats.org/officeDocument/2006/relationships/hyperlink" Target="https://etudesenfrance.diplomatie.gouv.fr/catalogue-formations/formation/39716/site/6655" TargetMode="External" Id="rId1070"/><Relationship Type="http://schemas.openxmlformats.org/officeDocument/2006/relationships/hyperlink" Target="https://www.univ-amu.fr/fr/actualites/aix-marseille-universite-mobilise-pleinement-capacite-dexoneration-continuer-accueillir" TargetMode="External" Id="rId1071"/><Relationship Type="http://schemas.openxmlformats.org/officeDocument/2006/relationships/hyperlink" Target="https://formations.univ-amu.fr/fr/master/5SEA/PRSEA5C2" TargetMode="External" Id="rId1072"/><Relationship Type="http://schemas.openxmlformats.org/officeDocument/2006/relationships/hyperlink" Target="https://etudesenfrance.diplomatie.gouv.fr/catalogue-formations/formation/39713/site/6655" TargetMode="External" Id="rId1073"/><Relationship Type="http://schemas.openxmlformats.org/officeDocument/2006/relationships/hyperlink" Target="https://www.univ-amu.fr/fr/actualites/aix-marseille-universite-mobilise-pleinement-capacite-dexoneration-continuer-accueillir" TargetMode="External" Id="rId1074"/><Relationship Type="http://schemas.openxmlformats.org/officeDocument/2006/relationships/hyperlink" Target="https://formations.univ-amu.fr/fr/master/5SMI/PRSMI5C1" TargetMode="External" Id="rId1075"/><Relationship Type="http://schemas.openxmlformats.org/officeDocument/2006/relationships/hyperlink" Target="https://etudesenfrance.diplomatie.gouv.fr/catalogue-formations/formation/39662/site/6655" TargetMode="External" Id="rId1076"/><Relationship Type="http://schemas.openxmlformats.org/officeDocument/2006/relationships/hyperlink" Target="https://www.univ-amu.fr/fr/actualites/aix-marseille-universite-mobilise-pleinement-capacite-dexoneration-continuer-accueillir" TargetMode="External" Id="rId1077"/><Relationship Type="http://schemas.openxmlformats.org/officeDocument/2006/relationships/hyperlink" Target="https://formations.univ-amu.fr/fr/master/5SMI/PRSMI5C3" TargetMode="External" Id="rId1078"/><Relationship Type="http://schemas.openxmlformats.org/officeDocument/2006/relationships/hyperlink" Target="https://etudesenfrance.diplomatie.gouv.fr/catalogue-formations/formation/39665/site/6655" TargetMode="External" Id="rId1079"/><Relationship Type="http://schemas.openxmlformats.org/officeDocument/2006/relationships/hyperlink" Target="https://www.univ-amu.fr/fr/actualites/aix-marseille-universite-mobilise-pleinement-capacite-dexoneration-continuer-accueillir" TargetMode="External" Id="rId1080"/><Relationship Type="http://schemas.openxmlformats.org/officeDocument/2006/relationships/hyperlink" Target="https://formations.univ-amu.fr/fr/master/5SMI/PRSMI5C4" TargetMode="External" Id="rId1081"/><Relationship Type="http://schemas.openxmlformats.org/officeDocument/2006/relationships/hyperlink" Target="https://etudesenfrance.diplomatie.gouv.fr/catalogue-formations/formation/39666/site/6655" TargetMode="External" Id="rId1082"/><Relationship Type="http://schemas.openxmlformats.org/officeDocument/2006/relationships/hyperlink" Target="https://www.univ-amu.fr/fr/actualites/aix-marseille-universite-mobilise-pleinement-capacite-dexoneration-continuer-accueillir" TargetMode="External" Id="rId1083"/><Relationship Type="http://schemas.openxmlformats.org/officeDocument/2006/relationships/hyperlink" Target="https://formations.univ-amu.fr/fr/master/5SRT/PRSRT5C1" TargetMode="External" Id="rId1084"/><Relationship Type="http://schemas.openxmlformats.org/officeDocument/2006/relationships/hyperlink" Target="https://etudesenfrance.diplomatie.gouv.fr/catalogue-formations/formation/39598/site/7449" TargetMode="External" Id="rId1085"/><Relationship Type="http://schemas.openxmlformats.org/officeDocument/2006/relationships/hyperlink" Target="https://u-paris.fr/droits-dinscription-tarifs-exonerations/" TargetMode="External" Id="rId1086"/><Relationship Type="http://schemas.openxmlformats.org/officeDocument/2006/relationships/hyperlink" Target="https://sdv.u-paris.fr/" TargetMode="External" Id="rId1087"/><Relationship Type="http://schemas.openxmlformats.org/officeDocument/2006/relationships/hyperlink" Target="https://etudesenfrance.diplomatie.gouv.fr/catalogue-formations/formation/44898/site/13824" TargetMode="External" Id="rId1088"/><Relationship Type="http://schemas.openxmlformats.org/officeDocument/2006/relationships/hyperlink" Target="http://www.ensisa.uha.fr/" TargetMode="External" Id="rId1089"/><Relationship Type="http://schemas.openxmlformats.org/officeDocument/2006/relationships/hyperlink" Target="https://etudesenfrance.diplomatie.gouv.fr/catalogue-formations/formation/42149/site/10689" TargetMode="External" Id="rId1090"/><Relationship Type="http://schemas.openxmlformats.org/officeDocument/2006/relationships/hyperlink" Target="https://igm.univ-gustave-eiffel.fr/" TargetMode="External" Id="rId1091"/><Relationship Type="http://schemas.openxmlformats.org/officeDocument/2006/relationships/hyperlink" Target="https://etudesenfrance.diplomatie.gouv.fr/catalogue-formations/formation/33980/site/10729" TargetMode="External" Id="rId1092"/><Relationship Type="http://schemas.openxmlformats.org/officeDocument/2006/relationships/hyperlink" Target="https://igm.univ-gustave-eiffel.fr/" TargetMode="External" Id="rId1093"/><Relationship Type="http://schemas.openxmlformats.org/officeDocument/2006/relationships/hyperlink" Target="https://etudesenfrance.diplomatie.gouv.fr/catalogue-formations/formation/33981/site/10729" TargetMode="External" Id="rId1094"/><Relationship Type="http://schemas.openxmlformats.org/officeDocument/2006/relationships/hyperlink" Target="https://igm.univ-gustave-eiffel.fr/" TargetMode="External" Id="rId1095"/><Relationship Type="http://schemas.openxmlformats.org/officeDocument/2006/relationships/hyperlink" Target="https://etudesenfrance.diplomatie.gouv.fr/catalogue-formations/formation/33982/site/10729" TargetMode="External" Id="rId1096"/><Relationship Type="http://schemas.openxmlformats.org/officeDocument/2006/relationships/hyperlink" Target="https://www.univ-grenoble-alpes.fr/actualites/a-la-une/actualites-universite/etudiants-internationaux-ce-que-change-le-nouveau-decret-sur-les-droits-d-inscription-a-l-uga-1775870.kjsp" TargetMode="External" Id="rId1097"/><Relationship Type="http://schemas.openxmlformats.org/officeDocument/2006/relationships/hyperlink" Target="https://pagora.grenoble-inp.fr/en/education/master-sustainable-printed-and-integrated-electronics" TargetMode="External" Id="rId1098"/><Relationship Type="http://schemas.openxmlformats.org/officeDocument/2006/relationships/hyperlink" Target="https://etudesenfrance.diplomatie.gouv.fr/catalogue-formations/formation/53591/site/6816" TargetMode="External" Id="rId1099"/><Relationship Type="http://schemas.openxmlformats.org/officeDocument/2006/relationships/hyperlink" Target="https://igm.univ-gustave-eiffel.fr/" TargetMode="External" Id="rId1100"/><Relationship Type="http://schemas.openxmlformats.org/officeDocument/2006/relationships/hyperlink" Target="https://etudesenfrance.diplomatie.gouv.fr/catalogue-formations/formation/33987/site/10729" TargetMode="External" Id="rId1101"/><Relationship Type="http://schemas.openxmlformats.org/officeDocument/2006/relationships/hyperlink" Target="https://etudesenfrance.diplomatie.gouv.fr/catalogue-formations/formation/45704/site/12842" TargetMode="External" Id="rId1102"/><Relationship Type="http://schemas.openxmlformats.org/officeDocument/2006/relationships/hyperlink" Target="https://formations.u-bordeaux.fr/" TargetMode="External" Id="rId1103"/><Relationship Type="http://schemas.openxmlformats.org/officeDocument/2006/relationships/hyperlink" Target="https://etudesenfrance.diplomatie.gouv.fr/catalogue-formations/formation/37411/site/13664" TargetMode="External" Id="rId1104"/><Relationship Type="http://schemas.openxmlformats.org/officeDocument/2006/relationships/hyperlink" Target="https://www.sorbonne-universite.fr/actualites/le-conseil-dadministration-de-sorbonne-universite-vote-lunanimite-le-7-juillet-2026-sa" TargetMode="External" Id="rId1105"/><Relationship Type="http://schemas.openxmlformats.org/officeDocument/2006/relationships/hyperlink" Target="https://sciences.sorbonne-universite.fr/masters/master-physique-fondamentale-et-applications" TargetMode="External" Id="rId1106"/><Relationship Type="http://schemas.openxmlformats.org/officeDocument/2006/relationships/hyperlink" Target="https://etudesenfrance.diplomatie.gouv.fr/catalogue-formations/formation/44286/site/13735" TargetMode="External" Id="rId1107"/><Relationship Type="http://schemas.openxmlformats.org/officeDocument/2006/relationships/hyperlink" Target="https://www.univ-grenoble-alpes.fr/actualites/a-la-une/actualites-universite/etudiants-internationaux-ce-que-change-le-nouveau-decret-sur-les-droits-d-inscription-a-l-uga-1775870.kjsp" TargetMode="External" Id="rId1108"/><Relationship Type="http://schemas.openxmlformats.org/officeDocument/2006/relationships/hyperlink" Target="https://phelma.grenoble-inp.fr/fr/formation/master-physique-parcours-photonique-et-semi-conducteurs-m2" TargetMode="External" Id="rId1109"/><Relationship Type="http://schemas.openxmlformats.org/officeDocument/2006/relationships/hyperlink" Target="https://etudesenfrance.diplomatie.gouv.fr/catalogue-formations/formation/38539/site/6858" TargetMode="External" Id="rId1110"/><Relationship Type="http://schemas.openxmlformats.org/officeDocument/2006/relationships/hyperlink" Target="http://www.enseeiht.fr/" TargetMode="External" Id="rId1111"/><Relationship Type="http://schemas.openxmlformats.org/officeDocument/2006/relationships/hyperlink" Target="https://etudesenfrance.diplomatie.gouv.fr/catalogue-formations/formation/39212/site/6517" TargetMode="External" Id="rId1112"/><Relationship Type="http://schemas.openxmlformats.org/officeDocument/2006/relationships/hyperlink" Target="https://www.univ-amu.fr/fr/actualites/aix-marseille-universite-mobilise-pleinement-capacite-dexoneration-continuer-accueillir" TargetMode="External" Id="rId1113"/><Relationship Type="http://schemas.openxmlformats.org/officeDocument/2006/relationships/hyperlink" Target="https://formations.univ-amu.fr/fr/master/5SEA/PRSEA5C3" TargetMode="External" Id="rId1114"/><Relationship Type="http://schemas.openxmlformats.org/officeDocument/2006/relationships/hyperlink" Target="https://etudesenfrance.diplomatie.gouv.fr/catalogue-formations/formation/54370/site/6655" TargetMode="External" Id="rId1115"/><Relationship Type="http://schemas.openxmlformats.org/officeDocument/2006/relationships/hyperlink" Target="https://www.sorbonne-universite.fr/actualites/le-conseil-dadministration-de-sorbonne-universite-vote-lunanimite-le-7-juillet-2026-sa" TargetMode="External" Id="rId1116"/><Relationship Type="http://schemas.openxmlformats.org/officeDocument/2006/relationships/hyperlink" Target="https://masters-sdi.sorbonne-universite.fr/automatique-robotique" TargetMode="External" Id="rId1117"/><Relationship Type="http://schemas.openxmlformats.org/officeDocument/2006/relationships/hyperlink" Target="https://etudesenfrance.diplomatie.gouv.fr/catalogue-formations/formation/58427/site/13735" TargetMode="External" Id="rId1118"/><Relationship Type="http://schemas.openxmlformats.org/officeDocument/2006/relationships/hyperlink" Target="http://www.ens.fr/" TargetMode="External" Id="rId1119"/><Relationship Type="http://schemas.openxmlformats.org/officeDocument/2006/relationships/hyperlink" Target="https://etudesenfrance.diplomatie.gouv.fr/catalogue-formations/formation/16675/site/10666" TargetMode="External" Id="rId1120"/><Relationship Type="http://schemas.openxmlformats.org/officeDocument/2006/relationships/hyperlink" Target="http://www.ens-rennes.fr/" TargetMode="External" Id="rId1121"/><Relationship Type="http://schemas.openxmlformats.org/officeDocument/2006/relationships/hyperlink" Target="https://etudesenfrance.diplomatie.gouv.fr/catalogue-formations/formation/14875/site/6529" TargetMode="External" Id="rId1122"/><Relationship Type="http://schemas.openxmlformats.org/officeDocument/2006/relationships/hyperlink" Target="http://www.enib.fr/" TargetMode="External" Id="rId1123"/><Relationship Type="http://schemas.openxmlformats.org/officeDocument/2006/relationships/hyperlink" Target="https://etudesenfrance.diplomatie.gouv.fr/catalogue-formations/formation/14877/site/6864" TargetMode="External" Id="rId1124"/><Relationship Type="http://schemas.openxmlformats.org/officeDocument/2006/relationships/hyperlink" Target="http://www.imt-atlantique.fr/" TargetMode="External" Id="rId1125"/><Relationship Type="http://schemas.openxmlformats.org/officeDocument/2006/relationships/hyperlink" Target="https://etudesenfrance.diplomatie.gouv.fr/catalogue-formations/formation/14877/site/6501" TargetMode="External" Id="rId1126"/><Relationship Type="http://schemas.openxmlformats.org/officeDocument/2006/relationships/hyperlink" Target="http://www.espci.fr/" TargetMode="External" Id="rId1127"/><Relationship Type="http://schemas.openxmlformats.org/officeDocument/2006/relationships/hyperlink" Target="https://etudesenfrance.diplomatie.gouv.fr/catalogue-formations/formation/24566/site/6466" TargetMode="External" Id="rId1128"/><Relationship Type="http://schemas.openxmlformats.org/officeDocument/2006/relationships/hyperlink" Target="http://www.ensea.fr/" TargetMode="External" Id="rId1129"/><Relationship Type="http://schemas.openxmlformats.org/officeDocument/2006/relationships/hyperlink" Target="https://etudesenfrance.diplomatie.gouv.fr/catalogue-formations/formation/24604/site/6869" TargetMode="External" Id="rId1130"/><Relationship Type="http://schemas.openxmlformats.org/officeDocument/2006/relationships/hyperlink" Target="https://etudesenfrance.diplomatie.gouv.fr/catalogue-formations/formation/58645/site/6598" TargetMode="External" Id="rId1131"/><Relationship Type="http://schemas.openxmlformats.org/officeDocument/2006/relationships/hyperlink" Target="http://www.enib.fr/" TargetMode="External" Id="rId1132"/><Relationship Type="http://schemas.openxmlformats.org/officeDocument/2006/relationships/hyperlink" Target="https://etudesenfrance.diplomatie.gouv.fr/catalogue-formations/formation/23871/site/6864" TargetMode="External" Id="rId1133"/><Relationship Type="http://schemas.openxmlformats.org/officeDocument/2006/relationships/hyperlink" Target="http://www.ifma.fr/" TargetMode="External" Id="rId1134"/><Relationship Type="http://schemas.openxmlformats.org/officeDocument/2006/relationships/hyperlink" Target="https://etudesenfrance.diplomatie.gouv.fr/catalogue-formations/formation/24060/site/6847" TargetMode="External" Id="rId1135"/><Relationship Type="http://schemas.openxmlformats.org/officeDocument/2006/relationships/hyperlink" Target="http://www.insa-toulouse.fr/fr/formation.html" TargetMode="External" Id="rId1136"/><Relationship Type="http://schemas.openxmlformats.org/officeDocument/2006/relationships/hyperlink" Target="https://etudesenfrance.diplomatie.gouv.fr/catalogue-formations/formation/23846/site/6502" TargetMode="External" Id="rId1137"/><Relationship Type="http://schemas.openxmlformats.org/officeDocument/2006/relationships/hyperlink" Target="http://www.ensea.fr/" TargetMode="External" Id="rId1138"/><Relationship Type="http://schemas.openxmlformats.org/officeDocument/2006/relationships/hyperlink" Target="https://etudesenfrance.diplomatie.gouv.fr/catalogue-formations/formation/24115/site/6869" TargetMode="External" Id="rId1139"/><Relationship Type="http://schemas.openxmlformats.org/officeDocument/2006/relationships/hyperlink" Target="http://www.ismin.fr/" TargetMode="External" Id="rId1140"/><Relationship Type="http://schemas.openxmlformats.org/officeDocument/2006/relationships/hyperlink" Target="https://etudesenfrance.diplomatie.gouv.fr/catalogue-formations/formation/23898/site/6760" TargetMode="External" Id="rId1141"/><Relationship Type="http://schemas.openxmlformats.org/officeDocument/2006/relationships/hyperlink" Target="https://www.ip-paris.fr/en/education/masters/electrical-engineering-program/master-year-2-optical-networks-and-photonic-systems" TargetMode="External" Id="rId1142"/><Relationship Type="http://schemas.openxmlformats.org/officeDocument/2006/relationships/hyperlink" Target="https://etudesenfrance.diplomatie.gouv.fr/catalogue-formations/formation/49820/site/13908" TargetMode="External" Id="rId1143"/><Relationship Type="http://schemas.openxmlformats.org/officeDocument/2006/relationships/hyperlink" Target="https://www.ip-paris.fr/education/masters/mention-electronique-energie-electrique-et-automatique-e3a/master-2-systemes-radio" TargetMode="External" Id="rId1144"/><Relationship Type="http://schemas.openxmlformats.org/officeDocument/2006/relationships/hyperlink" Target="https://etudesenfrance.diplomatie.gouv.fr/catalogue-formations/formation/49819/site/13908" TargetMode="External" Id="rId1145"/><Relationship Type="http://schemas.openxmlformats.org/officeDocument/2006/relationships/hyperlink" Target="http://www.univ-reims.fr/eisine/" TargetMode="External" Id="rId1146"/><Relationship Type="http://schemas.openxmlformats.org/officeDocument/2006/relationships/hyperlink" Target="https://etudesenfrance.diplomatie.gouv.fr/catalogue-formations/formation/60366/site/13889" TargetMode="External" Id="rId1147"/><Relationship Type="http://schemas.openxmlformats.org/officeDocument/2006/relationships/hyperlink" Target="https://www.mines-stetienne.fr/en/academic/msc-mathematical-imaging-and-spatial-pattern-analysis-mispa/" TargetMode="External" Id="rId1148"/><Relationship Type="http://schemas.openxmlformats.org/officeDocument/2006/relationships/hyperlink" Target="https://etudesenfrance.diplomatie.gouv.fr/catalogue-formations/formation/45076/site/6734" TargetMode="External" Id="rId1149"/><Relationship Type="http://schemas.openxmlformats.org/officeDocument/2006/relationships/hyperlink" Target="https://etudesenfrance.diplomatie.gouv.fr/catalogue-formations/formation/45072/site/13863" TargetMode="External" Id="rId1150"/><Relationship Type="http://schemas.openxmlformats.org/officeDocument/2006/relationships/hyperlink" Target="http://www.mines-stetienne.fr/formation-mines-saint-etienne/" TargetMode="External" Id="rId1151"/><Relationship Type="http://schemas.openxmlformats.org/officeDocument/2006/relationships/hyperlink" Target="https://etudesenfrance.diplomatie.gouv.fr/catalogue-formations/formation/34909/site/6734" TargetMode="External" Id="rId1152"/><Relationship Type="http://schemas.openxmlformats.org/officeDocument/2006/relationships/hyperlink" Target="https://imt-nord-europe.fr/annuaire-formations/ingenieur-generaliste/" TargetMode="External" Id="rId1153"/><Relationship Type="http://schemas.openxmlformats.org/officeDocument/2006/relationships/hyperlink" Target="https://etudesenfrance.diplomatie.gouv.fr/catalogue-formations/formation/18906/site/6878" TargetMode="External" Id="rId1154"/><Relationship Type="http://schemas.openxmlformats.org/officeDocument/2006/relationships/hyperlink" Target="http://www.mines-stetienne.fr/formation-mines-saint-etienne/" TargetMode="External" Id="rId1155"/><Relationship Type="http://schemas.openxmlformats.org/officeDocument/2006/relationships/hyperlink" Target="https://etudesenfrance.diplomatie.gouv.fr/catalogue-formations/formation/45104/site/6734" TargetMode="External" Id="rId1156"/><Relationship Type="http://schemas.openxmlformats.org/officeDocument/2006/relationships/hyperlink" Target="http://www.mines-stetienne.fr/formation-mines-saint-etienne/" TargetMode="External" Id="rId1157"/><Relationship Type="http://schemas.openxmlformats.org/officeDocument/2006/relationships/hyperlink" Target="https://etudesenfrance.diplomatie.gouv.fr/catalogue-formations/formation/45112/site/6734" TargetMode="External" Id="rId1158"/><Relationship Type="http://schemas.openxmlformats.org/officeDocument/2006/relationships/hyperlink" Target="http://www.ensta-paristech.fr/" TargetMode="External" Id="rId1159"/><Relationship Type="http://schemas.openxmlformats.org/officeDocument/2006/relationships/hyperlink" Target="https://etudesenfrance.diplomatie.gouv.fr/catalogue-formations/formation/15186/site/6490" TargetMode="External" Id="rId1160"/><Relationship Type="http://schemas.openxmlformats.org/officeDocument/2006/relationships/hyperlink" Target="https://eeap.cnam.fr/" TargetMode="External" Id="rId1161"/><Relationship Type="http://schemas.openxmlformats.org/officeDocument/2006/relationships/hyperlink" Target="https://etudesenfrance.diplomatie.gouv.fr/catalogue-formations/formation/46937/site/13973" TargetMode="External" Id="rId1162"/><Relationship Type="http://schemas.openxmlformats.org/officeDocument/2006/relationships/hyperlink" Target="http://www.enseirb-matmeca.fr/" TargetMode="External" Id="rId1163"/><Relationship Type="http://schemas.openxmlformats.org/officeDocument/2006/relationships/hyperlink" Target="https://etudesenfrance.diplomatie.gouv.fr/catalogue-formations/formation/38530/site/6859" TargetMode="External" Id="rId1164"/><Relationship Type="http://schemas.openxmlformats.org/officeDocument/2006/relationships/hyperlink" Target="https://www.eseo.fr/formations/prepa-ingenieur-informatique-electronique/" TargetMode="External" Id="rId1165"/><Relationship Type="http://schemas.openxmlformats.org/officeDocument/2006/relationships/hyperlink" Target="https://etudesenfrance.diplomatie.gouv.fr/catalogue-formations/formation/61408/site/14186" TargetMode="External" Id="rId1166"/><Relationship Type="http://schemas.openxmlformats.org/officeDocument/2006/relationships/hyperlink" Target="https://www.eseo.fr/formations/prepa-ingenieur-informatique-electronique/" TargetMode="External" Id="rId1167"/><Relationship Type="http://schemas.openxmlformats.org/officeDocument/2006/relationships/hyperlink" Target="https://etudesenfrance.diplomatie.gouv.fr/catalogue-formations/formation/61408/site/14176" TargetMode="External" Id="rId1168"/><Relationship Type="http://schemas.openxmlformats.org/officeDocument/2006/relationships/hyperlink" Target="https://www.eseo.fr/formations/prepa-ingenieur-informatique-electronique/" TargetMode="External" Id="rId1169"/><Relationship Type="http://schemas.openxmlformats.org/officeDocument/2006/relationships/hyperlink" Target="https://etudesenfrance.diplomatie.gouv.fr/catalogue-formations/formation/61408/site/14177" TargetMode="External" Id="rId1170"/><Relationship Type="http://schemas.openxmlformats.org/officeDocument/2006/relationships/hyperlink" Target="https://www.epf.fr/formations/diplome-ingenieur-franco-allemand" TargetMode="External" Id="rId1171"/><Relationship Type="http://schemas.openxmlformats.org/officeDocument/2006/relationships/hyperlink" Target="https://etudesenfrance.diplomatie.gouv.fr/catalogue-formations/formation/53560/site/6718" TargetMode="External" Id="rId1172"/><Relationship Type="http://schemas.openxmlformats.org/officeDocument/2006/relationships/hyperlink" Target="https://polytech.univ-nantes.fr/integrer-polytech-nantes/masters-internationaux/electrical-energy-master-s-degree-ee--2355193.kjsp?RH=1382971139912" TargetMode="External" Id="rId1173"/><Relationship Type="http://schemas.openxmlformats.org/officeDocument/2006/relationships/hyperlink" Target="https://etudesenfrance.diplomatie.gouv.fr/catalogue-formations/formation/38086/site/13620" TargetMode="External" Id="rId1174"/><Relationship Type="http://schemas.openxmlformats.org/officeDocument/2006/relationships/hyperlink" Target="https://imt-nord-europe.fr/annuaire-formations/ingenieur-generaliste-par-la-formation-continue/" TargetMode="External" Id="rId1175"/><Relationship Type="http://schemas.openxmlformats.org/officeDocument/2006/relationships/hyperlink" Target="https://etudesenfrance.diplomatie.gouv.fr/catalogue-formations/formation/47750/site/6469" TargetMode="External" Id="rId1176"/><Relationship Type="http://schemas.openxmlformats.org/officeDocument/2006/relationships/hyperlink" Target="https://etudesenfrance.diplomatie.gouv.fr/catalogue-formations/formation/60652/site/13820" TargetMode="External" Id="rId1177"/><Relationship Type="http://schemas.openxmlformats.org/officeDocument/2006/relationships/hyperlink" Target="http://www.enssat.fr/" TargetMode="External" Id="rId1178"/><Relationship Type="http://schemas.openxmlformats.org/officeDocument/2006/relationships/hyperlink" Target="https://etudesenfrance.diplomatie.gouv.fr/catalogue-formations/formation/50305/site/6531" TargetMode="External" Id="rId1179"/><Relationship Type="http://schemas.openxmlformats.org/officeDocument/2006/relationships/hyperlink" Target="http://www.itiibretagne.fr/" TargetMode="External" Id="rId1180"/><Relationship Type="http://schemas.openxmlformats.org/officeDocument/2006/relationships/hyperlink" Target="https://etudesenfrance.diplomatie.gouv.fr/catalogue-formations/formation/26191/site/11083" TargetMode="External" Id="rId1181"/><Relationship Type="http://schemas.openxmlformats.org/officeDocument/2006/relationships/hyperlink" Target="http://www.ensiie.fr/" TargetMode="External" Id="rId1182"/><Relationship Type="http://schemas.openxmlformats.org/officeDocument/2006/relationships/hyperlink" Target="https://etudesenfrance.diplomatie.gouv.fr/catalogue-formations/formation/14341/site/6882" TargetMode="External" Id="rId1183"/><Relationship Type="http://schemas.openxmlformats.org/officeDocument/2006/relationships/hyperlink" Target="http://www.itii-iledefrance.fr:8080/article.php3?id_article=1" TargetMode="External" Id="rId1184"/><Relationship Type="http://schemas.openxmlformats.org/officeDocument/2006/relationships/hyperlink" Target="https://etudesenfrance.diplomatie.gouv.fr/catalogue-formations/formation/14341/site/11092" TargetMode="External" Id="rId1185"/><Relationship Type="http://schemas.openxmlformats.org/officeDocument/2006/relationships/hyperlink" Target="http://www.itiibretagne.fr/" TargetMode="External" Id="rId1186"/><Relationship Type="http://schemas.openxmlformats.org/officeDocument/2006/relationships/hyperlink" Target="https://etudesenfrance.diplomatie.gouv.fr/catalogue-formations/formation/27153/site/11083" TargetMode="External" Id="rId1187"/><Relationship Type="http://schemas.openxmlformats.org/officeDocument/2006/relationships/hyperlink" Target="http://www.itii-iledefrance.fr:8080/article.php3?id_article=1" TargetMode="External" Id="rId1188"/><Relationship Type="http://schemas.openxmlformats.org/officeDocument/2006/relationships/hyperlink" Target="https://etudesenfrance.diplomatie.gouv.fr/catalogue-formations/formation/14378/site/11092" TargetMode="External" Id="rId1189"/><Relationship Type="http://schemas.openxmlformats.org/officeDocument/2006/relationships/hyperlink" Target="http://www.itii-pdl.com/" TargetMode="External" Id="rId1190"/><Relationship Type="http://schemas.openxmlformats.org/officeDocument/2006/relationships/hyperlink" Target="https://etudesenfrance.diplomatie.gouv.fr/catalogue-formations/formation/19400/site/6771" TargetMode="External" Id="rId1191"/><Relationship Type="http://schemas.openxmlformats.org/officeDocument/2006/relationships/hyperlink" Target="http://www.itii-iledefrance.fr:8080/article.php3?id_article=1" TargetMode="External" Id="rId1192"/><Relationship Type="http://schemas.openxmlformats.org/officeDocument/2006/relationships/hyperlink" Target="https://etudesenfrance.diplomatie.gouv.fr/catalogue-formations/formation/18939/site/11092" TargetMode="External" Id="rId1193"/><Relationship Type="http://schemas.openxmlformats.org/officeDocument/2006/relationships/hyperlink" Target="https://www.univ-grenoble-alpes.fr/actualites/a-la-une/actualites-universite/etudiants-internationaux-ce-que-change-le-nouveau-decret-sur-les-droits-d-inscription-a-l-uga-1775870.kjsp" TargetMode="External" Id="rId1194"/><Relationship Type="http://schemas.openxmlformats.org/officeDocument/2006/relationships/hyperlink" Target="http://www.grenoble-inp.fr/" TargetMode="External" Id="rId1195"/><Relationship Type="http://schemas.openxmlformats.org/officeDocument/2006/relationships/hyperlink" Target="https://etudesenfrance.diplomatie.gouv.fr/catalogue-formations/formation/26102/site/11107" TargetMode="External" Id="rId1196"/><Relationship Type="http://schemas.openxmlformats.org/officeDocument/2006/relationships/hyperlink" Target="http://www.itii-franche-comte.org/" TargetMode="External" Id="rId1197"/><Relationship Type="http://schemas.openxmlformats.org/officeDocument/2006/relationships/hyperlink" Target="https://etudesenfrance.diplomatie.gouv.fr/catalogue-formations/formation/17948/site/11106" TargetMode="External" Id="rId1198"/><Relationship Type="http://schemas.openxmlformats.org/officeDocument/2006/relationships/hyperlink" Target="http://www.cnam-alsace.fr/" TargetMode="External" Id="rId1199"/><Relationship Type="http://schemas.openxmlformats.org/officeDocument/2006/relationships/hyperlink" Target="https://etudesenfrance.diplomatie.gouv.fr/catalogue-formations/formation/16784/site/11655" TargetMode="External" Id="rId1200"/><Relationship Type="http://schemas.openxmlformats.org/officeDocument/2006/relationships/hyperlink" Target="http://www.formationcnampicardie.com/" TargetMode="External" Id="rId1201"/><Relationship Type="http://schemas.openxmlformats.org/officeDocument/2006/relationships/hyperlink" Target="https://etudesenfrance.diplomatie.gouv.fr/catalogue-formations/formation/16779/site/6848" TargetMode="External" Id="rId1202"/><Relationship Type="http://schemas.openxmlformats.org/officeDocument/2006/relationships/hyperlink" Target="http://www.promeo-formation.fr/" TargetMode="External" Id="rId1203"/><Relationship Type="http://schemas.openxmlformats.org/officeDocument/2006/relationships/hyperlink" Target="https://etudesenfrance.diplomatie.gouv.fr/catalogue-formations/formation/16779/site/6774" TargetMode="External" Id="rId1204"/><Relationship Type="http://schemas.openxmlformats.org/officeDocument/2006/relationships/hyperlink" Target="http://www.formationcnampicardie.com/" TargetMode="External" Id="rId1205"/><Relationship Type="http://schemas.openxmlformats.org/officeDocument/2006/relationships/hyperlink" Target="https://etudesenfrance.diplomatie.gouv.fr/catalogue-formations/formation/16788/site/6848" TargetMode="External" Id="rId1206"/><Relationship Type="http://schemas.openxmlformats.org/officeDocument/2006/relationships/hyperlink" Target="https://etudesenfrance.diplomatie.gouv.fr/catalogue-formations/formation/55503/site/6475" TargetMode="External" Id="rId1207"/><Relationship Type="http://schemas.openxmlformats.org/officeDocument/2006/relationships/hyperlink" Target="https://etudesenfrance.diplomatie.gouv.fr/catalogue-formations/formation/55502/site/6475" TargetMode="External" Id="rId1208"/><Relationship Type="http://schemas.openxmlformats.org/officeDocument/2006/relationships/hyperlink" Target="https://www.telecom-sudparis.eu/formation/ingenieur-informatique-reseaux-apprentissage/" TargetMode="External" Id="rId1209"/><Relationship Type="http://schemas.openxmlformats.org/officeDocument/2006/relationships/hyperlink" Target="https://etudesenfrance.diplomatie.gouv.fr/catalogue-formations/formation/55361/site/6506" TargetMode="External" Id="rId1210"/><Relationship Type="http://schemas.openxmlformats.org/officeDocument/2006/relationships/hyperlink" Target="https://www.umlp.fr/sites/default/files/2026-07-02-page-droits-differencies-vf.pdf" TargetMode="External" Id="rId1211"/><Relationship Type="http://schemas.openxmlformats.org/officeDocument/2006/relationships/hyperlink" Target="https://gradschool.eiphi.ubfc.fr/?page_id=1357" TargetMode="External" Id="rId1212"/><Relationship Type="http://schemas.openxmlformats.org/officeDocument/2006/relationships/hyperlink" Target="https://etudesenfrance.diplomatie.gouv.fr/catalogue-formations/formation/49438/site/6954" TargetMode="External" Id="rId1213"/><Relationship Type="http://schemas.openxmlformats.org/officeDocument/2006/relationships/hyperlink" Target="https://www.unilim.fr/gradschool-ceramics-ict/" TargetMode="External" Id="rId1214"/><Relationship Type="http://schemas.openxmlformats.org/officeDocument/2006/relationships/hyperlink" Target="https://etudesenfrance.diplomatie.gouv.fr/catalogue-formations/formation/47620/site/7171" TargetMode="External" Id="rId1215"/><Relationship Type="http://schemas.openxmlformats.org/officeDocument/2006/relationships/hyperlink" Target="http://sciences-tech.u-pec.fr/" TargetMode="External" Id="rId1216"/><Relationship Type="http://schemas.openxmlformats.org/officeDocument/2006/relationships/hyperlink" Target="https://etudesenfrance.diplomatie.gouv.fr/catalogue-formations/formation/33304/site/10975" TargetMode="External" Id="rId1217"/><Relationship Type="http://schemas.openxmlformats.org/officeDocument/2006/relationships/hyperlink" Target="https://www.univ-angers.fr/fr/acces-directs/facultes-et-instituts/polytech-angers.html" TargetMode="External" Id="rId1218"/><Relationship Type="http://schemas.openxmlformats.org/officeDocument/2006/relationships/hyperlink" Target="https://etudesenfrance.diplomatie.gouv.fr/catalogue-formations/formation/32207/site/10814" TargetMode="External" Id="rId1219"/><Relationship Type="http://schemas.openxmlformats.org/officeDocument/2006/relationships/hyperlink" Target="https://etudesenfrance.diplomatie.gouv.fr/catalogue-formations/formation/55270/site/13979" TargetMode="External" Id="rId1220"/><Relationship Type="http://schemas.openxmlformats.org/officeDocument/2006/relationships/hyperlink" Target="https://observalgerie.com/2026/06/13/misc/frais-dinscription-en-france-lille-maintient-un-avantage-pour-les-etudiants-etrangers/" TargetMode="External" Id="rId1221"/><Relationship Type="http://schemas.openxmlformats.org/officeDocument/2006/relationships/hyperlink" Target="https://formation.univ-lille.fr/fr/offre-de-formation/master-lmd-XB/master-informatique-MG001981/computer-sciences-MX195387.html" TargetMode="External" Id="rId1222"/><Relationship Type="http://schemas.openxmlformats.org/officeDocument/2006/relationships/hyperlink" Target="https://etudesenfrance.diplomatie.gouv.fr/catalogue-formations/formation/60987/site/13783" TargetMode="External" Id="rId1223"/><Relationship Type="http://schemas.openxmlformats.org/officeDocument/2006/relationships/hyperlink" Target="http://www.ut-capitole.fr/" TargetMode="External" Id="rId1224"/><Relationship Type="http://schemas.openxmlformats.org/officeDocument/2006/relationships/hyperlink" Target="https://etudesenfrance.diplomatie.gouv.fr/catalogue-formations/formation/39015/site/7423" TargetMode="External" Id="rId1225"/><Relationship Type="http://schemas.openxmlformats.org/officeDocument/2006/relationships/hyperlink" Target="http://cni.istic.univ-rennes.fr/" TargetMode="External" Id="rId1226"/><Relationship Type="http://schemas.openxmlformats.org/officeDocument/2006/relationships/hyperlink" Target="https://etudesenfrance.diplomatie.gouv.fr/catalogue-formations/formation/54883/site/6612" TargetMode="External" Id="rId1227"/><Relationship Type="http://schemas.openxmlformats.org/officeDocument/2006/relationships/hyperlink" Target="http://www.univ-brest.fr/ufr-sciences" TargetMode="External" Id="rId1228"/><Relationship Type="http://schemas.openxmlformats.org/officeDocument/2006/relationships/hyperlink" Target="https://etudesenfrance.diplomatie.gouv.fr/catalogue-formations/formation/45442/site/6955" TargetMode="External" Id="rId1229"/><Relationship Type="http://schemas.openxmlformats.org/officeDocument/2006/relationships/hyperlink" Target="https://univ-cotedazur.fr/formation/offre-de-formation/parcours-de-master/master-informatique-m2-parcours-ubinet" TargetMode="External" Id="rId1230"/><Relationship Type="http://schemas.openxmlformats.org/officeDocument/2006/relationships/hyperlink" Target="https://etudesenfrance.diplomatie.gouv.fr/catalogue-formations/formation/48437/site/14121" TargetMode="External" Id="rId1231"/><Relationship Type="http://schemas.openxmlformats.org/officeDocument/2006/relationships/hyperlink" Target="https://istic.univ-rennes.fr/en/financial-technologies-track-eit-digital-master-school" TargetMode="External" Id="rId1232"/><Relationship Type="http://schemas.openxmlformats.org/officeDocument/2006/relationships/hyperlink" Target="https://etudesenfrance.diplomatie.gouv.fr/catalogue-formations/formation/56460/site/6612" TargetMode="External" Id="rId1233"/><Relationship Type="http://schemas.openxmlformats.org/officeDocument/2006/relationships/hyperlink" Target="https://observalgerie.com/2026/06/13/misc/frais-dinscription-en-france-lille-maintient-un-avantage-pour-les-etudiants-etrangers/" TargetMode="External" Id="rId1234"/><Relationship Type="http://schemas.openxmlformats.org/officeDocument/2006/relationships/hyperlink" Target="https://formation.univ-lille.fr/fr/offre-de-formation/master-lmd-XB/master-informatique-MG001981/computer-sciences-MX195387.html" TargetMode="External" Id="rId1235"/><Relationship Type="http://schemas.openxmlformats.org/officeDocument/2006/relationships/hyperlink" Target="https://etudesenfrance.diplomatie.gouv.fr/catalogue-formations/formation/58463/site/13783" TargetMode="External" Id="rId1236"/><Relationship Type="http://schemas.openxmlformats.org/officeDocument/2006/relationships/hyperlink" Target="https://observalgerie.com/2026/06/13/misc/frais-dinscription-en-france-lille-maintient-un-avantage-pour-les-etudiants-etrangers/" TargetMode="External" Id="rId1237"/><Relationship Type="http://schemas.openxmlformats.org/officeDocument/2006/relationships/hyperlink" Target="https://formation.univ-lille.fr/fr/offre-de-formation/master-lmd-XB/master-science-des-donnees-MG020709/data-science-MX148265.html" TargetMode="External" Id="rId1238"/><Relationship Type="http://schemas.openxmlformats.org/officeDocument/2006/relationships/hyperlink" Target="https://etudesenfrance.diplomatie.gouv.fr/catalogue-formations/formation/60991/site/13783" TargetMode="External" Id="rId1239"/><Relationship Type="http://schemas.openxmlformats.org/officeDocument/2006/relationships/hyperlink" Target="https://www.sorbonne-universite.fr/actualites/le-conseil-dadministration-de-sorbonne-universite-vote-lunanimite-le-7-juillet-2026-sa" TargetMode="External" Id="rId1240"/><Relationship Type="http://schemas.openxmlformats.org/officeDocument/2006/relationships/hyperlink" Target="https://sciences.sorbonne-universite.fr/en/masters/master-computer-science/qi" TargetMode="External" Id="rId1241"/><Relationship Type="http://schemas.openxmlformats.org/officeDocument/2006/relationships/hyperlink" Target="https://etudesenfrance.diplomatie.gouv.fr/catalogue-formations/formation/50787/site/13735" TargetMode="External" Id="rId1242"/><Relationship Type="http://schemas.openxmlformats.org/officeDocument/2006/relationships/hyperlink" Target="https://www.sorbonne-universite.fr/actualites/le-conseil-dadministration-de-sorbonne-universite-vote-lunanimite-le-7-juillet-2026-sa" TargetMode="External" Id="rId1243"/><Relationship Type="http://schemas.openxmlformats.org/officeDocument/2006/relationships/hyperlink" Target="https://sciences.sorbonne-universite.fr/en/formation-sciences/masters/master-informatique/digit-international" TargetMode="External" Id="rId1244"/><Relationship Type="http://schemas.openxmlformats.org/officeDocument/2006/relationships/hyperlink" Target="https://etudesenfrance.diplomatie.gouv.fr/catalogue-formations/formation/50786/site/13735" TargetMode="External" Id="rId1245"/><Relationship Type="http://schemas.openxmlformats.org/officeDocument/2006/relationships/hyperlink" Target="https://www.sorbonne-universite.fr/actualites/le-conseil-dadministration-de-sorbonne-universite-vote-lunanimite-le-7-juillet-2026-sa" TargetMode="External" Id="rId1246"/><Relationship Type="http://schemas.openxmlformats.org/officeDocument/2006/relationships/hyperlink" Target="https://sciences.sorbonne-universite.fr/en/Masters/masters-degree-mathematics-and-applications/masters-high-performance-computing-hpc" TargetMode="External" Id="rId1247"/><Relationship Type="http://schemas.openxmlformats.org/officeDocument/2006/relationships/hyperlink" Target="https://etudesenfrance.diplomatie.gouv.fr/catalogue-formations/formation/53213/site/13735" TargetMode="External" Id="rId1248"/><Relationship Type="http://schemas.openxmlformats.org/officeDocument/2006/relationships/hyperlink" Target="https://www.univ-grenoble-alpes.fr/actualites/a-la-une/actualites-universite/etudiants-internationaux-ce-que-change-le-nouveau-decret-sur-les-droits-d-inscription-a-l-uga-1775870.kjsp" TargetMode="External" Id="rId1249"/><Relationship Type="http://schemas.openxmlformats.org/officeDocument/2006/relationships/hyperlink" Target="https://m-ai.imag.fr/" TargetMode="External" Id="rId1250"/><Relationship Type="http://schemas.openxmlformats.org/officeDocument/2006/relationships/hyperlink" Target="https://etudesenfrance.diplomatie.gouv.fr/catalogue-formations/formation/58324/site/6768" TargetMode="External" Id="rId1251"/><Relationship Type="http://schemas.openxmlformats.org/officeDocument/2006/relationships/hyperlink" Target="https://formations.uphf.fr/fr/formations/master-master/master-informatique-KZZQ4B8O/information-technology-for-smart-and-sustainable-mobility-it4ssm-eunice-alliance-LS4R6Q1G.html" TargetMode="External" Id="rId1252"/><Relationship Type="http://schemas.openxmlformats.org/officeDocument/2006/relationships/hyperlink" Target="https://etudesenfrance.diplomatie.gouv.fr/catalogue-formations/formation/60175/site/13986" TargetMode="External" Id="rId1253"/><Relationship Type="http://schemas.openxmlformats.org/officeDocument/2006/relationships/hyperlink" Target="https://www.univ-grenoble-alpes.fr/actualites/a-la-une/actualites-universite/etudiants-internationaux-ce-que-change-le-nouveau-decret-sur-les-droits-d-inscription-a-l-uga-1775870.kjsp" TargetMode="External" Id="rId1254"/><Relationship Type="http://schemas.openxmlformats.org/officeDocument/2006/relationships/hyperlink" Target="https://mosig.imag.fr/" TargetMode="External" Id="rId1255"/><Relationship Type="http://schemas.openxmlformats.org/officeDocument/2006/relationships/hyperlink" Target="https://etudesenfrance.diplomatie.gouv.fr/catalogue-formations/formation/39027/site/6768" TargetMode="External" Id="rId1256"/><Relationship Type="http://schemas.openxmlformats.org/officeDocument/2006/relationships/hyperlink" Target="https://www.univ-grenoble-alpes.fr/actualites/a-la-une/actualites-universite/etudiants-internationaux-ce-que-change-le-nouveau-decret-sur-les-droits-d-inscription-a-l-uga-1775870.kjsp" TargetMode="External" Id="rId1257"/><Relationship Type="http://schemas.openxmlformats.org/officeDocument/2006/relationships/hyperlink" Target="https://m-ai.imag.fr/" TargetMode="External" Id="rId1258"/><Relationship Type="http://schemas.openxmlformats.org/officeDocument/2006/relationships/hyperlink" Target="https://etudesenfrance.diplomatie.gouv.fr/catalogue-formations/formation/61825/site/6528" TargetMode="External" Id="rId1259"/><Relationship Type="http://schemas.openxmlformats.org/officeDocument/2006/relationships/hyperlink" Target="https://www.univ-grenoble-alpes.fr/actualites/a-la-une/actualites-universite/etudiants-internationaux-ce-que-change-le-nouveau-decret-sur-les-droits-d-inscription-a-l-uga-1775870.kjsp" TargetMode="External" Id="rId1260"/><Relationship Type="http://schemas.openxmlformats.org/officeDocument/2006/relationships/hyperlink" Target="https://im2ag.univ-grenoble-alpes.fr/formation/offre-de-formation/" TargetMode="External" Id="rId1261"/><Relationship Type="http://schemas.openxmlformats.org/officeDocument/2006/relationships/hyperlink" Target="https://etudesenfrance.diplomatie.gouv.fr/catalogue-formations/formation/61798/site/6528" TargetMode="External" Id="rId1262"/><Relationship Type="http://schemas.openxmlformats.org/officeDocument/2006/relationships/hyperlink" Target="https://www.umlp.fr/sites/default/files/2026-07-02-page-droits-differencies-vf.pdf" TargetMode="External" Id="rId1263"/><Relationship Type="http://schemas.openxmlformats.org/officeDocument/2006/relationships/hyperlink" Target="https://taughtie.campusfrance.org/tiesearch/" TargetMode="External" Id="rId1264"/><Relationship Type="http://schemas.openxmlformats.org/officeDocument/2006/relationships/hyperlink" Target="https://etudesenfrance.diplomatie.gouv.fr/catalogue-formations/formation/60855/site/6954" TargetMode="External" Id="rId1265"/><Relationship Type="http://schemas.openxmlformats.org/officeDocument/2006/relationships/hyperlink" Target="https://www.univ-grenoble-alpes.fr/actualites/a-la-une/actualites-universite/etudiants-internationaux-ce-que-change-le-nouveau-decret-sur-les-droits-d-inscription-a-l-uga-1775870.kjsp" TargetMode="External" Id="rId1266"/><Relationship Type="http://schemas.openxmlformats.org/officeDocument/2006/relationships/hyperlink" Target="https://mosig.imag.fr/" TargetMode="External" Id="rId1267"/><Relationship Type="http://schemas.openxmlformats.org/officeDocument/2006/relationships/hyperlink" Target="https://etudesenfrance.diplomatie.gouv.fr/catalogue-formations/formation/61801/site/6528" TargetMode="External" Id="rId1268"/><Relationship Type="http://schemas.openxmlformats.org/officeDocument/2006/relationships/hyperlink" Target="https://www.uca.fr/medias/fichier/delib-ca-20251205-15-tarifs-differencies_1765204050111-pdf" TargetMode="External" Id="rId1269"/><Relationship Type="http://schemas.openxmlformats.org/officeDocument/2006/relationships/hyperlink" Target="https://www.uca.fr/formation/nos-formations/catalogue-des-formations/master-info" TargetMode="External" Id="rId1270"/><Relationship Type="http://schemas.openxmlformats.org/officeDocument/2006/relationships/hyperlink" Target="https://etudesenfrance.diplomatie.gouv.fr/catalogue-formations/formation/35535/site/6876" TargetMode="External" Id="rId1271"/><Relationship Type="http://schemas.openxmlformats.org/officeDocument/2006/relationships/hyperlink" Target="https://www.umlp.fr/sites/default/files/2026-07-02-page-droits-differencies-vf.pdf" TargetMode="External" Id="rId1272"/><Relationship Type="http://schemas.openxmlformats.org/officeDocument/2006/relationships/hyperlink" Target="https://taughtie.campusfrance.org/tiesearch/" TargetMode="External" Id="rId1273"/><Relationship Type="http://schemas.openxmlformats.org/officeDocument/2006/relationships/hyperlink" Target="https://etudesenfrance.diplomatie.gouv.fr/catalogue-formations/formation/60857/site/6954" TargetMode="External" Id="rId1274"/><Relationship Type="http://schemas.openxmlformats.org/officeDocument/2006/relationships/hyperlink" Target="https://formations.uphf.fr/fr/formations/master-master/master-informatique-KZZQ4B8O/information-technology-for-smart-and-sustainable-mobility-it4ssm-eunice-alliance-LS4R6Q1G.html" TargetMode="External" Id="rId1275"/><Relationship Type="http://schemas.openxmlformats.org/officeDocument/2006/relationships/hyperlink" Target="https://etudesenfrance.diplomatie.gouv.fr/catalogue-formations/formation/60106/site/13986" TargetMode="External" Id="rId1276"/><Relationship Type="http://schemas.openxmlformats.org/officeDocument/2006/relationships/hyperlink" Target="https://formation.univ-pau.fr/fr/catalogue/master-XB/master-mention-mathematiques-et-applications-L3Y9AGO1/parcours-methodes-stochastiques-et-informatiques-pour-la-decision-L3Y9BRCU.html" TargetMode="External" Id="rId1277"/><Relationship Type="http://schemas.openxmlformats.org/officeDocument/2006/relationships/hyperlink" Target="https://etudesenfrance.diplomatie.gouv.fr/catalogue-formations/formation/31533/site/13758" TargetMode="External" Id="rId1278"/><Relationship Type="http://schemas.openxmlformats.org/officeDocument/2006/relationships/hyperlink" Target="https://sciences-techniques.univ-nantes.fr/formations/masters/graduate-programme-smart-computing-master-level" TargetMode="External" Id="rId1279"/><Relationship Type="http://schemas.openxmlformats.org/officeDocument/2006/relationships/hyperlink" Target="https://etudesenfrance.diplomatie.gouv.fr/catalogue-formations/formation/55343/site/6543" TargetMode="External" Id="rId1280"/><Relationship Type="http://schemas.openxmlformats.org/officeDocument/2006/relationships/hyperlink" Target="https://univ-cotedazur.fr/formation/offre-de-formation/parcours-de-master/master-informatique-parcours-intelligence-artificielle" TargetMode="External" Id="rId1281"/><Relationship Type="http://schemas.openxmlformats.org/officeDocument/2006/relationships/hyperlink" Target="https://etudesenfrance.diplomatie.gouv.fr/catalogue-formations/formation/54549/site/14121" TargetMode="External" Id="rId1282"/><Relationship Type="http://schemas.openxmlformats.org/officeDocument/2006/relationships/hyperlink" Target="https://ai4ci.eu/" TargetMode="External" Id="rId1283"/><Relationship Type="http://schemas.openxmlformats.org/officeDocument/2006/relationships/hyperlink" Target="https://etudesenfrance.diplomatie.gouv.fr/catalogue-formations/formation/56541/site/11486" TargetMode="External" Id="rId1284"/><Relationship Type="http://schemas.openxmlformats.org/officeDocument/2006/relationships/hyperlink" Target="https://univ-cotedazur.fr/formation/offre-de-formation/parcours-de-master/master-informatique-parcours-systemes-logiciels-et-calculs-distribues" TargetMode="External" Id="rId1285"/><Relationship Type="http://schemas.openxmlformats.org/officeDocument/2006/relationships/hyperlink" Target="https://etudesenfrance.diplomatie.gouv.fr/catalogue-formations/formation/61618/site/14121" TargetMode="External" Id="rId1286"/><Relationship Type="http://schemas.openxmlformats.org/officeDocument/2006/relationships/hyperlink" Target="https://etudesenfrance.diplomatie.gouv.fr/catalogue-formations/formation/56263/site/11087" TargetMode="External" Id="rId1287"/><Relationship Type="http://schemas.openxmlformats.org/officeDocument/2006/relationships/hyperlink" Target="https://formations.ube.fr/fr/offre-de-formation/master-XB/master-informatique-LMGC26NA/sante-et-intelligence-artificielle-health-ai-LMGEPLWL.html" TargetMode="External" Id="rId1288"/><Relationship Type="http://schemas.openxmlformats.org/officeDocument/2006/relationships/hyperlink" Target="https://etudesenfrance.diplomatie.gouv.fr/catalogue-formations/formation/60257/site/6538" TargetMode="External" Id="rId1289"/><Relationship Type="http://schemas.openxmlformats.org/officeDocument/2006/relationships/hyperlink" Target="https://www.univ-reims.fr/ufrsciences/" TargetMode="External" Id="rId1290"/><Relationship Type="http://schemas.openxmlformats.org/officeDocument/2006/relationships/hyperlink" Target="https://etudesenfrance.diplomatie.gouv.fr/catalogue-formations/formation/61543/site/6625" TargetMode="External" Id="rId1291"/><Relationship Type="http://schemas.openxmlformats.org/officeDocument/2006/relationships/hyperlink" Target="https://fseg.u-pec.fr/masters/master-economie-appliquee-parcours-methodes-appliquees-de-la-statistique-et-de-leconometrie-pour-la-recherche-lanalyse-et-le-traitement-dinformation-maserati-data-analyst" TargetMode="External" Id="rId1292"/><Relationship Type="http://schemas.openxmlformats.org/officeDocument/2006/relationships/hyperlink" Target="https://etudesenfrance.diplomatie.gouv.fr/catalogue-formations/formation/33501/site/10973" TargetMode="External" Id="rId1293"/><Relationship Type="http://schemas.openxmlformats.org/officeDocument/2006/relationships/hyperlink" Target="https://fseg.u-pec.fr/master-mention-economie-appliquee-parcours-type-maserati-parcours-data-analyst-parcours-data-science" TargetMode="External" Id="rId1294"/><Relationship Type="http://schemas.openxmlformats.org/officeDocument/2006/relationships/hyperlink" Target="https://etudesenfrance.diplomatie.gouv.fr/catalogue-formations/formation/60628/site/10973" TargetMode="External" Id="rId1295"/><Relationship Type="http://schemas.openxmlformats.org/officeDocument/2006/relationships/hyperlink" Target="https://www.univ-rouen.fr/actualites/application-des-droits-dinscription-differencies-a-luniversite-de-rouen-normandie-a-compter-de-la-rentree-universitaire-2026-2027/" TargetMode="External" Id="rId1296"/><Relationship Type="http://schemas.openxmlformats.org/officeDocument/2006/relationships/hyperlink" Target="http://sciences-techniques.univ-rouen.fr/" TargetMode="External" Id="rId1297"/><Relationship Type="http://schemas.openxmlformats.org/officeDocument/2006/relationships/hyperlink" Target="https://etudesenfrance.diplomatie.gouv.fr/catalogue-formations/formation/58419/site/7173" TargetMode="External" Id="rId1298"/><Relationship Type="http://schemas.openxmlformats.org/officeDocument/2006/relationships/hyperlink" Target="https://etudesenfrance.diplomatie.gouv.fr/catalogue-formations/formation/61361/site/14612" TargetMode="External" Id="rId1299"/><Relationship Type="http://schemas.openxmlformats.org/officeDocument/2006/relationships/hyperlink" Target="https://ufr-sciences.unicaen.fr/" TargetMode="External" Id="rId1300"/><Relationship Type="http://schemas.openxmlformats.org/officeDocument/2006/relationships/hyperlink" Target="https://etudesenfrance.diplomatie.gouv.fr/catalogue-formations/formation/35743/site/14115" TargetMode="External" Id="rId1301"/><Relationship Type="http://schemas.openxmlformats.org/officeDocument/2006/relationships/hyperlink" Target="https://sciences-techniques.univ-nantes.fr/formations/masters/master-informatique" TargetMode="External" Id="rId1302"/><Relationship Type="http://schemas.openxmlformats.org/officeDocument/2006/relationships/hyperlink" Target="https://etudesenfrance.diplomatie.gouv.fr/catalogue-formations/formation/43564/site/6543" TargetMode="External" Id="rId1303"/><Relationship Type="http://schemas.openxmlformats.org/officeDocument/2006/relationships/hyperlink" Target="http://www.univ-antilles.fr/" TargetMode="External" Id="rId1304"/><Relationship Type="http://schemas.openxmlformats.org/officeDocument/2006/relationships/hyperlink" Target="https://etudesenfrance.diplomatie.gouv.fr/catalogue-formations/formation/59962/site/13832" TargetMode="External" Id="rId1305"/><Relationship Type="http://schemas.openxmlformats.org/officeDocument/2006/relationships/hyperlink" Target="https://formations.univ-avignon.fr/formation/master-informatique-ingenierie-du-logiciel-de-la-societe-numerique-ilsen/" TargetMode="External" Id="rId1306"/><Relationship Type="http://schemas.openxmlformats.org/officeDocument/2006/relationships/hyperlink" Target="https://etudesenfrance.diplomatie.gouv.fr/catalogue-formations/formation/35130/site/11486" TargetMode="External" Id="rId1307"/><Relationship Type="http://schemas.openxmlformats.org/officeDocument/2006/relationships/hyperlink" Target="https://fac-sciences.univ-st-etienne.fr/fr/formations/master-XB/master-XB/master-informatique-parcours-donnees-et-systemes-connectes-5_09_07_0006_FR.html" TargetMode="External" Id="rId1308"/><Relationship Type="http://schemas.openxmlformats.org/officeDocument/2006/relationships/hyperlink" Target="https://etudesenfrance.diplomatie.gouv.fr/catalogue-formations/formation/40538/site/6542" TargetMode="External" Id="rId1309"/><Relationship Type="http://schemas.openxmlformats.org/officeDocument/2006/relationships/hyperlink" Target="https://formations.univ-avignon.fr/formation/master-informatique-systemes-informatiques-communicants-reseaux-services-et-securite-sicom/" TargetMode="External" Id="rId1310"/><Relationship Type="http://schemas.openxmlformats.org/officeDocument/2006/relationships/hyperlink" Target="https://etudesenfrance.diplomatie.gouv.fr/catalogue-formations/formation/35309/site/11486" TargetMode="External" Id="rId1311"/><Relationship Type="http://schemas.openxmlformats.org/officeDocument/2006/relationships/hyperlink" Target="https://ufr-sciences.unicaen.fr/" TargetMode="External" Id="rId1312"/><Relationship Type="http://schemas.openxmlformats.org/officeDocument/2006/relationships/hyperlink" Target="https://etudesenfrance.diplomatie.gouv.fr/catalogue-formations/formation/35746/site/14115" TargetMode="External" Id="rId1313"/><Relationship Type="http://schemas.openxmlformats.org/officeDocument/2006/relationships/hyperlink" Target="https://formations.univ-avignon.fr/formation/master-informatique-intelligence-artificielle-ia/" TargetMode="External" Id="rId1314"/><Relationship Type="http://schemas.openxmlformats.org/officeDocument/2006/relationships/hyperlink" Target="https://etudesenfrance.diplomatie.gouv.fr/catalogue-formations/formation/45478/site/11486" TargetMode="External" Id="rId1315"/><Relationship Type="http://schemas.openxmlformats.org/officeDocument/2006/relationships/hyperlink" Target="http://sciences-tech.u-pec.fr/" TargetMode="External" Id="rId1316"/><Relationship Type="http://schemas.openxmlformats.org/officeDocument/2006/relationships/hyperlink" Target="https://etudesenfrance.diplomatie.gouv.fr/catalogue-formations/formation/33298/site/10975" TargetMode="External" Id="rId1317"/><Relationship Type="http://schemas.openxmlformats.org/officeDocument/2006/relationships/hyperlink" Target="https://www.unistra.fr/fr/node/8168" TargetMode="External" Id="rId1318"/><Relationship Type="http://schemas.openxmlformats.org/officeDocument/2006/relationships/hyperlink" Target="http://mathinfo.unistra.fr/" TargetMode="External" Id="rId1319"/><Relationship Type="http://schemas.openxmlformats.org/officeDocument/2006/relationships/hyperlink" Target="https://etudesenfrance.diplomatie.gouv.fr/catalogue-formations/formation/41821/site/6521" TargetMode="External" Id="rId1320"/><Relationship Type="http://schemas.openxmlformats.org/officeDocument/2006/relationships/hyperlink" Target="http://www.sciences.unilim.fr/" TargetMode="External" Id="rId1321"/><Relationship Type="http://schemas.openxmlformats.org/officeDocument/2006/relationships/hyperlink" Target="https://etudesenfrance.diplomatie.gouv.fr/catalogue-formations/formation/37662/site/7171" TargetMode="External" Id="rId1322"/><Relationship Type="http://schemas.openxmlformats.org/officeDocument/2006/relationships/hyperlink" Target="https://formation.univ-pau.fr/fr/catalogue/master-XB/master-mention-informatique-L3Y98DNU/parcours-technologies-de-l-internet-L3Y98T3K.html" TargetMode="External" Id="rId1323"/><Relationship Type="http://schemas.openxmlformats.org/officeDocument/2006/relationships/hyperlink" Target="https://etudesenfrance.diplomatie.gouv.fr/catalogue-formations/formation/31530/site/13758" TargetMode="External" Id="rId1324"/><Relationship Type="http://schemas.openxmlformats.org/officeDocument/2006/relationships/hyperlink" Target="https://www.unistra.fr/fr/node/8168" TargetMode="External" Id="rId1325"/><Relationship Type="http://schemas.openxmlformats.org/officeDocument/2006/relationships/hyperlink" Target="http://mathinfo.unistra.fr/" TargetMode="External" Id="rId1326"/><Relationship Type="http://schemas.openxmlformats.org/officeDocument/2006/relationships/hyperlink" Target="https://etudesenfrance.diplomatie.gouv.fr/catalogue-formations/formation/33739/site/6521" TargetMode="External" Id="rId1327"/><Relationship Type="http://schemas.openxmlformats.org/officeDocument/2006/relationships/hyperlink" Target="http://www.univ-littoral.fr/" TargetMode="External" Id="rId1328"/><Relationship Type="http://schemas.openxmlformats.org/officeDocument/2006/relationships/hyperlink" Target="https://etudesenfrance.diplomatie.gouv.fr/catalogue-formations/formation/32230/site/6662" TargetMode="External" Id="rId1329"/><Relationship Type="http://schemas.openxmlformats.org/officeDocument/2006/relationships/hyperlink" Target="https://ufr-st.univ-lehavre.fr/" TargetMode="External" Id="rId1330"/><Relationship Type="http://schemas.openxmlformats.org/officeDocument/2006/relationships/hyperlink" Target="https://etudesenfrance.diplomatie.gouv.fr/catalogue-formations/formation/36232/site/6626" TargetMode="External" Id="rId1331"/><Relationship Type="http://schemas.openxmlformats.org/officeDocument/2006/relationships/hyperlink" Target="http://www.sciences.unilim.fr/" TargetMode="External" Id="rId1332"/><Relationship Type="http://schemas.openxmlformats.org/officeDocument/2006/relationships/hyperlink" Target="https://etudesenfrance.diplomatie.gouv.fr/catalogue-formations/formation/37664/site/7171" TargetMode="External" Id="rId1333"/><Relationship Type="http://schemas.openxmlformats.org/officeDocument/2006/relationships/hyperlink" Target="https://www.unilim.fr/gradschool-ceramics-ict/" TargetMode="External" Id="rId1334"/><Relationship Type="http://schemas.openxmlformats.org/officeDocument/2006/relationships/hyperlink" Target="https://etudesenfrance.diplomatie.gouv.fr/catalogue-formations/formation/47763/site/7171" TargetMode="External" Id="rId1335"/><Relationship Type="http://schemas.openxmlformats.org/officeDocument/2006/relationships/hyperlink" Target="https://observalgerie.com/2026/06/13/misc/frais-dinscription-en-france-lille-maintient-un-avantage-pour-les-etudiants-etrangers/" TargetMode="External" Id="rId1336"/><Relationship Type="http://schemas.openxmlformats.org/officeDocument/2006/relationships/hyperlink" Target="https://formation.univ-lille.fr/fr/offre-de-formation/master-lmd-XB/master-methodes-informatiques-appliquees-a-la-gestion-des-entreprises-miage-MG001982/ingenierie-des-projets-informatiques-nouvelles-technologies-MX002041.html" TargetMode="External" Id="rId1337"/><Relationship Type="http://schemas.openxmlformats.org/officeDocument/2006/relationships/hyperlink" Target="https://etudesenfrance.diplomatie.gouv.fr/catalogue-formations/formation/44582/site/13783" TargetMode="External" Id="rId1338"/><Relationship Type="http://schemas.openxmlformats.org/officeDocument/2006/relationships/hyperlink" Target="https://univ-cotedazur.fr/formation/offre-de-formation/master-methodes-informatiques-appliquees-a-la-gestion-des-entreprises-miage-parcours-numerique-responsable-numres" TargetMode="External" Id="rId1339"/><Relationship Type="http://schemas.openxmlformats.org/officeDocument/2006/relationships/hyperlink" Target="https://etudesenfrance.diplomatie.gouv.fr/catalogue-formations/formation/43640/site/14121" TargetMode="External" Id="rId1340"/><Relationship Type="http://schemas.openxmlformats.org/officeDocument/2006/relationships/hyperlink" Target="https://www.sciences.unilim.fr/tic/" TargetMode="External" Id="rId1341"/><Relationship Type="http://schemas.openxmlformats.org/officeDocument/2006/relationships/hyperlink" Target="https://etudesenfrance.diplomatie.gouv.fr/catalogue-formations/formation/37672/site/7171" TargetMode="External" Id="rId1342"/><Relationship Type="http://schemas.openxmlformats.org/officeDocument/2006/relationships/hyperlink" Target="https://sciences-techniques.univ-nantes.fr/formations/masters/master-informatique" TargetMode="External" Id="rId1343"/><Relationship Type="http://schemas.openxmlformats.org/officeDocument/2006/relationships/hyperlink" Target="https://etudesenfrance.diplomatie.gouv.fr/catalogue-formations/formation/42721/site/6543" TargetMode="External" Id="rId1344"/><Relationship Type="http://schemas.openxmlformats.org/officeDocument/2006/relationships/hyperlink" Target="https://sciences-techniques.univ-nantes.fr/formations/masters/master-informatique" TargetMode="External" Id="rId1345"/><Relationship Type="http://schemas.openxmlformats.org/officeDocument/2006/relationships/hyperlink" Target="https://etudesenfrance.diplomatie.gouv.fr/catalogue-formations/formation/34222/site/6543" TargetMode="External" Id="rId1346"/><Relationship Type="http://schemas.openxmlformats.org/officeDocument/2006/relationships/hyperlink" Target="https://sciences-techniques.univ-nantes.fr/formations/masters/master-informatique" TargetMode="External" Id="rId1347"/><Relationship Type="http://schemas.openxmlformats.org/officeDocument/2006/relationships/hyperlink" Target="https://etudesenfrance.diplomatie.gouv.fr/catalogue-formations/formation/43565/site/6543" TargetMode="External" Id="rId1348"/><Relationship Type="http://schemas.openxmlformats.org/officeDocument/2006/relationships/hyperlink" Target="https://fst.universita.corsica/" TargetMode="External" Id="rId1349"/><Relationship Type="http://schemas.openxmlformats.org/officeDocument/2006/relationships/hyperlink" Target="https://etudesenfrance.diplomatie.gouv.fr/catalogue-formations/formation/54553/site/6613" TargetMode="External" Id="rId1350"/><Relationship Type="http://schemas.openxmlformats.org/officeDocument/2006/relationships/hyperlink" Target="https://fst.universita.corsica/" TargetMode="External" Id="rId1351"/><Relationship Type="http://schemas.openxmlformats.org/officeDocument/2006/relationships/hyperlink" Target="https://etudesenfrance.diplomatie.gouv.fr/catalogue-formations/formation/41822/site/6613" TargetMode="External" Id="rId1352"/><Relationship Type="http://schemas.openxmlformats.org/officeDocument/2006/relationships/hyperlink" Target="https://www.univ-rouen.fr/actualites/application-des-droits-dinscription-differencies-a-luniversite-de-rouen-normandie-a-compter-de-la-rentree-universitaire-2026-2027/" TargetMode="External" Id="rId1353"/><Relationship Type="http://schemas.openxmlformats.org/officeDocument/2006/relationships/hyperlink" Target="http://sciences-techniques.univ-rouen.fr/" TargetMode="External" Id="rId1354"/><Relationship Type="http://schemas.openxmlformats.org/officeDocument/2006/relationships/hyperlink" Target="https://etudesenfrance.diplomatie.gouv.fr/catalogue-formations/formation/38640/site/14602" TargetMode="External" Id="rId1355"/><Relationship Type="http://schemas.openxmlformats.org/officeDocument/2006/relationships/hyperlink" Target="https://www.univ-rouen.fr/actualites/application-des-droits-dinscription-differencies-a-luniversite-de-rouen-normandie-a-compter-de-la-rentree-universitaire-2026-2027/" TargetMode="External" Id="rId1356"/><Relationship Type="http://schemas.openxmlformats.org/officeDocument/2006/relationships/hyperlink" Target="http://sciences-techniques.univ-rouen.fr/" TargetMode="External" Id="rId1357"/><Relationship Type="http://schemas.openxmlformats.org/officeDocument/2006/relationships/hyperlink" Target="https://etudesenfrance.diplomatie.gouv.fr/catalogue-formations/formation/38639/site/14602" TargetMode="External" Id="rId1358"/><Relationship Type="http://schemas.openxmlformats.org/officeDocument/2006/relationships/hyperlink" Target="https://www.univ-rouen.fr/actualites/application-des-droits-dinscription-differencies-a-luniversite-de-rouen-normandie-a-compter-de-la-rentree-universitaire-2026-2027/" TargetMode="External" Id="rId1359"/><Relationship Type="http://schemas.openxmlformats.org/officeDocument/2006/relationships/hyperlink" Target="http://sciences-techniques.univ-rouen.fr/" TargetMode="External" Id="rId1360"/><Relationship Type="http://schemas.openxmlformats.org/officeDocument/2006/relationships/hyperlink" Target="https://etudesenfrance.diplomatie.gouv.fr/catalogue-formations/formation/38641/site/14602" TargetMode="External" Id="rId1361"/><Relationship Type="http://schemas.openxmlformats.org/officeDocument/2006/relationships/hyperlink" Target="https://observalgerie.com/2026/06/13/misc/frais-dinscription-en-france-lille-maintient-un-avantage-pour-les-etudiants-etrangers/" TargetMode="External" Id="rId1362"/><Relationship Type="http://schemas.openxmlformats.org/officeDocument/2006/relationships/hyperlink" Target="https://formation.univ-lille.fr/fr/offre-de-formation/master-lmd-XB/master-sante-publique-MG192720/data-science-en-sante-m1-m2-MX192721.html" TargetMode="External" Id="rId1363"/><Relationship Type="http://schemas.openxmlformats.org/officeDocument/2006/relationships/hyperlink" Target="https://etudesenfrance.diplomatie.gouv.fr/catalogue-formations/formation/61477/site/11102" TargetMode="External" Id="rId1364"/><Relationship Type="http://schemas.openxmlformats.org/officeDocument/2006/relationships/hyperlink" Target="http://sciences-tech.u-pec.fr/" TargetMode="External" Id="rId1365"/><Relationship Type="http://schemas.openxmlformats.org/officeDocument/2006/relationships/hyperlink" Target="https://etudesenfrance.diplomatie.gouv.fr/catalogue-formations/formation/30830/site/10975" TargetMode="External" Id="rId1366"/><Relationship Type="http://schemas.openxmlformats.org/officeDocument/2006/relationships/hyperlink" Target="https://ufr-sciences.unicaen.fr/" TargetMode="External" Id="rId1367"/><Relationship Type="http://schemas.openxmlformats.org/officeDocument/2006/relationships/hyperlink" Target="https://etudesenfrance.diplomatie.gouv.fr/catalogue-formations/formation/59697/site/14113" TargetMode="External" Id="rId1368"/><Relationship Type="http://schemas.openxmlformats.org/officeDocument/2006/relationships/hyperlink" Target="https://www.univ-lyon2.fr/catalogue-des-formations/master-informatique" TargetMode="External" Id="rId1369"/><Relationship Type="http://schemas.openxmlformats.org/officeDocument/2006/relationships/hyperlink" Target="https://etudesenfrance.diplomatie.gouv.fr/catalogue-formations/formation/14610/site/13776" TargetMode="External" Id="rId1370"/><Relationship Type="http://schemas.openxmlformats.org/officeDocument/2006/relationships/hyperlink" Target="http://sciences-tech.u-pec.fr/" TargetMode="External" Id="rId1371"/><Relationship Type="http://schemas.openxmlformats.org/officeDocument/2006/relationships/hyperlink" Target="https://etudesenfrance.diplomatie.gouv.fr/catalogue-formations/formation/14610/site/10975" TargetMode="External" Id="rId1372"/><Relationship Type="http://schemas.openxmlformats.org/officeDocument/2006/relationships/hyperlink" Target="https://galilee.univ-paris13.fr/master/master-informatique/" TargetMode="External" Id="rId1373"/><Relationship Type="http://schemas.openxmlformats.org/officeDocument/2006/relationships/hyperlink" Target="https://etudesenfrance.diplomatie.gouv.fr/catalogue-formations/formation/14610/site/6725" TargetMode="External" Id="rId1374"/><Relationship Type="http://schemas.openxmlformats.org/officeDocument/2006/relationships/hyperlink" Target="https://www.sciences.univ-artois.fr/" TargetMode="External" Id="rId1375"/><Relationship Type="http://schemas.openxmlformats.org/officeDocument/2006/relationships/hyperlink" Target="https://etudesenfrance.diplomatie.gouv.fr/catalogue-formations/formation/38758/site/6611" TargetMode="External" Id="rId1376"/><Relationship Type="http://schemas.openxmlformats.org/officeDocument/2006/relationships/hyperlink" Target="https://ufr-st.univ-lehavre.fr/" TargetMode="External" Id="rId1377"/><Relationship Type="http://schemas.openxmlformats.org/officeDocument/2006/relationships/hyperlink" Target="https://etudesenfrance.diplomatie.gouv.fr/catalogue-formations/formation/30994/site/6626" TargetMode="External" Id="rId1378"/><Relationship Type="http://schemas.openxmlformats.org/officeDocument/2006/relationships/hyperlink" Target="https://www.insset.u-picardie.fr/" TargetMode="External" Id="rId1379"/><Relationship Type="http://schemas.openxmlformats.org/officeDocument/2006/relationships/hyperlink" Target="https://etudesenfrance.diplomatie.gouv.fr/catalogue-formations/formation/30994/site/7207" TargetMode="External" Id="rId1380"/><Relationship Type="http://schemas.openxmlformats.org/officeDocument/2006/relationships/hyperlink" Target="https://etudesenfrance.diplomatie.gouv.fr/catalogue-formations/formation/15334/site/6965" TargetMode="External" Id="rId1381"/><Relationship Type="http://schemas.openxmlformats.org/officeDocument/2006/relationships/hyperlink" Target="https://www.univ-littoral.fr/" TargetMode="External" Id="rId1382"/><Relationship Type="http://schemas.openxmlformats.org/officeDocument/2006/relationships/hyperlink" Target="https://etudesenfrance.diplomatie.gouv.fr/catalogue-formations/formation/57840/site/6662" TargetMode="External" Id="rId1383"/><Relationship Type="http://schemas.openxmlformats.org/officeDocument/2006/relationships/hyperlink" Target="https://sciences.u-picardie.fr/accueil-ufr-sciences" TargetMode="External" Id="rId1384"/><Relationship Type="http://schemas.openxmlformats.org/officeDocument/2006/relationships/hyperlink" Target="https://etudesenfrance.diplomatie.gouv.fr/catalogue-formations/formation/60438/site/6548" TargetMode="External" Id="rId1385"/><Relationship Type="http://schemas.openxmlformats.org/officeDocument/2006/relationships/hyperlink" Target="https://sciences.u-picardie.fr/accueil-ufr-sciences" TargetMode="External" Id="rId1386"/><Relationship Type="http://schemas.openxmlformats.org/officeDocument/2006/relationships/hyperlink" Target="https://etudesenfrance.diplomatie.gouv.fr/catalogue-formations/formation/32207/site/6548" TargetMode="External" Id="rId1387"/><Relationship Type="http://schemas.openxmlformats.org/officeDocument/2006/relationships/hyperlink" Target="https://www.utt.fr/formations/master/" TargetMode="External" Id="rId1388"/><Relationship Type="http://schemas.openxmlformats.org/officeDocument/2006/relationships/hyperlink" Target="https://etudesenfrance.diplomatie.gouv.fr/catalogue-formations/formation/32207/site/6619" TargetMode="External" Id="rId1389"/><Relationship Type="http://schemas.openxmlformats.org/officeDocument/2006/relationships/hyperlink" Target="https://www.utbm.fr/formations/masters/" TargetMode="External" Id="rId1390"/><Relationship Type="http://schemas.openxmlformats.org/officeDocument/2006/relationships/hyperlink" Target="https://etudesenfrance.diplomatie.gouv.fr/catalogue-formations/formation/60341/site/6746" TargetMode="External" Id="rId1391"/><Relationship Type="http://schemas.openxmlformats.org/officeDocument/2006/relationships/hyperlink" Target="https://www.utbm.fr/formations/masters/" TargetMode="External" Id="rId1392"/><Relationship Type="http://schemas.openxmlformats.org/officeDocument/2006/relationships/hyperlink" Target="https://etudesenfrance.diplomatie.gouv.fr/catalogue-formations/formation/60340/site/6746" TargetMode="External" Id="rId1393"/><Relationship Type="http://schemas.openxmlformats.org/officeDocument/2006/relationships/hyperlink" Target="https://www.sciences.univ-artois.fr/" TargetMode="External" Id="rId1394"/><Relationship Type="http://schemas.openxmlformats.org/officeDocument/2006/relationships/hyperlink" Target="https://etudesenfrance.diplomatie.gouv.fr/catalogue-formations/formation/61490/site/6611" TargetMode="External" Id="rId1395"/><Relationship Type="http://schemas.openxmlformats.org/officeDocument/2006/relationships/hyperlink" Target="https://www.sciences.univ-artois.fr/" TargetMode="External" Id="rId1396"/><Relationship Type="http://schemas.openxmlformats.org/officeDocument/2006/relationships/hyperlink" Target="https://etudesenfrance.diplomatie.gouv.fr/catalogue-formations/formation/61493/site/6611" TargetMode="External" Id="rId1397"/><Relationship Type="http://schemas.openxmlformats.org/officeDocument/2006/relationships/hyperlink" Target="https://www.sciences.univ-artois.fr/" TargetMode="External" Id="rId1398"/><Relationship Type="http://schemas.openxmlformats.org/officeDocument/2006/relationships/hyperlink" Target="https://etudesenfrance.diplomatie.gouv.fr/catalogue-formations/formation/61492/site/6611" TargetMode="External" Id="rId1399"/><Relationship Type="http://schemas.openxmlformats.org/officeDocument/2006/relationships/hyperlink" Target="https://ufr-st.univ-lehavre.fr/" TargetMode="External" Id="rId1400"/><Relationship Type="http://schemas.openxmlformats.org/officeDocument/2006/relationships/hyperlink" Target="https://etudesenfrance.diplomatie.gouv.fr/catalogue-formations/formation/14765/site/6626" TargetMode="External" Id="rId1401"/><Relationship Type="http://schemas.openxmlformats.org/officeDocument/2006/relationships/hyperlink" Target="https://formation.univ-pau.fr/fr/catalogue/master-XB/master-mention-mathematiques-et-applications-L3Y9AGO1/parcours-mathematiques-et-informatique-pour-le-big-data-L3Y9CFXD.html" TargetMode="External" Id="rId1402"/><Relationship Type="http://schemas.openxmlformats.org/officeDocument/2006/relationships/hyperlink" Target="https://etudesenfrance.diplomatie.gouv.fr/catalogue-formations/formation/52501/site/13758" TargetMode="External" Id="rId1403"/><Relationship Type="http://schemas.openxmlformats.org/officeDocument/2006/relationships/hyperlink" Target="https://univ-cotedazur.fr/formation/offre-de-formation/parcours-intelligence-artificielle-appliquee-ia2-1" TargetMode="External" Id="rId1404"/><Relationship Type="http://schemas.openxmlformats.org/officeDocument/2006/relationships/hyperlink" Target="https://etudesenfrance.diplomatie.gouv.fr/catalogue-formations/formation/48432/site/14121" TargetMode="External" Id="rId1405"/><Relationship Type="http://schemas.openxmlformats.org/officeDocument/2006/relationships/hyperlink" Target="https://idmc.univ-lorraine.fr/" TargetMode="External" Id="rId1406"/><Relationship Type="http://schemas.openxmlformats.org/officeDocument/2006/relationships/hyperlink" Target="https://etudesenfrance.diplomatie.gouv.fr/catalogue-formations/formation/57603/site/10974" TargetMode="External" Id="rId1407"/><Relationship Type="http://schemas.openxmlformats.org/officeDocument/2006/relationships/hyperlink" Target="https://etudesenfrance.diplomatie.gouv.fr/catalogue-formations/formation/60933/site/10975" TargetMode="External" Id="rId1408"/><Relationship Type="http://schemas.openxmlformats.org/officeDocument/2006/relationships/hyperlink" Target="https://www.univ-ubs.fr/fr/formation-initiale-continue/formations-2017-2018/master-XB/sciences-technologies-sante-STS/master-data-science-modelisation-statistique-program-5sdm00-217-5sdm01.html" TargetMode="External" Id="rId1409"/><Relationship Type="http://schemas.openxmlformats.org/officeDocument/2006/relationships/hyperlink" Target="https://etudesenfrance.diplomatie.gouv.fr/catalogue-formations/formation/38085/site/10649" TargetMode="External" Id="rId1410"/><Relationship Type="http://schemas.openxmlformats.org/officeDocument/2006/relationships/hyperlink" Target="http://sciences-techniques.u-bourgogne.fr/" TargetMode="External" Id="rId1411"/><Relationship Type="http://schemas.openxmlformats.org/officeDocument/2006/relationships/hyperlink" Target="https://etudesenfrance.diplomatie.gouv.fr/catalogue-formations/formation/21616/site/6538" TargetMode="External" Id="rId1412"/><Relationship Type="http://schemas.openxmlformats.org/officeDocument/2006/relationships/hyperlink" Target="https://www.univ-amu.fr/fr/actualites/aix-marseille-universite-mobilise-pleinement-capacite-dexoneration-continuer-accueillir" TargetMode="External" Id="rId1413"/><Relationship Type="http://schemas.openxmlformats.org/officeDocument/2006/relationships/hyperlink" Target="https://sciences.univ-amu.fr/fr/formation/masters/master-bio-informatique" TargetMode="External" Id="rId1414"/><Relationship Type="http://schemas.openxmlformats.org/officeDocument/2006/relationships/hyperlink" Target="https://etudesenfrance.diplomatie.gouv.fr/catalogue-formations/formation/39729/site/7449" TargetMode="External" Id="rId1415"/><Relationship Type="http://schemas.openxmlformats.org/officeDocument/2006/relationships/hyperlink" Target="https://www.univ-amu.fr/fr/actualites/aix-marseille-universite-mobilise-pleinement-capacite-dexoneration-continuer-accueillir" TargetMode="External" Id="rId1416"/><Relationship Type="http://schemas.openxmlformats.org/officeDocument/2006/relationships/hyperlink" Target="https://formations.univ-amu.fr/fr/master/5SIM/PRSIM5C2" TargetMode="External" Id="rId1417"/><Relationship Type="http://schemas.openxmlformats.org/officeDocument/2006/relationships/hyperlink" Target="https://etudesenfrance.diplomatie.gouv.fr/catalogue-formations/formation/39742/site/6655" TargetMode="External" Id="rId1418"/><Relationship Type="http://schemas.openxmlformats.org/officeDocument/2006/relationships/hyperlink" Target="https://www.univ-amu.fr/fr/actualites/aix-marseille-universite-mobilise-pleinement-capacite-dexoneration-continuer-accueillir" TargetMode="External" Id="rId1419"/><Relationship Type="http://schemas.openxmlformats.org/officeDocument/2006/relationships/hyperlink" Target="https://formations.univ-amu.fr/fr/master/5SIN/PRSIN5C1" TargetMode="External" Id="rId1420"/><Relationship Type="http://schemas.openxmlformats.org/officeDocument/2006/relationships/hyperlink" Target="https://etudesenfrance.diplomatie.gouv.fr/catalogue-formations/formation/39687/site/7449" TargetMode="External" Id="rId1421"/><Relationship Type="http://schemas.openxmlformats.org/officeDocument/2006/relationships/hyperlink" Target="https://www.univ-amu.fr/fr/actualites/aix-marseille-universite-mobilise-pleinement-capacite-dexoneration-continuer-accueillir" TargetMode="External" Id="rId1422"/><Relationship Type="http://schemas.openxmlformats.org/officeDocument/2006/relationships/hyperlink" Target="https://formations.univ-amu.fr/fr/master/5SIN/PRSIN5C2" TargetMode="External" Id="rId1423"/><Relationship Type="http://schemas.openxmlformats.org/officeDocument/2006/relationships/hyperlink" Target="https://etudesenfrance.diplomatie.gouv.fr/catalogue-formations/formation/40886/site/7449" TargetMode="External" Id="rId1424"/><Relationship Type="http://schemas.openxmlformats.org/officeDocument/2006/relationships/hyperlink" Target="https://www.univ-amu.fr/fr/actualites/aix-marseille-universite-mobilise-pleinement-capacite-dexoneration-continuer-accueillir" TargetMode="External" Id="rId1425"/><Relationship Type="http://schemas.openxmlformats.org/officeDocument/2006/relationships/hyperlink" Target="https://formations.univ-amu.fr/fr/master/5SIN/PRSIN5C3" TargetMode="External" Id="rId1426"/><Relationship Type="http://schemas.openxmlformats.org/officeDocument/2006/relationships/hyperlink" Target="https://etudesenfrance.diplomatie.gouv.fr/catalogue-formations/formation/39690/site/7449" TargetMode="External" Id="rId1427"/><Relationship Type="http://schemas.openxmlformats.org/officeDocument/2006/relationships/hyperlink" Target="https://www.univ-amu.fr/fr/actualites/aix-marseille-universite-mobilise-pleinement-capacite-dexoneration-continuer-accueillir" TargetMode="External" Id="rId1428"/><Relationship Type="http://schemas.openxmlformats.org/officeDocument/2006/relationships/hyperlink" Target="https://formations.univ-amu.fr/fr/master/5SIN/PRSIN5C4" TargetMode="External" Id="rId1429"/><Relationship Type="http://schemas.openxmlformats.org/officeDocument/2006/relationships/hyperlink" Target="https://etudesenfrance.diplomatie.gouv.fr/catalogue-formations/formation/50100/site/7449" TargetMode="External" Id="rId1430"/><Relationship Type="http://schemas.openxmlformats.org/officeDocument/2006/relationships/hyperlink" Target="https://www.univ-amu.fr/fr/actualites/aix-marseille-universite-mobilise-pleinement-capacite-dexoneration-continuer-accueillir" TargetMode="External" Id="rId1431"/><Relationship Type="http://schemas.openxmlformats.org/officeDocument/2006/relationships/hyperlink" Target="https://formations.univ-amu.fr/fr/master/5SMS/PRSMS5C2" TargetMode="External" Id="rId1432"/><Relationship Type="http://schemas.openxmlformats.org/officeDocument/2006/relationships/hyperlink" Target="https://etudesenfrance.diplomatie.gouv.fr/catalogue-formations/formation/39642/site/12194" TargetMode="External" Id="rId1433"/><Relationship Type="http://schemas.openxmlformats.org/officeDocument/2006/relationships/hyperlink" Target="https://u-paris.fr/droits-dinscription-tarifs-exonerations/" TargetMode="External" Id="rId1434"/><Relationship Type="http://schemas.openxmlformats.org/officeDocument/2006/relationships/hyperlink" Target="http://www.informatique.univ-paris-diderot.fr/" TargetMode="External" Id="rId1435"/><Relationship Type="http://schemas.openxmlformats.org/officeDocument/2006/relationships/hyperlink" Target="https://etudesenfrance.diplomatie.gouv.fr/catalogue-formations/formation/44770/site/11202" TargetMode="External" Id="rId1436"/><Relationship Type="http://schemas.openxmlformats.org/officeDocument/2006/relationships/hyperlink" Target="https://u-paris.fr/droits-dinscription-tarifs-exonerations/" TargetMode="External" Id="rId1437"/><Relationship Type="http://schemas.openxmlformats.org/officeDocument/2006/relationships/hyperlink" Target="http://www.informatique.univ-paris-diderot.fr/" TargetMode="External" Id="rId1438"/><Relationship Type="http://schemas.openxmlformats.org/officeDocument/2006/relationships/hyperlink" Target="https://etudesenfrance.diplomatie.gouv.fr/catalogue-formations/formation/44771/site/11202" TargetMode="External" Id="rId1439"/><Relationship Type="http://schemas.openxmlformats.org/officeDocument/2006/relationships/hyperlink" Target="https://u-paris.fr/droits-dinscription-tarifs-exonerations/" TargetMode="External" Id="rId1440"/><Relationship Type="http://schemas.openxmlformats.org/officeDocument/2006/relationships/hyperlink" Target="http://www.informatique.univ-paris-diderot.fr/" TargetMode="External" Id="rId1441"/><Relationship Type="http://schemas.openxmlformats.org/officeDocument/2006/relationships/hyperlink" Target="https://etudesenfrance.diplomatie.gouv.fr/catalogue-formations/formation/44766/site/11202" TargetMode="External" Id="rId1442"/><Relationship Type="http://schemas.openxmlformats.org/officeDocument/2006/relationships/hyperlink" Target="https://www.univ-paris8.fr/UFR-des-sciences-et-des-technologies-du-numerique-STN" TargetMode="External" Id="rId1443"/><Relationship Type="http://schemas.openxmlformats.org/officeDocument/2006/relationships/hyperlink" Target="https://etudesenfrance.diplomatie.gouv.fr/catalogue-formations/formation/45672/site/10978" TargetMode="External" Id="rId1444"/><Relationship Type="http://schemas.openxmlformats.org/officeDocument/2006/relationships/hyperlink" Target="https://www.univ-paris8.fr/UFR-des-sciences-et-des-technologies-du-numerique-STN" TargetMode="External" Id="rId1445"/><Relationship Type="http://schemas.openxmlformats.org/officeDocument/2006/relationships/hyperlink" Target="https://etudesenfrance.diplomatie.gouv.fr/catalogue-formations/formation/45674/site/10978" TargetMode="External" Id="rId1446"/><Relationship Type="http://schemas.openxmlformats.org/officeDocument/2006/relationships/hyperlink" Target="https://www.utoulouse.fr/medias/fichier/2026-02-ca-075_1774430647495-pdf" TargetMode="External" Id="rId1447"/><Relationship Type="http://schemas.openxmlformats.org/officeDocument/2006/relationships/hyperlink" Target="http://www.univ-tlse3.fr/" TargetMode="External" Id="rId1448"/><Relationship Type="http://schemas.openxmlformats.org/officeDocument/2006/relationships/hyperlink" Target="https://etudesenfrance.diplomatie.gouv.fr/catalogue-formations/formation/37790/site/13714" TargetMode="External" Id="rId1449"/><Relationship Type="http://schemas.openxmlformats.org/officeDocument/2006/relationships/hyperlink" Target="https://www.utoulouse.fr/medias/fichier/2026-02-ca-075_1774430647495-pdf" TargetMode="External" Id="rId1450"/><Relationship Type="http://schemas.openxmlformats.org/officeDocument/2006/relationships/hyperlink" Target="http://www.univ-tlse3.fr/" TargetMode="External" Id="rId1451"/><Relationship Type="http://schemas.openxmlformats.org/officeDocument/2006/relationships/hyperlink" Target="https://etudesenfrance.diplomatie.gouv.fr/catalogue-formations/formation/36605/site/13714" TargetMode="External" Id="rId1452"/><Relationship Type="http://schemas.openxmlformats.org/officeDocument/2006/relationships/hyperlink" Target="https://www.utoulouse.fr/medias/fichier/2026-02-ca-075_1774430647495-pdf" TargetMode="External" Id="rId1453"/><Relationship Type="http://schemas.openxmlformats.org/officeDocument/2006/relationships/hyperlink" Target="https://www.univ-tlse3.fr/" TargetMode="External" Id="rId1454"/><Relationship Type="http://schemas.openxmlformats.org/officeDocument/2006/relationships/hyperlink" Target="https://etudesenfrance.diplomatie.gouv.fr/catalogue-formations/formation/53324/site/13714" TargetMode="External" Id="rId1455"/><Relationship Type="http://schemas.openxmlformats.org/officeDocument/2006/relationships/hyperlink" Target="https://u-paris.fr/droits-dinscription-tarifs-exonerations/" TargetMode="External" Id="rId1456"/><Relationship Type="http://schemas.openxmlformats.org/officeDocument/2006/relationships/hyperlink" Target="https://sdv.u-paris.fr/" TargetMode="External" Id="rId1457"/><Relationship Type="http://schemas.openxmlformats.org/officeDocument/2006/relationships/hyperlink" Target="https://etudesenfrance.diplomatie.gouv.fr/catalogue-formations/formation/44881/site/13824" TargetMode="External" Id="rId1458"/><Relationship Type="http://schemas.openxmlformats.org/officeDocument/2006/relationships/hyperlink" Target="https://www.sorbonne-universite.fr/actualites/le-conseil-dadministration-de-sorbonne-universite-vote-lunanimite-le-7-juillet-2026-sa" TargetMode="External" Id="rId1459"/><Relationship Type="http://schemas.openxmlformats.org/officeDocument/2006/relationships/hyperlink" Target="https://sciences.sorbonne-universite.fr/formation-sciences/masters/master-biologie-moleculaire-et-cellulaire-bmc/m1m2-parcours-bioinformatique-modelisation" TargetMode="External" Id="rId1460"/><Relationship Type="http://schemas.openxmlformats.org/officeDocument/2006/relationships/hyperlink" Target="https://etudesenfrance.diplomatie.gouv.fr/catalogue-formations/formation/44848/site/13735" TargetMode="External" Id="rId1461"/><Relationship Type="http://schemas.openxmlformats.org/officeDocument/2006/relationships/hyperlink" Target="https://www.utoulouse.fr/medias/fichier/2026-02-ca-075_1774430647495-pdf" TargetMode="External" Id="rId1462"/><Relationship Type="http://schemas.openxmlformats.org/officeDocument/2006/relationships/hyperlink" Target="https://www.univ-tlse3.fr/" TargetMode="External" Id="rId1463"/><Relationship Type="http://schemas.openxmlformats.org/officeDocument/2006/relationships/hyperlink" Target="https://etudesenfrance.diplomatie.gouv.fr/catalogue-formations/formation/53300/site/13714" TargetMode="External" Id="rId1464"/><Relationship Type="http://schemas.openxmlformats.org/officeDocument/2006/relationships/hyperlink" Target="https://www.sorbonne-universite.fr/actualites/le-conseil-dadministration-de-sorbonne-universite-vote-lunanimite-le-7-juillet-2026-sa" TargetMode="External" Id="rId1465"/><Relationship Type="http://schemas.openxmlformats.org/officeDocument/2006/relationships/hyperlink" Target="https://sciences.sorbonne-universite.fr/formation-sciences/masters/master-informatique/parcours-ai2d" TargetMode="External" Id="rId1466"/><Relationship Type="http://schemas.openxmlformats.org/officeDocument/2006/relationships/hyperlink" Target="https://etudesenfrance.diplomatie.gouv.fr/catalogue-formations/formation/56363/site/13735" TargetMode="External" Id="rId1467"/><Relationship Type="http://schemas.openxmlformats.org/officeDocument/2006/relationships/hyperlink" Target="https://www.sorbonne-universite.fr/actualites/le-conseil-dadministration-de-sorbonne-universite-vote-lunanimite-le-7-juillet-2026-sa" TargetMode="External" Id="rId1468"/><Relationship Type="http://schemas.openxmlformats.org/officeDocument/2006/relationships/hyperlink" Target="https://sciences.sorbonne-universite.fr/formation-sciences/masters/master-informatique/parcours-bim" TargetMode="External" Id="rId1469"/><Relationship Type="http://schemas.openxmlformats.org/officeDocument/2006/relationships/hyperlink" Target="https://etudesenfrance.diplomatie.gouv.fr/catalogue-formations/formation/44276/site/13735" TargetMode="External" Id="rId1470"/><Relationship Type="http://schemas.openxmlformats.org/officeDocument/2006/relationships/hyperlink" Target="https://www.umontpellier.fr/en/international/etudier-a-letranger/etudiants-internationaux-annee-universitaire-2026-2027/" TargetMode="External" Id="rId1471"/><Relationship Type="http://schemas.openxmlformats.org/officeDocument/2006/relationships/hyperlink" Target="http://sciences.edu.umontpellier.fr/" TargetMode="External" Id="rId1472"/><Relationship Type="http://schemas.openxmlformats.org/officeDocument/2006/relationships/hyperlink" Target="https://etudesenfrance.diplomatie.gouv.fr/catalogue-formations/formation/33216/site/6552" TargetMode="External" Id="rId1473"/><Relationship Type="http://schemas.openxmlformats.org/officeDocument/2006/relationships/hyperlink" Target="https://www.uca.fr/medias/fichier/delib-ca-20251205-15-tarifs-differencies_1765204050111-pdf" TargetMode="External" Id="rId1474"/><Relationship Type="http://schemas.openxmlformats.org/officeDocument/2006/relationships/hyperlink" Target="https://www.uca.fr/formation/nos-formations/catalogue-des-formations/master-info" TargetMode="External" Id="rId1475"/><Relationship Type="http://schemas.openxmlformats.org/officeDocument/2006/relationships/hyperlink" Target="https://etudesenfrance.diplomatie.gouv.fr/catalogue-formations/formation/35531/site/6876" TargetMode="External" Id="rId1476"/><Relationship Type="http://schemas.openxmlformats.org/officeDocument/2006/relationships/hyperlink" Target="https://www.umontpellier.fr/en/international/etudier-a-letranger/etudiants-internationaux-annee-universitaire-2026-2027/" TargetMode="External" Id="rId1477"/><Relationship Type="http://schemas.openxmlformats.org/officeDocument/2006/relationships/hyperlink" Target="http://sciences.edu.umontpellier.fr/" TargetMode="External" Id="rId1478"/><Relationship Type="http://schemas.openxmlformats.org/officeDocument/2006/relationships/hyperlink" Target="https://etudesenfrance.diplomatie.gouv.fr/catalogue-formations/formation/33219/site/6552" TargetMode="External" Id="rId1479"/><Relationship Type="http://schemas.openxmlformats.org/officeDocument/2006/relationships/hyperlink" Target="https://www.univ-grenoble-alpes.fr/actualites/a-la-une/actualites-universite/etudiants-internationaux-ce-que-change-le-nouveau-decret-sur-les-droits-d-inscription-a-l-uga-1775870.kjsp" TargetMode="External" Id="rId1480"/><Relationship Type="http://schemas.openxmlformats.org/officeDocument/2006/relationships/hyperlink" Target="https://im2ag.univ-grenoble-alpes.fr/formation/offre-de-formation/master-informatique/parcours-informatique-classique-1re-annee/master-informatique-parcours-informatique-classique-1re-annee-111065.kjsp" TargetMode="External" Id="rId1481"/><Relationship Type="http://schemas.openxmlformats.org/officeDocument/2006/relationships/hyperlink" Target="https://etudesenfrance.diplomatie.gouv.fr/catalogue-formations/formation/31253/site/6528" TargetMode="External" Id="rId1482"/><Relationship Type="http://schemas.openxmlformats.org/officeDocument/2006/relationships/hyperlink" Target="http://www.fst.uha.fr/" TargetMode="External" Id="rId1483"/><Relationship Type="http://schemas.openxmlformats.org/officeDocument/2006/relationships/hyperlink" Target="https://etudesenfrance.diplomatie.gouv.fr/catalogue-formations/formation/42140/site/10803" TargetMode="External" Id="rId1484"/><Relationship Type="http://schemas.openxmlformats.org/officeDocument/2006/relationships/hyperlink" Target="https://www.umontpellier.fr/en/international/etudier-a-letranger/etudiants-internationaux-annee-universitaire-2026-2027/" TargetMode="External" Id="rId1485"/><Relationship Type="http://schemas.openxmlformats.org/officeDocument/2006/relationships/hyperlink" Target="http://sciences.edu.umontpellier.fr/" TargetMode="External" Id="rId1486"/><Relationship Type="http://schemas.openxmlformats.org/officeDocument/2006/relationships/hyperlink" Target="https://etudesenfrance.diplomatie.gouv.fr/catalogue-formations/formation/33218/site/6552" TargetMode="External" Id="rId1487"/><Relationship Type="http://schemas.openxmlformats.org/officeDocument/2006/relationships/hyperlink" Target="https://www.umlp.fr/sites/default/files/2026-07-02-page-droits-differencies-vf.pdf" TargetMode="External" Id="rId1488"/><Relationship Type="http://schemas.openxmlformats.org/officeDocument/2006/relationships/hyperlink" Target="https://formations.univ-fcomte.fr/fr/index/formations/feuilleter-le-catalogue/master-lmd-XB/master-informatique-M4QWW2KM/master-informatique-ingenierie-systeme-et-logiciel-ufr-st-M4QWWKV5.html" TargetMode="External" Id="rId1489"/><Relationship Type="http://schemas.openxmlformats.org/officeDocument/2006/relationships/hyperlink" Target="https://etudesenfrance.diplomatie.gouv.fr/catalogue-formations/formation/36507/site/6954" TargetMode="External" Id="rId1490"/><Relationship Type="http://schemas.openxmlformats.org/officeDocument/2006/relationships/hyperlink" Target="https://u-paris.fr/droits-dinscription-tarifs-exonerations/" TargetMode="External" Id="rId1491"/><Relationship Type="http://schemas.openxmlformats.org/officeDocument/2006/relationships/hyperlink" Target="https://math-info.u-paris.fr/" TargetMode="External" Id="rId1492"/><Relationship Type="http://schemas.openxmlformats.org/officeDocument/2006/relationships/hyperlink" Target="https://etudesenfrance.diplomatie.gouv.fr/catalogue-formations/formation/44374/site/10684" TargetMode="External" Id="rId1493"/><Relationship Type="http://schemas.openxmlformats.org/officeDocument/2006/relationships/hyperlink" Target="https://sciences.univ-reunion.fr/" TargetMode="External" Id="rId1494"/><Relationship Type="http://schemas.openxmlformats.org/officeDocument/2006/relationships/hyperlink" Target="https://etudesenfrance.diplomatie.gouv.fr/catalogue-formations/formation/61071/site/10674" TargetMode="External" Id="rId1495"/><Relationship Type="http://schemas.openxmlformats.org/officeDocument/2006/relationships/hyperlink" Target="https://www.utoulouse.fr/medias/fichier/2026-02-ca-075_1774430647495-pdf" TargetMode="External" Id="rId1496"/><Relationship Type="http://schemas.openxmlformats.org/officeDocument/2006/relationships/hyperlink" Target="http://www.univ-tlse3.fr/" TargetMode="External" Id="rId1497"/><Relationship Type="http://schemas.openxmlformats.org/officeDocument/2006/relationships/hyperlink" Target="https://etudesenfrance.diplomatie.gouv.fr/catalogue-formations/formation/36593/site/13714" TargetMode="External" Id="rId1498"/><Relationship Type="http://schemas.openxmlformats.org/officeDocument/2006/relationships/hyperlink" Target="https://etudesenfrance.diplomatie.gouv.fr/catalogue-formations/formation/35747/site/14115" TargetMode="External" Id="rId1499"/><Relationship Type="http://schemas.openxmlformats.org/officeDocument/2006/relationships/hyperlink" Target="https://www.utoulouse.fr/medias/fichier/2026-02-ca-075_1774430647495-pdf" TargetMode="External" Id="rId1500"/><Relationship Type="http://schemas.openxmlformats.org/officeDocument/2006/relationships/hyperlink" Target="http://www.univ-tlse3.fr/" TargetMode="External" Id="rId1501"/><Relationship Type="http://schemas.openxmlformats.org/officeDocument/2006/relationships/hyperlink" Target="https://etudesenfrance.diplomatie.gouv.fr/catalogue-formations/formation/36594/site/13714" TargetMode="External" Id="rId1502"/><Relationship Type="http://schemas.openxmlformats.org/officeDocument/2006/relationships/hyperlink" Target="https://www.sorbonne-universite.fr/actualites/le-conseil-dadministration-de-sorbonne-universite-vote-lunanimite-le-7-juillet-2026-sa" TargetMode="External" Id="rId1503"/><Relationship Type="http://schemas.openxmlformats.org/officeDocument/2006/relationships/hyperlink" Target="https://sciences.sorbonne-universite.fr/formation-sciences/masters/master-informatique/parcours-mind" TargetMode="External" Id="rId1504"/><Relationship Type="http://schemas.openxmlformats.org/officeDocument/2006/relationships/hyperlink" Target="https://etudesenfrance.diplomatie.gouv.fr/catalogue-formations/formation/44277/site/13735" TargetMode="External" Id="rId1505"/><Relationship Type="http://schemas.openxmlformats.org/officeDocument/2006/relationships/hyperlink" Target="https://www.utoulouse.fr/medias/fichier/2026-02-ca-075_1774430647495-pdf" TargetMode="External" Id="rId1506"/><Relationship Type="http://schemas.openxmlformats.org/officeDocument/2006/relationships/hyperlink" Target="http://www.univ-tlse3.fr/" TargetMode="External" Id="rId1507"/><Relationship Type="http://schemas.openxmlformats.org/officeDocument/2006/relationships/hyperlink" Target="https://etudesenfrance.diplomatie.gouv.fr/catalogue-formations/formation/36592/site/13714" TargetMode="External" Id="rId1508"/><Relationship Type="http://schemas.openxmlformats.org/officeDocument/2006/relationships/hyperlink" Target="https://www.sorbonne-universite.fr/actualites/le-conseil-dadministration-de-sorbonne-universite-vote-lunanimite-le-7-juillet-2026-sa" TargetMode="External" Id="rId1509"/><Relationship Type="http://schemas.openxmlformats.org/officeDocument/2006/relationships/hyperlink" Target="https://sciences.sorbonne-universite.fr/formation-sciences/masters/master-informatique/parcours-stl" TargetMode="External" Id="rId1510"/><Relationship Type="http://schemas.openxmlformats.org/officeDocument/2006/relationships/hyperlink" Target="https://etudesenfrance.diplomatie.gouv.fr/catalogue-formations/formation/44280/site/13735" TargetMode="External" Id="rId1511"/><Relationship Type="http://schemas.openxmlformats.org/officeDocument/2006/relationships/hyperlink" Target="https://www.uca.fr/medias/fichier/delib-ca-20251205-15-tarifs-differencies_1765204050111-pdf" TargetMode="External" Id="rId1512"/><Relationship Type="http://schemas.openxmlformats.org/officeDocument/2006/relationships/hyperlink" Target="https://www.uca.fr/formation/nos-formations/catalogue-des-formations/master-info" TargetMode="External" Id="rId1513"/><Relationship Type="http://schemas.openxmlformats.org/officeDocument/2006/relationships/hyperlink" Target="https://etudesenfrance.diplomatie.gouv.fr/catalogue-formations/formation/35528/site/6876" TargetMode="External" Id="rId1514"/><Relationship Type="http://schemas.openxmlformats.org/officeDocument/2006/relationships/hyperlink" Target="https://www.sorbonne-universite.fr/actualites/le-conseil-dadministration-de-sorbonne-universite-vote-lunanimite-le-7-juillet-2026-sa" TargetMode="External" Id="rId1515"/><Relationship Type="http://schemas.openxmlformats.org/officeDocument/2006/relationships/hyperlink" Target="https://sciences.sorbonne-universite.fr/formation-sciences/masters/master-informatique/parcours-sar" TargetMode="External" Id="rId1516"/><Relationship Type="http://schemas.openxmlformats.org/officeDocument/2006/relationships/hyperlink" Target="https://etudesenfrance.diplomatie.gouv.fr/catalogue-formations/formation/44284/site/13735" TargetMode="External" Id="rId1517"/><Relationship Type="http://schemas.openxmlformats.org/officeDocument/2006/relationships/hyperlink" Target="http://www.fst.uha.fr/" TargetMode="External" Id="rId1518"/><Relationship Type="http://schemas.openxmlformats.org/officeDocument/2006/relationships/hyperlink" Target="https://etudesenfrance.diplomatie.gouv.fr/catalogue-formations/formation/42146/site/10803" TargetMode="External" Id="rId1519"/><Relationship Type="http://schemas.openxmlformats.org/officeDocument/2006/relationships/hyperlink" Target="https://www.umontpellier.fr/en/international/etudier-a-letranger/etudiants-internationaux-annee-universitaire-2026-2027/" TargetMode="External" Id="rId1520"/><Relationship Type="http://schemas.openxmlformats.org/officeDocument/2006/relationships/hyperlink" Target="http://sciences.edu.umontpellier.fr/" TargetMode="External" Id="rId1521"/><Relationship Type="http://schemas.openxmlformats.org/officeDocument/2006/relationships/hyperlink" Target="https://etudesenfrance.diplomatie.gouv.fr/catalogue-formations/formation/32440/site/6552" TargetMode="External" Id="rId1522"/><Relationship Type="http://schemas.openxmlformats.org/officeDocument/2006/relationships/hyperlink" Target="https://www.umontpellier.fr/en/international/etudier-a-letranger/etudiants-internationaux-annee-universitaire-2026-2027/" TargetMode="External" Id="rId1523"/><Relationship Type="http://schemas.openxmlformats.org/officeDocument/2006/relationships/hyperlink" Target="http://sciences.edu.umontpellier.fr/" TargetMode="External" Id="rId1524"/><Relationship Type="http://schemas.openxmlformats.org/officeDocument/2006/relationships/hyperlink" Target="https://etudesenfrance.diplomatie.gouv.fr/catalogue-formations/formation/32394/site/6552" TargetMode="External" Id="rId1525"/><Relationship Type="http://schemas.openxmlformats.org/officeDocument/2006/relationships/hyperlink" Target="https://etudesenfrance.diplomatie.gouv.fr/catalogue-formations/formation/61452/site/11137" TargetMode="External" Id="rId1526"/><Relationship Type="http://schemas.openxmlformats.org/officeDocument/2006/relationships/hyperlink" Target="https://www.univ-amu.fr/fr/actualites/aix-marseille-universite-mobilise-pleinement-capacite-dexoneration-continuer-accueillir" TargetMode="External" Id="rId1527"/><Relationship Type="http://schemas.openxmlformats.org/officeDocument/2006/relationships/hyperlink" Target="https://formations.univ-amu.fr/fr/master/5SIN/PRSIN5C6" TargetMode="External" Id="rId1528"/><Relationship Type="http://schemas.openxmlformats.org/officeDocument/2006/relationships/hyperlink" Target="https://etudesenfrance.diplomatie.gouv.fr/catalogue-formations/formation/58896/site/7449" TargetMode="External" Id="rId1529"/><Relationship Type="http://schemas.openxmlformats.org/officeDocument/2006/relationships/hyperlink" Target="https://etudesenfrance.diplomatie.gouv.fr/catalogue-formations/formation/31085/site/13884" TargetMode="External" Id="rId1530"/><Relationship Type="http://schemas.openxmlformats.org/officeDocument/2006/relationships/hyperlink" Target="https://www.univ-guyane.fr/formation/nos-formations/formations-dfr-sciences-technologies/master-energie/" TargetMode="External" Id="rId1531"/><Relationship Type="http://schemas.openxmlformats.org/officeDocument/2006/relationships/hyperlink" Target="https://etudesenfrance.diplomatie.gouv.fr/catalogue-formations/formation/49871/site/14094" TargetMode="External" Id="rId1532"/><Relationship Type="http://schemas.openxmlformats.org/officeDocument/2006/relationships/hyperlink" Target="https://www.univ-paris8.fr/-Master-Ingenierie-en-Intelligence-Artificielle-I2A-" TargetMode="External" Id="rId1533"/><Relationship Type="http://schemas.openxmlformats.org/officeDocument/2006/relationships/hyperlink" Target="https://etudesenfrance.diplomatie.gouv.fr/catalogue-formations/formation/60000/site/10978" TargetMode="External" Id="rId1534"/><Relationship Type="http://schemas.openxmlformats.org/officeDocument/2006/relationships/hyperlink" Target="https://u-paris.fr/droits-dinscription-tarifs-exonerations/" TargetMode="External" Id="rId1535"/><Relationship Type="http://schemas.openxmlformats.org/officeDocument/2006/relationships/hyperlink" Target="http://www.informatique.univ-paris-diderot.fr/" TargetMode="External" Id="rId1536"/><Relationship Type="http://schemas.openxmlformats.org/officeDocument/2006/relationships/hyperlink" Target="https://etudesenfrance.diplomatie.gouv.fr/catalogue-formations/formation/58335/site/11202" TargetMode="External" Id="rId1537"/><Relationship Type="http://schemas.openxmlformats.org/officeDocument/2006/relationships/hyperlink" Target="http://www.imt-atlantique.fr/" TargetMode="External" Id="rId1538"/><Relationship Type="http://schemas.openxmlformats.org/officeDocument/2006/relationships/hyperlink" Target="https://etudesenfrance.diplomatie.gouv.fr/catalogue-formations/formation/14610/site/6501" TargetMode="External" Id="rId1539"/><Relationship Type="http://schemas.openxmlformats.org/officeDocument/2006/relationships/hyperlink" Target="https://igm.univ-gustave-eiffel.fr/" TargetMode="External" Id="rId1540"/><Relationship Type="http://schemas.openxmlformats.org/officeDocument/2006/relationships/hyperlink" Target="https://etudesenfrance.diplomatie.gouv.fr/catalogue-formations/formation/14610/site/10729" TargetMode="External" Id="rId1541"/><Relationship Type="http://schemas.openxmlformats.org/officeDocument/2006/relationships/hyperlink" Target="http://www.supelec.fr/" TargetMode="External" Id="rId1542"/><Relationship Type="http://schemas.openxmlformats.org/officeDocument/2006/relationships/hyperlink" Target="https://etudesenfrance.diplomatie.gouv.fr/catalogue-formations/formation/14610/site/10843" TargetMode="External" Id="rId1543"/><Relationship Type="http://schemas.openxmlformats.org/officeDocument/2006/relationships/hyperlink" Target="http://www.supelec.fr/metz" TargetMode="External" Id="rId1544"/><Relationship Type="http://schemas.openxmlformats.org/officeDocument/2006/relationships/hyperlink" Target="https://etudesenfrance.diplomatie.gouv.fr/catalogue-formations/formation/14610/site/11870" TargetMode="External" Id="rId1545"/><Relationship Type="http://schemas.openxmlformats.org/officeDocument/2006/relationships/hyperlink" Target="http://www.ens.fr/" TargetMode="External" Id="rId1546"/><Relationship Type="http://schemas.openxmlformats.org/officeDocument/2006/relationships/hyperlink" Target="https://etudesenfrance.diplomatie.gouv.fr/catalogue-formations/formation/14610/site/10666" TargetMode="External" Id="rId1547"/><Relationship Type="http://schemas.openxmlformats.org/officeDocument/2006/relationships/hyperlink" Target="https://www.uca.fr/medias/fichier/delib-ca-20251205-15-tarifs-differencies_1765204050111-pdf" TargetMode="External" Id="rId1548"/><Relationship Type="http://schemas.openxmlformats.org/officeDocument/2006/relationships/hyperlink" Target="https://www.uca.fr/formation/nos-formations/catalogue-des-formations/master-info" TargetMode="External" Id="rId1549"/><Relationship Type="http://schemas.openxmlformats.org/officeDocument/2006/relationships/hyperlink" Target="https://etudesenfrance.diplomatie.gouv.fr/catalogue-formations/formation/30295/site/6876" TargetMode="External" Id="rId1550"/><Relationship Type="http://schemas.openxmlformats.org/officeDocument/2006/relationships/hyperlink" Target="https://u-paris.fr/droits-dinscription-tarifs-exonerations/" TargetMode="External" Id="rId1551"/><Relationship Type="http://schemas.openxmlformats.org/officeDocument/2006/relationships/hyperlink" Target="https://odf.u-paris.fr/fr/offre-de-formation/master-XB/sciences-technologies-sante-STS/informatique-K2NDIF4R.html" TargetMode="External" Id="rId1552"/><Relationship Type="http://schemas.openxmlformats.org/officeDocument/2006/relationships/hyperlink" Target="https://etudesenfrance.diplomatie.gouv.fr/catalogue-formations/formation/58306/site/7430" TargetMode="External" Id="rId1553"/><Relationship Type="http://schemas.openxmlformats.org/officeDocument/2006/relationships/hyperlink" Target="https://u-paris.fr/droits-dinscription-tarifs-exonerations/" TargetMode="External" Id="rId1554"/><Relationship Type="http://schemas.openxmlformats.org/officeDocument/2006/relationships/hyperlink" Target="https://math-info.u-paris.fr/" TargetMode="External" Id="rId1555"/><Relationship Type="http://schemas.openxmlformats.org/officeDocument/2006/relationships/hyperlink" Target="https://etudesenfrance.diplomatie.gouv.fr/catalogue-formations/formation/52755/site/10684" TargetMode="External" Id="rId1556"/><Relationship Type="http://schemas.openxmlformats.org/officeDocument/2006/relationships/hyperlink" Target="https://www.sorbonne-universite.fr/actualites/le-conseil-dadministration-de-sorbonne-universite-vote-lunanimite-le-7-juillet-2026-sa" TargetMode="External" Id="rId1557"/><Relationship Type="http://schemas.openxmlformats.org/officeDocument/2006/relationships/hyperlink" Target="https://sciences.sorbonne-universite.fr/formation-sciences/offre-de-formation/masters/master-informatique/parcours-cca" TargetMode="External" Id="rId1558"/><Relationship Type="http://schemas.openxmlformats.org/officeDocument/2006/relationships/hyperlink" Target="https://etudesenfrance.diplomatie.gouv.fr/catalogue-formations/formation/56356/site/13735" TargetMode="External" Id="rId1559"/><Relationship Type="http://schemas.openxmlformats.org/officeDocument/2006/relationships/hyperlink" Target="https://www.utoulouse.fr/medias/fichier/2026-02-ca-075_1774430647495-pdf" TargetMode="External" Id="rId1560"/><Relationship Type="http://schemas.openxmlformats.org/officeDocument/2006/relationships/hyperlink" Target="https://www.univ-tlse3.fr/" TargetMode="External" Id="rId1561"/><Relationship Type="http://schemas.openxmlformats.org/officeDocument/2006/relationships/hyperlink" Target="https://etudesenfrance.diplomatie.gouv.fr/catalogue-formations/formation/53403/site/13714" TargetMode="External" Id="rId1562"/><Relationship Type="http://schemas.openxmlformats.org/officeDocument/2006/relationships/hyperlink" Target="https://etudesenfrance.diplomatie.gouv.fr/catalogue-formations/formation/61347/site/6622" TargetMode="External" Id="rId1563"/><Relationship Type="http://schemas.openxmlformats.org/officeDocument/2006/relationships/hyperlink" Target="http://www.ens.fr/" TargetMode="External" Id="rId1564"/><Relationship Type="http://schemas.openxmlformats.org/officeDocument/2006/relationships/hyperlink" Target="https://etudesenfrance.diplomatie.gouv.fr/catalogue-formations/formation/14765/site/10666" TargetMode="External" Id="rId1565"/><Relationship Type="http://schemas.openxmlformats.org/officeDocument/2006/relationships/hyperlink" Target="https://www.sorbonne-universite.fr/actualites/le-conseil-dadministration-de-sorbonne-universite-vote-lunanimite-le-7-juillet-2026-sa" TargetMode="External" Id="rId1566"/><Relationship Type="http://schemas.openxmlformats.org/officeDocument/2006/relationships/hyperlink" Target="https://sciences.sorbonne-universite.fr/masters/master-mathematiques-et-applications" TargetMode="External" Id="rId1567"/><Relationship Type="http://schemas.openxmlformats.org/officeDocument/2006/relationships/hyperlink" Target="https://etudesenfrance.diplomatie.gouv.fr/catalogue-formations/formation/14765/site/13735" TargetMode="External" Id="rId1568"/><Relationship Type="http://schemas.openxmlformats.org/officeDocument/2006/relationships/hyperlink" Target="https://www.sorbonne-universite.fr/actualites/le-conseil-dadministration-de-sorbonne-universite-vote-lunanimite-le-7-juillet-2026-sa" TargetMode="External" Id="rId1569"/><Relationship Type="http://schemas.openxmlformats.org/officeDocument/2006/relationships/hyperlink" Target="https://sciences.sorbonne-universite.fr/masters/master-mathematiques-et-applications" TargetMode="External" Id="rId1570"/><Relationship Type="http://schemas.openxmlformats.org/officeDocument/2006/relationships/hyperlink" Target="https://etudesenfrance.diplomatie.gouv.fr/catalogue-formations/formation/57918/site/13735" TargetMode="External" Id="rId1571"/><Relationship Type="http://schemas.openxmlformats.org/officeDocument/2006/relationships/hyperlink" Target="https://www.univ-grenoble-alpes.fr/actualites/a-la-une/actualites-universite/etudiants-internationaux-ce-que-change-le-nouveau-decret-sur-les-droits-d-inscription-a-l-uga-1775870.kjsp" TargetMode="External" Id="rId1572"/><Relationship Type="http://schemas.openxmlformats.org/officeDocument/2006/relationships/hyperlink" Target="https://formations.univ-grenoble-alpes.fr/fr/catalogue-2021/master-XB/master-methodes-informatiques-appliquees-a-la-gestion-des-entreprises-miage-KPWBYAF2.html" TargetMode="External" Id="rId1573"/><Relationship Type="http://schemas.openxmlformats.org/officeDocument/2006/relationships/hyperlink" Target="https://etudesenfrance.diplomatie.gouv.fr/catalogue-formations/formation/61834/site/6528" TargetMode="External" Id="rId1574"/><Relationship Type="http://schemas.openxmlformats.org/officeDocument/2006/relationships/hyperlink" Target="https://u-paris.fr/droits-dinscription-tarifs-exonerations/" TargetMode="External" Id="rId1575"/><Relationship Type="http://schemas.openxmlformats.org/officeDocument/2006/relationships/hyperlink" Target="https://math-info.u-paris.fr/" TargetMode="External" Id="rId1576"/><Relationship Type="http://schemas.openxmlformats.org/officeDocument/2006/relationships/hyperlink" Target="https://etudesenfrance.diplomatie.gouv.fr/catalogue-formations/formation/52750/site/10684" TargetMode="External" Id="rId1577"/><Relationship Type="http://schemas.openxmlformats.org/officeDocument/2006/relationships/hyperlink" Target="https://univ-cotedazur.fr/formation/offre-de-formation/parcours-biologie-bioinformatique-computationnelle" TargetMode="External" Id="rId1578"/><Relationship Type="http://schemas.openxmlformats.org/officeDocument/2006/relationships/hyperlink" Target="https://etudesenfrance.diplomatie.gouv.fr/catalogue-formations/formation/50450/site/6953" TargetMode="External" Id="rId1579"/><Relationship Type="http://schemas.openxmlformats.org/officeDocument/2006/relationships/hyperlink" Target="http://www.univ-rennes2.fr/" TargetMode="External" Id="rId1580"/><Relationship Type="http://schemas.openxmlformats.org/officeDocument/2006/relationships/hyperlink" Target="https://etudesenfrance.diplomatie.gouv.fr/catalogue-formations/formation/40925/site/11301" TargetMode="External" Id="rId1581"/><Relationship Type="http://schemas.openxmlformats.org/officeDocument/2006/relationships/hyperlink" Target="https://etudesenfrance.diplomatie.gouv.fr/catalogue-formations/formation/58762/site/6598" TargetMode="External" Id="rId1582"/><Relationship Type="http://schemas.openxmlformats.org/officeDocument/2006/relationships/hyperlink" Target="http://www-instn.cea.fr/" TargetMode="External" Id="rId1583"/><Relationship Type="http://schemas.openxmlformats.org/officeDocument/2006/relationships/hyperlink" Target="https://etudesenfrance.diplomatie.gouv.fr/catalogue-formations/formation/25063/site/6818" TargetMode="External" Id="rId1584"/><Relationship Type="http://schemas.openxmlformats.org/officeDocument/2006/relationships/hyperlink" Target="http://www.ensea.fr/" TargetMode="External" Id="rId1585"/><Relationship Type="http://schemas.openxmlformats.org/officeDocument/2006/relationships/hyperlink" Target="https://etudesenfrance.diplomatie.gouv.fr/catalogue-formations/formation/24114/site/6869" TargetMode="External" Id="rId1586"/><Relationship Type="http://schemas.openxmlformats.org/officeDocument/2006/relationships/hyperlink" Target="http://www.ens.fr/" TargetMode="External" Id="rId1587"/><Relationship Type="http://schemas.openxmlformats.org/officeDocument/2006/relationships/hyperlink" Target="https://etudesenfrance.diplomatie.gouv.fr/catalogue-formations/formation/23758/site/10666" TargetMode="External" Id="rId1588"/><Relationship Type="http://schemas.openxmlformats.org/officeDocument/2006/relationships/hyperlink" Target="http://www.ens.fr/" TargetMode="External" Id="rId1589"/><Relationship Type="http://schemas.openxmlformats.org/officeDocument/2006/relationships/hyperlink" Target="https://etudesenfrance.diplomatie.gouv.fr/catalogue-formations/formation/24134/site/10666" TargetMode="External" Id="rId1590"/><Relationship Type="http://schemas.openxmlformats.org/officeDocument/2006/relationships/hyperlink" Target="http://www-instn.cea.fr/" TargetMode="External" Id="rId1591"/><Relationship Type="http://schemas.openxmlformats.org/officeDocument/2006/relationships/hyperlink" Target="https://etudesenfrance.diplomatie.gouv.fr/catalogue-formations/formation/24004/site/6818" TargetMode="External" Id="rId1592"/><Relationship Type="http://schemas.openxmlformats.org/officeDocument/2006/relationships/hyperlink" Target="https://www.sorbonne-universite.fr/actualites/le-conseil-dadministration-de-sorbonne-universite-vote-lunanimite-le-7-juillet-2026-sa" TargetMode="External" Id="rId1593"/><Relationship Type="http://schemas.openxmlformats.org/officeDocument/2006/relationships/hyperlink" Target="http://www.polytech.upmc.fr/" TargetMode="External" Id="rId1594"/><Relationship Type="http://schemas.openxmlformats.org/officeDocument/2006/relationships/hyperlink" Target="https://etudesenfrance.diplomatie.gouv.fr/catalogue-formations/formation/31983/site/6767" TargetMode="External" Id="rId1595"/><Relationship Type="http://schemas.openxmlformats.org/officeDocument/2006/relationships/hyperlink" Target="http://www.isty.uvsq.fr/" TargetMode="External" Id="rId1596"/><Relationship Type="http://schemas.openxmlformats.org/officeDocument/2006/relationships/hyperlink" Target="https://etudesenfrance.diplomatie.gouv.fr/catalogue-formations/formation/14362/site/6873" TargetMode="External" Id="rId1597"/><Relationship Type="http://schemas.openxmlformats.org/officeDocument/2006/relationships/hyperlink" Target="http://www.sup-galilee.univ-paris13.fr/" TargetMode="External" Id="rId1598"/><Relationship Type="http://schemas.openxmlformats.org/officeDocument/2006/relationships/hyperlink" Target="https://etudesenfrance.diplomatie.gouv.fr/catalogue-formations/formation/17880/site/6725" TargetMode="External" Id="rId1599"/><Relationship Type="http://schemas.openxmlformats.org/officeDocument/2006/relationships/hyperlink" Target="http://www.sup-galilee.univ-paris13.fr/" TargetMode="External" Id="rId1600"/><Relationship Type="http://schemas.openxmlformats.org/officeDocument/2006/relationships/hyperlink" Target="https://etudesenfrance.diplomatie.gouv.fr/catalogue-formations/formation/17879/site/6725" TargetMode="External" Id="rId1601"/><Relationship Type="http://schemas.openxmlformats.org/officeDocument/2006/relationships/hyperlink" Target="https://episen.u-pec.fr/" TargetMode="External" Id="rId1602"/><Relationship Type="http://schemas.openxmlformats.org/officeDocument/2006/relationships/hyperlink" Target="https://etudesenfrance.diplomatie.gouv.fr/catalogue-formations/formation/39058/site/13680" TargetMode="External" Id="rId1603"/><Relationship Type="http://schemas.openxmlformats.org/officeDocument/2006/relationships/hyperlink" Target="http://www.insa-rennes.fr/" TargetMode="External" Id="rId1604"/><Relationship Type="http://schemas.openxmlformats.org/officeDocument/2006/relationships/hyperlink" Target="https://etudesenfrance.diplomatie.gouv.fr/catalogue-formations/formation/17865/site/6797" TargetMode="External" Id="rId1605"/><Relationship Type="http://schemas.openxmlformats.org/officeDocument/2006/relationships/hyperlink" Target="http://www.insa-rennes.fr/" TargetMode="External" Id="rId1606"/><Relationship Type="http://schemas.openxmlformats.org/officeDocument/2006/relationships/hyperlink" Target="https://etudesenfrance.diplomatie.gouv.fr/catalogue-formations/formation/17871/site/6797" TargetMode="External" Id="rId1607"/><Relationship Type="http://schemas.openxmlformats.org/officeDocument/2006/relationships/hyperlink" Target="http://www.utt.fr/" TargetMode="External" Id="rId1608"/><Relationship Type="http://schemas.openxmlformats.org/officeDocument/2006/relationships/hyperlink" Target="https://etudesenfrance.diplomatie.gouv.fr/catalogue-formations/formation/14369/site/6619" TargetMode="External" Id="rId1609"/><Relationship Type="http://schemas.openxmlformats.org/officeDocument/2006/relationships/hyperlink" Target="http://esiroi.univ-reunion.fr/" TargetMode="External" Id="rId1610"/><Relationship Type="http://schemas.openxmlformats.org/officeDocument/2006/relationships/hyperlink" Target="https://etudesenfrance.diplomatie.gouv.fr/catalogue-formations/formation/36139/site/10986" TargetMode="External" Id="rId1611"/><Relationship Type="http://schemas.openxmlformats.org/officeDocument/2006/relationships/hyperlink" Target="https://etudesenfrance.diplomatie.gouv.fr/catalogue-formations/formation/57420/site/6874" TargetMode="External" Id="rId1612"/><Relationship Type="http://schemas.openxmlformats.org/officeDocument/2006/relationships/hyperlink" Target="https://cytech.cyu.fr/" TargetMode="External" Id="rId1613"/><Relationship Type="http://schemas.openxmlformats.org/officeDocument/2006/relationships/hyperlink" Target="https://etudesenfrance.diplomatie.gouv.fr/catalogue-formations/formation/17903/site/11783" TargetMode="External" Id="rId1614"/><Relationship Type="http://schemas.openxmlformats.org/officeDocument/2006/relationships/hyperlink" Target="https://cytech.cyu.fr/international-cy-tech/programme-grande-ecole-ingenieur" TargetMode="External" Id="rId1615"/><Relationship Type="http://schemas.openxmlformats.org/officeDocument/2006/relationships/hyperlink" Target="https://etudesenfrance.diplomatie.gouv.fr/catalogue-formations/formation/17903/site/6877" TargetMode="External" Id="rId1616"/><Relationship Type="http://schemas.openxmlformats.org/officeDocument/2006/relationships/hyperlink" Target="http://www.ig2i.fr/" TargetMode="External" Id="rId1617"/><Relationship Type="http://schemas.openxmlformats.org/officeDocument/2006/relationships/hyperlink" Target="https://etudesenfrance.diplomatie.gouv.fr/catalogue-formations/formation/13760/site/6761" TargetMode="External" Id="rId1618"/><Relationship Type="http://schemas.openxmlformats.org/officeDocument/2006/relationships/hyperlink" Target="https://www.eilco-ulco.fr/" TargetMode="External" Id="rId1619"/><Relationship Type="http://schemas.openxmlformats.org/officeDocument/2006/relationships/hyperlink" Target="https://etudesenfrance.diplomatie.gouv.fr/catalogue-formations/formation/46099/site/13884" TargetMode="External" Id="rId1620"/><Relationship Type="http://schemas.openxmlformats.org/officeDocument/2006/relationships/hyperlink" Target="http://www.ensiie.fr/" TargetMode="External" Id="rId1621"/><Relationship Type="http://schemas.openxmlformats.org/officeDocument/2006/relationships/hyperlink" Target="https://etudesenfrance.diplomatie.gouv.fr/catalogue-formations/formation/14340/site/6882" TargetMode="External" Id="rId1622"/><Relationship Type="http://schemas.openxmlformats.org/officeDocument/2006/relationships/hyperlink" Target="http://www.ensisa.uha.fr/" TargetMode="External" Id="rId1623"/><Relationship Type="http://schemas.openxmlformats.org/officeDocument/2006/relationships/hyperlink" Target="https://etudesenfrance.diplomatie.gouv.fr/catalogue-formations/formation/13788/site/10689" TargetMode="External" Id="rId1624"/><Relationship Type="http://schemas.openxmlformats.org/officeDocument/2006/relationships/hyperlink" Target="https://www.polytech-lille.fr/formation/informatique-et-statistique/" TargetMode="External" Id="rId1625"/><Relationship Type="http://schemas.openxmlformats.org/officeDocument/2006/relationships/hyperlink" Target="https://etudesenfrance.diplomatie.gouv.fr/catalogue-formations/formation/37175/site/6660" TargetMode="External" Id="rId1626"/><Relationship Type="http://schemas.openxmlformats.org/officeDocument/2006/relationships/hyperlink" Target="https://www.univ-amu.fr/fr/actualites/aix-marseille-universite-mobilise-pleinement-capacite-dexoneration-continuer-accueillir" TargetMode="External" Id="rId1627"/><Relationship Type="http://schemas.openxmlformats.org/officeDocument/2006/relationships/hyperlink" Target="https://polytech.univ-amu.fr/fr/formations/cycle-ingenieur/genie-industriel-informatique" TargetMode="External" Id="rId1628"/><Relationship Type="http://schemas.openxmlformats.org/officeDocument/2006/relationships/hyperlink" Target="https://etudesenfrance.diplomatie.gouv.fr/catalogue-formations/formation/14357/site/13555" TargetMode="External" Id="rId1629"/><Relationship Type="http://schemas.openxmlformats.org/officeDocument/2006/relationships/hyperlink" Target="https://www.univ-amu.fr/fr/actualites/aix-marseille-universite-mobilise-pleinement-capacite-dexoneration-continuer-accueillir" TargetMode="External" Id="rId1630"/><Relationship Type="http://schemas.openxmlformats.org/officeDocument/2006/relationships/hyperlink" Target="https://polytech.univ-amu.fr/fr/formations/cycle-ingenieur/informatique" TargetMode="External" Id="rId1631"/><Relationship Type="http://schemas.openxmlformats.org/officeDocument/2006/relationships/hyperlink" Target="https://etudesenfrance.diplomatie.gouv.fr/catalogue-formations/formation/14353/site/12934" TargetMode="External" Id="rId1632"/><Relationship Type="http://schemas.openxmlformats.org/officeDocument/2006/relationships/hyperlink" Target="http://www.polytech.univ-savoie.fr/" TargetMode="External" Id="rId1633"/><Relationship Type="http://schemas.openxmlformats.org/officeDocument/2006/relationships/hyperlink" Target="https://etudesenfrance.diplomatie.gouv.fr/catalogue-formations/formation/40245/site/13557" TargetMode="External" Id="rId1634"/><Relationship Type="http://schemas.openxmlformats.org/officeDocument/2006/relationships/hyperlink" Target="https://www.polytech.universite-paris-saclay.fr/formation/informatique-et-ingenierie-mathematique" TargetMode="External" Id="rId1635"/><Relationship Type="http://schemas.openxmlformats.org/officeDocument/2006/relationships/hyperlink" Target="https://etudesenfrance.diplomatie.gouv.fr/catalogue-formations/formation/37270/site/6758" TargetMode="External" Id="rId1636"/><Relationship Type="http://schemas.openxmlformats.org/officeDocument/2006/relationships/hyperlink" Target="http://www.supelec.fr/" TargetMode="External" Id="rId1637"/><Relationship Type="http://schemas.openxmlformats.org/officeDocument/2006/relationships/hyperlink" Target="https://etudesenfrance.diplomatie.gouv.fr/catalogue-formations/formation/18944/site/10843" TargetMode="External" Id="rId1638"/><Relationship Type="http://schemas.openxmlformats.org/officeDocument/2006/relationships/hyperlink" Target="http://www.supelec.fr/metz" TargetMode="External" Id="rId1639"/><Relationship Type="http://schemas.openxmlformats.org/officeDocument/2006/relationships/hyperlink" Target="https://etudesenfrance.diplomatie.gouv.fr/catalogue-formations/formation/18944/site/11870" TargetMode="External" Id="rId1640"/><Relationship Type="http://schemas.openxmlformats.org/officeDocument/2006/relationships/hyperlink" Target="http://www.3ilrodez.fr/" TargetMode="External" Id="rId1641"/><Relationship Type="http://schemas.openxmlformats.org/officeDocument/2006/relationships/hyperlink" Target="https://etudesenfrance.diplomatie.gouv.fr/catalogue-formations/formation/18972/site/6883" TargetMode="External" Id="rId1642"/><Relationship Type="http://schemas.openxmlformats.org/officeDocument/2006/relationships/hyperlink" Target="http://www.institutoptique.fr/" TargetMode="External" Id="rId1643"/><Relationship Type="http://schemas.openxmlformats.org/officeDocument/2006/relationships/hyperlink" Target="https://etudesenfrance.diplomatie.gouv.fr/catalogue-formations/formation/18996/site/6791" TargetMode="External" Id="rId1644"/><Relationship Type="http://schemas.openxmlformats.org/officeDocument/2006/relationships/hyperlink" Target="https://www.univ-grenoble-alpes.fr/actualites/a-la-une/actualites-universite/etudiants-internationaux-ce-que-change-le-nouveau-decret-sur-les-droits-d-inscription-a-l-uga-1775870.kjsp" TargetMode="External" Id="rId1645"/><Relationship Type="http://schemas.openxmlformats.org/officeDocument/2006/relationships/hyperlink" Target="http://esisar.grenoble-inp.fr/" TargetMode="External" Id="rId1646"/><Relationship Type="http://schemas.openxmlformats.org/officeDocument/2006/relationships/hyperlink" Target="https://etudesenfrance.diplomatie.gouv.fr/catalogue-formations/formation/25689/site/6770" TargetMode="External" Id="rId1647"/><Relationship Type="http://schemas.openxmlformats.org/officeDocument/2006/relationships/hyperlink" Target="https://www.univ-grenoble-alpes.fr/actualites/a-la-une/actualites-universite/etudiants-internationaux-ce-que-change-le-nouveau-decret-sur-les-droits-d-inscription-a-l-uga-1775870.kjsp" TargetMode="External" Id="rId1648"/><Relationship Type="http://schemas.openxmlformats.org/officeDocument/2006/relationships/hyperlink" Target="https://ensimag.grenoble-inp.fr/fr/formation/ingenieur-formation-initiale%20et%20https://ensimag.grenoble-inp.fr/fr/formation/admissions" TargetMode="External" Id="rId1649"/><Relationship Type="http://schemas.openxmlformats.org/officeDocument/2006/relationships/hyperlink" Target="https://etudesenfrance.diplomatie.gouv.fr/catalogue-formations/formation/18918/site/6768" TargetMode="External" Id="rId1650"/><Relationship Type="http://schemas.openxmlformats.org/officeDocument/2006/relationships/hyperlink" Target="https://polytech.u-bourgogne.fr/informatique-reseaux" TargetMode="External" Id="rId1651"/><Relationship Type="http://schemas.openxmlformats.org/officeDocument/2006/relationships/hyperlink" Target="https://etudesenfrance.diplomatie.gouv.fr/catalogue-formations/formation/56633/site/14402" TargetMode="External" Id="rId1652"/><Relationship Type="http://schemas.openxmlformats.org/officeDocument/2006/relationships/hyperlink" Target="http://www.isis-ingenieur.fr/" TargetMode="External" Id="rId1653"/><Relationship Type="http://schemas.openxmlformats.org/officeDocument/2006/relationships/hyperlink" Target="https://etudesenfrance.diplomatie.gouv.fr/catalogue-formations/formation/25905/site/11330" TargetMode="External" Id="rId1654"/><Relationship Type="http://schemas.openxmlformats.org/officeDocument/2006/relationships/hyperlink" Target="http://cnam.univ-ag.fr/" TargetMode="External" Id="rId1655"/><Relationship Type="http://schemas.openxmlformats.org/officeDocument/2006/relationships/hyperlink" Target="https://etudesenfrance.diplomatie.gouv.fr/catalogue-formations/formation/16776/site/12175" TargetMode="External" Id="rId1656"/><Relationship Type="http://schemas.openxmlformats.org/officeDocument/2006/relationships/hyperlink" Target="http://www.cnam-poitou-charentes.fr/" TargetMode="External" Id="rId1657"/><Relationship Type="http://schemas.openxmlformats.org/officeDocument/2006/relationships/hyperlink" Target="https://etudesenfrance.diplomatie.gouv.fr/catalogue-formations/formation/28639/site/11684" TargetMode="External" Id="rId1658"/><Relationship Type="http://schemas.openxmlformats.org/officeDocument/2006/relationships/hyperlink" Target="https://ensar.univ-poitiers.fr/" TargetMode="External" Id="rId1659"/><Relationship Type="http://schemas.openxmlformats.org/officeDocument/2006/relationships/hyperlink" Target="https://etudesenfrance.diplomatie.gouv.fr/catalogue-formations/formation/55976/site/6671" TargetMode="External" Id="rId1660"/><Relationship Type="http://schemas.openxmlformats.org/officeDocument/2006/relationships/hyperlink" Target="http://www.polytech.univ-nantes.fr/" TargetMode="External" Id="rId1661"/><Relationship Type="http://schemas.openxmlformats.org/officeDocument/2006/relationships/hyperlink" Target="https://etudesenfrance.diplomatie.gouv.fr/catalogue-formations/formation/18845/site/6799" TargetMode="External" Id="rId1662"/><Relationship Type="http://schemas.openxmlformats.org/officeDocument/2006/relationships/hyperlink" Target="https://www.univ-tours.fr/international/etudes-stages-a-tours/droits-dinscription-differencies-pour-les-etudiants-extra-communautaires-2026-2027" TargetMode="External" Id="rId1663"/><Relationship Type="http://schemas.openxmlformats.org/officeDocument/2006/relationships/hyperlink" Target="http://polytech.univ-tours.fr/informatique" TargetMode="External" Id="rId1664"/><Relationship Type="http://schemas.openxmlformats.org/officeDocument/2006/relationships/hyperlink" Target="https://etudesenfrance.diplomatie.gouv.fr/catalogue-formations/formation/13768/site/6765" TargetMode="External" Id="rId1665"/><Relationship Type="http://schemas.openxmlformats.org/officeDocument/2006/relationships/hyperlink" Target="https://eijv.u-picardie.fr/" TargetMode="External" Id="rId1666"/><Relationship Type="http://schemas.openxmlformats.org/officeDocument/2006/relationships/hyperlink" Target="https://etudesenfrance.diplomatie.gouv.fr/catalogue-formations/formation/54933/site/14324" TargetMode="External" Id="rId1667"/><Relationship Type="http://schemas.openxmlformats.org/officeDocument/2006/relationships/hyperlink" Target="https://eijv.u-picardie.fr/" TargetMode="External" Id="rId1668"/><Relationship Type="http://schemas.openxmlformats.org/officeDocument/2006/relationships/hyperlink" Target="https://etudesenfrance.diplomatie.gouv.fr/catalogue-formations/formation/58332/site/14324" TargetMode="External" Id="rId1669"/><Relationship Type="http://schemas.openxmlformats.org/officeDocument/2006/relationships/hyperlink" Target="https://www.ens2m.fr/" TargetMode="External" Id="rId1670"/><Relationship Type="http://schemas.openxmlformats.org/officeDocument/2006/relationships/hyperlink" Target="https://etudesenfrance.diplomatie.gouv.fr/catalogue-formations/formation/32207/site/6843" TargetMode="External" Id="rId1671"/><Relationship Type="http://schemas.openxmlformats.org/officeDocument/2006/relationships/hyperlink" Target="http://www.enssat.fr/" TargetMode="External" Id="rId1672"/><Relationship Type="http://schemas.openxmlformats.org/officeDocument/2006/relationships/hyperlink" Target="https://etudesenfrance.diplomatie.gouv.fr/catalogue-formations/formation/17884/site/6531" TargetMode="External" Id="rId1673"/><Relationship Type="http://schemas.openxmlformats.org/officeDocument/2006/relationships/hyperlink" Target="https://esir.univ-rennes.fr/" TargetMode="External" Id="rId1674"/><Relationship Type="http://schemas.openxmlformats.org/officeDocument/2006/relationships/hyperlink" Target="https://etudesenfrance.diplomatie.gouv.fr/catalogue-formations/formation/18970/site/11614" TargetMode="External" Id="rId1675"/><Relationship Type="http://schemas.openxmlformats.org/officeDocument/2006/relationships/hyperlink" Target="https://esir.univ-rennes.fr/" TargetMode="External" Id="rId1676"/><Relationship Type="http://schemas.openxmlformats.org/officeDocument/2006/relationships/hyperlink" Target="https://etudesenfrance.diplomatie.gouv.fr/catalogue-formations/formation/50962/site/11614" TargetMode="External" Id="rId1677"/><Relationship Type="http://schemas.openxmlformats.org/officeDocument/2006/relationships/hyperlink" Target="http://www.insa-centrevaldeloire.fr/" TargetMode="External" Id="rId1678"/><Relationship Type="http://schemas.openxmlformats.org/officeDocument/2006/relationships/hyperlink" Target="https://etudesenfrance.diplomatie.gouv.fr/catalogue-formations/formation/19497/site/6880" TargetMode="External" Id="rId1679"/><Relationship Type="http://schemas.openxmlformats.org/officeDocument/2006/relationships/hyperlink" Target="https://www.ensicaen.fr/" TargetMode="External" Id="rId1680"/><Relationship Type="http://schemas.openxmlformats.org/officeDocument/2006/relationships/hyperlink" Target="https://etudesenfrance.diplomatie.gouv.fr/catalogue-formations/formation/24896/site/6792" TargetMode="External" Id="rId1681"/><Relationship Type="http://schemas.openxmlformats.org/officeDocument/2006/relationships/hyperlink" Target="https://www.uca.fr/medias/fichier/delib-ca-20251205-15-tarifs-differencies_1765204050111-pdf" TargetMode="External" Id="rId1682"/><Relationship Type="http://schemas.openxmlformats.org/officeDocument/2006/relationships/hyperlink" Target="http://www.polytech-clermont.fr/" TargetMode="External" Id="rId1683"/><Relationship Type="http://schemas.openxmlformats.org/officeDocument/2006/relationships/hyperlink" Target="https://etudesenfrance.diplomatie.gouv.fr/catalogue-formations/formation/37122/site/6721" TargetMode="External" Id="rId1684"/><Relationship Type="http://schemas.openxmlformats.org/officeDocument/2006/relationships/hyperlink" Target="https://polytech.univ-cotedazur.fr/" TargetMode="External" Id="rId1685"/><Relationship Type="http://schemas.openxmlformats.org/officeDocument/2006/relationships/hyperlink" Target="https://etudesenfrance.diplomatie.gouv.fr/catalogue-formations/formation/37267/site/10964" TargetMode="External" Id="rId1686"/><Relationship Type="http://schemas.openxmlformats.org/officeDocument/2006/relationships/hyperlink" Target="https://www.insa-lyon.fr/fr/formation/" TargetMode="External" Id="rId1687"/><Relationship Type="http://schemas.openxmlformats.org/officeDocument/2006/relationships/hyperlink" Target="https://etudesenfrance.diplomatie.gouv.fr/catalogue-formations/formation/14405/site/6504" TargetMode="External" Id="rId1688"/><Relationship Type="http://schemas.openxmlformats.org/officeDocument/2006/relationships/hyperlink" Target="https://www.insa-hautsdefrance.fr/formation-ingenieurs" TargetMode="External" Id="rId1689"/><Relationship Type="http://schemas.openxmlformats.org/officeDocument/2006/relationships/hyperlink" Target="https://etudesenfrance.diplomatie.gouv.fr/catalogue-formations/formation/47695/site/13986" TargetMode="External" Id="rId1690"/><Relationship Type="http://schemas.openxmlformats.org/officeDocument/2006/relationships/hyperlink" Target="https://www.insa-lyon.fr/fr/formation/" TargetMode="External" Id="rId1691"/><Relationship Type="http://schemas.openxmlformats.org/officeDocument/2006/relationships/hyperlink" Target="https://etudesenfrance.diplomatie.gouv.fr/catalogue-formations/formation/14402/site/6504" TargetMode="External" Id="rId1692"/><Relationship Type="http://schemas.openxmlformats.org/officeDocument/2006/relationships/hyperlink" Target="https://www.univ-grenoble-alpes.fr/actualites/a-la-une/actualites-universite/etudiants-internationaux-ce-que-change-le-nouveau-decret-sur-les-droits-d-inscription-a-l-uga-1775870.kjsp" TargetMode="External" Id="rId1693"/><Relationship Type="http://schemas.openxmlformats.org/officeDocument/2006/relationships/hyperlink" Target="https://polytech.grenoble-inp.fr/" TargetMode="External" Id="rId1694"/><Relationship Type="http://schemas.openxmlformats.org/officeDocument/2006/relationships/hyperlink" Target="https://etudesenfrance.diplomatie.gouv.fr/catalogue-formations/formation/37171/site/6753" TargetMode="External" Id="rId1695"/><Relationship Type="http://schemas.openxmlformats.org/officeDocument/2006/relationships/hyperlink" Target="https://www.univ-grenoble-alpes.fr/actualites/a-la-une/actualites-universite/etudiants-internationaux-ce-que-change-le-nouveau-decret-sur-les-droits-d-inscription-a-l-uga-1775870.kjsp" TargetMode="External" Id="rId1696"/><Relationship Type="http://schemas.openxmlformats.org/officeDocument/2006/relationships/hyperlink" Target="https://polytech.grenoble-inp.fr/" TargetMode="External" Id="rId1697"/><Relationship Type="http://schemas.openxmlformats.org/officeDocument/2006/relationships/hyperlink" Target="https://etudesenfrance.diplomatie.gouv.fr/catalogue-formations/formation/37172/site/6753" TargetMode="External" Id="rId1698"/><Relationship Type="http://schemas.openxmlformats.org/officeDocument/2006/relationships/hyperlink" Target="http://polytech.univ-lyon1.fr/" TargetMode="External" Id="rId1699"/><Relationship Type="http://schemas.openxmlformats.org/officeDocument/2006/relationships/hyperlink" Target="https://etudesenfrance.diplomatie.gouv.fr/catalogue-formations/formation/37194/site/6772" TargetMode="External" Id="rId1700"/><Relationship Type="http://schemas.openxmlformats.org/officeDocument/2006/relationships/hyperlink" Target="http://polytech.univ-lyon1.fr/" TargetMode="External" Id="rId1701"/><Relationship Type="http://schemas.openxmlformats.org/officeDocument/2006/relationships/hyperlink" Target="https://etudesenfrance.diplomatie.gouv.fr/catalogue-formations/formation/17836/site/6772" TargetMode="External" Id="rId1702"/><Relationship Type="http://schemas.openxmlformats.org/officeDocument/2006/relationships/hyperlink" Target="https://www.utbm.fr/formations/ingenieur/informatique/" TargetMode="External" Id="rId1703"/><Relationship Type="http://schemas.openxmlformats.org/officeDocument/2006/relationships/hyperlink" Target="https://etudesenfrance.diplomatie.gouv.fr/catalogue-formations/formation/17944/site/6746" TargetMode="External" Id="rId1704"/><Relationship Type="http://schemas.openxmlformats.org/officeDocument/2006/relationships/hyperlink" Target="http://www.insa-rouen.fr/" TargetMode="External" Id="rId1705"/><Relationship Type="http://schemas.openxmlformats.org/officeDocument/2006/relationships/hyperlink" Target="https://etudesenfrance.diplomatie.gouv.fr/catalogue-formations/formation/13803/site/6720" TargetMode="External" Id="rId1706"/><Relationship Type="http://schemas.openxmlformats.org/officeDocument/2006/relationships/hyperlink" Target="https://portail.polytechnique.edu/bachelor/fr" TargetMode="External" Id="rId1707"/><Relationship Type="http://schemas.openxmlformats.org/officeDocument/2006/relationships/hyperlink" Target="https://etudesenfrance.diplomatie.gouv.fr/catalogue-formations/formation/15528/site/6722" TargetMode="External" Id="rId1708"/><Relationship Type="http://schemas.openxmlformats.org/officeDocument/2006/relationships/hyperlink" Target="http://www.ensta-paristech.fr/" TargetMode="External" Id="rId1709"/><Relationship Type="http://schemas.openxmlformats.org/officeDocument/2006/relationships/hyperlink" Target="https://etudesenfrance.diplomatie.gouv.fr/catalogue-formations/formation/14610/site/6490" TargetMode="External" Id="rId1710"/><Relationship Type="http://schemas.openxmlformats.org/officeDocument/2006/relationships/hyperlink" Target="https://etudesenfrance.diplomatie.gouv.fr/catalogue-formations/formation/14610/site/6722" TargetMode="External" Id="rId1711"/><Relationship Type="http://schemas.openxmlformats.org/officeDocument/2006/relationships/hyperlink" Target="http://www.ensta-paristech.fr/" TargetMode="External" Id="rId1712"/><Relationship Type="http://schemas.openxmlformats.org/officeDocument/2006/relationships/hyperlink" Target="https://etudesenfrance.diplomatie.gouv.fr/catalogue-formations/formation/24019/site/6490" TargetMode="External" Id="rId1713"/><Relationship Type="http://schemas.openxmlformats.org/officeDocument/2006/relationships/hyperlink" Target="http://www.enseeiht.fr/" TargetMode="External" Id="rId1714"/><Relationship Type="http://schemas.openxmlformats.org/officeDocument/2006/relationships/hyperlink" Target="https://etudesenfrance.diplomatie.gouv.fr/catalogue-formations/formation/43438/site/6517" TargetMode="External" Id="rId1715"/><Relationship Type="http://schemas.openxmlformats.org/officeDocument/2006/relationships/hyperlink" Target="https://univ-cotedazur.eu/msc/msc-data-science-and-artificial-intelligence" TargetMode="External" Id="rId1716"/><Relationship Type="http://schemas.openxmlformats.org/officeDocument/2006/relationships/hyperlink" Target="https://etudesenfrance.diplomatie.gouv.fr/catalogue-formations/formation/56214/site/13709" TargetMode="External" Id="rId1717"/><Relationship Type="http://schemas.openxmlformats.org/officeDocument/2006/relationships/hyperlink" Target="https://www.3il-ingenieurs.fr/" TargetMode="External" Id="rId1718"/><Relationship Type="http://schemas.openxmlformats.org/officeDocument/2006/relationships/hyperlink" Target="https://etudesenfrance.diplomatie.gouv.fr/catalogue-formations/formation/50963/site/6879" TargetMode="External" Id="rId1719"/><Relationship Type="http://schemas.openxmlformats.org/officeDocument/2006/relationships/hyperlink" Target="https://www.imt-atlantique.fr/en/study/masters/msc/it-cybersecurity" TargetMode="External" Id="rId1720"/><Relationship Type="http://schemas.openxmlformats.org/officeDocument/2006/relationships/hyperlink" Target="https://etudesenfrance.diplomatie.gouv.fr/catalogue-formations/formation/27867/site/13749" TargetMode="External" Id="rId1721"/><Relationship Type="http://schemas.openxmlformats.org/officeDocument/2006/relationships/hyperlink" Target="https://www.imt-atlantique.fr/en/study/msc/it-ds" TargetMode="External" Id="rId1722"/><Relationship Type="http://schemas.openxmlformats.org/officeDocument/2006/relationships/hyperlink" Target="https://etudesenfrance.diplomatie.gouv.fr/catalogue-formations/formation/27866/site/6501" TargetMode="External" Id="rId1723"/><Relationship Type="http://schemas.openxmlformats.org/officeDocument/2006/relationships/hyperlink" Target="http://www.esaip.org/" TargetMode="External" Id="rId1724"/><Relationship Type="http://schemas.openxmlformats.org/officeDocument/2006/relationships/hyperlink" Target="https://etudesenfrance.diplomatie.gouv.fr/catalogue-formations/formation/19399/site/6756" TargetMode="External" Id="rId1725"/><Relationship Type="http://schemas.openxmlformats.org/officeDocument/2006/relationships/hyperlink" Target="http://www.esaip.org/" TargetMode="External" Id="rId1726"/><Relationship Type="http://schemas.openxmlformats.org/officeDocument/2006/relationships/hyperlink" Target="https://etudesenfrance.diplomatie.gouv.fr/catalogue-formations/formation/19398/site/6756" TargetMode="External" Id="rId1727"/><Relationship Type="http://schemas.openxmlformats.org/officeDocument/2006/relationships/hyperlink" Target="https://www.esaip.org/formation/" TargetMode="External" Id="rId1728"/><Relationship Type="http://schemas.openxmlformats.org/officeDocument/2006/relationships/hyperlink" Target="https://etudesenfrance.diplomatie.gouv.fr/catalogue-formations/formation/19399/site/14102" TargetMode="External" Id="rId1729"/><Relationship Type="http://schemas.openxmlformats.org/officeDocument/2006/relationships/hyperlink" Target="https://www.esaip.org/formation/" TargetMode="External" Id="rId1730"/><Relationship Type="http://schemas.openxmlformats.org/officeDocument/2006/relationships/hyperlink" Target="https://etudesenfrance.diplomatie.gouv.fr/catalogue-formations/formation/19398/site/14102" TargetMode="External" Id="rId1731"/><Relationship Type="http://schemas.openxmlformats.org/officeDocument/2006/relationships/hyperlink" Target="https://www.telecom-sudparis.eu/formation/mastere-specialise-cybersecurite/" TargetMode="External" Id="rId1732"/><Relationship Type="http://schemas.openxmlformats.org/officeDocument/2006/relationships/hyperlink" Target="https://etudesenfrance.diplomatie.gouv.fr/catalogue-formations/formation/45164/site/13908" TargetMode="External" Id="rId1733"/><Relationship Type="http://schemas.openxmlformats.org/officeDocument/2006/relationships/hyperlink" Target="https://www.telecom-sudparis.eu/formation/mastere-specialise-reseaux-services/" TargetMode="External" Id="rId1734"/><Relationship Type="http://schemas.openxmlformats.org/officeDocument/2006/relationships/hyperlink" Target="https://etudesenfrance.diplomatie.gouv.fr/catalogue-formations/formation/19517/site/6506" TargetMode="External" Id="rId1735"/><Relationship Type="http://schemas.openxmlformats.org/officeDocument/2006/relationships/hyperlink" Target="https://formation-continue.agroparistech.fr/catalogue-de-formation/ms-silat-systemes-dinformations-localisees-pour-lamenagement-territoires" TargetMode="External" Id="rId1736"/><Relationship Type="http://schemas.openxmlformats.org/officeDocument/2006/relationships/hyperlink" Target="https://etudesenfrance.diplomatie.gouv.fr/catalogue-formations/formation/46925/site/13914" TargetMode="External" Id="rId1737"/><Relationship Type="http://schemas.openxmlformats.org/officeDocument/2006/relationships/hyperlink" Target="https://guingamp.uco.fr/fr/formations/sciences/master-ingenierie-des-systemes-complexes?destination=/fr/fr/formations-guingamp" TargetMode="External" Id="rId1738"/><Relationship Type="http://schemas.openxmlformats.org/officeDocument/2006/relationships/hyperlink" Target="https://etudesenfrance.diplomatie.gouv.fr/catalogue-formations/formation/51400/site/14541" TargetMode="External" Id="rId1739"/><Relationship Type="http://schemas.openxmlformats.org/officeDocument/2006/relationships/hyperlink" Target="https://guingamp.uco.fr/fr/formations/sciences/master-ingenierie-des-systemes-complexes?destination=/fr/fr/formations-guingamp" TargetMode="External" Id="rId1740"/><Relationship Type="http://schemas.openxmlformats.org/officeDocument/2006/relationships/hyperlink" Target="https://etudesenfrance.diplomatie.gouv.fr/catalogue-formations/formation/51400/site/10718" TargetMode="External" Id="rId1741"/><Relationship Type="http://schemas.openxmlformats.org/officeDocument/2006/relationships/hyperlink" Target="https://www.cesi.fr/en/trainings/master-degree-in-computer-science/" TargetMode="External" Id="rId1742"/><Relationship Type="http://schemas.openxmlformats.org/officeDocument/2006/relationships/hyperlink" Target="https://etudesenfrance.diplomatie.gouv.fr/catalogue-formations/formation/56880/site/13772" TargetMode="External" Id="rId1743"/><Relationship Type="http://schemas.openxmlformats.org/officeDocument/2006/relationships/hyperlink" Target="https://www.cesi.fr/en/trainings/master-degree-in-computer-science/" TargetMode="External" Id="rId1744"/><Relationship Type="http://schemas.openxmlformats.org/officeDocument/2006/relationships/hyperlink" Target="https://etudesenfrance.diplomatie.gouv.fr/catalogue-formations/formation/56880/site/13771" TargetMode="External" Id="rId1745"/><Relationship Type="http://schemas.openxmlformats.org/officeDocument/2006/relationships/hyperlink" Target="https://www.cesi.fr/en/trainings/master-degree-in-computer-science/" TargetMode="External" Id="rId1746"/><Relationship Type="http://schemas.openxmlformats.org/officeDocument/2006/relationships/hyperlink" Target="https://etudesenfrance.diplomatie.gouv.fr/catalogue-formations/formation/56880/site/13766" TargetMode="External" Id="rId1747"/><Relationship Type="http://schemas.openxmlformats.org/officeDocument/2006/relationships/hyperlink" Target="https://www.cesi.fr/en/trainings/master-degree-in-computer-science/" TargetMode="External" Id="rId1748"/><Relationship Type="http://schemas.openxmlformats.org/officeDocument/2006/relationships/hyperlink" Target="https://etudesenfrance.diplomatie.gouv.fr/catalogue-formations/formation/56880/site/13767" TargetMode="External" Id="rId1749"/><Relationship Type="http://schemas.openxmlformats.org/officeDocument/2006/relationships/hyperlink" Target="https://www.cesi.fr/en/trainings/master-degree-in-computer-science/" TargetMode="External" Id="rId1750"/><Relationship Type="http://schemas.openxmlformats.org/officeDocument/2006/relationships/hyperlink" Target="https://etudesenfrance.diplomatie.gouv.fr/catalogue-formations/formation/56880/site/13764" TargetMode="External" Id="rId1751"/><Relationship Type="http://schemas.openxmlformats.org/officeDocument/2006/relationships/hyperlink" Target="https://www.cesi.fr/en/trainings/master-degree-in-computer-science/" TargetMode="External" Id="rId1752"/><Relationship Type="http://schemas.openxmlformats.org/officeDocument/2006/relationships/hyperlink" Target="https://etudesenfrance.diplomatie.gouv.fr/catalogue-formations/formation/56880/site/13860" TargetMode="External" Id="rId1753"/><Relationship Type="http://schemas.openxmlformats.org/officeDocument/2006/relationships/hyperlink" Target="https://www.cesi.fr/formation/ingenieur-e-specialite-informatique-sous-statut-etudiant-2019208/" TargetMode="External" Id="rId1754"/><Relationship Type="http://schemas.openxmlformats.org/officeDocument/2006/relationships/hyperlink" Target="https://etudesenfrance.diplomatie.gouv.fr/catalogue-formations/formation/59672/site/13962" TargetMode="External" Id="rId1755"/><Relationship Type="http://schemas.openxmlformats.org/officeDocument/2006/relationships/hyperlink" Target="https://www.cesi.fr/formation/ingenieur-e-specialite-informatique-sous-statut-etudiant-2019208/" TargetMode="External" Id="rId1756"/><Relationship Type="http://schemas.openxmlformats.org/officeDocument/2006/relationships/hyperlink" Target="https://etudesenfrance.diplomatie.gouv.fr/catalogue-formations/formation/59672/site/13644" TargetMode="External" Id="rId1757"/><Relationship Type="http://schemas.openxmlformats.org/officeDocument/2006/relationships/hyperlink" Target="https://www.cesi.fr/formation/ingenieur-e-specialite-informatique-sous-statut-etudiant-2019208/" TargetMode="External" Id="rId1758"/><Relationship Type="http://schemas.openxmlformats.org/officeDocument/2006/relationships/hyperlink" Target="https://etudesenfrance.diplomatie.gouv.fr/catalogue-formations/formation/59672/site/13774" TargetMode="External" Id="rId1759"/><Relationship Type="http://schemas.openxmlformats.org/officeDocument/2006/relationships/hyperlink" Target="https://www.cesi.fr/formation/ingenieur-e-specialite-informatique-sous-statut-etudiant-2019208/" TargetMode="External" Id="rId1760"/><Relationship Type="http://schemas.openxmlformats.org/officeDocument/2006/relationships/hyperlink" Target="https://etudesenfrance.diplomatie.gouv.fr/catalogue-formations/formation/59672/site/13768" TargetMode="External" Id="rId1761"/><Relationship Type="http://schemas.openxmlformats.org/officeDocument/2006/relationships/hyperlink" Target="https://www.cesi.fr/formation/ingenieur-e-specialite-informatique-sous-statut-etudiant-2019208/" TargetMode="External" Id="rId1762"/><Relationship Type="http://schemas.openxmlformats.org/officeDocument/2006/relationships/hyperlink" Target="https://etudesenfrance.diplomatie.gouv.fr/catalogue-formations/formation/59672/site/13772" TargetMode="External" Id="rId1763"/><Relationship Type="http://schemas.openxmlformats.org/officeDocument/2006/relationships/hyperlink" Target="https://www.cesi.fr/formation/ingenieur-e-specialite-informatique-sous-statut-etudiant-2019208/" TargetMode="External" Id="rId1764"/><Relationship Type="http://schemas.openxmlformats.org/officeDocument/2006/relationships/hyperlink" Target="https://etudesenfrance.diplomatie.gouv.fr/catalogue-formations/formation/59672/site/13770" TargetMode="External" Id="rId1765"/><Relationship Type="http://schemas.openxmlformats.org/officeDocument/2006/relationships/hyperlink" Target="https://www.cesi.fr/formation/ingenieur-e-specialite-informatique-sous-statut-etudiant-2019208/" TargetMode="External" Id="rId1766"/><Relationship Type="http://schemas.openxmlformats.org/officeDocument/2006/relationships/hyperlink" Target="https://etudesenfrance.diplomatie.gouv.fr/catalogue-formations/formation/59672/site/13771" TargetMode="External" Id="rId1767"/><Relationship Type="http://schemas.openxmlformats.org/officeDocument/2006/relationships/hyperlink" Target="https://www.cesi.fr/formation/ingenieur-e-specialite-informatique-sous-statut-etudiant-2019208/" TargetMode="External" Id="rId1768"/><Relationship Type="http://schemas.openxmlformats.org/officeDocument/2006/relationships/hyperlink" Target="https://etudesenfrance.diplomatie.gouv.fr/catalogue-formations/formation/59672/site/13657" TargetMode="External" Id="rId1769"/><Relationship Type="http://schemas.openxmlformats.org/officeDocument/2006/relationships/hyperlink" Target="https://www.cesi.fr/formation/ingenieur-e-specialite-informatique-sous-statut-etudiant-2019208/" TargetMode="External" Id="rId1770"/><Relationship Type="http://schemas.openxmlformats.org/officeDocument/2006/relationships/hyperlink" Target="https://etudesenfrance.diplomatie.gouv.fr/catalogue-formations/formation/59672/site/13762" TargetMode="External" Id="rId1771"/><Relationship Type="http://schemas.openxmlformats.org/officeDocument/2006/relationships/hyperlink" Target="https://www.cesi.fr/formation/ingenieur-e-specialite-informatique-sous-statut-etudiant-2019208/" TargetMode="External" Id="rId1772"/><Relationship Type="http://schemas.openxmlformats.org/officeDocument/2006/relationships/hyperlink" Target="https://etudesenfrance.diplomatie.gouv.fr/catalogue-formations/formation/59672/site/13763" TargetMode="External" Id="rId1773"/><Relationship Type="http://schemas.openxmlformats.org/officeDocument/2006/relationships/hyperlink" Target="https://www.cesi.fr/formation/ingenieur-e-specialite-informatique-sous-statut-etudiant-2019208/" TargetMode="External" Id="rId1774"/><Relationship Type="http://schemas.openxmlformats.org/officeDocument/2006/relationships/hyperlink" Target="https://etudesenfrance.diplomatie.gouv.fr/catalogue-formations/formation/59672/site/13767" TargetMode="External" Id="rId1775"/><Relationship Type="http://schemas.openxmlformats.org/officeDocument/2006/relationships/hyperlink" Target="https://www.cesi.fr/formation/ingenieur-e-specialite-informatique-sous-statut-etudiant-2019208/" TargetMode="External" Id="rId1776"/><Relationship Type="http://schemas.openxmlformats.org/officeDocument/2006/relationships/hyperlink" Target="https://etudesenfrance.diplomatie.gouv.fr/catalogue-formations/formation/59672/site/13769" TargetMode="External" Id="rId1777"/><Relationship Type="http://schemas.openxmlformats.org/officeDocument/2006/relationships/hyperlink" Target="https://www.cesi.fr/formation/ingenieur-e-specialite-informatique-sous-statut-etudiant-2019208/" TargetMode="External" Id="rId1778"/><Relationship Type="http://schemas.openxmlformats.org/officeDocument/2006/relationships/hyperlink" Target="https://etudesenfrance.diplomatie.gouv.fr/catalogue-formations/formation/59672/site/13766" TargetMode="External" Id="rId1779"/><Relationship Type="http://schemas.openxmlformats.org/officeDocument/2006/relationships/hyperlink" Target="https://www.cesi.fr/formation/ingenieur-e-specialite-informatique-sous-statut-etudiant-2019208/" TargetMode="External" Id="rId1780"/><Relationship Type="http://schemas.openxmlformats.org/officeDocument/2006/relationships/hyperlink" Target="https://etudesenfrance.diplomatie.gouv.fr/catalogue-formations/formation/59672/site/13764" TargetMode="External" Id="rId1781"/><Relationship Type="http://schemas.openxmlformats.org/officeDocument/2006/relationships/hyperlink" Target="https://www.cesi.fr/formation/ingenieur-e-specialite-informatique-sous-statut-etudiant-2019208/" TargetMode="External" Id="rId1782"/><Relationship Type="http://schemas.openxmlformats.org/officeDocument/2006/relationships/hyperlink" Target="https://etudesenfrance.diplomatie.gouv.fr/catalogue-formations/formation/59672/site/13666" TargetMode="External" Id="rId1783"/><Relationship Type="http://schemas.openxmlformats.org/officeDocument/2006/relationships/hyperlink" Target="https://www.cesi.fr/formation/ingenieur-e-specialite-informatique-sous-statut-etudiant-2019208/" TargetMode="External" Id="rId1784"/><Relationship Type="http://schemas.openxmlformats.org/officeDocument/2006/relationships/hyperlink" Target="https://etudesenfrance.diplomatie.gouv.fr/catalogue-formations/formation/59672/site/13650" TargetMode="External" Id="rId1785"/><Relationship Type="http://schemas.openxmlformats.org/officeDocument/2006/relationships/hyperlink" Target="https://www.cesi.fr/formation/ingenieur-e-specialite-informatique-sous-statut-etudiant-2019208/" TargetMode="External" Id="rId1786"/><Relationship Type="http://schemas.openxmlformats.org/officeDocument/2006/relationships/hyperlink" Target="https://etudesenfrance.diplomatie.gouv.fr/catalogue-formations/formation/59672/site/13860" TargetMode="External" Id="rId1787"/><Relationship Type="http://schemas.openxmlformats.org/officeDocument/2006/relationships/hyperlink" Target="https://www.cesi.fr/formation/ingenieur-e-specialite-informatique-sous-statut-etudiant-2019208/" TargetMode="External" Id="rId1788"/><Relationship Type="http://schemas.openxmlformats.org/officeDocument/2006/relationships/hyperlink" Target="https://etudesenfrance.diplomatie.gouv.fr/catalogue-formations/formation/59672/site/13765" TargetMode="External" Id="rId1789"/><Relationship Type="http://schemas.openxmlformats.org/officeDocument/2006/relationships/hyperlink" Target="https://www.esiee.fr/en/programmes/international-programmes/artificial-intelligence-and-cybersecurity" TargetMode="External" Id="rId1790"/><Relationship Type="http://schemas.openxmlformats.org/officeDocument/2006/relationships/hyperlink" Target="https://etudesenfrance.diplomatie.gouv.fr/catalogue-formations/formation/27747/site/6475" TargetMode="External" Id="rId1791"/><Relationship Type="http://schemas.openxmlformats.org/officeDocument/2006/relationships/hyperlink" Target="https://www.insa-lyon.fr/fr/mastere-cybersecurite-numerique" TargetMode="External" Id="rId1792"/><Relationship Type="http://schemas.openxmlformats.org/officeDocument/2006/relationships/hyperlink" Target="https://etudesenfrance.diplomatie.gouv.fr/catalogue-formations/formation/26680/site/6504" TargetMode="External" Id="rId1793"/><Relationship Type="http://schemas.openxmlformats.org/officeDocument/2006/relationships/hyperlink" Target="https://www.insa-lyon.fr/fr/mastere-informatique" TargetMode="External" Id="rId1794"/><Relationship Type="http://schemas.openxmlformats.org/officeDocument/2006/relationships/hyperlink" Target="https://etudesenfrance.diplomatie.gouv.fr/catalogue-formations/formation/42751/site/6504" TargetMode="External" Id="rId1795"/><Relationship Type="http://schemas.openxmlformats.org/officeDocument/2006/relationships/hyperlink" Target="https://imt-nord-europe.fr/annuaire-formations/cybersecurite/" TargetMode="External" Id="rId1796"/><Relationship Type="http://schemas.openxmlformats.org/officeDocument/2006/relationships/hyperlink" Target="https://etudesenfrance.diplomatie.gouv.fr/catalogue-formations/formation/45193/site/6878" TargetMode="External" Id="rId1797"/><Relationship Type="http://schemas.openxmlformats.org/officeDocument/2006/relationships/hyperlink" Target="https://en.esaip.org/" TargetMode="External" Id="rId1798"/><Relationship Type="http://schemas.openxmlformats.org/officeDocument/2006/relationships/hyperlink" Target="https://etudesenfrance.diplomatie.gouv.fr/catalogue-formations/formation/55172/site/6756" TargetMode="External" Id="rId1799"/><Relationship Type="http://schemas.openxmlformats.org/officeDocument/2006/relationships/hyperlink" Target="https://www.cesi.fr/programmes/cursus-ingenieur-3-ans/" TargetMode="External" Id="rId1800"/><Relationship Type="http://schemas.openxmlformats.org/officeDocument/2006/relationships/hyperlink" Target="https://etudesenfrance.diplomatie.gouv.fr/catalogue-formations/formation/51545/site/13766" TargetMode="External" Id="rId1801"/><Relationship Type="http://schemas.openxmlformats.org/officeDocument/2006/relationships/hyperlink" Target="https://www.cesi.fr/en/trainings/master-degree-in-computer-science/" TargetMode="External" Id="rId1802"/><Relationship Type="http://schemas.openxmlformats.org/officeDocument/2006/relationships/hyperlink" Target="https://etudesenfrance.diplomatie.gouv.fr/catalogue-formations/formation/51545/site/13771" TargetMode="External" Id="rId1803"/><Relationship Type="http://schemas.openxmlformats.org/officeDocument/2006/relationships/hyperlink" Target="https://www.cesi.fr/programmes/cursus-ingenieur-3-ans/" TargetMode="External" Id="rId1804"/><Relationship Type="http://schemas.openxmlformats.org/officeDocument/2006/relationships/hyperlink" Target="https://etudesenfrance.diplomatie.gouv.fr/catalogue-formations/formation/51545/site/13860" TargetMode="External" Id="rId1805"/><Relationship Type="http://schemas.openxmlformats.org/officeDocument/2006/relationships/hyperlink" Target="https://www.junia.com/en/academics/master-of-science-and-engineering-in-data-and-artificial-intelligence/" TargetMode="External" Id="rId1806"/><Relationship Type="http://schemas.openxmlformats.org/officeDocument/2006/relationships/hyperlink" Target="https://etudesenfrance.diplomatie.gouv.fr/catalogue-formations/formation/57036/site/14123" TargetMode="External" Id="rId1807"/><Relationship Type="http://schemas.openxmlformats.org/officeDocument/2006/relationships/hyperlink" Target="https://www.junia.com/en/academics/master-of-science-and-engineering-in-information-systems-and-software-engineering/" TargetMode="External" Id="rId1808"/><Relationship Type="http://schemas.openxmlformats.org/officeDocument/2006/relationships/hyperlink" Target="https://etudesenfrance.diplomatie.gouv.fr/catalogue-formations/formation/50598/site/14123" TargetMode="External" Id="rId1809"/><Relationship Type="http://schemas.openxmlformats.org/officeDocument/2006/relationships/hyperlink" Target="https://formation.centrale-marseille.fr/fr/ms-cybersecurite-systemes-complexes-lindustrie-defense" TargetMode="External" Id="rId1810"/><Relationship Type="http://schemas.openxmlformats.org/officeDocument/2006/relationships/hyperlink" Target="https://etudesenfrance.diplomatie.gouv.fr/catalogue-formations/formation/46916/site/6733" TargetMode="External" Id="rId1811"/><Relationship Type="http://schemas.openxmlformats.org/officeDocument/2006/relationships/hyperlink" Target="https://www.centrale-mediterranee.fr/fr/formation/masters/master-science-and-technology-complex-systems-engineering-msct-cse" TargetMode="External" Id="rId1812"/><Relationship Type="http://schemas.openxmlformats.org/officeDocument/2006/relationships/hyperlink" Target="https://etudesenfrance.diplomatie.gouv.fr/catalogue-formations/formation/45190/site/6733" TargetMode="External" Id="rId1813"/><Relationship Type="http://schemas.openxmlformats.org/officeDocument/2006/relationships/hyperlink" Target="https://www.cesi.fr/programmes/cursus-ingenieur-3-ans/" TargetMode="External" Id="rId1814"/><Relationship Type="http://schemas.openxmlformats.org/officeDocument/2006/relationships/hyperlink" Target="https://etudesenfrance.diplomatie.gouv.fr/catalogue-formations/formation/51545/site/13773" TargetMode="External" Id="rId1815"/><Relationship Type="http://schemas.openxmlformats.org/officeDocument/2006/relationships/hyperlink" Target="https://www.cesi.fr/programmes/cursus-ingenieur-3-ans/" TargetMode="External" Id="rId1816"/><Relationship Type="http://schemas.openxmlformats.org/officeDocument/2006/relationships/hyperlink" Target="https://etudesenfrance.diplomatie.gouv.fr/catalogue-formations/formation/51545/site/13767" TargetMode="External" Id="rId1817"/><Relationship Type="http://schemas.openxmlformats.org/officeDocument/2006/relationships/hyperlink" Target="https://www.cesi.fr/programmes/cursus-ingenieur-3-ans/" TargetMode="External" Id="rId1818"/><Relationship Type="http://schemas.openxmlformats.org/officeDocument/2006/relationships/hyperlink" Target="https://etudesenfrance.diplomatie.gouv.fr/catalogue-formations/formation/51545/site/13764" TargetMode="External" Id="rId1819"/><Relationship Type="http://schemas.openxmlformats.org/officeDocument/2006/relationships/hyperlink" Target="https://etudesenfrance.diplomatie.gouv.fr/catalogue-formations/formation/51545/site/13772" TargetMode="External" Id="rId1820"/><Relationship Type="http://schemas.openxmlformats.org/officeDocument/2006/relationships/hyperlink" Target="https://etudesenfrance.diplomatie.gouv.fr/catalogue-formations/formation/56911/site/6866" TargetMode="External" Id="rId1821"/><Relationship Type="http://schemas.openxmlformats.org/officeDocument/2006/relationships/hyperlink" Target="https://etudesenfrance.diplomatie.gouv.fr/catalogue-formations/formation/61701/site/14186" TargetMode="External" Id="rId1822"/><Relationship Type="http://schemas.openxmlformats.org/officeDocument/2006/relationships/hyperlink" Target="https://etudesenfrance.diplomatie.gouv.fr/catalogue-formations/formation/61719/site/14186" TargetMode="External" Id="rId1823"/><Relationship Type="http://schemas.openxmlformats.org/officeDocument/2006/relationships/hyperlink" Target="https://www.ece.fr/en/programs/the-msc-program/" TargetMode="External" Id="rId1824"/><Relationship Type="http://schemas.openxmlformats.org/officeDocument/2006/relationships/hyperlink" Target="https://etudesenfrance.diplomatie.gouv.fr/catalogue-formations/formation/53391/site/6863" TargetMode="External" Id="rId1825"/><Relationship Type="http://schemas.openxmlformats.org/officeDocument/2006/relationships/hyperlink" Target="https://www.ece.fr/programmes/programme-msc/" TargetMode="External" Id="rId1826"/><Relationship Type="http://schemas.openxmlformats.org/officeDocument/2006/relationships/hyperlink" Target="https://etudesenfrance.diplomatie.gouv.fr/catalogue-formations/formation/54922/site/6863" TargetMode="External" Id="rId1827"/><Relationship Type="http://schemas.openxmlformats.org/officeDocument/2006/relationships/hyperlink" Target="https://www.efrei.fr/mastere-cybersecurite/" TargetMode="External" Id="rId1828"/><Relationship Type="http://schemas.openxmlformats.org/officeDocument/2006/relationships/hyperlink" Target="https://etudesenfrance.diplomatie.gouv.fr/catalogue-formations/formation/48469/site/14030" TargetMode="External" Id="rId1829"/><Relationship Type="http://schemas.openxmlformats.org/officeDocument/2006/relationships/hyperlink" Target="https://www.efrei.fr/mastere-cybersecurite/" TargetMode="External" Id="rId1830"/><Relationship Type="http://schemas.openxmlformats.org/officeDocument/2006/relationships/hyperlink" Target="https://etudesenfrance.diplomatie.gouv.fr/catalogue-formations/formation/48469/site/6866" TargetMode="External" Id="rId1831"/><Relationship Type="http://schemas.openxmlformats.org/officeDocument/2006/relationships/hyperlink" Target="https://www.efrei.fr/programmes-experts/mastere-data-engineering" TargetMode="External" Id="rId1832"/><Relationship Type="http://schemas.openxmlformats.org/officeDocument/2006/relationships/hyperlink" Target="https://etudesenfrance.diplomatie.gouv.fr/catalogue-formations/formation/49952/site/14030" TargetMode="External" Id="rId1833"/><Relationship Type="http://schemas.openxmlformats.org/officeDocument/2006/relationships/hyperlink" Target="https://www.efrei.fr/programmes-experts/mastere-data-engineering" TargetMode="External" Id="rId1834"/><Relationship Type="http://schemas.openxmlformats.org/officeDocument/2006/relationships/hyperlink" Target="https://etudesenfrance.diplomatie.gouv.fr/catalogue-formations/formation/49952/site/6866" TargetMode="External" Id="rId1835"/><Relationship Type="http://schemas.openxmlformats.org/officeDocument/2006/relationships/hyperlink" Target="https://etudesenfrance.diplomatie.gouv.fr/catalogue-formations/formation/62082/site/6878" TargetMode="External" Id="rId1836"/><Relationship Type="http://schemas.openxmlformats.org/officeDocument/2006/relationships/hyperlink" Target="https://www.ece.fr/programmes/programme-msc/" TargetMode="External" Id="rId1837"/><Relationship Type="http://schemas.openxmlformats.org/officeDocument/2006/relationships/hyperlink" Target="https://etudesenfrance.diplomatie.gouv.fr/catalogue-formations/formation/52523/site/6863" TargetMode="External" Id="rId1838"/><Relationship Type="http://schemas.openxmlformats.org/officeDocument/2006/relationships/hyperlink" Target="https://www.fges.fr/formations/master-cyber/" TargetMode="External" Id="rId1839"/><Relationship Type="http://schemas.openxmlformats.org/officeDocument/2006/relationships/hyperlink" Target="https://etudesenfrance.diplomatie.gouv.fr/catalogue-formations/formation/51361/site/11140" TargetMode="External" Id="rId1840"/><Relationship Type="http://schemas.openxmlformats.org/officeDocument/2006/relationships/hyperlink" Target="https://www.fges.fr/formations/master-data-intelligence-artificielle/" TargetMode="External" Id="rId1841"/><Relationship Type="http://schemas.openxmlformats.org/officeDocument/2006/relationships/hyperlink" Target="https://etudesenfrance.diplomatie.gouv.fr/catalogue-formations/formation/51360/site/11140" TargetMode="External" Id="rId1842"/><Relationship Type="http://schemas.openxmlformats.org/officeDocument/2006/relationships/hyperlink" Target="https://www.fges.fr/formations/master-informatique-appliquee-et-systemes-intelligents/" TargetMode="External" Id="rId1843"/><Relationship Type="http://schemas.openxmlformats.org/officeDocument/2006/relationships/hyperlink" Target="https://etudesenfrance.diplomatie.gouv.fr/catalogue-formations/formation/62116/site/11140" TargetMode="External" Id="rId1844"/><Relationship Type="http://schemas.openxmlformats.org/officeDocument/2006/relationships/hyperlink" Target="https://www.fges.fr/formations/master-jumeaux-numeriques/" TargetMode="External" Id="rId1845"/><Relationship Type="http://schemas.openxmlformats.org/officeDocument/2006/relationships/hyperlink" Target="https://etudesenfrance.diplomatie.gouv.fr/catalogue-formations/formation/56672/site/11140" TargetMode="External" Id="rId1846"/><Relationship Type="http://schemas.openxmlformats.org/officeDocument/2006/relationships/hyperlink" Target="http://www.enac.fr/" TargetMode="External" Id="rId1847"/><Relationship Type="http://schemas.openxmlformats.org/officeDocument/2006/relationships/hyperlink" Target="https://etudesenfrance.diplomatie.gouv.fr/catalogue-formations/formation/26253/site/6498" TargetMode="External" Id="rId1848"/><Relationship Type="http://schemas.openxmlformats.org/officeDocument/2006/relationships/hyperlink" Target="http://www.ensta-paristech.fr/" TargetMode="External" Id="rId1849"/><Relationship Type="http://schemas.openxmlformats.org/officeDocument/2006/relationships/hyperlink" Target="https://etudesenfrance.diplomatie.gouv.fr/catalogue-formations/formation/19464/site/6490" TargetMode="External" Id="rId1850"/><Relationship Type="http://schemas.openxmlformats.org/officeDocument/2006/relationships/hyperlink" Target="https://exed.centralesupelec.fr/formation/mastere-specialise-cybersecurite/" TargetMode="External" Id="rId1851"/><Relationship Type="http://schemas.openxmlformats.org/officeDocument/2006/relationships/hyperlink" Target="https://etudesenfrance.diplomatie.gouv.fr/catalogue-formations/formation/59738/site/6497" TargetMode="External" Id="rId1852"/><Relationship Type="http://schemas.openxmlformats.org/officeDocument/2006/relationships/hyperlink" Target="https://etudesenfrance.diplomatie.gouv.fr/catalogue-formations/formation/19425/site/13749" TargetMode="External" Id="rId1853"/><Relationship Type="http://schemas.openxmlformats.org/officeDocument/2006/relationships/hyperlink" Target="https://www.uca.fr/medias/fichier/delib-ca-20251205-15-tarifs-differencies_1765204050111-pdf" TargetMode="External" Id="rId1854"/><Relationship Type="http://schemas.openxmlformats.org/officeDocument/2006/relationships/hyperlink" Target="https://www.sigma-clermont.fr/fr/mastere-specialise-data-science-pour-ingenierie" TargetMode="External" Id="rId1855"/><Relationship Type="http://schemas.openxmlformats.org/officeDocument/2006/relationships/hyperlink" Target="https://etudesenfrance.diplomatie.gouv.fr/catalogue-formations/formation/45192/site/6807" TargetMode="External" Id="rId1856"/><Relationship Type="http://schemas.openxmlformats.org/officeDocument/2006/relationships/hyperlink" Target="https://www.utt.fr/formations/mastere-specialise/expert-en-cybersecurite" TargetMode="External" Id="rId1857"/><Relationship Type="http://schemas.openxmlformats.org/officeDocument/2006/relationships/hyperlink" Target="https://etudesenfrance.diplomatie.gouv.fr/catalogue-formations/formation/34915/site/6619" TargetMode="External" Id="rId1858"/><Relationship Type="http://schemas.openxmlformats.org/officeDocument/2006/relationships/hyperlink" Target="https://exed.centralesupelec.fr/formation/mastere-specialise-ingenierie-des-systemes-intelligents-ouverts-2/" TargetMode="External" Id="rId1859"/><Relationship Type="http://schemas.openxmlformats.org/officeDocument/2006/relationships/hyperlink" Target="https://etudesenfrance.diplomatie.gouv.fr/catalogue-formations/formation/19522/site/6497" TargetMode="External" Id="rId1860"/><Relationship Type="http://schemas.openxmlformats.org/officeDocument/2006/relationships/hyperlink" Target="http://www.mines-paristech.fr/" TargetMode="External" Id="rId1861"/><Relationship Type="http://schemas.openxmlformats.org/officeDocument/2006/relationships/hyperlink" Target="https://etudesenfrance.diplomatie.gouv.fr/catalogue-formations/formation/26215/site/6482" TargetMode="External" Id="rId1862"/><Relationship Type="http://schemas.openxmlformats.org/officeDocument/2006/relationships/hyperlink" Target="https://exed.centralesupelec.fr/formation/mastere-specialiseintelligence-artificielle-de-confiance-2/" TargetMode="External" Id="rId1863"/><Relationship Type="http://schemas.openxmlformats.org/officeDocument/2006/relationships/hyperlink" Target="https://etudesenfrance.diplomatie.gouv.fr/catalogue-formations/formation/57486/site/6497" TargetMode="External" Id="rId1864"/><Relationship Type="http://schemas.openxmlformats.org/officeDocument/2006/relationships/hyperlink" Target="http://www.sophia.ensmp.fr/" TargetMode="External" Id="rId1865"/><Relationship Type="http://schemas.openxmlformats.org/officeDocument/2006/relationships/hyperlink" Target="https://etudesenfrance.diplomatie.gouv.fr/catalogue-formations/formation/26215/site/11625" TargetMode="External" Id="rId1866"/><Relationship Type="http://schemas.openxmlformats.org/officeDocument/2006/relationships/hyperlink" Target="http://www.ensta-paristech.fr/" TargetMode="External" Id="rId1867"/><Relationship Type="http://schemas.openxmlformats.org/officeDocument/2006/relationships/hyperlink" Target="https://etudesenfrance.diplomatie.gouv.fr/catalogue-formations/formation/26446/site/6490" TargetMode="External" Id="rId1868"/><Relationship Type="http://schemas.openxmlformats.org/officeDocument/2006/relationships/hyperlink" Target="https://exed.centralesupelec.fr/formation/mastere-specialise-architecte-des-systemes-d-information-2/" TargetMode="External" Id="rId1869"/><Relationship Type="http://schemas.openxmlformats.org/officeDocument/2006/relationships/hyperlink" Target="https://etudesenfrance.diplomatie.gouv.fr/catalogue-formations/formation/26631/site/6497" TargetMode="External" Id="rId1870"/><Relationship Type="http://schemas.openxmlformats.org/officeDocument/2006/relationships/hyperlink" Target="https://www.telecom-paris.fr/fr/masteres-specialises/tous-les-ms/cybersecurite-cyberdefense" TargetMode="External" Id="rId1871"/><Relationship Type="http://schemas.openxmlformats.org/officeDocument/2006/relationships/hyperlink" Target="https://etudesenfrance.diplomatie.gouv.fr/catalogue-formations/formation/34805/site/6503" TargetMode="External" Id="rId1872"/><Relationship Type="http://schemas.openxmlformats.org/officeDocument/2006/relationships/hyperlink" Target="https://www.telecom-paris.fr/fr/masteres-specialises/tous-les-ms/conception-architecture-reseaux" TargetMode="External" Id="rId1873"/><Relationship Type="http://schemas.openxmlformats.org/officeDocument/2006/relationships/hyperlink" Target="https://etudesenfrance.diplomatie.gouv.fr/catalogue-formations/formation/19465/site/6503" TargetMode="External" Id="rId1874"/><Relationship Type="http://schemas.openxmlformats.org/officeDocument/2006/relationships/hyperlink" Target="https://www.telecom-paris.fr/fr/masteres-specialises/tous-les-ms/architecte-reseaux-cybersecurite" TargetMode="External" Id="rId1875"/><Relationship Type="http://schemas.openxmlformats.org/officeDocument/2006/relationships/hyperlink" Target="https://etudesenfrance.diplomatie.gouv.fr/catalogue-formations/formation/38420/site/6503" TargetMode="External" Id="rId1876"/><Relationship Type="http://schemas.openxmlformats.org/officeDocument/2006/relationships/hyperlink" Target="https://etudesenfrance.diplomatie.gouv.fr/catalogue-formations/formation/57296/site/11090" TargetMode="External" Id="rId1877"/><Relationship Type="http://schemas.openxmlformats.org/officeDocument/2006/relationships/hyperlink" Target="http://www.esigelec.fr/" TargetMode="External" Id="rId1878"/><Relationship Type="http://schemas.openxmlformats.org/officeDocument/2006/relationships/hyperlink" Target="https://etudesenfrance.diplomatie.gouv.fr/catalogue-formations/formation/28537/site/10955" TargetMode="External" Id="rId1879"/><Relationship Type="http://schemas.openxmlformats.org/officeDocument/2006/relationships/hyperlink" Target="https://etudesenfrance.diplomatie.gouv.fr/catalogue-formations/formation/47258/site/11329" TargetMode="External" Id="rId1880"/><Relationship Type="http://schemas.openxmlformats.org/officeDocument/2006/relationships/hyperlink" Target="https://etudesenfrance.diplomatie.gouv.fr/catalogue-formations/formation/47259/site/11329" TargetMode="External" Id="rId1881"/><Relationship Type="http://schemas.openxmlformats.org/officeDocument/2006/relationships/hyperlink" Target="https://etudesenfrance.diplomatie.gouv.fr/catalogue-formations/formation/47257/site/11329" TargetMode="External" Id="rId1882"/><Relationship Type="http://schemas.openxmlformats.org/officeDocument/2006/relationships/hyperlink" Target="https://www.insa-lyon.fr/fr/formation/master-minds-ia" TargetMode="External" Id="rId1883"/><Relationship Type="http://schemas.openxmlformats.org/officeDocument/2006/relationships/hyperlink" Target="https://etudesenfrance.diplomatie.gouv.fr/catalogue-formations/formation/57253/site/6504" TargetMode="External" Id="rId1884"/><Relationship Type="http://schemas.openxmlformats.org/officeDocument/2006/relationships/hyperlink" Target="https://www.centralesupelec.fr/programmes/master-science-artificial-intelligence" TargetMode="External" Id="rId1885"/><Relationship Type="http://schemas.openxmlformats.org/officeDocument/2006/relationships/hyperlink" Target="https://etudesenfrance.diplomatie.gouv.fr/catalogue-formations/formation/60589/site/13682" TargetMode="External" Id="rId1886"/><Relationship Type="http://schemas.openxmlformats.org/officeDocument/2006/relationships/hyperlink" Target="https://www.efrei.fr/formation/mastere-specialise-expert-en-cybersecurite/" TargetMode="External" Id="rId1887"/><Relationship Type="http://schemas.openxmlformats.org/officeDocument/2006/relationships/hyperlink" Target="https://etudesenfrance.diplomatie.gouv.fr/catalogue-formations/formation/60634/site/6866" TargetMode="External" Id="rId1888"/><Relationship Type="http://schemas.openxmlformats.org/officeDocument/2006/relationships/hyperlink" Target="https://www.efrei.fr/formation/mastere-specialise-manager-cybersecurite-gouvernance/" TargetMode="External" Id="rId1889"/><Relationship Type="http://schemas.openxmlformats.org/officeDocument/2006/relationships/hyperlink" Target="https://etudesenfrance.diplomatie.gouv.fr/catalogue-formations/formation/60635/site/6866" TargetMode="External" Id="rId1890"/><Relationship Type="http://schemas.openxmlformats.org/officeDocument/2006/relationships/hyperlink" Target="https://bit.ly/2ODB04w" TargetMode="External" Id="rId1891"/><Relationship Type="http://schemas.openxmlformats.org/officeDocument/2006/relationships/hyperlink" Target="https://etudesenfrance.diplomatie.gouv.fr/catalogue-formations/formation/43238/site/6722" TargetMode="External" Id="rId1892"/><Relationship Type="http://schemas.openxmlformats.org/officeDocument/2006/relationships/hyperlink" Target="https://www.tsaae.fr/" TargetMode="External" Id="rId1893"/><Relationship Type="http://schemas.openxmlformats.org/officeDocument/2006/relationships/hyperlink" Target="https://etudesenfrance.diplomatie.gouv.fr/catalogue-formations/formation/27801/site/6489" TargetMode="External" Id="rId1894"/><Relationship Type="http://schemas.openxmlformats.org/officeDocument/2006/relationships/hyperlink" Target="https://www.tsaae.fr/" TargetMode="External" Id="rId1895"/><Relationship Type="http://schemas.openxmlformats.org/officeDocument/2006/relationships/hyperlink" Target="https://etudesenfrance.diplomatie.gouv.fr/catalogue-formations/formation/25579/site/6489" TargetMode="External" Id="rId1896"/><Relationship Type="http://schemas.openxmlformats.org/officeDocument/2006/relationships/hyperlink" Target="https://www.tsaae.fr/" TargetMode="External" Id="rId1897"/><Relationship Type="http://schemas.openxmlformats.org/officeDocument/2006/relationships/hyperlink" Target="https://etudesenfrance.diplomatie.gouv.fr/catalogue-formations/formation/26256/site/6489" TargetMode="External" Id="rId1898"/><Relationship Type="http://schemas.openxmlformats.org/officeDocument/2006/relationships/hyperlink" Target="https://www.tsaae.fr/" TargetMode="External" Id="rId1899"/><Relationship Type="http://schemas.openxmlformats.org/officeDocument/2006/relationships/hyperlink" Target="https://etudesenfrance.diplomatie.gouv.fr/catalogue-formations/formation/27803/site/6489" TargetMode="External" Id="rId1900"/><Relationship Type="http://schemas.openxmlformats.org/officeDocument/2006/relationships/hyperlink" Target="https://etudesenfrance.diplomatie.gouv.fr/catalogue-formations/formation/59738/site/14451" TargetMode="External" Id="rId1901"/><Relationship Type="http://schemas.openxmlformats.org/officeDocument/2006/relationships/hyperlink" Target="https://www.epita.fr/en" TargetMode="External" Id="rId1902"/><Relationship Type="http://schemas.openxmlformats.org/officeDocument/2006/relationships/hyperlink" Target="https://etudesenfrance.diplomatie.gouv.fr/catalogue-formations/formation/45355/site/11329" TargetMode="External" Id="rId1903"/><Relationship Type="http://schemas.openxmlformats.org/officeDocument/2006/relationships/hyperlink" Target="https://www.eurecom.fr/en/teaching/master-computer-science/msc-computer-science-data-science-track" TargetMode="External" Id="rId1904"/><Relationship Type="http://schemas.openxmlformats.org/officeDocument/2006/relationships/hyperlink" Target="https://etudesenfrance.diplomatie.gouv.fr/catalogue-formations/formation/56818/site/6868" TargetMode="External" Id="rId1905"/><Relationship Type="http://schemas.openxmlformats.org/officeDocument/2006/relationships/hyperlink" Target="https://www.eurecom.fr/en/teaching/master-computer-science/msc-computer-science-digital-security-track" TargetMode="External" Id="rId1906"/><Relationship Type="http://schemas.openxmlformats.org/officeDocument/2006/relationships/hyperlink" Target="https://etudesenfrance.diplomatie.gouv.fr/catalogue-formations/formation/56814/site/6868" TargetMode="External" Id="rId1907"/><Relationship Type="http://schemas.openxmlformats.org/officeDocument/2006/relationships/hyperlink" Target="https://www.eurecom.fr/fr/les-formations/master-en-informatique/master-en-informatique-parcours-science-des-donnees" TargetMode="External" Id="rId1908"/><Relationship Type="http://schemas.openxmlformats.org/officeDocument/2006/relationships/hyperlink" Target="https://etudesenfrance.diplomatie.gouv.fr/catalogue-formations/formation/60048/site/6868" TargetMode="External" Id="rId1909"/><Relationship Type="http://schemas.openxmlformats.org/officeDocument/2006/relationships/hyperlink" Target="https://www.eurecom.fr/fr/les-formations/master-en-informatique/master-en-informatique-parcours-securite-numerique" TargetMode="External" Id="rId1910"/><Relationship Type="http://schemas.openxmlformats.org/officeDocument/2006/relationships/hyperlink" Target="https://etudesenfrance.diplomatie.gouv.fr/catalogue-formations/formation/56784/site/6868" TargetMode="External" Id="rId1911"/><Relationship Type="http://schemas.openxmlformats.org/officeDocument/2006/relationships/hyperlink" Target="https://www.telecom-paris.fr/fr/masteres-specialises/tous-les-ms/big-data" TargetMode="External" Id="rId1912"/><Relationship Type="http://schemas.openxmlformats.org/officeDocument/2006/relationships/hyperlink" Target="https://etudesenfrance.diplomatie.gouv.fr/catalogue-formations/formation/38418/site/6503" TargetMode="External" Id="rId1913"/><Relationship Type="http://schemas.openxmlformats.org/officeDocument/2006/relationships/hyperlink" Target="https://www.telecom-paris.fr/fr/masteres-specialises/tous-les-ms/big-data" TargetMode="External" Id="rId1914"/><Relationship Type="http://schemas.openxmlformats.org/officeDocument/2006/relationships/hyperlink" Target="https://etudesenfrance.diplomatie.gouv.fr/catalogue-formations/formation/60401/site/6503" TargetMode="External" Id="rId1915"/><Relationship Type="http://schemas.openxmlformats.org/officeDocument/2006/relationships/hyperlink" Target="https://mim.univ-lorraine.fr/" TargetMode="External" Id="rId1916"/><Relationship Type="http://schemas.openxmlformats.org/officeDocument/2006/relationships/hyperlink" Target="https://etudesenfrance.diplomatie.gouv.fr/catalogue-formations/formation/42151/site/6959" TargetMode="External" Id="rId1917"/><Relationship Type="http://schemas.openxmlformats.org/officeDocument/2006/relationships/hyperlink" Target="https://istic.univ-rennes.fr/master-intelligence-artificielle-parcours-ia-et-applications" TargetMode="External" Id="rId1918"/><Relationship Type="http://schemas.openxmlformats.org/officeDocument/2006/relationships/hyperlink" Target="https://etudesenfrance.diplomatie.gouv.fr/catalogue-formations/formation/61682/site/6612" TargetMode="External" Id="rId1919"/><Relationship Type="http://schemas.openxmlformats.org/officeDocument/2006/relationships/hyperlink" Target="https://formation.univ-pau.fr/en/programs/science-technology-health-STS/master-degree-XB/masters-computer-science-L7EMC9TO//m2-industry-4-0-L7EMCSH1.html" TargetMode="External" Id="rId1920"/><Relationship Type="http://schemas.openxmlformats.org/officeDocument/2006/relationships/hyperlink" Target="https://etudesenfrance.diplomatie.gouv.fr/catalogue-formations/formation/52722/site/13759" TargetMode="External" Id="rId1921"/><Relationship Type="http://schemas.openxmlformats.org/officeDocument/2006/relationships/hyperlink" Target="https://etudesenfrance.diplomatie.gouv.fr/catalogue-formations/formation/61362/site/14612" TargetMode="External" Id="rId1922"/><Relationship Type="http://schemas.openxmlformats.org/officeDocument/2006/relationships/hyperlink" Target="https://www.isped.u-bordeaux.fr/Graduate-Programs/Digital-Public-Health/Masters-Program" TargetMode="External" Id="rId1923"/><Relationship Type="http://schemas.openxmlformats.org/officeDocument/2006/relationships/hyperlink" Target="https://etudesenfrance.diplomatie.gouv.fr/catalogue-formations/formation/45237/site/6539" TargetMode="External" Id="rId1924"/><Relationship Type="http://schemas.openxmlformats.org/officeDocument/2006/relationships/hyperlink" Target="https://www.unistra.fr/fr/node/8168" TargetMode="External" Id="rId1925"/><Relationship Type="http://schemas.openxmlformats.org/officeDocument/2006/relationships/hyperlink" Target="https://physique-ingenierie.unistra.fr/" TargetMode="External" Id="rId1926"/><Relationship Type="http://schemas.openxmlformats.org/officeDocument/2006/relationships/hyperlink" Target="https://etudesenfrance.diplomatie.gouv.fr/catalogue-formations/formation/44079/site/6975" TargetMode="External" Id="rId1927"/><Relationship Type="http://schemas.openxmlformats.org/officeDocument/2006/relationships/hyperlink" Target="https://etudesenfrance.diplomatie.gouv.fr/catalogue-formations/formation/49497/site/10975" TargetMode="External" Id="rId1928"/><Relationship Type="http://schemas.openxmlformats.org/officeDocument/2006/relationships/hyperlink" Target="https://etudesenfrance.diplomatie.gouv.fr/catalogue-formations/formation/56828/site/14210" TargetMode="External" Id="rId1929"/><Relationship Type="http://schemas.openxmlformats.org/officeDocument/2006/relationships/hyperlink" Target="https://etudesenfrance.diplomatie.gouv.fr/catalogue-formations/formation/56852/site/10977" TargetMode="External" Id="rId1930"/><Relationship Type="http://schemas.openxmlformats.org/officeDocument/2006/relationships/hyperlink" Target="https://www.sorbonne-universite.fr/actualites/le-conseil-dadministration-de-sorbonne-universite-vote-lunanimite-le-7-juillet-2026-sa" TargetMode="External" Id="rId1931"/><Relationship Type="http://schemas.openxmlformats.org/officeDocument/2006/relationships/hyperlink" Target="https://sciences.sorbonne-universite.fr/formation-sciences/offre-de-formation/masters/master-biologie-moleculaire-et-cellulaire-bmc/m2-artificial-intelligence-and-data-analysis" TargetMode="External" Id="rId1932"/><Relationship Type="http://schemas.openxmlformats.org/officeDocument/2006/relationships/hyperlink" Target="https://etudesenfrance.diplomatie.gouv.fr/catalogue-formations/formation/57349/site/13735" TargetMode="External" Id="rId1933"/><Relationship Type="http://schemas.openxmlformats.org/officeDocument/2006/relationships/hyperlink" Target="https://www.sorbonne-universite.fr/actualites/le-conseil-dadministration-de-sorbonne-universite-vote-lunanimite-le-7-juillet-2026-sa" TargetMode="External" Id="rId1934"/><Relationship Type="http://schemas.openxmlformats.org/officeDocument/2006/relationships/hyperlink" Target="https://sciences.sorbonne-universite.fr/masters/master-informatique" TargetMode="External" Id="rId1935"/><Relationship Type="http://schemas.openxmlformats.org/officeDocument/2006/relationships/hyperlink" Target="https://etudesenfrance.diplomatie.gouv.fr/catalogue-formations/formation/50788/site/13735" TargetMode="External" Id="rId1936"/><Relationship Type="http://schemas.openxmlformats.org/officeDocument/2006/relationships/hyperlink" Target="https://www.sorbonne-universite.fr/actualites/le-conseil-dadministration-de-sorbonne-universite-vote-lunanimite-le-7-juillet-2026-sa" TargetMode="External" Id="rId1937"/><Relationship Type="http://schemas.openxmlformats.org/officeDocument/2006/relationships/hyperlink" Target="https://sciences.sorbonne-universite.fr/formation-sciences/masters/master-physique-fondamentale-et-applications" TargetMode="External" Id="rId1938"/><Relationship Type="http://schemas.openxmlformats.org/officeDocument/2006/relationships/hyperlink" Target="https://etudesenfrance.diplomatie.gouv.fr/catalogue-formations/formation/52906/site/13735" TargetMode="External" Id="rId1939"/><Relationship Type="http://schemas.openxmlformats.org/officeDocument/2006/relationships/hyperlink" Target="https://www.univ-grenoble-alpes.fr/actualites/a-la-une/actualites-universite/etudiants-internationaux-ce-que-change-le-nouveau-decret-sur-les-droits-d-inscription-a-l-uga-1775870.kjsp" TargetMode="External" Id="rId1940"/><Relationship Type="http://schemas.openxmlformats.org/officeDocument/2006/relationships/hyperlink" Target="https://casys.gricad-pages.univ-grenoble-alpes.fr/cybersec/" TargetMode="External" Id="rId1941"/><Relationship Type="http://schemas.openxmlformats.org/officeDocument/2006/relationships/hyperlink" Target="https://etudesenfrance.diplomatie.gouv.fr/catalogue-formations/formation/39029/site/6768" TargetMode="External" Id="rId1942"/><Relationship Type="http://schemas.openxmlformats.org/officeDocument/2006/relationships/hyperlink" Target="https://www.univ-grenoble-alpes.fr/actualites/a-la-une/actualites-universite/etudiants-internationaux-ce-que-change-le-nouveau-decret-sur-les-droits-d-inscription-a-l-uga-1775870.kjsp" TargetMode="External" Id="rId1943"/><Relationship Type="http://schemas.openxmlformats.org/officeDocument/2006/relationships/hyperlink" Target="http://orco.imag.fr/" TargetMode="External" Id="rId1944"/><Relationship Type="http://schemas.openxmlformats.org/officeDocument/2006/relationships/hyperlink" Target="https://etudesenfrance.diplomatie.gouv.fr/catalogue-formations/formation/39025/site/6768" TargetMode="External" Id="rId1945"/><Relationship Type="http://schemas.openxmlformats.org/officeDocument/2006/relationships/hyperlink" Target="https://www.univ-grenoble-alpes.fr/actualites/a-la-une/actualites-universite/etudiants-internationaux-ce-que-change-le-nouveau-decret-sur-les-droits-d-inscription-a-l-uga-1775870.kjsp" TargetMode="External" Id="rId1946"/><Relationship Type="http://schemas.openxmlformats.org/officeDocument/2006/relationships/hyperlink" Target="https://casys.gricad-pages.univ-grenoble-alpes.fr/cybersec/" TargetMode="External" Id="rId1947"/><Relationship Type="http://schemas.openxmlformats.org/officeDocument/2006/relationships/hyperlink" Target="https://etudesenfrance.diplomatie.gouv.fr/catalogue-formations/formation/39030/site/6768" TargetMode="External" Id="rId1948"/><Relationship Type="http://schemas.openxmlformats.org/officeDocument/2006/relationships/hyperlink" Target="https://www.univ-grenoble-alpes.fr/actualites/a-la-une/actualites-universite/etudiants-internationaux-ce-que-change-le-nouveau-decret-sur-les-droits-d-inscription-a-l-uga-1775870.kjsp" TargetMode="External" Id="rId1949"/><Relationship Type="http://schemas.openxmlformats.org/officeDocument/2006/relationships/hyperlink" Target="https://mosig-m2-592ef6.gricad-pages.univ-grenoble-alpes.fr/applied_ai/" TargetMode="External" Id="rId1950"/><Relationship Type="http://schemas.openxmlformats.org/officeDocument/2006/relationships/hyperlink" Target="https://etudesenfrance.diplomatie.gouv.fr/catalogue-formations/formation/61802/site/6528" TargetMode="External" Id="rId1951"/><Relationship Type="http://schemas.openxmlformats.org/officeDocument/2006/relationships/hyperlink" Target="https://www.univ-grenoble-alpes.fr/actualites/a-la-une/actualites-universite/etudiants-internationaux-ce-que-change-le-nouveau-decret-sur-les-droits-d-inscription-a-l-uga-1775870.kjsp" TargetMode="External" Id="rId1952"/><Relationship Type="http://schemas.openxmlformats.org/officeDocument/2006/relationships/hyperlink" Target="https://mosig-m2-592ef6.gricad-pages.univ-grenoble-alpes.fr/ccdi/" TargetMode="External" Id="rId1953"/><Relationship Type="http://schemas.openxmlformats.org/officeDocument/2006/relationships/hyperlink" Target="https://etudesenfrance.diplomatie.gouv.fr/catalogue-formations/formation/61800/site/6528" TargetMode="External" Id="rId1954"/><Relationship Type="http://schemas.openxmlformats.org/officeDocument/2006/relationships/hyperlink" Target="https://www.univ-grenoble-alpes.fr/actualites/a-la-une/actualites-universite/etudiants-internationaux-ce-que-change-le-nouveau-decret-sur-les-droits-d-inscription-a-l-uga-1775870.kjsp" TargetMode="External" Id="rId1955"/><Relationship Type="http://schemas.openxmlformats.org/officeDocument/2006/relationships/hyperlink" Target="https://formations.univ-grenoble-alpes.fr/fr/catalogue-2021/master-XB/master-mathematiques-et-applications-IAQKA8QE/parcours-operations-research-combinatorics-and-optimization-orco-IB9H30YB.html" TargetMode="External" Id="rId1956"/><Relationship Type="http://schemas.openxmlformats.org/officeDocument/2006/relationships/hyperlink" Target="https://etudesenfrance.diplomatie.gouv.fr/catalogue-formations/formation/61818/site/6528" TargetMode="External" Id="rId1957"/><Relationship Type="http://schemas.openxmlformats.org/officeDocument/2006/relationships/hyperlink" Target="https://igm.univ-gustave-eiffel.fr/" TargetMode="External" Id="rId1958"/><Relationship Type="http://schemas.openxmlformats.org/officeDocument/2006/relationships/hyperlink" Target="https://etudesenfrance.diplomatie.gouv.fr/catalogue-formations/formation/46260/site/10729" TargetMode="External" Id="rId1959"/><Relationship Type="http://schemas.openxmlformats.org/officeDocument/2006/relationships/hyperlink" Target="https://u-paris.fr/droits-dinscription-tarifs-exonerations/" TargetMode="External" Id="rId1960"/><Relationship Type="http://schemas.openxmlformats.org/officeDocument/2006/relationships/hyperlink" Target="https://www.math.u-paris.fr/" TargetMode="External" Id="rId1961"/><Relationship Type="http://schemas.openxmlformats.org/officeDocument/2006/relationships/hyperlink" Target="https://etudesenfrance.diplomatie.gouv.fr/catalogue-formations/formation/44776/site/6961" TargetMode="External" Id="rId1962"/><Relationship Type="http://schemas.openxmlformats.org/officeDocument/2006/relationships/hyperlink" Target="https://formations.u-bordeaux.fr/details-formation?type=formation&amp;id=125" TargetMode="External" Id="rId1963"/><Relationship Type="http://schemas.openxmlformats.org/officeDocument/2006/relationships/hyperlink" Target="https://etudesenfrance.diplomatie.gouv.fr/catalogue-formations/formation/58934/site/12842" TargetMode="External" Id="rId1964"/><Relationship Type="http://schemas.openxmlformats.org/officeDocument/2006/relationships/hyperlink" Target="https://www.sorbonne-universite.fr/actualites/le-conseil-dadministration-de-sorbonne-universite-vote-lunanimite-le-7-juillet-2026-sa" TargetMode="External" Id="rId1965"/><Relationship Type="http://schemas.openxmlformats.org/officeDocument/2006/relationships/hyperlink" Target="https://sciences.sorbonne-universite.fr/formation-sciences/masters/master-physique-fondamentale-et-applications/m2-parcours-systemes" TargetMode="External" Id="rId1966"/><Relationship Type="http://schemas.openxmlformats.org/officeDocument/2006/relationships/hyperlink" Target="https://etudesenfrance.diplomatie.gouv.fr/catalogue-formations/formation/53042/site/13735" TargetMode="External" Id="rId1967"/><Relationship Type="http://schemas.openxmlformats.org/officeDocument/2006/relationships/hyperlink" Target="https://www.cyu.fr/master-informatique-et-ingenierie-des-systemes-complexes-data-science-et-machine-learning" TargetMode="External" Id="rId1968"/><Relationship Type="http://schemas.openxmlformats.org/officeDocument/2006/relationships/hyperlink" Target="https://etudesenfrance.diplomatie.gouv.fr/catalogue-formations/formation/29581/site/6965" TargetMode="External" Id="rId1969"/><Relationship Type="http://schemas.openxmlformats.org/officeDocument/2006/relationships/hyperlink" Target="https://univ-cotedazur.fr/formation/offre-de-formation/parcours-de-master/master-informatique-m2-parcours-ingenierie-informatique" TargetMode="External" Id="rId1970"/><Relationship Type="http://schemas.openxmlformats.org/officeDocument/2006/relationships/hyperlink" Target="https://etudesenfrance.diplomatie.gouv.fr/catalogue-formations/formation/52406/site/14121" TargetMode="External" Id="rId1971"/><Relationship Type="http://schemas.openxmlformats.org/officeDocument/2006/relationships/hyperlink" Target="https://etudesenfrance.diplomatie.gouv.fr/catalogue-formations/formation/56829/site/10977" TargetMode="External" Id="rId1972"/><Relationship Type="http://schemas.openxmlformats.org/officeDocument/2006/relationships/hyperlink" Target="https://www.sorbonne-universite.fr/actualites/le-conseil-dadministration-de-sorbonne-universite-vote-lunanimite-le-7-juillet-2026-sa" TargetMode="External" Id="rId1973"/><Relationship Type="http://schemas.openxmlformats.org/officeDocument/2006/relationships/hyperlink" Target="https://sciences.sorbonne-universite.fr/formation-sciences/offre-de-formation/masters/master-biologie-moleculaire-et-cellulaire-bmc" TargetMode="External" Id="rId1974"/><Relationship Type="http://schemas.openxmlformats.org/officeDocument/2006/relationships/hyperlink" Target="https://etudesenfrance.diplomatie.gouv.fr/catalogue-formations/formation/56678/site/13735" TargetMode="External" Id="rId1975"/><Relationship Type="http://schemas.openxmlformats.org/officeDocument/2006/relationships/hyperlink" Target="https://www.letudiant.fr/educpros/actualite/droits-d-inscription-majores-pour-les-etudiants-etrangers-pourquoi-l-application-du-decret-met-en-difficulte-de-nombreuses-universites.html" TargetMode="External" Id="rId1976"/><Relationship Type="http://schemas.openxmlformats.org/officeDocument/2006/relationships/hyperlink" Target="http://sciences.univ-lemans.fr/" TargetMode="External" Id="rId1977"/><Relationship Type="http://schemas.openxmlformats.org/officeDocument/2006/relationships/hyperlink" Target="https://etudesenfrance.diplomatie.gouv.fr/catalogue-formations/formation/36249/site/6596" TargetMode="External" Id="rId1978"/><Relationship Type="http://schemas.openxmlformats.org/officeDocument/2006/relationships/hyperlink" Target="https://www.univ-lyon1.fr/formation/inscription-et-scolarite/etudiantes-et-etudiants-internationaux-droits-dinscription-differencies-et-exonerations" TargetMode="External" Id="rId1979"/><Relationship Type="http://schemas.openxmlformats.org/officeDocument/2006/relationships/hyperlink" Target="http://isfa.fr/" TargetMode="External" Id="rId1980"/><Relationship Type="http://schemas.openxmlformats.org/officeDocument/2006/relationships/hyperlink" Target="https://etudesenfrance.diplomatie.gouv.fr/catalogue-formations/formation/32092/site/6605" TargetMode="External" Id="rId1981"/><Relationship Type="http://schemas.openxmlformats.org/officeDocument/2006/relationships/hyperlink" Target="https://www.insset.u-picardie.fr/" TargetMode="External" Id="rId1982"/><Relationship Type="http://schemas.openxmlformats.org/officeDocument/2006/relationships/hyperlink" Target="https://etudesenfrance.diplomatie.gouv.fr/catalogue-formations/formation/60960/site/7207" TargetMode="External" Id="rId1983"/><Relationship Type="http://schemas.openxmlformats.org/officeDocument/2006/relationships/hyperlink" Target="http://www.univ-brest.fr/ufr-sciences" TargetMode="External" Id="rId1984"/><Relationship Type="http://schemas.openxmlformats.org/officeDocument/2006/relationships/hyperlink" Target="https://etudesenfrance.diplomatie.gouv.fr/catalogue-formations/formation/36523/site/6955" TargetMode="External" Id="rId1985"/><Relationship Type="http://schemas.openxmlformats.org/officeDocument/2006/relationships/hyperlink" Target="https://mim.univ-lorraine.fr/" TargetMode="External" Id="rId1986"/><Relationship Type="http://schemas.openxmlformats.org/officeDocument/2006/relationships/hyperlink" Target="https://etudesenfrance.diplomatie.gouv.fr/catalogue-formations/formation/42156/site/6959" TargetMode="External" Id="rId1987"/><Relationship Type="http://schemas.openxmlformats.org/officeDocument/2006/relationships/hyperlink" Target="https://mim.univ-lorraine.fr/" TargetMode="External" Id="rId1988"/><Relationship Type="http://schemas.openxmlformats.org/officeDocument/2006/relationships/hyperlink" Target="https://etudesenfrance.diplomatie.gouv.fr/catalogue-formations/formation/42150/site/6959" TargetMode="External" Id="rId1989"/><Relationship Type="http://schemas.openxmlformats.org/officeDocument/2006/relationships/hyperlink" Target="https://ufr-st.univ-lehavre.fr/" TargetMode="External" Id="rId1990"/><Relationship Type="http://schemas.openxmlformats.org/officeDocument/2006/relationships/hyperlink" Target="https://etudesenfrance.diplomatie.gouv.fr/catalogue-formations/formation/36267/site/6626" TargetMode="External" Id="rId1991"/><Relationship Type="http://schemas.openxmlformats.org/officeDocument/2006/relationships/hyperlink" Target="https://fst.univ-lorraine.fr/formations/" TargetMode="External" Id="rId1992"/><Relationship Type="http://schemas.openxmlformats.org/officeDocument/2006/relationships/hyperlink" Target="https://etudesenfrance.diplomatie.gouv.fr/catalogue-formations/formation/40798/site/6958" TargetMode="External" Id="rId1993"/><Relationship Type="http://schemas.openxmlformats.org/officeDocument/2006/relationships/hyperlink" Target="https://fst.univ-lorraine.fr/formations/" TargetMode="External" Id="rId1994"/><Relationship Type="http://schemas.openxmlformats.org/officeDocument/2006/relationships/hyperlink" Target="https://etudesenfrance.diplomatie.gouv.fr/catalogue-formations/formation/40799/site/6958" TargetMode="External" Id="rId1995"/><Relationship Type="http://schemas.openxmlformats.org/officeDocument/2006/relationships/hyperlink" Target="https://www.sciences.univ-artois.fr/" TargetMode="External" Id="rId1996"/><Relationship Type="http://schemas.openxmlformats.org/officeDocument/2006/relationships/hyperlink" Target="https://etudesenfrance.diplomatie.gouv.fr/catalogue-formations/formation/42332/site/6611" TargetMode="External" Id="rId1997"/><Relationship Type="http://schemas.openxmlformats.org/officeDocument/2006/relationships/hyperlink" Target="https://www.univ-lyon2.fr/catalogue-des-formations/master-informatique" TargetMode="External" Id="rId1998"/><Relationship Type="http://schemas.openxmlformats.org/officeDocument/2006/relationships/hyperlink" Target="https://etudesenfrance.diplomatie.gouv.fr/catalogue-formations/formation/36931/site/13776" TargetMode="External" Id="rId1999"/><Relationship Type="http://schemas.openxmlformats.org/officeDocument/2006/relationships/hyperlink" Target="https://etudesenfrance.diplomatie.gouv.fr/catalogue-formations/formation/60733/site/13759" TargetMode="External" Id="rId2000"/><Relationship Type="http://schemas.openxmlformats.org/officeDocument/2006/relationships/hyperlink" Target="http://www-galilee.univ-paris13.fr/" TargetMode="External" Id="rId2001"/><Relationship Type="http://schemas.openxmlformats.org/officeDocument/2006/relationships/hyperlink" Target="https://etudesenfrance.diplomatie.gouv.fr/catalogue-formations/formation/14671/site/6725" TargetMode="External" Id="rId2002"/><Relationship Type="http://schemas.openxmlformats.org/officeDocument/2006/relationships/hyperlink" Target="https://www.insa-rennes.fr/master-informatique.html" TargetMode="External" Id="rId2003"/><Relationship Type="http://schemas.openxmlformats.org/officeDocument/2006/relationships/hyperlink" Target="https://etudesenfrance.diplomatie.gouv.fr/catalogue-formations/formation/42596/site/6797" TargetMode="External" Id="rId2004"/><Relationship Type="http://schemas.openxmlformats.org/officeDocument/2006/relationships/hyperlink" Target="https://mim.univ-lorraine.fr/" TargetMode="External" Id="rId2005"/><Relationship Type="http://schemas.openxmlformats.org/officeDocument/2006/relationships/hyperlink" Target="https://etudesenfrance.diplomatie.gouv.fr/catalogue-formations/formation/43153/site/6959" TargetMode="External" Id="rId2006"/><Relationship Type="http://schemas.openxmlformats.org/officeDocument/2006/relationships/hyperlink" Target="https://fst.univ-lorraine.fr/formations/" TargetMode="External" Id="rId2007"/><Relationship Type="http://schemas.openxmlformats.org/officeDocument/2006/relationships/hyperlink" Target="https://etudesenfrance.diplomatie.gouv.fr/catalogue-formations/formation/40634/site/6958" TargetMode="External" Id="rId2008"/><Relationship Type="http://schemas.openxmlformats.org/officeDocument/2006/relationships/hyperlink" Target="https://www.univ-lyon2.fr/catalogue-des-formations/master-informatique" TargetMode="External" Id="rId2009"/><Relationship Type="http://schemas.openxmlformats.org/officeDocument/2006/relationships/hyperlink" Target="https://etudesenfrance.diplomatie.gouv.fr/catalogue-formations/formation/36928/site/13776" TargetMode="External" Id="rId2010"/><Relationship Type="http://schemas.openxmlformats.org/officeDocument/2006/relationships/hyperlink" Target="https://www.univ-lyon2.fr/catalogue-des-formations/master-informatique" TargetMode="External" Id="rId2011"/><Relationship Type="http://schemas.openxmlformats.org/officeDocument/2006/relationships/hyperlink" Target="https://etudesenfrance.diplomatie.gouv.fr/catalogue-formations/formation/36927/site/13776" TargetMode="External" Id="rId2012"/><Relationship Type="http://schemas.openxmlformats.org/officeDocument/2006/relationships/hyperlink" Target="https://sciences.u-picardie.fr/accueil-ufr-sciences" TargetMode="External" Id="rId2013"/><Relationship Type="http://schemas.openxmlformats.org/officeDocument/2006/relationships/hyperlink" Target="https://etudesenfrance.diplomatie.gouv.fr/catalogue-formations/formation/42031/site/6548" TargetMode="External" Id="rId2014"/><Relationship Type="http://schemas.openxmlformats.org/officeDocument/2006/relationships/hyperlink" Target="https://www.utt.fr/formations/master/optimisation-et-surete-des-systemes" TargetMode="External" Id="rId2015"/><Relationship Type="http://schemas.openxmlformats.org/officeDocument/2006/relationships/hyperlink" Target="https://etudesenfrance.diplomatie.gouv.fr/catalogue-formations/formation/44169/site/6619" TargetMode="External" Id="rId2016"/><Relationship Type="http://schemas.openxmlformats.org/officeDocument/2006/relationships/hyperlink" Target="https://www.utt.fr/formations/master/securite-des-systemes-d-information/master-securite-des-systemes-d-information-9047.kjsp" TargetMode="External" Id="rId2017"/><Relationship Type="http://schemas.openxmlformats.org/officeDocument/2006/relationships/hyperlink" Target="https://etudesenfrance.diplomatie.gouv.fr/catalogue-formations/formation/44170/site/6619" TargetMode="External" Id="rId2018"/><Relationship Type="http://schemas.openxmlformats.org/officeDocument/2006/relationships/hyperlink" Target="https://fst.univ-lorraine.fr/formations/" TargetMode="External" Id="rId2019"/><Relationship Type="http://schemas.openxmlformats.org/officeDocument/2006/relationships/hyperlink" Target="https://etudesenfrance.diplomatie.gouv.fr/catalogue-formations/formation/40533/site/6958" TargetMode="External" Id="rId2020"/><Relationship Type="http://schemas.openxmlformats.org/officeDocument/2006/relationships/hyperlink" Target="https://www.institut-agro-rennes-angers.fr/" TargetMode="External" Id="rId2021"/><Relationship Type="http://schemas.openxmlformats.org/officeDocument/2006/relationships/hyperlink" Target="https://etudesenfrance.diplomatie.gouv.fr/catalogue-formations/formation/39002/site/6656" TargetMode="External" Id="rId2022"/><Relationship Type="http://schemas.openxmlformats.org/officeDocument/2006/relationships/hyperlink" Target="https://www.insa-rennes.fr/master-mathematiques-et-applications.html" TargetMode="External" Id="rId2023"/><Relationship Type="http://schemas.openxmlformats.org/officeDocument/2006/relationships/hyperlink" Target="https://etudesenfrance.diplomatie.gouv.fr/catalogue-formations/formation/42635/site/6797" TargetMode="External" Id="rId2024"/><Relationship Type="http://schemas.openxmlformats.org/officeDocument/2006/relationships/hyperlink" Target="https://www.isped.u-bordeaux.fr/FORMATION/Formations-propos&#233;es/Les-Masters/Master-2-Syst&#232;mes-dinformation-et-technologies-informatiques-pour-la-sant&#233;" TargetMode="External" Id="rId2025"/><Relationship Type="http://schemas.openxmlformats.org/officeDocument/2006/relationships/hyperlink" Target="https://etudesenfrance.diplomatie.gouv.fr/catalogue-formations/formation/30734/site/6539" TargetMode="External" Id="rId2026"/><Relationship Type="http://schemas.openxmlformats.org/officeDocument/2006/relationships/hyperlink" Target="https://idmc.univ-lorraine.fr/courses/master-2-sciences-cognitives/" TargetMode="External" Id="rId2027"/><Relationship Type="http://schemas.openxmlformats.org/officeDocument/2006/relationships/hyperlink" Target="https://etudesenfrance.diplomatie.gouv.fr/catalogue-formations/formation/42917/site/10974" TargetMode="External" Id="rId2028"/><Relationship Type="http://schemas.openxmlformats.org/officeDocument/2006/relationships/hyperlink" Target="https://mim.univ-lorraine.fr/" TargetMode="External" Id="rId2029"/><Relationship Type="http://schemas.openxmlformats.org/officeDocument/2006/relationships/hyperlink" Target="https://etudesenfrance.diplomatie.gouv.fr/catalogue-formations/formation/60738/site/6959" TargetMode="External" Id="rId2030"/><Relationship Type="http://schemas.openxmlformats.org/officeDocument/2006/relationships/hyperlink" Target="https://www.sciences.univ-artois.fr/" TargetMode="External" Id="rId2031"/><Relationship Type="http://schemas.openxmlformats.org/officeDocument/2006/relationships/hyperlink" Target="https://etudesenfrance.diplomatie.gouv.fr/catalogue-formations/formation/38759/site/6611" TargetMode="External" Id="rId2032"/><Relationship Type="http://schemas.openxmlformats.org/officeDocument/2006/relationships/hyperlink" Target="http://www.univ-antilles.fr/" TargetMode="External" Id="rId2033"/><Relationship Type="http://schemas.openxmlformats.org/officeDocument/2006/relationships/hyperlink" Target="https://etudesenfrance.diplomatie.gouv.fr/catalogue-formations/formation/50707/site/13832" TargetMode="External" Id="rId2034"/><Relationship Type="http://schemas.openxmlformats.org/officeDocument/2006/relationships/hyperlink" Target="http://www-galilee.univ-paris13.fr/" TargetMode="External" Id="rId2035"/><Relationship Type="http://schemas.openxmlformats.org/officeDocument/2006/relationships/hyperlink" Target="https://etudesenfrance.diplomatie.gouv.fr/catalogue-formations/formation/14638/site/6725" TargetMode="External" Id="rId2036"/><Relationship Type="http://schemas.openxmlformats.org/officeDocument/2006/relationships/hyperlink" Target="https://etudesenfrance.diplomatie.gouv.fr/catalogue-formations/formation/49526/site/10975" TargetMode="External" Id="rId2037"/><Relationship Type="http://schemas.openxmlformats.org/officeDocument/2006/relationships/hyperlink" Target="https://www.univ-lyon1.fr/formation/inscription-et-scolarite/etudiantes-et-etudiants-internationaux-droits-dinscription-differencies-et-exonerations" TargetMode="External" Id="rId2038"/><Relationship Type="http://schemas.openxmlformats.org/officeDocument/2006/relationships/hyperlink" Target="https://etudesenfrance.diplomatie.gouv.fr/catalogue-formations/formation/59051/site/13256" TargetMode="External" Id="rId2039"/><Relationship Type="http://schemas.openxmlformats.org/officeDocument/2006/relationships/hyperlink" Target="https://www.univ-amu.fr/fr/actualites/aix-marseille-universite-mobilise-pleinement-capacite-dexoneration-continuer-accueillir" TargetMode="External" Id="rId2040"/><Relationship Type="http://schemas.openxmlformats.org/officeDocument/2006/relationships/hyperlink" Target="https://formations.univ-amu.fr/fr/master/5SBG/PRSBG5C2" TargetMode="External" Id="rId2041"/><Relationship Type="http://schemas.openxmlformats.org/officeDocument/2006/relationships/hyperlink" Target="https://etudesenfrance.diplomatie.gouv.fr/catalogue-formations/formation/39723/site/7449" TargetMode="External" Id="rId2042"/><Relationship Type="http://schemas.openxmlformats.org/officeDocument/2006/relationships/hyperlink" Target="https://www.univ-amu.fr/fr/actualites/aix-marseille-universite-mobilise-pleinement-capacite-dexoneration-continuer-accueillir" TargetMode="External" Id="rId2043"/><Relationship Type="http://schemas.openxmlformats.org/officeDocument/2006/relationships/hyperlink" Target="https://formations.univ-amu.fr/fr/master/5SMA/PRSMA5C5" TargetMode="External" Id="rId2044"/><Relationship Type="http://schemas.openxmlformats.org/officeDocument/2006/relationships/hyperlink" Target="https://etudesenfrance.diplomatie.gouv.fr/catalogue-formations/formation/39637/site/7449" TargetMode="External" Id="rId2045"/><Relationship Type="http://schemas.openxmlformats.org/officeDocument/2006/relationships/hyperlink" Target="https://www.univ-paris8.fr/-Master-Big-Data-BD-" TargetMode="External" Id="rId2046"/><Relationship Type="http://schemas.openxmlformats.org/officeDocument/2006/relationships/hyperlink" Target="https://etudesenfrance.diplomatie.gouv.fr/catalogue-formations/formation/45598/site/10978" TargetMode="External" Id="rId2047"/><Relationship Type="http://schemas.openxmlformats.org/officeDocument/2006/relationships/hyperlink" Target="https://www.univ-paris8.fr/-Master-Conduite-de-Projets-Informatiques-" TargetMode="External" Id="rId2048"/><Relationship Type="http://schemas.openxmlformats.org/officeDocument/2006/relationships/hyperlink" Target="https://etudesenfrance.diplomatie.gouv.fr/catalogue-formations/formation/45599/site/10978" TargetMode="External" Id="rId2049"/><Relationship Type="http://schemas.openxmlformats.org/officeDocument/2006/relationships/hyperlink" Target="https://www.univ-paris8.fr/-Master-Technologies-de-l-Hypermedia-678-" TargetMode="External" Id="rId2050"/><Relationship Type="http://schemas.openxmlformats.org/officeDocument/2006/relationships/hyperlink" Target="https://etudesenfrance.diplomatie.gouv.fr/catalogue-formations/formation/33097/site/10978" TargetMode="External" Id="rId2051"/><Relationship Type="http://schemas.openxmlformats.org/officeDocument/2006/relationships/hyperlink" Target="https://u-paris.fr/droits-dinscription-tarifs-exonerations/" TargetMode="External" Id="rId2052"/><Relationship Type="http://schemas.openxmlformats.org/officeDocument/2006/relationships/hyperlink" Target="https://sdv.u-paris.fr/" TargetMode="External" Id="rId2053"/><Relationship Type="http://schemas.openxmlformats.org/officeDocument/2006/relationships/hyperlink" Target="https://etudesenfrance.diplomatie.gouv.fr/catalogue-formations/formation/44879/site/13824" TargetMode="External" Id="rId2054"/><Relationship Type="http://schemas.openxmlformats.org/officeDocument/2006/relationships/hyperlink" Target="https://www.utoulouse.fr/medias/fichier/2026-02-ca-075_1774430647495-pdf" TargetMode="External" Id="rId2055"/><Relationship Type="http://schemas.openxmlformats.org/officeDocument/2006/relationships/hyperlink" Target="http://www.univ-tlse3.fr/" TargetMode="External" Id="rId2056"/><Relationship Type="http://schemas.openxmlformats.org/officeDocument/2006/relationships/hyperlink" Target="https://etudesenfrance.diplomatie.gouv.fr/catalogue-formations/formation/37894/site/13714" TargetMode="External" Id="rId2057"/><Relationship Type="http://schemas.openxmlformats.org/officeDocument/2006/relationships/hyperlink" Target="https://igm.univ-gustave-eiffel.fr/" TargetMode="External" Id="rId2058"/><Relationship Type="http://schemas.openxmlformats.org/officeDocument/2006/relationships/hyperlink" Target="https://etudesenfrance.diplomatie.gouv.fr/catalogue-formations/formation/33984/site/10729" TargetMode="External" Id="rId2059"/><Relationship Type="http://schemas.openxmlformats.org/officeDocument/2006/relationships/hyperlink" Target="https://www.univ-grenoble-alpes.fr/actualites/a-la-une/actualites-universite/etudiants-internationaux-ce-que-change-le-nouveau-decret-sur-les-droits-d-inscription-a-l-uga-1775870.kjsp" TargetMode="External" Id="rId2060"/><Relationship Type="http://schemas.openxmlformats.org/officeDocument/2006/relationships/hyperlink" Target="https://im2ag.univ-grenoble-alpes.fr/parcours-competences-complementaires-en-informatique-cci-2e-annee/master-informatique-parcours-competences-complementaires-en-informatique-cci-2e-annee-111068.kjsp" TargetMode="External" Id="rId2061"/><Relationship Type="http://schemas.openxmlformats.org/officeDocument/2006/relationships/hyperlink" Target="https://etudesenfrance.diplomatie.gouv.fr/catalogue-formations/formation/32770/site/6528" TargetMode="External" Id="rId2062"/><Relationship Type="http://schemas.openxmlformats.org/officeDocument/2006/relationships/hyperlink" Target="https://www.univ-grenoble-alpes.fr/actualites/a-la-une/actualites-universite/etudiants-internationaux-ce-que-change-le-nouveau-decret-sur-les-droits-d-inscription-a-l-uga-1775870.kjsp" TargetMode="External" Id="rId2063"/><Relationship Type="http://schemas.openxmlformats.org/officeDocument/2006/relationships/hyperlink" Target="https://formations.univ-grenoble-alpes.fr/fr/catalogue-2021/master-XB/master-informatique-IAQK9B8Z/parcours-genie-informatique-2e-annee-IGM7ZRCJ.html" TargetMode="External" Id="rId2064"/><Relationship Type="http://schemas.openxmlformats.org/officeDocument/2006/relationships/hyperlink" Target="https://etudesenfrance.diplomatie.gouv.fr/catalogue-formations/formation/31255/site/6528" TargetMode="External" Id="rId2065"/><Relationship Type="http://schemas.openxmlformats.org/officeDocument/2006/relationships/hyperlink" Target="https://www.umontpellier.fr/en/international/etudier-a-letranger/etudiants-internationaux-annee-universitaire-2026-2027/" TargetMode="External" Id="rId2066"/><Relationship Type="http://schemas.openxmlformats.org/officeDocument/2006/relationships/hyperlink" Target="http://www.fdsweb.univ-montp2.fr/etudier-a-la-fds/catalogue-de-formation-675" TargetMode="External" Id="rId2067"/><Relationship Type="http://schemas.openxmlformats.org/officeDocument/2006/relationships/hyperlink" Target="https://etudesenfrance.diplomatie.gouv.fr/catalogue-formations/formation/33217/site/6552" TargetMode="External" Id="rId2068"/><Relationship Type="http://schemas.openxmlformats.org/officeDocument/2006/relationships/hyperlink" Target="https://www.utoulouse.fr/medias/fichier/2026-02-ca-075_1774430647495-pdf" TargetMode="External" Id="rId2069"/><Relationship Type="http://schemas.openxmlformats.org/officeDocument/2006/relationships/hyperlink" Target="http://www.univ-tlse3.fr/" TargetMode="External" Id="rId2070"/><Relationship Type="http://schemas.openxmlformats.org/officeDocument/2006/relationships/hyperlink" Target="https://etudesenfrance.diplomatie.gouv.fr/catalogue-formations/formation/29891/site/13714" TargetMode="External" Id="rId2071"/><Relationship Type="http://schemas.openxmlformats.org/officeDocument/2006/relationships/hyperlink" Target="https://igm.univ-gustave-eiffel.fr/" TargetMode="External" Id="rId2072"/><Relationship Type="http://schemas.openxmlformats.org/officeDocument/2006/relationships/hyperlink" Target="https://etudesenfrance.diplomatie.gouv.fr/catalogue-formations/formation/33986/site/10729" TargetMode="External" Id="rId2073"/><Relationship Type="http://schemas.openxmlformats.org/officeDocument/2006/relationships/hyperlink" Target="http://www.mines-stetienne.fr/formation-mines-saint-etienne/" TargetMode="External" Id="rId2074"/><Relationship Type="http://schemas.openxmlformats.org/officeDocument/2006/relationships/hyperlink" Target="https://etudesenfrance.diplomatie.gouv.fr/catalogue-formations/formation/45098/site/6734" TargetMode="External" Id="rId2075"/><Relationship Type="http://schemas.openxmlformats.org/officeDocument/2006/relationships/hyperlink" Target="https://igm.univ-gustave-eiffel.fr/" TargetMode="External" Id="rId2076"/><Relationship Type="http://schemas.openxmlformats.org/officeDocument/2006/relationships/hyperlink" Target="https://etudesenfrance.diplomatie.gouv.fr/catalogue-formations/formation/44829/site/10729" TargetMode="External" Id="rId2077"/><Relationship Type="http://schemas.openxmlformats.org/officeDocument/2006/relationships/hyperlink" Target="http://www.enseeiht.fr/" TargetMode="External" Id="rId2078"/><Relationship Type="http://schemas.openxmlformats.org/officeDocument/2006/relationships/hyperlink" Target="https://etudesenfrance.diplomatie.gouv.fr/catalogue-formations/formation/39210/site/6517" TargetMode="External" Id="rId2079"/><Relationship Type="http://schemas.openxmlformats.org/officeDocument/2006/relationships/hyperlink" Target="https://u-paris.fr/droits-dinscription-tarifs-exonerations/" TargetMode="External" Id="rId2080"/><Relationship Type="http://schemas.openxmlformats.org/officeDocument/2006/relationships/hyperlink" Target="https://www.math.u-paris.fr/" TargetMode="External" Id="rId2081"/><Relationship Type="http://schemas.openxmlformats.org/officeDocument/2006/relationships/hyperlink" Target="https://etudesenfrance.diplomatie.gouv.fr/catalogue-formations/formation/44778/site/6961" TargetMode="External" Id="rId2082"/><Relationship Type="http://schemas.openxmlformats.org/officeDocument/2006/relationships/hyperlink" Target="https://www.sorbonne-universite.fr/actualites/le-conseil-dadministration-de-sorbonne-universite-vote-lunanimite-le-7-juillet-2026-sa" TargetMode="External" Id="rId2083"/><Relationship Type="http://schemas.openxmlformats.org/officeDocument/2006/relationships/hyperlink" Target="http://master.sante.sorbonne-universite.fr/fr/index.html" TargetMode="External" Id="rId2084"/><Relationship Type="http://schemas.openxmlformats.org/officeDocument/2006/relationships/hyperlink" Target="https://etudesenfrance.diplomatie.gouv.fr/catalogue-formations/formation/43474/site/13736" TargetMode="External" Id="rId2085"/><Relationship Type="http://schemas.openxmlformats.org/officeDocument/2006/relationships/hyperlink" Target="https://u-paris.fr/droits-dinscription-tarifs-exonerations/" TargetMode="External" Id="rId2086"/><Relationship Type="http://schemas.openxmlformats.org/officeDocument/2006/relationships/hyperlink" Target="https://u-paris.fr/medecine/formation-initiale/masters/" TargetMode="External" Id="rId2087"/><Relationship Type="http://schemas.openxmlformats.org/officeDocument/2006/relationships/hyperlink" Target="https://etudesenfrance.diplomatie.gouv.fr/catalogue-formations/formation/45202/site/10770" TargetMode="External" Id="rId2088"/><Relationship Type="http://schemas.openxmlformats.org/officeDocument/2006/relationships/hyperlink" Target="https://www.univ-amu.fr/fr/actualites/aix-marseille-universite-mobilise-pleinement-capacite-dexoneration-continuer-accueillir" TargetMode="External" Id="rId2089"/><Relationship Type="http://schemas.openxmlformats.org/officeDocument/2006/relationships/hyperlink" Target="https://smpm.univ-amu.fr/" TargetMode="External" Id="rId2090"/><Relationship Type="http://schemas.openxmlformats.org/officeDocument/2006/relationships/hyperlink" Target="https://etudesenfrance.diplomatie.gouv.fr/catalogue-formations/formation/52054/site/6693" TargetMode="External" Id="rId2091"/><Relationship Type="http://schemas.openxmlformats.org/officeDocument/2006/relationships/hyperlink" Target="https://www.univ-amu.fr/fr/actualites/aix-marseille-universite-mobilise-pleinement-capacite-dexoneration-continuer-accueillir" TargetMode="External" Id="rId2092"/><Relationship Type="http://schemas.openxmlformats.org/officeDocument/2006/relationships/hyperlink" Target="https://formations.univ-amu.fr/fr/master/5SIN/PRSIN5C6" TargetMode="External" Id="rId2093"/><Relationship Type="http://schemas.openxmlformats.org/officeDocument/2006/relationships/hyperlink" Target="https://etudesenfrance.diplomatie.gouv.fr/catalogue-formations/formation/58896/site/6655" TargetMode="External" Id="rId2094"/><Relationship Type="http://schemas.openxmlformats.org/officeDocument/2006/relationships/hyperlink" Target="https://u-paris.fr/droits-dinscription-tarifs-exonerations/" TargetMode="External" Id="rId2095"/><Relationship Type="http://schemas.openxmlformats.org/officeDocument/2006/relationships/hyperlink" Target="https://sdv.u-paris.fr/" TargetMode="External" Id="rId2096"/><Relationship Type="http://schemas.openxmlformats.org/officeDocument/2006/relationships/hyperlink" Target="https://etudesenfrance.diplomatie.gouv.fr/catalogue-formations/formation/58364/site/13824" TargetMode="External" Id="rId2097"/><Relationship Type="http://schemas.openxmlformats.org/officeDocument/2006/relationships/hyperlink" Target="https://www.sorbonne-universite.fr/actualites/le-conseil-dadministration-de-sorbonne-universite-vote-lunanimite-le-7-juillet-2026-sa" TargetMode="External" Id="rId2098"/><Relationship Type="http://schemas.openxmlformats.org/officeDocument/2006/relationships/hyperlink" Target="https://sciences.sorbonne-universite.fr/formation-sciences/offre-de-formation/masters/master-bip-biologie-integrative-et-physiologie" TargetMode="External" Id="rId2099"/><Relationship Type="http://schemas.openxmlformats.org/officeDocument/2006/relationships/hyperlink" Target="https://etudesenfrance.diplomatie.gouv.fr/catalogue-formations/formation/56677/site/13735" TargetMode="External" Id="rId2100"/><Relationship Type="http://schemas.openxmlformats.org/officeDocument/2006/relationships/hyperlink" Target="https://www.uca.fr/medias/fichier/delib-ca-20251205-15-tarifs-differencies_1765204050111-pdf" TargetMode="External" Id="rId2101"/><Relationship Type="http://schemas.openxmlformats.org/officeDocument/2006/relationships/hyperlink" Target="https://www.uca.fr/formation/nos-formations/par-ufr-ecoles-et-iut/institut-dinformatique/master/master-genie-industriel" TargetMode="External" Id="rId2102"/><Relationship Type="http://schemas.openxmlformats.org/officeDocument/2006/relationships/hyperlink" Target="https://etudesenfrance.diplomatie.gouv.fr/catalogue-formations/formation/52269/site/6876" TargetMode="External" Id="rId2103"/><Relationship Type="http://schemas.openxmlformats.org/officeDocument/2006/relationships/hyperlink" Target="http://www.mines-stetienne.fr/formation-mines-saint-etienne/" TargetMode="External" Id="rId2104"/><Relationship Type="http://schemas.openxmlformats.org/officeDocument/2006/relationships/hyperlink" Target="https://etudesenfrance.diplomatie.gouv.fr/catalogue-formations/formation/14610/site/6734" TargetMode="External" Id="rId2105"/><Relationship Type="http://schemas.openxmlformats.org/officeDocument/2006/relationships/hyperlink" Target="http://www.ens-cachan.fr/" TargetMode="External" Id="rId2106"/><Relationship Type="http://schemas.openxmlformats.org/officeDocument/2006/relationships/hyperlink" Target="https://etudesenfrance.diplomatie.gouv.fr/catalogue-formations/formation/15115/site/6474" TargetMode="External" Id="rId2107"/><Relationship Type="http://schemas.openxmlformats.org/officeDocument/2006/relationships/hyperlink" Target="https://www.sorbonne-universite.fr/actualites/le-conseil-dadministration-de-sorbonne-universite-vote-lunanimite-le-7-juillet-2026-sa" TargetMode="External" Id="rId2108"/><Relationship Type="http://schemas.openxmlformats.org/officeDocument/2006/relationships/hyperlink" Target="https://sciences.sorbonne-universite.fr/masters/master-mathematiques-et-applications" TargetMode="External" Id="rId2109"/><Relationship Type="http://schemas.openxmlformats.org/officeDocument/2006/relationships/hyperlink" Target="https://etudesenfrance.diplomatie.gouv.fr/catalogue-formations/formation/16622/site/13735" TargetMode="External" Id="rId2110"/><Relationship Type="http://schemas.openxmlformats.org/officeDocument/2006/relationships/hyperlink" Target="http://www.ens.fr/" TargetMode="External" Id="rId2111"/><Relationship Type="http://schemas.openxmlformats.org/officeDocument/2006/relationships/hyperlink" Target="https://etudesenfrance.diplomatie.gouv.fr/catalogue-formations/formation/16621/site/10666" TargetMode="External" Id="rId2112"/><Relationship Type="http://schemas.openxmlformats.org/officeDocument/2006/relationships/hyperlink" Target="https://u-paris.fr/droits-dinscription-tarifs-exonerations/" TargetMode="External" Id="rId2113"/><Relationship Type="http://schemas.openxmlformats.org/officeDocument/2006/relationships/hyperlink" Target="https://www.math.u-paris.fr/" TargetMode="External" Id="rId2114"/><Relationship Type="http://schemas.openxmlformats.org/officeDocument/2006/relationships/hyperlink" Target="https://etudesenfrance.diplomatie.gouv.fr/catalogue-formations/formation/14769/site/6961" TargetMode="External" Id="rId2115"/><Relationship Type="http://schemas.openxmlformats.org/officeDocument/2006/relationships/hyperlink" Target="http://www.ens.fr/" TargetMode="External" Id="rId2116"/><Relationship Type="http://schemas.openxmlformats.org/officeDocument/2006/relationships/hyperlink" Target="https://etudesenfrance.diplomatie.gouv.fr/catalogue-formations/formation/15150/site/10666" TargetMode="External" Id="rId2117"/><Relationship Type="http://schemas.openxmlformats.org/officeDocument/2006/relationships/hyperlink" Target="http://www.espci.fr/" TargetMode="External" Id="rId2118"/><Relationship Type="http://schemas.openxmlformats.org/officeDocument/2006/relationships/hyperlink" Target="https://etudesenfrance.diplomatie.gouv.fr/catalogue-formations/formation/16642/site/6466" TargetMode="External" Id="rId2119"/><Relationship Type="http://schemas.openxmlformats.org/officeDocument/2006/relationships/hyperlink" Target="http://imt-atlantique.fr/" TargetMode="External" Id="rId2120"/><Relationship Type="http://schemas.openxmlformats.org/officeDocument/2006/relationships/hyperlink" Target="https://etudesenfrance.diplomatie.gouv.fr/catalogue-formations/formation/38970/site/6501" TargetMode="External" Id="rId2121"/><Relationship Type="http://schemas.openxmlformats.org/officeDocument/2006/relationships/hyperlink" Target="http://www-instn.cea.fr/" TargetMode="External" Id="rId2122"/><Relationship Type="http://schemas.openxmlformats.org/officeDocument/2006/relationships/hyperlink" Target="https://etudesenfrance.diplomatie.gouv.fr/catalogue-formations/formation/25064/site/6818" TargetMode="External" Id="rId2123"/><Relationship Type="http://schemas.openxmlformats.org/officeDocument/2006/relationships/hyperlink" Target="http://www.ensam.eu/" TargetMode="External" Id="rId2124"/><Relationship Type="http://schemas.openxmlformats.org/officeDocument/2006/relationships/hyperlink" Target="https://etudesenfrance.diplomatie.gouv.fr/catalogue-formations/formation/24582/site/12557" TargetMode="External" Id="rId2125"/><Relationship Type="http://schemas.openxmlformats.org/officeDocument/2006/relationships/hyperlink" Target="http://www.ens.fr/" TargetMode="External" Id="rId2126"/><Relationship Type="http://schemas.openxmlformats.org/officeDocument/2006/relationships/hyperlink" Target="https://etudesenfrance.diplomatie.gouv.fr/catalogue-formations/formation/24549/site/10666" TargetMode="External" Id="rId2127"/><Relationship Type="http://schemas.openxmlformats.org/officeDocument/2006/relationships/hyperlink" Target="http://www.ens.fr/" TargetMode="External" Id="rId2128"/><Relationship Type="http://schemas.openxmlformats.org/officeDocument/2006/relationships/hyperlink" Target="https://etudesenfrance.diplomatie.gouv.fr/catalogue-formations/formation/23822/site/10666" TargetMode="External" Id="rId2129"/><Relationship Type="http://schemas.openxmlformats.org/officeDocument/2006/relationships/hyperlink" Target="http://www-instn.cea.fr/" TargetMode="External" Id="rId2130"/><Relationship Type="http://schemas.openxmlformats.org/officeDocument/2006/relationships/hyperlink" Target="https://etudesenfrance.diplomatie.gouv.fr/catalogue-formations/formation/23823/site/6818" TargetMode="External" Id="rId2131"/><Relationship Type="http://schemas.openxmlformats.org/officeDocument/2006/relationships/hyperlink" Target="http://www.ens.fr/" TargetMode="External" Id="rId2132"/><Relationship Type="http://schemas.openxmlformats.org/officeDocument/2006/relationships/hyperlink" Target="https://etudesenfrance.diplomatie.gouv.fr/catalogue-formations/formation/23760/site/10666" TargetMode="External" Id="rId2133"/><Relationship Type="http://schemas.openxmlformats.org/officeDocument/2006/relationships/hyperlink" Target="http://www-instn.cea.fr/" TargetMode="External" Id="rId2134"/><Relationship Type="http://schemas.openxmlformats.org/officeDocument/2006/relationships/hyperlink" Target="https://etudesenfrance.diplomatie.gouv.fr/catalogue-formations/formation/24005/site/6818" TargetMode="External" Id="rId2135"/><Relationship Type="http://schemas.openxmlformats.org/officeDocument/2006/relationships/hyperlink" Target="https://www.ip-paris.fr/education/doctorat/ecole-doctorale-ip-paris/domaine-doctorat-informatique-donnees-et-intelligence-artificielle" TargetMode="External" Id="rId2136"/><Relationship Type="http://schemas.openxmlformats.org/officeDocument/2006/relationships/hyperlink" Target="https://etudesenfrance.diplomatie.gouv.fr/catalogue-formations/formation/53407/site/6506" TargetMode="External" Id="rId2137"/><Relationship Type="http://schemas.openxmlformats.org/officeDocument/2006/relationships/hyperlink" Target="https://etudesenfrance.diplomatie.gouv.fr/catalogue-formations/formation/57224/site/13759" TargetMode="External" Id="rId2138"/><Relationship Type="http://schemas.openxmlformats.org/officeDocument/2006/relationships/hyperlink" Target="https://www.ip-paris.fr/en/education/masters/electrical-engineering-program/master-2-traitement-de-linformation-et-exploitation-des-donnees" TargetMode="External" Id="rId2139"/><Relationship Type="http://schemas.openxmlformats.org/officeDocument/2006/relationships/hyperlink" Target="https://etudesenfrance.diplomatie.gouv.fr/catalogue-formations/formation/49816/site/13908" TargetMode="External" Id="rId2140"/><Relationship Type="http://schemas.openxmlformats.org/officeDocument/2006/relationships/hyperlink" Target="https://etudesenfrance.diplomatie.gouv.fr/catalogue-formations/formation/45077/site/6734" TargetMode="External" Id="rId2141"/><Relationship Type="http://schemas.openxmlformats.org/officeDocument/2006/relationships/hyperlink" Target="https://etudesenfrance.diplomatie.gouv.fr/catalogue-formations/formation/15529/site/6722" TargetMode="External" Id="rId2142"/><Relationship Type="http://schemas.openxmlformats.org/officeDocument/2006/relationships/hyperlink" Target="https://etudesenfrance.diplomatie.gouv.fr/catalogue-formations/formation/14637/site/6722" TargetMode="External" Id="rId2143"/><Relationship Type="http://schemas.openxmlformats.org/officeDocument/2006/relationships/hyperlink" Target="http://www.ensta-paristech.fr/" TargetMode="External" Id="rId2144"/><Relationship Type="http://schemas.openxmlformats.org/officeDocument/2006/relationships/hyperlink" Target="https://etudesenfrance.diplomatie.gouv.fr/catalogue-formations/formation/14651/site/6490" TargetMode="External" Id="rId2145"/><Relationship Type="http://schemas.openxmlformats.org/officeDocument/2006/relationships/hyperlink" Target="http://www.ensta-paristech.fr/" TargetMode="External" Id="rId2146"/><Relationship Type="http://schemas.openxmlformats.org/officeDocument/2006/relationships/hyperlink" Target="https://etudesenfrance.diplomatie.gouv.fr/catalogue-formations/formation/24620/site/6490" TargetMode="External" Id="rId2147"/><Relationship Type="http://schemas.openxmlformats.org/officeDocument/2006/relationships/hyperlink" Target="http://www.ensta-paristech.fr/" TargetMode="External" Id="rId2148"/><Relationship Type="http://schemas.openxmlformats.org/officeDocument/2006/relationships/hyperlink" Target="https://etudesenfrance.diplomatie.gouv.fr/catalogue-formations/formation/23823/site/6490" TargetMode="External" Id="rId2149"/><Relationship Type="http://schemas.openxmlformats.org/officeDocument/2006/relationships/hyperlink" Target="https://www.telecom-sudparis.eu/en/formation/master-of-science-data-science-network-intelligence/" TargetMode="External" Id="rId2150"/><Relationship Type="http://schemas.openxmlformats.org/officeDocument/2006/relationships/hyperlink" Target="https://etudesenfrance.diplomatie.gouv.fr/catalogue-formations/formation/46868/site/6506" TargetMode="External" Id="rId2151"/><Relationship Type="http://schemas.openxmlformats.org/officeDocument/2006/relationships/hyperlink" Target="https://www.telecom-sudparis.eu/en/formation/master-of-science-data-science-network-intelligence/" TargetMode="External" Id="rId2152"/><Relationship Type="http://schemas.openxmlformats.org/officeDocument/2006/relationships/hyperlink" Target="https://etudesenfrance.diplomatie.gouv.fr/catalogue-formations/formation/25617/site/6506" TargetMode="External" Id="rId2153"/><Relationship Type="http://schemas.openxmlformats.org/officeDocument/2006/relationships/hyperlink" Target="http://www.ensai.fr/" TargetMode="External" Id="rId2154"/><Relationship Type="http://schemas.openxmlformats.org/officeDocument/2006/relationships/hyperlink" Target="https://etudesenfrance.diplomatie.gouv.fr/catalogue-formations/formation/28036/site/6881" TargetMode="External" Id="rId2155"/><Relationship Type="http://schemas.openxmlformats.org/officeDocument/2006/relationships/hyperlink" Target="https://cytech.cyu.fr/international-cy-tech/formations-internationales" TargetMode="External" Id="rId2156"/><Relationship Type="http://schemas.openxmlformats.org/officeDocument/2006/relationships/hyperlink" Target="https://etudesenfrance.diplomatie.gouv.fr/catalogue-formations/formation/28033/site/6877" TargetMode="External" Id="rId2157"/><Relationship Type="http://schemas.openxmlformats.org/officeDocument/2006/relationships/hyperlink" Target="https://www.centrale-mediterranee.fr/fr/formation/masters/master-engineers-smart-cities" TargetMode="External" Id="rId2158"/><Relationship Type="http://schemas.openxmlformats.org/officeDocument/2006/relationships/hyperlink" Target="https://etudesenfrance.diplomatie.gouv.fr/catalogue-formations/formation/55309/site/6733" TargetMode="External" Id="rId2159"/><Relationship Type="http://schemas.openxmlformats.org/officeDocument/2006/relationships/hyperlink" Target="https://www.cesi.fr/" TargetMode="External" Id="rId2160"/><Relationship Type="http://schemas.openxmlformats.org/officeDocument/2006/relationships/hyperlink" Target="https://etudesenfrance.diplomatie.gouv.fr/catalogue-formations/formation/59967/site/13666" TargetMode="External" Id="rId2161"/><Relationship Type="http://schemas.openxmlformats.org/officeDocument/2006/relationships/hyperlink" Target="https://polytech.univ-nantes.fr/les-formations/masters-internationaux/data-science-master-s-degree-ds--2355188.kjsp?RH=1382971139912" TargetMode="External" Id="rId2162"/><Relationship Type="http://schemas.openxmlformats.org/officeDocument/2006/relationships/hyperlink" Target="https://etudesenfrance.diplomatie.gouv.fr/catalogue-formations/formation/38081/site/13620" TargetMode="External" Id="rId2163"/><Relationship Type="http://schemas.openxmlformats.org/officeDocument/2006/relationships/hyperlink" Target="https://www.eurecom.fr/en/teaching/post-masters-degree/post-masters-degree-security-computer-systems-and-communications" TargetMode="External" Id="rId2164"/><Relationship Type="http://schemas.openxmlformats.org/officeDocument/2006/relationships/hyperlink" Target="https://etudesenfrance.diplomatie.gouv.fr/catalogue-formations/formation/56803/site/6868" TargetMode="External" Id="rId2165"/><Relationship Type="http://schemas.openxmlformats.org/officeDocument/2006/relationships/hyperlink" Target="https://www.eurecom.fr/fr/les-formations/ingenieur-specialise/ingenieur-specialise-en-securite-des-systemes-informatiques-et" TargetMode="External" Id="rId2166"/><Relationship Type="http://schemas.openxmlformats.org/officeDocument/2006/relationships/hyperlink" Target="https://etudesenfrance.diplomatie.gouv.fr/catalogue-formations/formation/26992/site/6868" TargetMode="External" Id="rId2167"/><Relationship Type="http://schemas.openxmlformats.org/officeDocument/2006/relationships/hyperlink" Target="https://doctorat.u-bordeaux.fr/en/before-phd/graduate-programs/cancer-biology" TargetMode="External" Id="rId2168"/><Relationship Type="http://schemas.openxmlformats.org/officeDocument/2006/relationships/hyperlink" Target="https://etudesenfrance.diplomatie.gouv.fr/catalogue-formations/formation/45693/site/6682" TargetMode="External" Id="rId2169"/><Relationship Type="http://schemas.openxmlformats.org/officeDocument/2006/relationships/hyperlink" Target="http://www.ens.fr/" TargetMode="External" Id="rId2170"/><Relationship Type="http://schemas.openxmlformats.org/officeDocument/2006/relationships/hyperlink" Target="https://etudesenfrance.diplomatie.gouv.fr/catalogue-formations/formation/28442/site/10666" TargetMode="External" Id="rId2171"/><Relationship Type="http://schemas.openxmlformats.org/officeDocument/2006/relationships/hyperlink" Target="http://www.ifp-school.com/" TargetMode="External" Id="rId2172"/><Relationship Type="http://schemas.openxmlformats.org/officeDocument/2006/relationships/hyperlink" Target="https://etudesenfrance.diplomatie.gouv.fr/catalogue-formations/formation/27791/site/6486" TargetMode="External" Id="rId2173"/><Relationship Type="http://schemas.openxmlformats.org/officeDocument/2006/relationships/hyperlink" Target="http://www.sciences.unilim.fr/" TargetMode="External" Id="rId2174"/><Relationship Type="http://schemas.openxmlformats.org/officeDocument/2006/relationships/hyperlink" Target="https://etudesenfrance.diplomatie.gouv.fr/catalogue-formations/formation/39984/site/7171" TargetMode="External" Id="rId2175"/><Relationship Type="http://schemas.openxmlformats.org/officeDocument/2006/relationships/hyperlink" Target="http://www.sciences.unilim.fr/" TargetMode="External" Id="rId2176"/><Relationship Type="http://schemas.openxmlformats.org/officeDocument/2006/relationships/hyperlink" Target="https://etudesenfrance.diplomatie.gouv.fr/catalogue-formations/formation/39985/site/7171" TargetMode="External" Id="rId2177"/><Relationship Type="http://schemas.openxmlformats.org/officeDocument/2006/relationships/hyperlink" Target="https://www.unistra.fr/fr/node/8168" TargetMode="External" Id="rId2178"/><Relationship Type="http://schemas.openxmlformats.org/officeDocument/2006/relationships/hyperlink" Target="http://med.unistra.fr/" TargetMode="External" Id="rId2179"/><Relationship Type="http://schemas.openxmlformats.org/officeDocument/2006/relationships/hyperlink" Target="https://etudesenfrance.diplomatie.gouv.fr/catalogue-formations/formation/41617/site/6700" TargetMode="External" Id="rId2180"/><Relationship Type="http://schemas.openxmlformats.org/officeDocument/2006/relationships/hyperlink" Target="https://www.univ-amu.fr/fr/actualites/aix-marseille-universite-mobilise-pleinement-capacite-dexoneration-continuer-accueillir" TargetMode="External" Id="rId2181"/><Relationship Type="http://schemas.openxmlformats.org/officeDocument/2006/relationships/hyperlink" Target="https://smpm.univ-amu.fr/" TargetMode="External" Id="rId2182"/><Relationship Type="http://schemas.openxmlformats.org/officeDocument/2006/relationships/hyperlink" Target="https://etudesenfrance.diplomatie.gouv.fr/catalogue-formations/formation/52053/site/6693" TargetMode="External" Id="rId2183"/><Relationship Type="http://schemas.openxmlformats.org/officeDocument/2006/relationships/hyperlink" Target="https://www.univ-amu.fr/fr/actualites/aix-marseille-universite-mobilise-pleinement-capacite-dexoneration-continuer-accueillir" TargetMode="External" Id="rId2184"/><Relationship Type="http://schemas.openxmlformats.org/officeDocument/2006/relationships/hyperlink" Target="http://medecine.univ-amu.fr/" TargetMode="External" Id="rId2185"/><Relationship Type="http://schemas.openxmlformats.org/officeDocument/2006/relationships/hyperlink" Target="https://etudesenfrance.diplomatie.gouv.fr/catalogue-formations/formation/39414/site/6693" TargetMode="External" Id="rId2186"/><Relationship Type="http://schemas.openxmlformats.org/officeDocument/2006/relationships/hyperlink" Target="https://www.utoulouse.fr/medias/fichier/2026-02-ca-075_1774430647495-pdf" TargetMode="External" Id="rId2187"/><Relationship Type="http://schemas.openxmlformats.org/officeDocument/2006/relationships/hyperlink" Target="https://www.univ-tlse3.fr/master-mention-biologie-sante" TargetMode="External" Id="rId2188"/><Relationship Type="http://schemas.openxmlformats.org/officeDocument/2006/relationships/hyperlink" Target="https://etudesenfrance.diplomatie.gouv.fr/catalogue-formations/formation/50938/site/13714" TargetMode="External" Id="rId2189"/><Relationship Type="http://schemas.openxmlformats.org/officeDocument/2006/relationships/hyperlink" Target="http://www.ifp-school.com/" TargetMode="External" Id="rId2190"/><Relationship Type="http://schemas.openxmlformats.org/officeDocument/2006/relationships/hyperlink" Target="https://etudesenfrance.diplomatie.gouv.fr/catalogue-formations/formation/14964/site/6486" TargetMode="External" Id="rId2191"/><Relationship Type="http://schemas.openxmlformats.org/officeDocument/2006/relationships/hyperlink" Target="https://www.ensicaen.fr/" TargetMode="External" Id="rId2192"/><Relationship Type="http://schemas.openxmlformats.org/officeDocument/2006/relationships/hyperlink" Target="https://etudesenfrance.diplomatie.gouv.fr/catalogue-formations/formation/26170/site/6792" TargetMode="External" Id="rId2193"/><Relationship Type="http://schemas.openxmlformats.org/officeDocument/2006/relationships/hyperlink" Target="https://msc-inp-insa-toulouse.fr/master-fluids-engineering-for-industrial-processes/" TargetMode="External" Id="rId2194"/><Relationship Type="http://schemas.openxmlformats.org/officeDocument/2006/relationships/hyperlink" Target="https://etudesenfrance.diplomatie.gouv.fr/catalogue-formations/formation/27291/site/6502" TargetMode="External" Id="rId2195"/><Relationship Type="http://schemas.openxmlformats.org/officeDocument/2006/relationships/hyperlink" Target="https://en.isep.fr/studying-at-isep/isep-engineering-master-degree/" TargetMode="External" Id="rId2196"/><Relationship Type="http://schemas.openxmlformats.org/officeDocument/2006/relationships/hyperlink" Target="https://etudesenfrance.diplomatie.gouv.fr/catalogue-formations/formation/28022/site/6867" TargetMode="External" Id="rId2197"/><Relationship Type="http://schemas.openxmlformats.org/officeDocument/2006/relationships/hyperlink" Target="https://www.isae-supaero.fr/" TargetMode="External" Id="rId2198"/><Relationship Type="http://schemas.openxmlformats.org/officeDocument/2006/relationships/hyperlink" Target="https://etudesenfrance.diplomatie.gouv.fr/catalogue-formations/formation/44652/site/6489" TargetMode="External" Id="rId2199"/><Relationship Type="http://schemas.openxmlformats.org/officeDocument/2006/relationships/hyperlink" Target="http://www.isat.fr/" TargetMode="External" Id="rId2200"/><Relationship Type="http://schemas.openxmlformats.org/officeDocument/2006/relationships/hyperlink" Target="https://etudesenfrance.diplomatie.gouv.fr/catalogue-formations/formation/26481/site/6856" TargetMode="External" Id="rId2201"/><Relationship Type="http://schemas.openxmlformats.org/officeDocument/2006/relationships/hyperlink" Target="https://www.estaca.fr/en/programs/post-master-degree/aeronautical-operation-maintenance/" TargetMode="External" Id="rId2202"/><Relationship Type="http://schemas.openxmlformats.org/officeDocument/2006/relationships/hyperlink" Target="https://etudesenfrance.diplomatie.gouv.fr/catalogue-formations/formation/34959/site/13626" TargetMode="External" Id="rId2203"/><Relationship Type="http://schemas.openxmlformats.org/officeDocument/2006/relationships/hyperlink" Target="http://www.ensam.eu/" TargetMode="External" Id="rId2204"/><Relationship Type="http://schemas.openxmlformats.org/officeDocument/2006/relationships/hyperlink" Target="https://etudesenfrance.diplomatie.gouv.fr/catalogue-formations/formation/26636/site/12557" TargetMode="External" Id="rId2205"/><Relationship Type="http://schemas.openxmlformats.org/officeDocument/2006/relationships/hyperlink" Target="http://www.ensam.eu/" TargetMode="External" Id="rId2206"/><Relationship Type="http://schemas.openxmlformats.org/officeDocument/2006/relationships/hyperlink" Target="https://etudesenfrance.diplomatie.gouv.fr/catalogue-formations/formation/26636/site/6743" TargetMode="External" Id="rId2207"/><Relationship Type="http://schemas.openxmlformats.org/officeDocument/2006/relationships/hyperlink" Target="http://www.eicesi.fr/" TargetMode="External" Id="rId2208"/><Relationship Type="http://schemas.openxmlformats.org/officeDocument/2006/relationships/hyperlink" Target="https://etudesenfrance.diplomatie.gouv.fr/catalogue-formations/formation/26032/site/10836" TargetMode="External" Id="rId2209"/><Relationship Type="http://schemas.openxmlformats.org/officeDocument/2006/relationships/hyperlink" Target="https://www.tsaae.fr/" TargetMode="External" Id="rId2210"/><Relationship Type="http://schemas.openxmlformats.org/officeDocument/2006/relationships/hyperlink" Target="https://etudesenfrance.diplomatie.gouv.fr/catalogue-formations/formation/19620/site/6489" TargetMode="External" Id="rId2211"/><Relationship Type="http://schemas.openxmlformats.org/officeDocument/2006/relationships/hyperlink" Target="https://www.tsaae.fr/" TargetMode="External" Id="rId2212"/><Relationship Type="http://schemas.openxmlformats.org/officeDocument/2006/relationships/hyperlink" Target="https://etudesenfrance.diplomatie.gouv.fr/catalogue-formations/formation/44653/site/6489" TargetMode="External" Id="rId2213"/><Relationship Type="http://schemas.openxmlformats.org/officeDocument/2006/relationships/hyperlink" Target="https://www.tsaae.fr/" TargetMode="External" Id="rId2214"/><Relationship Type="http://schemas.openxmlformats.org/officeDocument/2006/relationships/hyperlink" Target="https://etudesenfrance.diplomatie.gouv.fr/catalogue-formations/formation/26255/site/6489" TargetMode="External" Id="rId2215"/><Relationship Type="http://schemas.openxmlformats.org/officeDocument/2006/relationships/hyperlink" Target="https://www.tsaae.fr/" TargetMode="External" Id="rId2216"/><Relationship Type="http://schemas.openxmlformats.org/officeDocument/2006/relationships/hyperlink" Target="https://etudesenfrance.diplomatie.gouv.fr/catalogue-formations/formation/27802/site/6489" TargetMode="External" Id="rId2217"/><Relationship Type="http://schemas.openxmlformats.org/officeDocument/2006/relationships/hyperlink" Target="https://etudesenfrance.diplomatie.gouv.fr/catalogue-formations/formation/27887/site/6518" TargetMode="External" Id="rId2218"/><Relationship Type="http://schemas.openxmlformats.org/officeDocument/2006/relationships/hyperlink" Target="https://www.tsaae.fr/en/programmes/masters-degree-in-aerospace-engineering/" TargetMode="External" Id="rId2219"/><Relationship Type="http://schemas.openxmlformats.org/officeDocument/2006/relationships/hyperlink" Target="https://etudesenfrance.diplomatie.gouv.fr/catalogue-formations/formation/27795/site/6489" TargetMode="External" Id="rId2220"/><Relationship Type="http://schemas.openxmlformats.org/officeDocument/2006/relationships/hyperlink" Target="https://www.univ-amu.fr/fr/actualites/aix-marseille-universite-mobilise-pleinement-capacite-dexoneration-continuer-accueillir" TargetMode="External" Id="rId2221"/><Relationship Type="http://schemas.openxmlformats.org/officeDocument/2006/relationships/hyperlink" Target="https://smpm.univ-amu.fr/fr" TargetMode="External" Id="rId2222"/><Relationship Type="http://schemas.openxmlformats.org/officeDocument/2006/relationships/hyperlink" Target="https://etudesenfrance.diplomatie.gouv.fr/catalogue-formations/formation/39773/site/6693" TargetMode="External" Id="rId2223"/><Relationship Type="http://schemas.openxmlformats.org/officeDocument/2006/relationships/hyperlink" Target="https://www.univ-amu.fr/fr/actualites/aix-marseille-universite-mobilise-pleinement-capacite-dexoneration-continuer-accueillir" TargetMode="External" Id="rId2224"/><Relationship Type="http://schemas.openxmlformats.org/officeDocument/2006/relationships/hyperlink" Target="https://smpm.univ-amu.fr/fr" TargetMode="External" Id="rId2225"/><Relationship Type="http://schemas.openxmlformats.org/officeDocument/2006/relationships/hyperlink" Target="https://etudesenfrance.diplomatie.gouv.fr/catalogue-formations/formation/39768/site/6693" TargetMode="External" Id="rId2226"/><Relationship Type="http://schemas.openxmlformats.org/officeDocument/2006/relationships/hyperlink" Target="https://www.univ-amu.fr/fr/actualites/aix-marseille-universite-mobilise-pleinement-capacite-dexoneration-continuer-accueillir" TargetMode="External" Id="rId2227"/><Relationship Type="http://schemas.openxmlformats.org/officeDocument/2006/relationships/hyperlink" Target="https://smpm.univ-amu.fr/fr" TargetMode="External" Id="rId2228"/><Relationship Type="http://schemas.openxmlformats.org/officeDocument/2006/relationships/hyperlink" Target="https://etudesenfrance.diplomatie.gouv.fr/catalogue-formations/formation/39770/site/6693" TargetMode="External" Id="rId2229"/><Relationship Type="http://schemas.openxmlformats.org/officeDocument/2006/relationships/hyperlink" Target="https://www.univ-amu.fr/fr/actualites/aix-marseille-universite-mobilise-pleinement-capacite-dexoneration-continuer-accueillir" TargetMode="External" Id="rId2230"/><Relationship Type="http://schemas.openxmlformats.org/officeDocument/2006/relationships/hyperlink" Target="https://smpm.univ-amu.fr/fr" TargetMode="External" Id="rId2231"/><Relationship Type="http://schemas.openxmlformats.org/officeDocument/2006/relationships/hyperlink" Target="https://etudesenfrance.diplomatie.gouv.fr/catalogue-formations/formation/39775/site/6693" TargetMode="External" Id="rId2232"/><Relationship Type="http://schemas.openxmlformats.org/officeDocument/2006/relationships/hyperlink" Target="https://u-paris.fr/droits-dinscription-tarifs-exonerations/" TargetMode="External" Id="rId2233"/><Relationship Type="http://schemas.openxmlformats.org/officeDocument/2006/relationships/hyperlink" Target="http://ufr-paris-garanciere.fr/master-2-biologie-sant&#233;-parcours-dir-d&#233;veloppement-inflammation-r&#233;g&#233;n&#233;ration" TargetMode="External" Id="rId2234"/><Relationship Type="http://schemas.openxmlformats.org/officeDocument/2006/relationships/hyperlink" Target="https://etudesenfrance.diplomatie.gouv.fr/catalogue-formations/formation/45186/site/14120" TargetMode="External" Id="rId2235"/><Relationship Type="http://schemas.openxmlformats.org/officeDocument/2006/relationships/hyperlink" Target="https://formations.u-bordeaux.fr/" TargetMode="External" Id="rId2236"/><Relationship Type="http://schemas.openxmlformats.org/officeDocument/2006/relationships/hyperlink" Target="https://etudesenfrance.diplomatie.gouv.fr/catalogue-formations/formation/46595/site/6682" TargetMode="External" Id="rId2237"/><Relationship Type="http://schemas.openxmlformats.org/officeDocument/2006/relationships/hyperlink" Target="https://www.univ-amu.fr/fr/actualites/aix-marseille-universite-mobilise-pleinement-capacite-dexoneration-continuer-accueillir" TargetMode="External" Id="rId2238"/><Relationship Type="http://schemas.openxmlformats.org/officeDocument/2006/relationships/hyperlink" Target="https://smpm.univ-amu.fr/fr" TargetMode="External" Id="rId2239"/><Relationship Type="http://schemas.openxmlformats.org/officeDocument/2006/relationships/hyperlink" Target="https://etudesenfrance.diplomatie.gouv.fr/catalogue-formations/formation/39776/site/6693" TargetMode="External" Id="rId2240"/><Relationship Type="http://schemas.openxmlformats.org/officeDocument/2006/relationships/hyperlink" Target="https://www.umlp.fr/sites/default/files/2026-07-02-page-droits-differencies-vf.pdf" TargetMode="External" Id="rId2241"/><Relationship Type="http://schemas.openxmlformats.org/officeDocument/2006/relationships/hyperlink" Target="https://etudesenfrance.diplomatie.gouv.fr/catalogue-formations/formation/60090/site/6695" TargetMode="External" Id="rId2242"/><Relationship Type="http://schemas.openxmlformats.org/officeDocument/2006/relationships/table" Target="/xl/tables/table3.xml" Id="rId2243"/></Relationships>
</file>

<file path=xl/worksheets/_rels/sheet6.xml.rels><Relationships xmlns="http://schemas.openxmlformats.org/package/2006/relationships"><Relationship Type="http://schemas.openxmlformats.org/officeDocument/2006/relationships/hyperlink" Target="https://www.service-public.gouv.fr/particuliers/actualites/A18927" TargetMode="External" Id="rId1"/><Relationship Type="http://schemas.openxmlformats.org/officeDocument/2006/relationships/hyperlink" Target="https://www.ip-paris.fr/sites/default/files/pages/documents/Masters/master-phd-track-registration-fees-EN-26-27%20(2).pdf" TargetMode="External" Id="rId2"/><Relationship Type="http://schemas.openxmlformats.org/officeDocument/2006/relationships/hyperlink" Target="https://www.isae-supaero.fr/en/tuition-fees-fundings-for-the-advanced-master-programmes/" TargetMode="External" Id="rId3"/><Relationship Type="http://schemas.openxmlformats.org/officeDocument/2006/relationships/hyperlink" Target="https://programmes.polytechnique.edu/en/master/admissions-msct/tuition-fees" TargetMode="External" Id="rId4"/><Relationship Type="http://schemas.openxmlformats.org/officeDocument/2006/relationships/hyperlink" Target="https://univ-cotedazur.eu/msc-programs" TargetMode="External" Id="rId5"/><Relationship Type="http://schemas.openxmlformats.org/officeDocument/2006/relationships/hyperlink" Target="https://www.sorbonne-universite.fr/actualites/le-conseil-dadministration-de-sorbonne-universite-vote-lunanimite-le-7-juillet-2026-sa" TargetMode="External" Id="rId6"/><Relationship Type="http://schemas.openxmlformats.org/officeDocument/2006/relationships/hyperlink" Target="https://www.utoulouse.fr/medias/fichier/2026-02-ca-075_1774430647495-pdf" TargetMode="External" Id="rId7"/><Relationship Type="http://schemas.openxmlformats.org/officeDocument/2006/relationships/hyperlink" Target="https://www.univ-grenoble-alpes.fr/actualites/a-la-une/actualites-universite/etudiants-internationaux-ce-que-change-le-nouveau-decret-sur-les-droits-d-inscription-a-l-uga-1775870.kjsp" TargetMode="External" Id="rId8"/><Relationship Type="http://schemas.openxmlformats.org/officeDocument/2006/relationships/hyperlink" Target="https://observalgerie.com/2026/06/13/misc/frais-dinscription-en-france-lille-maintient-un-avantage-pour-les-etudiants-etrangers/" TargetMode="External" Id="rId9"/><Relationship Type="http://schemas.openxmlformats.org/officeDocument/2006/relationships/hyperlink" Target="https://www.univ-amu.fr/fr/actualites/aix-marseille-universite-mobilise-pleinement-capacite-dexoneration-continuer-accueillir" TargetMode="External" Id="rId10"/><Relationship Type="http://schemas.openxmlformats.org/officeDocument/2006/relationships/hyperlink" Target="https://www.unistra.fr/fr/node/8168" TargetMode="External" Id="rId11"/><Relationship Type="http://schemas.openxmlformats.org/officeDocument/2006/relationships/hyperlink" Target="https://www.umontpellier.fr/en/international/etudier-a-letranger/etudiants-internationaux-annee-universitaire-2026-2027/" TargetMode="External" Id="rId12"/><Relationship Type="http://schemas.openxmlformats.org/officeDocument/2006/relationships/hyperlink" Target="https://www.univ-lyon1.fr/formation/inscription-et-scolarite/etudiantes-et-etudiants-internationaux-droits-dinscription-differencies-et-exonerations" TargetMode="External" Id="rId13"/><Relationship Type="http://schemas.openxmlformats.org/officeDocument/2006/relationships/hyperlink" Target="https://www.univ-tours.fr/international/etudes-stages-a-tours/droits-dinscription-differencies-pour-les-etudiants-extra-communautaires-2026-2027" TargetMode="External" Id="rId14"/><Relationship Type="http://schemas.openxmlformats.org/officeDocument/2006/relationships/hyperlink" Target="https://www.univ-rouen.fr/actualites/application-des-droits-dinscription-differencies-a-luniversite-de-rouen-normandie-a-compter-de-la-rentree-universitaire-2026-2027/" TargetMode="External" Id="rId15"/><Relationship Type="http://schemas.openxmlformats.org/officeDocument/2006/relationships/hyperlink" Target="https://www.uca.fr/medias/fichier/delib-ca-20251205-15-tarifs-differencies_1765204050111-pdf" TargetMode="External" Id="rId16"/><Relationship Type="http://schemas.openxmlformats.org/officeDocument/2006/relationships/hyperlink" Target="https://u-paris.fr/droits-dinscription-tarifs-exonerations/" TargetMode="External" Id="rId17"/><Relationship Type="http://schemas.openxmlformats.org/officeDocument/2006/relationships/hyperlink" Target="https://www.umlp.fr/sites/default/files/2026-07-02-page-droits-differencies-vf.pdf" TargetMode="External" Id="rId18"/><Relationship Type="http://schemas.openxmlformats.org/officeDocument/2006/relationships/hyperlink" Target="https://www.letudiant.fr/educpros/actualite/droits-d-inscription-majores-pour-les-etudiants-etrangers-pourquoi-l-application-du-decret-met-en-difficulte-de-nombreuses-universites.html" TargetMode="External" Id="rId19"/></Relationships>
</file>

<file path=xl/worksheets/_rels/sheet7.xml.rels><Relationships xmlns="http://schemas.openxmlformats.org/package/2006/relationships"><Relationship Type="http://schemas.openxmlformats.org/officeDocument/2006/relationships/hyperlink" Target="https://etudesenfrance.diplomatie.gouv.fr/catalogue-formations" TargetMode="External" Id="rId1"/><Relationship Type="http://schemas.openxmlformats.org/officeDocument/2006/relationships/hyperlink" Target="https://www.service-public.gouv.fr/particuliers/actualites/A18927" TargetMode="External" Id="rId2"/><Relationship Type="http://schemas.openxmlformats.org/officeDocument/2006/relationships/hyperlink" Target="https://www.univ-tours.fr/international/etudes-stages-a-tours/droits-dinscription-differencies-pour-les-etudiants-extra-communautaires-2026-2027" TargetMode="External" Id="rId3"/><Relationship Type="http://schemas.openxmlformats.org/officeDocument/2006/relationships/hyperlink" Target="https://www.ip-paris.fr/sites/default/files/pages/documents/Masters/master-phd-track-registration-fees-EN-26-27%20(2).pdf" TargetMode="External" Id="rId4"/><Relationship Type="http://schemas.openxmlformats.org/officeDocument/2006/relationships/hyperlink" Target="https://www.isae-supaero.fr/en/tuition-fees-fundings-for-the-advanced-master-programmes/" TargetMode="External" Id="rId5"/><Relationship Type="http://schemas.openxmlformats.org/officeDocument/2006/relationships/hyperlink" Target="https://programmes.polytechnique.edu/en/master/admissions-msct/tuition-fees" TargetMode="External" Id="rId6"/><Relationship Type="http://schemas.openxmlformats.org/officeDocument/2006/relationships/hyperlink" Target="https://www.mastersportal.com/studies/37462/biomedical-engineering-and-design.html" TargetMode="External" Id="rId7"/><Relationship Type="http://schemas.openxmlformats.org/officeDocument/2006/relationships/hyperlink" Target="https://mosig.imag.fr/MainEn/Tuition" TargetMode="External" Id="rId8"/><Relationship Type="http://schemas.openxmlformats.org/officeDocument/2006/relationships/hyperlink" Target="https://www.letudiant.fr/educpros/actualite/droits-d-inscription-majores-pour-les-etudiants-etrangers-pourquoi-l-application-du-decret-met-en-difficulte-de-nombreuses-universites.html" TargetMode="External" Id="rId9"/><Relationship Type="http://schemas.openxmlformats.org/officeDocument/2006/relationships/hyperlink" Target="https://www.sorbonne-universite.fr/actualites/le-conseil-dadministration-de-sorbonne-universite-vote-lunanimite-le-7-juillet-2026-sa" TargetMode="External" Id="rId10"/><Relationship Type="http://schemas.openxmlformats.org/officeDocument/2006/relationships/hyperlink" Target="https://www.utoulouse.fr/medias/fichier/2026-02-ca-075_1774430647495-pdf" TargetMode="External" Id="rId11"/><Relationship Type="http://schemas.openxmlformats.org/officeDocument/2006/relationships/hyperlink" Target="https://www.univ-grenoble-alpes.fr/actualites/a-la-une/actualites-universite/etudiants-internationaux-ce-que-change-le-nouveau-decret-sur-les-droits-d-inscription-a-l-uga-1775870.kjsp" TargetMode="External" Id="rId12"/><Relationship Type="http://schemas.openxmlformats.org/officeDocument/2006/relationships/hyperlink" Target="https://observalgerie.com/2026/06/13/misc/frais-dinscription-en-france-lille-maintient-un-avantage-pour-les-etudiants-etrangers/" TargetMode="External" Id="rId13"/><Relationship Type="http://schemas.openxmlformats.org/officeDocument/2006/relationships/hyperlink" Target="https://www.univ-amu.fr/fr/actualites/aix-marseille-universite-mobilise-pleinement-capacite-dexoneration-continuer-accueillir" TargetMode="External" Id="rId14"/><Relationship Type="http://schemas.openxmlformats.org/officeDocument/2006/relationships/hyperlink" Target="https://www.unistra.fr/fr/node/8168" TargetMode="External" Id="rId15"/><Relationship Type="http://schemas.openxmlformats.org/officeDocument/2006/relationships/hyperlink" Target="https://www.umontpellier.fr/en/international/etudier-a-letranger/etudiants-internationaux-annee-universitaire-2026-2027/" TargetMode="External" Id="rId16"/><Relationship Type="http://schemas.openxmlformats.org/officeDocument/2006/relationships/hyperlink" Target="https://www.univ-lyon1.fr/formation/inscription-et-scolarite/etudiantes-et-etudiants-internationaux-droits-dinscription-differencies-et-exonerations" TargetMode="External" Id="rId17"/><Relationship Type="http://schemas.openxmlformats.org/officeDocument/2006/relationships/hyperlink" Target="https://www.univ-tours.fr/international/etudes-stages-a-tours/droits-dinscription-differencies-pour-les-etudiants-extra-communautaires-2026-2027" TargetMode="External" Id="rId18"/><Relationship Type="http://schemas.openxmlformats.org/officeDocument/2006/relationships/hyperlink" Target="https://www.univ-rouen.fr/actualites/application-des-droits-dinscription-differencies-a-luniversite-de-rouen-normandie-a-compter-de-la-rentree-universitaire-2026-2027/" TargetMode="External" Id="rId19"/><Relationship Type="http://schemas.openxmlformats.org/officeDocument/2006/relationships/hyperlink" Target="https://www.uca.fr/medias/fichier/delib-ca-20251205-15-tarifs-differencies_1765204050111-pdf" TargetMode="External" Id="rId20"/><Relationship Type="http://schemas.openxmlformats.org/officeDocument/2006/relationships/hyperlink" Target="https://u-paris.fr/droits-dinscription-tarifs-exonerations/" TargetMode="External" Id="rId21"/><Relationship Type="http://schemas.openxmlformats.org/officeDocument/2006/relationships/hyperlink" Target="https://www.umlp.fr/sites/default/files/2026-07-02-page-droits-differencies-vf.pdf" TargetMode="External" Id="rId22"/><Relationship Type="http://schemas.openxmlformats.org/officeDocument/2006/relationships/hyperlink" Target="https://www.letudiant.fr/educpros/actualite/droits-d-inscription-majores-pour-les-etudiants-etrangers-pourquoi-l-application-du-decret-met-en-difficulte-de-nombreuses-universites.html" TargetMode="External" Id="rId23"/></Relationships>
</file>

<file path=xl/worksheets/sheet1.xml><?xml version="1.0" encoding="utf-8"?>
<worksheet xmlns="http://schemas.openxmlformats.org/spreadsheetml/2006/main">
  <sheetPr filterMode="0">
    <outlinePr summaryBelow="1" summaryRight="1"/>
    <pageSetUpPr fitToPage="0"/>
  </sheetPr>
  <dimension ref="A1:B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8" min="1" max="1"/>
    <col width="120" customWidth="1" style="18" min="2" max="2"/>
  </cols>
  <sheetData>
    <row r="1" ht="64.15000000000001" customHeight="1" s="19">
      <c r="A1" s="20" t="inlineStr">
        <is>
          <t>FRANCE MASTER'S SHORTLIST – Études en France catalogue (pulled 9 Oct 2026)</t>
        </is>
      </c>
      <c r="B1" s="21" t="n"/>
    </row>
    <row r="2" ht="15" customHeight="1" s="19">
      <c r="A2" s="22" t="inlineStr">
        <is>
          <t>Profile</t>
        </is>
      </c>
      <c r="B2" s="21" t="inlineStr">
        <is>
          <t>4-year bachelor's (≈ Bac+4) with ~3 years' experience as an embedded systems engineer in biomedical devices</t>
        </is>
      </c>
    </row>
    <row r="3" ht="46.25" customHeight="1" s="19">
      <c r="A3" s="22" t="inlineStr">
        <is>
          <t>What was searched</t>
        </is>
      </c>
      <c r="B3" s="21" t="inlineStr">
        <is>
          <t>ALL programs in the official Études en France catalogue of these degree types: Master (national), Master of Science (MSc), Mastère en sciences, Mastère spécialisé, Master recherche/professionnel, Diplôme d'ingénieur, PhD — 7,911 listings. Filtered by field/sub-field (electronics, signal &amp; imaging, telecom, systems, industrial computing, engineering, medicine…) and by keywords → 999 relevant programs kept (arts/law/business/pharma/chemistry etc. removed).</t>
        </is>
      </c>
    </row>
    <row r="4" ht="23.85" customHeight="1" s="19">
      <c r="A4" s="22" t="inlineStr">
        <is>
          <t>Data pulled per program</t>
        </is>
      </c>
      <c r="B4" s="21" t="inlineStr">
        <is>
          <t>Title, school, city, language, entry level, entry year, duration, tuition fee entered by the school, application window, whether a separate school application is required, website, requirements, direct catalogue link.</t>
        </is>
      </c>
    </row>
    <row r="5" ht="35.05" customHeight="1" s="19">
      <c r="A5" s="22" t="inlineStr">
        <is>
          <t>Missing fees</t>
        </is>
      </c>
      <c r="B5" s="21" t="inlineStr">
        <is>
          <t>About half the listings have no fee in the catalogue (mostly public universities). These were filled with researched rules: the 2026-27 national fee decree, each university's exemption policy, and official school fee pages (sources in column "Fee basis" and the Sources sheet). "Fee confidence" tells you how sure the figure is.</t>
        </is>
      </c>
    </row>
    <row r="6" ht="15" customHeight="1" s="19">
      <c r="A6" s="22" t="n"/>
      <c r="B6" s="21" t="n"/>
    </row>
    <row r="7" ht="15" customHeight="1" s="19">
      <c r="A7" s="23" t="inlineStr">
        <is>
          <t>KEY FINDINGS</t>
        </is>
      </c>
      <c r="B7" s="21" t="n"/>
    </row>
    <row r="8" ht="23.85" customHeight="1" s="19">
      <c r="A8" s="22" t="inlineStr">
        <is>
          <t>1. Cheapest route = public universities</t>
        </is>
      </c>
      <c r="B8" s="21" t="inlineStr">
        <is>
          <t>A national Master at a public university costs €3,950/yr for non-EU students in 2026-27 (official, service-public.gouv.fr). With an exemption it drops to ~€254-255/yr. Private schools and "MSc" programs cost €5,000-€18,000/yr.</t>
        </is>
      </c>
    </row>
    <row r="9" ht="23.85" customHeight="1" s="19">
      <c r="A9" s="22" t="inlineStr">
        <is>
          <t>2. BIG 2026 change: exemptions are now capped</t>
        </is>
      </c>
      <c r="B9" s="21" t="inlineStr">
        <is>
          <t>Decree n° 2026-385 (19 May 2026) caps fee exemptions at 30% of non-EU students per university in 2026-27, 25% in 2027-28 (your intake), 20% later. So budget €3,950/yr and treat €255 as a bonus. Apply for exemption at the same time as admission.</t>
        </is>
      </c>
    </row>
    <row r="10" ht="35.05" customHeight="1" s="19">
      <c r="A10" s="22" t="inlineStr">
        <is>
          <t>3. Most generous universities (2026-27)</t>
        </is>
      </c>
      <c r="B10" s="21" t="inlineStr">
        <is>
          <t>Sorbonne Université (says it can exempt all eligible applicants), Université de Toulouse (partial exemption for all), Université Grenoble Alpes / Grenoble INP (broad exemptions in 2026-27), Université de Lille (continues exemptions). See "University fee policies" sheet. Policies for Sept 2027 will be voted in spring/summer 2027 – re-check.</t>
        </is>
      </c>
    </row>
    <row r="11" ht="35.05" customHeight="1" s="19">
      <c r="A11" s="22" t="inlineStr">
        <is>
          <t>4. Your eligibility</t>
        </is>
      </c>
      <c r="B11" s="21" t="inlineStr">
        <is>
          <t>A 4-year bachelor's is usually treated as Bac+4 → you can enter Master year 1 (M1) almost everywhere, and many M2/MSc that accept Bac+4. Programs requiring Bac+5 (a Master) are marked red. Mastère Spécialisé (MS) accepts Bac+4 + 3 yrs experience — exactly your profile, but MS programs are expensive (€9k-€23k).</t>
        </is>
      </c>
    </row>
    <row r="12" ht="35.05" customHeight="1" s="19">
      <c r="A12" s="22" t="inlineStr">
        <is>
          <t>5. Grades</t>
        </is>
      </c>
      <c r="B12" s="21" t="inlineStr">
        <is>
          <t>Public French masters select on grades. If yours are average, compensate with: a strong SOP linking your embedded/biomedical work to the program, experience letters, a project portfolio (firmware, signal processing), a good IELTS (6.5+) and, for French-taught programs, a DELF/TCF B2. Apply widely (the EEF portal allows several choices).</t>
        </is>
      </c>
    </row>
    <row r="13" ht="35.05" customHeight="1" s="19">
      <c r="A13" s="22" t="inlineStr">
        <is>
          <t>6. "Reprise d'études" warning</t>
        </is>
      </c>
      <c r="B13" s="21" t="inlineStr">
        <is>
          <t>Some universities treat applicants who stopped studying 2+ years ago for work as "continuing education" with higher fees (e.g. Université de Pau states min €3,950+ for students resuming after a 2-yr break). Ask each university whether you will be enrolled under "formation initiale" before accepting.</t>
        </is>
      </c>
    </row>
    <row r="14" ht="23.85" customHeight="1" s="19">
      <c r="A14" s="22" t="inlineStr">
        <is>
          <t>7. Language</t>
        </is>
      </c>
      <c r="B14" s="21" t="inlineStr">
        <is>
          <t>Most cheap public masters are taught in FRENCH (B2 required). English-taught options are on the "English-taught" sheet. Learning French to B2 opens ~3x more low-fee options.</t>
        </is>
      </c>
    </row>
    <row r="15" ht="23.85" customHeight="1" s="19">
      <c r="A15" s="22" t="inlineStr">
        <is>
          <t>8. Apprenticeship programs</t>
        </is>
      </c>
      <c r="B15" s="21" t="inlineStr">
        <is>
          <t>Listings run by CFA/ITII (apprenticeship) are free to the student but need a French employer contract and residence permit — not realistic from abroad. Kept for completeness, marked in "Institution type".</t>
        </is>
      </c>
    </row>
    <row r="16" ht="23.85" customHeight="1" s="19">
      <c r="A16" s="22" t="inlineStr">
        <is>
          <t>9. PhD</t>
        </is>
      </c>
      <c r="B16" s="21" t="inlineStr">
        <is>
          <t>Only 1 relevant PhD listing appears in the catalogue. A French PhD needs a Master first; doctorate fee is €397/yr and PhDs are normally salaried (≈€2,100+/month gross). Plan: Master now → PhD later.</t>
        </is>
      </c>
    </row>
    <row r="17" ht="23.85" customHeight="1" s="19">
      <c r="A17" s="22" t="inlineStr">
        <is>
          <t>10. Deadlines</t>
        </is>
      </c>
      <c r="B17" s="21" t="inlineStr">
        <is>
          <t>Études en France applications for Sept 2027 are open in the catalogue from 1 Oct 2026 to 15 Mar 2027 (many schools close earlier, and "Extra school application" = Yes means you must ALSO apply on the school's own platform).</t>
        </is>
      </c>
    </row>
    <row r="18" ht="15" customHeight="1" s="19">
      <c r="A18" s="22" t="n"/>
      <c r="B18" s="21" t="n"/>
    </row>
    <row r="19" ht="15" customHeight="1" s="19">
      <c r="A19" s="23" t="inlineStr">
        <is>
          <t>SHEETS</t>
        </is>
      </c>
      <c r="B19" s="21" t="n"/>
    </row>
    <row r="20" ht="15" customHeight="1" s="19">
      <c r="A20" s="22" t="inlineStr">
        <is>
          <t>Top Picks (low fee)</t>
        </is>
      </c>
      <c r="B20" s="21" t="inlineStr">
        <is>
          <t>261 programs: relevance ≥4, you are eligible, open, and could cost ≤ €6,000/yr. Start here.</t>
        </is>
      </c>
    </row>
    <row r="21" ht="15" customHeight="1" s="19">
      <c r="A21" s="22" t="inlineStr">
        <is>
          <t>English-taught</t>
        </is>
      </c>
      <c r="B21" s="21" t="inlineStr">
        <is>
          <t>192 open, eligible programs taught fully or partly in English.</t>
        </is>
      </c>
    </row>
    <row r="22" ht="15" customHeight="1" s="19">
      <c r="A22" s="22" t="inlineStr">
        <is>
          <t>All Programs</t>
        </is>
      </c>
      <c r="B22" s="21" t="inlineStr">
        <is>
          <t>All 999 relevant programs, sorted by relevance → eligibility → lowest fee. Use the filter arrows.</t>
        </is>
      </c>
    </row>
    <row r="23" ht="15" customHeight="1" s="19">
      <c r="A23" s="22" t="inlineStr">
        <is>
          <t>University fee policies</t>
        </is>
      </c>
      <c r="B23" s="21" t="inlineStr">
        <is>
          <t>2026-27 exemption policy per university, with official sources.</t>
        </is>
      </c>
    </row>
    <row r="24" ht="15" customHeight="1" s="19">
      <c r="A24" s="22" t="inlineStr">
        <is>
          <t>Summary</t>
        </is>
      </c>
      <c r="B24" s="21" t="inlineStr">
        <is>
          <t>Counts by field and fee band (live formulas on the All Programs sheet).</t>
        </is>
      </c>
    </row>
    <row r="25" ht="15" customHeight="1" s="19">
      <c r="A25" s="22" t="inlineStr">
        <is>
          <t>Sources</t>
        </is>
      </c>
      <c r="B25" s="21" t="inlineStr">
        <is>
          <t>All official pages used.</t>
        </is>
      </c>
    </row>
    <row r="26" ht="15" customHeight="1" s="19">
      <c r="A26" s="22" t="n"/>
      <c r="B26" s="21" t="n"/>
    </row>
    <row r="27" ht="15" customHeight="1" s="19">
      <c r="A27" s="22" t="inlineStr">
        <is>
          <t>COLOUR LEGEND</t>
        </is>
      </c>
      <c r="B27" s="21" t="inlineStr">
        <is>
          <t>Fee: green ≤ €1,000 · yellow €1,001-6,000 · red &gt; €6,000.  Eligibility: green = eligible on level · red = needs a Master.</t>
        </is>
      </c>
    </row>
    <row r="28" ht="23.85" customHeight="1" s="19">
      <c r="A28" s="22" t="inlineStr">
        <is>
          <t>Relevance</t>
        </is>
      </c>
      <c r="B28" s="21" t="inlineStr">
        <is>
          <t>★★★★★ embedded / biomedical / health tech · ★★★★ electronics, signal, robotics, IoT, sensors · ★★★ AI, data, CS, cyber, energy · ★★ other engineering</t>
        </is>
      </c>
    </row>
    <row r="29" ht="15" customHeight="1" s="19">
      <c r="A29" s="22" t="inlineStr">
        <is>
          <t>Est. total tuition</t>
        </is>
      </c>
      <c r="B29" s="21" t="inlineStr">
        <is>
          <t>Formula: Est. tuition per year × Years to finish (formula). Years are estimated from entry year (M1 entry = 2 yrs, M2 entry = 1 yr).</t>
        </is>
      </c>
    </row>
    <row r="30" ht="23.85" customHeight="1" s="19">
      <c r="A30" s="22" t="inlineStr">
        <is>
          <t>Disclaimer</t>
        </is>
      </c>
      <c r="B30" s="21" t="inlineStr">
        <is>
          <t>Fees and policies change yearly; figures are 2026-27 (latest published). Always confirm on the school website before paying any deposit. Living costs (~€700-1,100/month, Campus France "proof of funds" ≈ €615/month) and CVEC (~€105) are extra.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I262"/>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18" min="1" max="1"/>
    <col width="10" customWidth="1" style="18" min="2" max="2"/>
    <col width="30" customWidth="1" style="18" min="3" max="3"/>
    <col width="26" customWidth="1" style="18" min="4" max="4"/>
    <col width="60" customWidth="1" style="18" min="5" max="5"/>
    <col width="55" customWidth="1" style="18" min="6" max="6"/>
    <col width="24" customWidth="1" style="18" min="7" max="7"/>
    <col width="38" customWidth="1" style="18" min="8" max="8"/>
    <col width="30" customWidth="1" style="18" min="9" max="9"/>
    <col width="22" customWidth="1" style="18" min="10" max="10"/>
    <col width="18" customWidth="1" style="18" min="11" max="11"/>
    <col width="20" customWidth="1" style="18" min="12" max="12"/>
    <col width="14" customWidth="1" style="18" min="13" max="14"/>
    <col width="16" customWidth="1" style="18" min="15" max="15"/>
    <col width="40" customWidth="1" style="18" min="16" max="16"/>
    <col width="9" customWidth="1" style="18" min="17" max="17"/>
    <col width="12" customWidth="1" style="18" min="18" max="18"/>
    <col width="14" customWidth="1" style="18" min="19" max="20"/>
    <col width="9" customWidth="1" style="18" min="21" max="21"/>
    <col width="14" customWidth="1" style="18" min="22" max="22"/>
    <col width="60" customWidth="1" style="18" min="23" max="23"/>
    <col width="11" customWidth="1" style="18" min="24" max="24"/>
    <col width="14" customWidth="1" style="18" min="25" max="25"/>
    <col width="50" customWidth="1" style="18" min="26" max="26"/>
    <col width="60" customWidth="1" style="18" min="27" max="27"/>
    <col width="30" customWidth="1" style="18" min="28" max="28"/>
    <col width="9" customWidth="1" style="18" min="29" max="29"/>
    <col width="11" customWidth="1" style="18" min="30" max="31"/>
    <col width="12" customWidth="1" style="18" min="32" max="32"/>
    <col width="40" customWidth="1" style="18" min="33" max="33"/>
    <col width="60" customWidth="1" style="18" min="34" max="34"/>
    <col width="30" customWidth="1" style="18" min="35" max="35"/>
  </cols>
  <sheetData>
    <row r="1" ht="45" customHeight="1" s="19">
      <c r="A1" s="24" t="inlineStr">
        <is>
          <t>#</t>
        </is>
      </c>
      <c r="B1" s="24" t="inlineStr">
        <is>
          <t>Relevance</t>
        </is>
      </c>
      <c r="C1" s="24" t="inlineStr">
        <is>
          <t>Relevance note</t>
        </is>
      </c>
      <c r="D1" s="24" t="inlineStr">
        <is>
          <t>Field (category)</t>
        </is>
      </c>
      <c r="E1" s="24" t="inlineStr">
        <is>
          <t>Program title (as in Études en France)</t>
        </is>
      </c>
      <c r="F1" s="24" t="inlineStr">
        <is>
          <t>Approx. English title (auto-translated)</t>
        </is>
      </c>
      <c r="G1" s="24" t="inlineStr">
        <is>
          <t>Degree type</t>
        </is>
      </c>
      <c r="H1" s="24" t="inlineStr">
        <is>
          <t>Institution / faculty</t>
        </is>
      </c>
      <c r="I1" s="24" t="inlineStr">
        <is>
          <t>University / group</t>
        </is>
      </c>
      <c r="J1" s="24" t="inlineStr">
        <is>
          <t>Campus / site</t>
        </is>
      </c>
      <c r="K1" s="24" t="inlineStr">
        <is>
          <t>City / postcode</t>
        </is>
      </c>
      <c r="L1" s="24" t="inlineStr">
        <is>
          <t>Institution type</t>
        </is>
      </c>
      <c r="M1" s="24" t="inlineStr">
        <is>
          <t>Teaching language</t>
        </is>
      </c>
      <c r="N1" s="24" t="inlineStr">
        <is>
          <t>Catalogue</t>
        </is>
      </c>
      <c r="O1" s="24" t="inlineStr">
        <is>
          <t>Entry level required</t>
        </is>
      </c>
      <c r="P1" s="24" t="inlineStr">
        <is>
          <t>Your eligibility (4-yr BS, 3 yrs exp.)</t>
        </is>
      </c>
      <c r="Q1" s="24" t="inlineStr">
        <is>
          <t>Entry year(s)</t>
        </is>
      </c>
      <c r="R1" s="24" t="inlineStr">
        <is>
          <t>Duration (months, per catalogue)</t>
        </is>
      </c>
      <c r="S1" s="24" t="inlineStr">
        <is>
          <t>Est. tuition / year non-EU (€)</t>
        </is>
      </c>
      <c r="T1" s="24" t="inlineStr">
        <is>
          <t>Lowest possible with exemption (€)</t>
        </is>
      </c>
      <c r="U1" s="24" t="inlineStr">
        <is>
          <t>Years to finish (est.)</t>
        </is>
      </c>
      <c r="V1" s="24" t="inlineStr">
        <is>
          <t>Est. total tuition (€)</t>
        </is>
      </c>
      <c r="W1" s="24" t="inlineStr">
        <is>
          <t>Fee basis &amp; source</t>
        </is>
      </c>
      <c r="X1" s="24" t="inlineStr">
        <is>
          <t>Fee confidence</t>
        </is>
      </c>
      <c r="Y1" s="24" t="inlineStr">
        <is>
          <t>Fees found in catalogue (€)</t>
        </is>
      </c>
      <c r="Z1" s="24" t="inlineStr">
        <is>
          <t>Fee note from catalogue text</t>
        </is>
      </c>
      <c r="AA1" s="24" t="inlineStr">
        <is>
          <t>University exemption policy 2026-27</t>
        </is>
      </c>
      <c r="AB1" s="24" t="inlineStr">
        <is>
          <t>Policy source</t>
        </is>
      </c>
      <c r="AC1" s="24" t="inlineStr">
        <is>
          <t>EEF status</t>
        </is>
      </c>
      <c r="AD1" s="24" t="inlineStr">
        <is>
          <t>Apply from</t>
        </is>
      </c>
      <c r="AE1" s="24" t="inlineStr">
        <is>
          <t>Apply until (EEF)</t>
        </is>
      </c>
      <c r="AF1" s="24" t="inlineStr">
        <is>
          <t>Extra school application required?</t>
        </is>
      </c>
      <c r="AG1" s="24" t="inlineStr">
        <is>
          <t>Program website</t>
        </is>
      </c>
      <c r="AH1" s="24" t="inlineStr">
        <is>
          <t>Requirements (excerpt)</t>
        </is>
      </c>
      <c r="AI1" s="24" t="inlineStr">
        <is>
          <t>Catalogue link</t>
        </is>
      </c>
    </row>
    <row r="2" ht="32.8" customHeight="1" s="19">
      <c r="A2" s="25" t="n">
        <v>1</v>
      </c>
      <c r="B2" s="25" t="inlineStr">
        <is>
          <t>★★★★★</t>
        </is>
      </c>
      <c r="C2" s="25" t="inlineStr">
        <is>
          <t>5 – Core fit (embedded/biomedical/health tech)</t>
        </is>
      </c>
      <c r="D2" s="25" t="inlineStr">
        <is>
          <t>IoT / Telecom / Networks</t>
        </is>
      </c>
      <c r="E2" s="26" t="inlineStr">
        <is>
          <t>Master indifférencié (recherche et professionnel) Master Computer Networks and IoT Systems</t>
        </is>
      </c>
      <c r="F2" s="26" t="inlineStr">
        <is>
          <t>Master Computer Networks and IoT Systems</t>
        </is>
      </c>
      <c r="G2" s="25" t="inlineStr">
        <is>
          <t>Master indifférencié (recherche et professionnel)</t>
        </is>
      </c>
      <c r="H2" s="25" t="inlineStr">
        <is>
          <t>Conservatoire national des arts et métiers - CNAM</t>
        </is>
      </c>
      <c r="I2" s="25" t="n"/>
      <c r="J2" s="25" t="inlineStr">
        <is>
          <t>Cnam Etablissement Public - EPN5 Computer Science</t>
        </is>
      </c>
      <c r="K2" s="25" t="inlineStr">
        <is>
          <t>75003 Paris</t>
        </is>
      </c>
      <c r="L2" s="25" t="inlineStr">
        <is>
          <t>Public school / institute</t>
        </is>
      </c>
      <c r="M2" s="25" t="inlineStr">
        <is>
          <t>English</t>
        </is>
      </c>
      <c r="N2" s="25" t="inlineStr">
        <is>
          <t>Taught in English</t>
        </is>
      </c>
      <c r="O2" s="25" t="inlineStr">
        <is>
          <t>Bac +4 / Bac +5</t>
        </is>
      </c>
      <c r="P2" s="26" t="inlineStr">
        <is>
          <t>Eligible on level (4-yr BS ≈ Bac+4)</t>
        </is>
      </c>
      <c r="Q2" s="25" t="inlineStr">
        <is>
          <t>1/2</t>
        </is>
      </c>
      <c r="R2" s="25" t="inlineStr">
        <is>
          <t>12</t>
        </is>
      </c>
      <c r="S2" s="27" t="n">
        <v>3950</v>
      </c>
      <c r="T2" s="27" t="n">
        <v>255</v>
      </c>
      <c r="U2" s="25" t="n">
        <v>2</v>
      </c>
      <c r="V2" s="27">
        <f>IF(S2="","",S2*U2)</f>
        <v/>
      </c>
      <c r="W2" s="26" t="inlineStr">
        <is>
          <t>Catalogue: €3,770. = national differentiated master fee (2026-27: €3,950). Exemption to ~€255 possible (university quota).</t>
        </is>
      </c>
      <c r="X2" s="25" t="inlineStr">
        <is>
          <t>High</t>
        </is>
      </c>
      <c r="Y2" s="25" t="inlineStr">
        <is>
          <t>3770</t>
        </is>
      </c>
      <c r="Z2" s="26" t="n"/>
      <c r="AA2" s="26" t="n"/>
      <c r="AB2" s="25" t="n"/>
      <c r="AC2" s="25" t="inlineStr">
        <is>
          <t>Open</t>
        </is>
      </c>
      <c r="AD2" s="25" t="inlineStr">
        <is>
          <t>2026-10-01</t>
        </is>
      </c>
      <c r="AE2" s="25" t="inlineStr">
        <is>
          <t>2027-03-15</t>
        </is>
      </c>
      <c r="AF2" s="25" t="inlineStr">
        <is>
          <t>Yes</t>
        </is>
      </c>
      <c r="AG2" s="28" t="inlineStr">
        <is>
          <t>https://master.roc.cnam.fr</t>
        </is>
      </c>
      <c r="AH2" s="26" t="inlineStr">
        <is>
          <t>International, European and French students willing to pursue a master degree in English, and possessing a Bachelor-level degree in one of these fields: Computer Science, Electronics, Computer Engineering, Electrical Eng</t>
        </is>
      </c>
      <c r="AI2" s="28" t="inlineStr">
        <is>
          <t>Open in EEF</t>
        </is>
      </c>
    </row>
    <row r="3" ht="32.8" customHeight="1" s="19">
      <c r="A3" s="25" t="n">
        <v>2</v>
      </c>
      <c r="B3" s="25" t="inlineStr">
        <is>
          <t>★★★★★</t>
        </is>
      </c>
      <c r="C3" s="25" t="inlineStr">
        <is>
          <t>5 – Core fit (embedded/biomedical/health tech)</t>
        </is>
      </c>
      <c r="D3" s="25" t="inlineStr">
        <is>
          <t>Biomedical / Health tech</t>
        </is>
      </c>
      <c r="E3" s="26" t="inlineStr">
        <is>
          <t>Master indifférencié (recherche et professionnel) mention Biomedical Engineering (BME)</t>
        </is>
      </c>
      <c r="F3" s="26" t="inlineStr">
        <is>
          <t>major: Biomedical Engineering (BME)</t>
        </is>
      </c>
      <c r="G3" s="25" t="inlineStr">
        <is>
          <t>Master indifférencié (recherche et professionnel)</t>
        </is>
      </c>
      <c r="H3" s="25" t="inlineStr">
        <is>
          <t>UFR des Sciences pharmaceutiques et biologiques</t>
        </is>
      </c>
      <c r="I3" s="25" t="inlineStr">
        <is>
          <t>Université de Montpellier</t>
        </is>
      </c>
      <c r="J3" s="25" t="inlineStr">
        <is>
          <t>Site de Montpellier</t>
        </is>
      </c>
      <c r="K3" s="25" t="inlineStr">
        <is>
          <t>34090 Montpellier</t>
        </is>
      </c>
      <c r="L3" s="25" t="inlineStr">
        <is>
          <t>Public university</t>
        </is>
      </c>
      <c r="M3" s="25" t="inlineStr">
        <is>
          <t>English</t>
        </is>
      </c>
      <c r="N3" s="25" t="inlineStr">
        <is>
          <t>Taught in English</t>
        </is>
      </c>
      <c r="O3" s="25" t="inlineStr">
        <is>
          <t>Bac +4</t>
        </is>
      </c>
      <c r="P3" s="26" t="inlineStr">
        <is>
          <t>Eligible on level (4-yr BS ≈ Bac+4)</t>
        </is>
      </c>
      <c r="Q3" s="25" t="inlineStr">
        <is>
          <t>1</t>
        </is>
      </c>
      <c r="R3" s="25" t="inlineStr">
        <is>
          <t>12</t>
        </is>
      </c>
      <c r="S3" s="27" t="n">
        <v>3950</v>
      </c>
      <c r="T3" s="27" t="n">
        <v>255</v>
      </c>
      <c r="U3" s="25" t="n">
        <v>2</v>
      </c>
      <c r="V3" s="27">
        <f>IF(S3="","",S3*U3)</f>
        <v/>
      </c>
      <c r="W3" s="26" t="inlineStr">
        <is>
          <t>Not in catalogue. Public national master → 2026-27 differentiated fee €3,950; exemption to ~€254-255 depends on university quota (25% cap in 2027-28).</t>
        </is>
      </c>
      <c r="X3" s="25" t="inlineStr">
        <is>
          <t>Medium</t>
        </is>
      </c>
      <c r="Y3" s="25" t="n"/>
      <c r="Z3" s="26" t="n"/>
      <c r="AA3" s="26" t="inlineStr">
        <is>
          <t>Montpellier 2026-27: new non-EU entrants pay the differentiated fee unless individual exemption (limited).</t>
        </is>
      </c>
      <c r="AB3" s="28" t="inlineStr">
        <is>
          <t>https://www.umontpellier.fr/en/international/etudier-a-letranger/etudiants-internationaux-annee-universitaire-2026-2027/</t>
        </is>
      </c>
      <c r="AC3" s="25" t="inlineStr">
        <is>
          <t>Open</t>
        </is>
      </c>
      <c r="AD3" s="25" t="inlineStr">
        <is>
          <t>2026-10-01</t>
        </is>
      </c>
      <c r="AE3" s="25" t="inlineStr">
        <is>
          <t>2027-03-15</t>
        </is>
      </c>
      <c r="AF3" s="25" t="inlineStr">
        <is>
          <t>No</t>
        </is>
      </c>
      <c r="AG3" s="28" t="inlineStr">
        <is>
          <t>https://idil.edu.umontpellier.fr/master-idil/les-parcours/</t>
        </is>
      </c>
      <c r="AH3" s="26" t="inlineStr">
        <is>
          <t>Conditions d’accès Diplôme de licence dans la discipline choisie IDIL Niveau d’anglais B2 minimum CV et lettre de motivation 2 lettres de soutien d’un chercheur et/ou professeur (recommandé, mais non obligatoire) Estimat</t>
        </is>
      </c>
      <c r="AI3" s="28" t="inlineStr">
        <is>
          <t>Open in EEF</t>
        </is>
      </c>
    </row>
    <row r="4" ht="32.8" customHeight="1" s="19">
      <c r="A4" s="25" t="n">
        <v>3</v>
      </c>
      <c r="B4" s="25" t="inlineStr">
        <is>
          <t>★★★★★</t>
        </is>
      </c>
      <c r="C4" s="25" t="inlineStr">
        <is>
          <t>5 – Core fit (embedded/biomedical/health tech)</t>
        </is>
      </c>
      <c r="D4" s="25" t="inlineStr">
        <is>
          <t>Embedded systems / Electronics</t>
        </is>
      </c>
      <c r="E4" s="26" t="inlineStr">
        <is>
          <t>Master indifférencié (recherche et professionnel) mention Electronique, énergies électriques et automatique* parcours Electronique, Outils Libres pour l'instrumentation et les Systèmes Embarqués (ELISE) *</t>
        </is>
      </c>
      <c r="F4" s="26" t="inlineStr">
        <is>
          <t>major: Electronics, Energies Electrical &amp; Automation* – track: Electronics, Outils Libres for Instrumentation &amp; the Embedded Systems (ELISE) *</t>
        </is>
      </c>
      <c r="G4" s="25" t="inlineStr">
        <is>
          <t>Master indifférencié (recherche et professionnel)</t>
        </is>
      </c>
      <c r="H4" s="25" t="inlineStr">
        <is>
          <t>UFR Sciences et Techniques</t>
        </is>
      </c>
      <c r="I4" s="25" t="inlineStr">
        <is>
          <t>Université Marie et Louis Pasteur</t>
        </is>
      </c>
      <c r="J4" s="25" t="inlineStr">
        <is>
          <t>Site de Besançon</t>
        </is>
      </c>
      <c r="K4" s="25" t="inlineStr">
        <is>
          <t>25030 BESANCON CEDEX</t>
        </is>
      </c>
      <c r="L4" s="25" t="inlineStr">
        <is>
          <t>Public university</t>
        </is>
      </c>
      <c r="M4" s="25" t="inlineStr">
        <is>
          <t>English</t>
        </is>
      </c>
      <c r="N4" s="25" t="inlineStr">
        <is>
          <t>Taught in English</t>
        </is>
      </c>
      <c r="O4" s="25" t="inlineStr">
        <is>
          <t>Bac +4</t>
        </is>
      </c>
      <c r="P4" s="26" t="inlineStr">
        <is>
          <t>Eligible on level (4-yr BS ≈ Bac+4)</t>
        </is>
      </c>
      <c r="Q4" s="25" t="inlineStr">
        <is>
          <t>1</t>
        </is>
      </c>
      <c r="R4" s="25" t="n"/>
      <c r="S4" s="27" t="n">
        <v>3950</v>
      </c>
      <c r="T4" s="27" t="n">
        <v>255</v>
      </c>
      <c r="U4" s="25" t="n">
        <v>2</v>
      </c>
      <c r="V4" s="27">
        <f>IF(S4="","",S4*U4)</f>
        <v/>
      </c>
      <c r="W4" s="26" t="inlineStr">
        <is>
          <t>Not in catalogue. Public national master → 2026-27 differentiated fee €3,950; exemption to ~€254-255 depends on university quota (25% cap in 2027-28).</t>
        </is>
      </c>
      <c r="X4" s="25" t="inlineStr">
        <is>
          <t>Medium</t>
        </is>
      </c>
      <c r="Y4" s="25" t="n"/>
      <c r="Z4" s="26" t="n"/>
      <c r="AA4" s="26" t="inlineStr">
        <is>
          <t>UMLP: individual exemption requests assessed on personal resources.</t>
        </is>
      </c>
      <c r="AB4" s="28" t="inlineStr">
        <is>
          <t>https://www.umlp.fr/sites/default/files/2026-07-02-page-droits-differencies-vf.pdf</t>
        </is>
      </c>
      <c r="AC4" s="25" t="inlineStr">
        <is>
          <t>Open</t>
        </is>
      </c>
      <c r="AD4" s="25" t="inlineStr">
        <is>
          <t>2026-10-01</t>
        </is>
      </c>
      <c r="AE4" s="25" t="inlineStr">
        <is>
          <t>2027-03-15</t>
        </is>
      </c>
      <c r="AF4" s="25" t="inlineStr">
        <is>
          <t>No</t>
        </is>
      </c>
      <c r="AG4" s="28" t="inlineStr">
        <is>
          <t>https://formations.univ-fcomte.fr/fr/formations/feuilleter-le-catalogue/master-lmd-XB/master-electronique-energie-electrique-automatique-M4QUAZ0D.html</t>
        </is>
      </c>
      <c r="AH4" s="26" t="inlineStr">
        <is>
          <t>C langage programming, digital electronics, microcontroller programming, analog electronics, instrumentation, Python programming, signal processing, mathematics (basic algebra and analysis), Linux operating system Langue</t>
        </is>
      </c>
      <c r="AI4" s="28" t="inlineStr">
        <is>
          <t>Open in EEF</t>
        </is>
      </c>
    </row>
    <row r="5" ht="32.8" customHeight="1" s="19">
      <c r="A5" s="25" t="n">
        <v>4</v>
      </c>
      <c r="B5" s="25" t="inlineStr">
        <is>
          <t>★★★★★</t>
        </is>
      </c>
      <c r="C5" s="25" t="inlineStr">
        <is>
          <t>5 – Core fit (embedded/biomedical/health tech)</t>
        </is>
      </c>
      <c r="D5" s="25" t="inlineStr">
        <is>
          <t>Biomedical / Health tech</t>
        </is>
      </c>
      <c r="E5" s="26" t="inlineStr">
        <is>
          <t>Master indifférencié (recherche et professionnel) Sciences, Technologies, Santé mention Biologie Santé parcours Bioingénierie Moléculaire et Cellulaire</t>
        </is>
      </c>
      <c r="F5" s="26" t="inlineStr">
        <is>
          <t>Science, Technology, Health (STS) – major: Biology-Health – track: Bioengineering Molecular &amp; Cellular</t>
        </is>
      </c>
      <c r="G5" s="25" t="inlineStr">
        <is>
          <t>Master indifférencié (recherche et professionnel)</t>
        </is>
      </c>
      <c r="H5" s="25" t="inlineStr">
        <is>
          <t>UFR de Chimie et Biologie</t>
        </is>
      </c>
      <c r="I5" s="25" t="inlineStr">
        <is>
          <t>Université de Grenoble Alpes</t>
        </is>
      </c>
      <c r="J5" s="25" t="inlineStr">
        <is>
          <t>Site de Grenoble - Campus de Saint Martin d'Hères</t>
        </is>
      </c>
      <c r="K5" s="25" t="n"/>
      <c r="L5" s="25" t="inlineStr">
        <is>
          <t>Public university</t>
        </is>
      </c>
      <c r="M5" s="25" t="inlineStr">
        <is>
          <t>English</t>
        </is>
      </c>
      <c r="N5" s="25" t="inlineStr">
        <is>
          <t>Taught in English</t>
        </is>
      </c>
      <c r="O5" s="25" t="inlineStr">
        <is>
          <t>Bac +4</t>
        </is>
      </c>
      <c r="P5" s="26" t="inlineStr">
        <is>
          <t>Eligible on level (4-yr BS ≈ Bac+4)</t>
        </is>
      </c>
      <c r="Q5" s="25" t="inlineStr">
        <is>
          <t>1</t>
        </is>
      </c>
      <c r="R5" s="25" t="n"/>
      <c r="S5" s="27" t="n">
        <v>3950</v>
      </c>
      <c r="T5" s="27" t="n">
        <v>255</v>
      </c>
      <c r="U5" s="25" t="n">
        <v>2</v>
      </c>
      <c r="V5" s="27">
        <f>IF(S5="","",S5*U5)</f>
        <v/>
      </c>
      <c r="W5" s="26" t="inlineStr">
        <is>
          <t>Not in catalogue. Public national master → 2026-27 differentiated fee €3,950; exemption to ~€254-255 depends on university quota (25% cap in 2027-28).</t>
        </is>
      </c>
      <c r="X5" s="25" t="inlineStr">
        <is>
          <t>Medium</t>
        </is>
      </c>
      <c r="Y5" s="25" t="n"/>
      <c r="Z5" s="26" t="n"/>
      <c r="AA5" s="26" t="inlineStr">
        <is>
          <t>UGA (incl. Grenoble INP masters): 2026-27 broad exemptions on request (pay national €254). From 2027-28 the decree caps apply; exemptions based on resources.</t>
        </is>
      </c>
      <c r="AB5" s="28" t="inlineStr">
        <is>
          <t>https://www.univ-grenoble-alpes.fr/actualites/a-la-une/actualites-universite/etudiants-internationaux-ce-que-change-le-nouveau-decret-sur-les-droits-d-inscription-a-l-uga-1775870.kjsp</t>
        </is>
      </c>
      <c r="AC5" s="25" t="inlineStr">
        <is>
          <t>Open</t>
        </is>
      </c>
      <c r="AD5" s="25" t="inlineStr">
        <is>
          <t>2026-10-01</t>
        </is>
      </c>
      <c r="AE5" s="25" t="inlineStr">
        <is>
          <t>2027-03-15</t>
        </is>
      </c>
      <c r="AF5" s="25" t="inlineStr">
        <is>
          <t>No</t>
        </is>
      </c>
      <c r="AG5" s="28" t="inlineStr">
        <is>
          <t>https://formations.univ-grenoble-alpes.fr/fr/offre-de-formation/master-XB/master-biologie-sante-IAQKB0GE/parcours-molecular-and-cellular-biology-1re-annee-IK43J2QV.html</t>
        </is>
      </c>
      <c r="AH5" s="26" t="inlineStr">
        <is>
          <t>The "Bioingénierie Moléculaire et Cellulaire" M1 program is open to students having completed a bachelor’s degree in Sciences or are enrolled in the ﬁnal semester of a bachelor’s program in Sciences with a solid backgrou</t>
        </is>
      </c>
      <c r="AI5" s="28" t="inlineStr">
        <is>
          <t>Open in EEF</t>
        </is>
      </c>
    </row>
    <row r="6" ht="32.8" customHeight="1" s="19">
      <c r="A6" s="25" t="n">
        <v>5</v>
      </c>
      <c r="B6" s="25" t="inlineStr">
        <is>
          <t>★★★★★</t>
        </is>
      </c>
      <c r="C6" s="25" t="inlineStr">
        <is>
          <t>5 – Core fit (embedded/biomedical/health tech)</t>
        </is>
      </c>
      <c r="D6" s="25" t="inlineStr">
        <is>
          <t>Biomedical / Health tech</t>
        </is>
      </c>
      <c r="E6" s="26" t="inlineStr">
        <is>
          <t>Master indifférencié (recherche et professionnel) Sciences, Technologies, Santé mention Ingénierie de la santé parcours Bio Health Engineering</t>
        </is>
      </c>
      <c r="F6" s="26" t="inlineStr">
        <is>
          <t>Science, Technology, Health (STS) – major: Health Engineering – track: Bio Health Engineering</t>
        </is>
      </c>
      <c r="G6" s="25" t="inlineStr">
        <is>
          <t>Master indifférencié (recherche et professionnel)</t>
        </is>
      </c>
      <c r="H6" s="25" t="inlineStr">
        <is>
          <t>UFR Médecine - Pharmacie</t>
        </is>
      </c>
      <c r="I6" s="25" t="inlineStr">
        <is>
          <t>Université de Grenoble Alpes</t>
        </is>
      </c>
      <c r="J6" s="25" t="inlineStr">
        <is>
          <t>Site de Grenoble - Campus de La Merci - La Tronche</t>
        </is>
      </c>
      <c r="K6" s="25" t="n"/>
      <c r="L6" s="25" t="inlineStr">
        <is>
          <t>Public university</t>
        </is>
      </c>
      <c r="M6" s="25" t="inlineStr">
        <is>
          <t>English</t>
        </is>
      </c>
      <c r="N6" s="25" t="inlineStr">
        <is>
          <t>Taught in English</t>
        </is>
      </c>
      <c r="O6" s="25" t="inlineStr">
        <is>
          <t>Bac +4 / Bac +5</t>
        </is>
      </c>
      <c r="P6" s="26" t="inlineStr">
        <is>
          <t>Eligible on level (4-yr BS ≈ Bac+4)</t>
        </is>
      </c>
      <c r="Q6" s="25" t="inlineStr">
        <is>
          <t>1/2</t>
        </is>
      </c>
      <c r="R6" s="25" t="n"/>
      <c r="S6" s="27" t="n">
        <v>3950</v>
      </c>
      <c r="T6" s="27" t="n">
        <v>255</v>
      </c>
      <c r="U6" s="25" t="n">
        <v>2</v>
      </c>
      <c r="V6" s="27">
        <f>IF(S6="","",S6*U6)</f>
        <v/>
      </c>
      <c r="W6" s="26" t="inlineStr">
        <is>
          <t>Not in catalogue. Public national master → 2026-27 differentiated fee €3,950; exemption to ~€254-255 depends on university quota (25% cap in 2027-28).</t>
        </is>
      </c>
      <c r="X6" s="25" t="inlineStr">
        <is>
          <t>Medium</t>
        </is>
      </c>
      <c r="Y6" s="25" t="n"/>
      <c r="Z6" s="26" t="n"/>
      <c r="AA6" s="26" t="inlineStr">
        <is>
          <t>UGA (incl. Grenoble INP masters): 2026-27 broad exemptions on request (pay national €254). From 2027-28 the decree caps apply; exemptions based on resources.</t>
        </is>
      </c>
      <c r="AB6" s="28" t="inlineStr">
        <is>
          <t>https://www.univ-grenoble-alpes.fr/actualites/a-la-une/actualites-universite/etudiants-internationaux-ce-que-change-le-nouveau-decret-sur-les-droits-d-inscription-a-l-uga-1775870.kjsp</t>
        </is>
      </c>
      <c r="AC6" s="25" t="inlineStr">
        <is>
          <t>Open</t>
        </is>
      </c>
      <c r="AD6" s="25" t="inlineStr">
        <is>
          <t>2026-10-01</t>
        </is>
      </c>
      <c r="AE6" s="25" t="inlineStr">
        <is>
          <t>2027-03-15</t>
        </is>
      </c>
      <c r="AF6" s="25" t="inlineStr">
        <is>
          <t>No</t>
        </is>
      </c>
      <c r="AG6" s="28" t="inlineStr">
        <is>
          <t>https://formations.univ-grenoble-alpes.fr/fr/catalogue-2021/master-XB/master-ingenierie-de-la-sante-IAQKSXOB.html</t>
        </is>
      </c>
      <c r="AH6" s="26" t="inlineStr">
        <is>
          <t>Requirement M1: - Strong theoritical and practical skills in biology or biochemistry or pharmaceutical sciences or biotechnologies. - B2 level in english mandatory. Requirement M2: - Strong theoritical and practical skil</t>
        </is>
      </c>
      <c r="AI6" s="28" t="inlineStr">
        <is>
          <t>Open in EEF</t>
        </is>
      </c>
    </row>
    <row r="7" ht="32.8" customHeight="1" s="19">
      <c r="A7" s="25" t="n">
        <v>6</v>
      </c>
      <c r="B7" s="25" t="inlineStr">
        <is>
          <t>★★★★★</t>
        </is>
      </c>
      <c r="C7" s="25" t="inlineStr">
        <is>
          <t>5 – Core fit (embedded/biomedical/health tech)</t>
        </is>
      </c>
      <c r="D7" s="25" t="inlineStr">
        <is>
          <t>Biomedical / Health tech</t>
        </is>
      </c>
      <c r="E7" s="26" t="inlineStr">
        <is>
          <t>Master indifférencié (recherche et professionnel) Sciences, technologies, santé mention sciences du vivant parcours Biomedical and Computational Sciences in Ageing (imAGEin)</t>
        </is>
      </c>
      <c r="F7" s="26" t="inlineStr">
        <is>
          <t>Science, Technology, Health (STS) – major: Sciences of Life – track: Biomedical and Computational Sciences in Ageing (imAGEin)</t>
        </is>
      </c>
      <c r="G7" s="25" t="inlineStr">
        <is>
          <t>Master indifférencié (recherche et professionnel)</t>
        </is>
      </c>
      <c r="H7" s="25" t="inlineStr">
        <is>
          <t>Sciences</t>
        </is>
      </c>
      <c r="I7" s="25" t="inlineStr">
        <is>
          <t>Université Côte d'Azur</t>
        </is>
      </c>
      <c r="J7" s="25" t="inlineStr">
        <is>
          <t>Site de Nice</t>
        </is>
      </c>
      <c r="K7" s="25" t="n"/>
      <c r="L7" s="25" t="inlineStr">
        <is>
          <t>Public university</t>
        </is>
      </c>
      <c r="M7" s="25" t="inlineStr">
        <is>
          <t>English</t>
        </is>
      </c>
      <c r="N7" s="25" t="inlineStr">
        <is>
          <t>General</t>
        </is>
      </c>
      <c r="O7" s="25" t="inlineStr">
        <is>
          <t>Bac +3</t>
        </is>
      </c>
      <c r="P7" s="26" t="inlineStr">
        <is>
          <t>Eligible on level (4-yr BS ≈ Bac+4)</t>
        </is>
      </c>
      <c r="Q7" s="25" t="inlineStr">
        <is>
          <t>1</t>
        </is>
      </c>
      <c r="R7" s="25" t="n"/>
      <c r="S7" s="27" t="n">
        <v>3950</v>
      </c>
      <c r="T7" s="27" t="n">
        <v>255</v>
      </c>
      <c r="U7" s="25" t="n">
        <v>2</v>
      </c>
      <c r="V7" s="27">
        <f>IF(S7="","",S7*U7)</f>
        <v/>
      </c>
      <c r="W7" s="26" t="inlineStr">
        <is>
          <t>Not in catalogue. Public national master → 2026-27 differentiated fee €3,950; exemption to ~€254-255 depends on university quota (25% cap in 2027-28).</t>
        </is>
      </c>
      <c r="X7" s="25" t="inlineStr">
        <is>
          <t>Medium</t>
        </is>
      </c>
      <c r="Y7" s="25" t="n"/>
      <c r="Z7" s="26" t="n"/>
      <c r="AA7" s="26" t="n"/>
      <c r="AB7" s="25" t="n"/>
      <c r="AC7" s="25" t="inlineStr">
        <is>
          <t>Open</t>
        </is>
      </c>
      <c r="AD7" s="25" t="inlineStr">
        <is>
          <t>2026-10-01</t>
        </is>
      </c>
      <c r="AE7" s="25" t="inlineStr">
        <is>
          <t>2027-03-15</t>
        </is>
      </c>
      <c r="AF7" s="25" t="inlineStr">
        <is>
          <t>Yes</t>
        </is>
      </c>
      <c r="AG7" s="28" t="inlineStr">
        <is>
          <t>https://life.univ-cotedazur.fr/international/imagein</t>
        </is>
      </c>
      <c r="AH7" s="26" t="inlineStr">
        <is>
          <t>Consulter le site web</t>
        </is>
      </c>
      <c r="AI7" s="28" t="inlineStr">
        <is>
          <t>Open in EEF</t>
        </is>
      </c>
    </row>
    <row r="8" ht="32.8" customHeight="1" s="19">
      <c r="A8" s="25" t="n">
        <v>7</v>
      </c>
      <c r="B8" s="25" t="inlineStr">
        <is>
          <t>★★★★★</t>
        </is>
      </c>
      <c r="C8" s="25" t="inlineStr">
        <is>
          <t>5 – Core fit (embedded/biomedical/health tech)</t>
        </is>
      </c>
      <c r="D8" s="25" t="inlineStr">
        <is>
          <t>IoT / Telecom / Networks</t>
        </is>
      </c>
      <c r="E8" s="26" t="inlineStr">
        <is>
          <t>Master Sciences, technologies, santé mention informatique parcours Internet of Things</t>
        </is>
      </c>
      <c r="F8" s="26" t="inlineStr">
        <is>
          <t>Master Science, Technology, Health (STS) – major: Computer Science – track: Internet of Things</t>
        </is>
      </c>
      <c r="G8" s="25" t="inlineStr">
        <is>
          <t>Master indifférencié (recherche et professionnel)</t>
        </is>
      </c>
      <c r="H8" s="25" t="inlineStr">
        <is>
          <t>UFR Sciences, Techniques et Gestion de l'Industrie</t>
        </is>
      </c>
      <c r="I8" s="25" t="inlineStr">
        <is>
          <t>Université Marie et Louis Pasteur</t>
        </is>
      </c>
      <c r="J8" s="25" t="inlineStr">
        <is>
          <t>Site de Montbéliard</t>
        </is>
      </c>
      <c r="K8" s="25" t="inlineStr">
        <is>
          <t>25211 MONTBELIARD CEDEX</t>
        </is>
      </c>
      <c r="L8" s="25" t="inlineStr">
        <is>
          <t>Public university</t>
        </is>
      </c>
      <c r="M8" s="25" t="inlineStr">
        <is>
          <t>English</t>
        </is>
      </c>
      <c r="N8" s="25" t="inlineStr">
        <is>
          <t>General</t>
        </is>
      </c>
      <c r="O8" s="25" t="inlineStr">
        <is>
          <t>Bac +4 / Bac +5</t>
        </is>
      </c>
      <c r="P8" s="26" t="inlineStr">
        <is>
          <t>Eligible on level (4-yr BS ≈ Bac+4)</t>
        </is>
      </c>
      <c r="Q8" s="25" t="inlineStr">
        <is>
          <t>1/2</t>
        </is>
      </c>
      <c r="R8" s="25" t="inlineStr">
        <is>
          <t>12</t>
        </is>
      </c>
      <c r="S8" s="27" t="n">
        <v>3950</v>
      </c>
      <c r="T8" s="27" t="n">
        <v>255</v>
      </c>
      <c r="U8" s="25" t="n">
        <v>2</v>
      </c>
      <c r="V8" s="27">
        <f>IF(S8="","",S8*U8)</f>
        <v/>
      </c>
      <c r="W8" s="26" t="inlineStr">
        <is>
          <t>Not in catalogue. Public national master → 2026-27 differentiated fee €3,950; exemption to ~€254-255 depends on university quota (25% cap in 2027-28).</t>
        </is>
      </c>
      <c r="X8" s="25" t="inlineStr">
        <is>
          <t>Medium</t>
        </is>
      </c>
      <c r="Y8" s="25" t="n"/>
      <c r="Z8" s="26" t="inlineStr">
        <is>
          <t>(Pour information, le montant de la CVEC, pour la rentrée 2026-2027, était de 105€) … (Pour information, le montant de la CVEC, pour la rentrée 2025-2026, était de 105€)</t>
        </is>
      </c>
      <c r="AA8" s="26" t="inlineStr">
        <is>
          <t>UMLP: individual exemption requests assessed on personal resources.</t>
        </is>
      </c>
      <c r="AB8" s="28" t="inlineStr">
        <is>
          <t>https://www.umlp.fr/sites/default/files/2026-07-02-page-droits-differencies-vf.pdf</t>
        </is>
      </c>
      <c r="AC8" s="25" t="inlineStr">
        <is>
          <t>Open</t>
        </is>
      </c>
      <c r="AD8" s="25" t="inlineStr">
        <is>
          <t>2026-10-01</t>
        </is>
      </c>
      <c r="AE8" s="25" t="inlineStr">
        <is>
          <t>2027-03-15</t>
        </is>
      </c>
      <c r="AF8" s="25" t="inlineStr">
        <is>
          <t>No</t>
        </is>
      </c>
      <c r="AG8" s="28" t="inlineStr">
        <is>
          <t>https://stgi.umlp.fr/</t>
        </is>
      </c>
      <c r="AH8" s="26" t="inlineStr">
        <is>
          <t>Le Master Internet of Things (IOT) est un Master en Informatique spécialisé dans le développement des objets communiquants. Il est attendu des candidats en M1 : Licence Informatique avec de bonnes connaissances en algori</t>
        </is>
      </c>
      <c r="AI8" s="28" t="inlineStr">
        <is>
          <t>Open in EEF</t>
        </is>
      </c>
    </row>
    <row r="9" ht="32.8" customHeight="1" s="19">
      <c r="A9" s="25" t="n">
        <v>8</v>
      </c>
      <c r="B9" s="25" t="inlineStr">
        <is>
          <t>★★★★★</t>
        </is>
      </c>
      <c r="C9" s="25" t="inlineStr">
        <is>
          <t>5 – Core fit (embedded/biomedical/health tech)</t>
        </is>
      </c>
      <c r="D9" s="25" t="inlineStr">
        <is>
          <t>Biomedical / Health tech</t>
        </is>
      </c>
      <c r="E9" s="26" t="inlineStr">
        <is>
          <t>Master indifférencié (recherche et professionnel) Sciences, technologies, santé mention Biotechnologies parcours Biomédicaments : conception et production</t>
        </is>
      </c>
      <c r="F9" s="26" t="inlineStr">
        <is>
          <t>Science, Technology, Health (STS) – major: Biotechnologies – track: Biodrugs : Design &amp; Production</t>
        </is>
      </c>
      <c r="G9" s="25" t="inlineStr">
        <is>
          <t>Master indifférencié (recherche et professionnel)</t>
        </is>
      </c>
      <c r="H9" s="25" t="inlineStr">
        <is>
          <t>Faculté de pharmacie</t>
        </is>
      </c>
      <c r="I9" s="25" t="inlineStr">
        <is>
          <t>Université de Strasbourg</t>
        </is>
      </c>
      <c r="J9" s="25" t="inlineStr">
        <is>
          <t>Site de Illkirch-Graffenstaden</t>
        </is>
      </c>
      <c r="K9" s="25" t="n"/>
      <c r="L9" s="25" t="inlineStr">
        <is>
          <t>Public university</t>
        </is>
      </c>
      <c r="M9" s="25" t="inlineStr">
        <is>
          <t>French &amp; English</t>
        </is>
      </c>
      <c r="N9" s="25" t="inlineStr">
        <is>
          <t>General</t>
        </is>
      </c>
      <c r="O9" s="25" t="inlineStr">
        <is>
          <t>Bac +4</t>
        </is>
      </c>
      <c r="P9" s="26" t="inlineStr">
        <is>
          <t>Eligible on level (4-yr BS ≈ Bac+4)</t>
        </is>
      </c>
      <c r="Q9" s="25" t="inlineStr">
        <is>
          <t>1</t>
        </is>
      </c>
      <c r="R9" s="25" t="n"/>
      <c r="S9" s="27" t="n">
        <v>3950</v>
      </c>
      <c r="T9" s="27" t="n">
        <v>255</v>
      </c>
      <c r="U9" s="25" t="n">
        <v>2</v>
      </c>
      <c r="V9" s="27">
        <f>IF(S9="","",S9*U9)</f>
        <v/>
      </c>
      <c r="W9" s="26" t="inlineStr">
        <is>
          <t>Catalogue: €3,950. = national differentiated master fee (2026-27: €3,950). Exemption to ~€255 possible (university quota).</t>
        </is>
      </c>
      <c r="X9" s="25" t="inlineStr">
        <is>
          <t>High</t>
        </is>
      </c>
      <c r="Y9" s="25" t="inlineStr">
        <is>
          <t>3950</t>
        </is>
      </c>
      <c r="Z9" s="26" t="n"/>
      <c r="AA9" s="26" t="inlineStr">
        <is>
          <t>Unistra: master entrants who did not do their licence at Unistra pay the differentiated fee (€3,950).</t>
        </is>
      </c>
      <c r="AB9" s="28" t="inlineStr">
        <is>
          <t>https://www.unistra.fr/fr/node/8168</t>
        </is>
      </c>
      <c r="AC9" s="25" t="inlineStr">
        <is>
          <t>Open</t>
        </is>
      </c>
      <c r="AD9" s="25" t="inlineStr">
        <is>
          <t>2026-10-01</t>
        </is>
      </c>
      <c r="AE9" s="25" t="inlineStr">
        <is>
          <t>2027-03-15</t>
        </is>
      </c>
      <c r="AF9" s="25" t="inlineStr">
        <is>
          <t>No</t>
        </is>
      </c>
      <c r="AG9" s="28" t="inlineStr">
        <is>
          <t>https://pharmacie.unistra.fr</t>
        </is>
      </c>
      <c r="AH9" s="26" t="inlineStr">
        <is>
          <t>Entrée en M1 avoir effectué un curus en : - biologie cellulaire et moléculaire, biochimie, - avoir des bases en chimie Entrée en M2 avoir effectué un cursus en - biologie moléculaire et cellulaire avancée, - avoir des ba</t>
        </is>
      </c>
      <c r="AI9" s="28" t="inlineStr">
        <is>
          <t>Open in EEF</t>
        </is>
      </c>
    </row>
    <row r="10" ht="32.8" customHeight="1" s="19">
      <c r="A10" s="25" t="n">
        <v>9</v>
      </c>
      <c r="B10" s="25" t="inlineStr">
        <is>
          <t>★★★★★</t>
        </is>
      </c>
      <c r="C10" s="25" t="inlineStr">
        <is>
          <t>5 – Core fit (embedded/biomedical/health tech)</t>
        </is>
      </c>
      <c r="D10" s="25" t="inlineStr">
        <is>
          <t>Biomedical / Health tech</t>
        </is>
      </c>
      <c r="E10" s="26" t="inlineStr">
        <is>
          <t>Master indifférencié (recherche et professionnel) Sciences, technologies, santé mention sciences du vivant parcours Bioinformatique et Bioimagerie Structurale</t>
        </is>
      </c>
      <c r="F10" s="26" t="inlineStr">
        <is>
          <t>Science, Technology, Health (STS) – major: Sciences of Life – track: Bioinformatics &amp; Bioimagerie Structural</t>
        </is>
      </c>
      <c r="G10" s="25" t="inlineStr">
        <is>
          <t>Master indifférencié (recherche et professionnel)</t>
        </is>
      </c>
      <c r="H10" s="25" t="inlineStr">
        <is>
          <t>Faculté des sciences de la vie</t>
        </is>
      </c>
      <c r="I10" s="25" t="inlineStr">
        <is>
          <t>Université de Strasbourg</t>
        </is>
      </c>
      <c r="J10" s="25" t="inlineStr">
        <is>
          <t>Site de Strasbourg</t>
        </is>
      </c>
      <c r="K10" s="25" t="inlineStr">
        <is>
          <t>67000 Strasbourg</t>
        </is>
      </c>
      <c r="L10" s="25" t="inlineStr">
        <is>
          <t>Public university</t>
        </is>
      </c>
      <c r="M10" s="25" t="inlineStr">
        <is>
          <t>French &amp; English</t>
        </is>
      </c>
      <c r="N10" s="25" t="inlineStr">
        <is>
          <t>General</t>
        </is>
      </c>
      <c r="O10" s="25" t="inlineStr">
        <is>
          <t>Bac +4 / Bac +5</t>
        </is>
      </c>
      <c r="P10" s="26" t="inlineStr">
        <is>
          <t>Eligible on level (4-yr BS ≈ Bac+4)</t>
        </is>
      </c>
      <c r="Q10" s="25" t="inlineStr">
        <is>
          <t>1/2</t>
        </is>
      </c>
      <c r="R10" s="25" t="n"/>
      <c r="S10" s="27" t="n">
        <v>3950</v>
      </c>
      <c r="T10" s="27" t="n">
        <v>255</v>
      </c>
      <c r="U10" s="25" t="n">
        <v>2</v>
      </c>
      <c r="V10" s="27">
        <f>IF(S10="","",S10*U10)</f>
        <v/>
      </c>
      <c r="W10" s="26" t="inlineStr">
        <is>
          <t>Catalogue: €3,950. = national differentiated master fee (2026-27: €3,950). Exemption to ~€255 possible (university quota).</t>
        </is>
      </c>
      <c r="X10" s="25" t="inlineStr">
        <is>
          <t>High</t>
        </is>
      </c>
      <c r="Y10" s="25" t="inlineStr">
        <is>
          <t>3950</t>
        </is>
      </c>
      <c r="Z10" s="26" t="n"/>
      <c r="AA10" s="26" t="inlineStr">
        <is>
          <t>Unistra: master entrants who did not do their licence at Unistra pay the differentiated fee (€3,950).</t>
        </is>
      </c>
      <c r="AB10" s="28" t="inlineStr">
        <is>
          <t>https://www.unistra.fr/fr/node/8168</t>
        </is>
      </c>
      <c r="AC10" s="25" t="inlineStr">
        <is>
          <t>Open</t>
        </is>
      </c>
      <c r="AD10" s="25" t="inlineStr">
        <is>
          <t>2026-10-01</t>
        </is>
      </c>
      <c r="AE10" s="25" t="inlineStr">
        <is>
          <t>2027-03-15</t>
        </is>
      </c>
      <c r="AF10" s="25" t="inlineStr">
        <is>
          <t>No</t>
        </is>
      </c>
      <c r="AG10" s="28" t="inlineStr">
        <is>
          <t>http://sciencesvie.unistra.fr/</t>
        </is>
      </c>
      <c r="AH10" s="26" t="inlineStr">
        <is>
          <t>M1 : Cette formation s’adresse aux étudiants désirant acquérir une formation pluridisciplinaire alliant une culture biologique à une maîtrise ou une expertise de plusieurs outils et méthodes informatiques, bioinformatiqu</t>
        </is>
      </c>
      <c r="AI10" s="28" t="inlineStr">
        <is>
          <t>Open in EEF</t>
        </is>
      </c>
    </row>
    <row r="11" ht="32.8" customHeight="1" s="19">
      <c r="A11" s="25" t="n">
        <v>10</v>
      </c>
      <c r="B11" s="25" t="inlineStr">
        <is>
          <t>★★★★★</t>
        </is>
      </c>
      <c r="C11" s="25" t="inlineStr">
        <is>
          <t>5 – Core fit (embedded/biomedical/health tech)</t>
        </is>
      </c>
      <c r="D11" s="25" t="inlineStr">
        <is>
          <t>IoT / Telecom / Networks</t>
        </is>
      </c>
      <c r="E11" s="26" t="inlineStr">
        <is>
          <t>Master indifférencié (recherche et professionnel) Sciences, technologies, santé mention Traitement du signal et des images parcours EUR Smart IoT</t>
        </is>
      </c>
      <c r="F11" s="26" t="inlineStr">
        <is>
          <t>Science, Technology, Health (STS) – major: Signal &amp; Image Processing – track: EUR Smart IoT</t>
        </is>
      </c>
      <c r="G11" s="25" t="inlineStr">
        <is>
          <t>Master indifférencié (recherche et professionnel)</t>
        </is>
      </c>
      <c r="H11" s="25" t="inlineStr">
        <is>
          <t>UFR de sciences fondamentales et appliquées - Université de Poitiers</t>
        </is>
      </c>
      <c r="I11" s="25" t="inlineStr">
        <is>
          <t>Université de Poitiers</t>
        </is>
      </c>
      <c r="J11" s="25" t="inlineStr">
        <is>
          <t>Site de Poitiers</t>
        </is>
      </c>
      <c r="K11" s="25" t="n"/>
      <c r="L11" s="25" t="inlineStr">
        <is>
          <t>Public university</t>
        </is>
      </c>
      <c r="M11" s="25" t="inlineStr">
        <is>
          <t>French &amp; English</t>
        </is>
      </c>
      <c r="N11" s="25" t="inlineStr">
        <is>
          <t>Taught in English</t>
        </is>
      </c>
      <c r="O11" s="25" t="inlineStr">
        <is>
          <t>Bac +4 / Bac +5</t>
        </is>
      </c>
      <c r="P11" s="26" t="inlineStr">
        <is>
          <t>Eligible on level (4-yr BS ≈ Bac+4)</t>
        </is>
      </c>
      <c r="Q11" s="25" t="inlineStr">
        <is>
          <t>1/2</t>
        </is>
      </c>
      <c r="R11" s="25" t="n"/>
      <c r="S11" s="27" t="n">
        <v>3950</v>
      </c>
      <c r="T11" s="27" t="n">
        <v>255</v>
      </c>
      <c r="U11" s="25" t="n">
        <v>2</v>
      </c>
      <c r="V11" s="27">
        <f>IF(S11="","",S11*U11)</f>
        <v/>
      </c>
      <c r="W11" s="26" t="inlineStr">
        <is>
          <t>Catalogue: €3,950. = national differentiated master fee (2026-27: €3,950). Exemption to ~€255 possible (university quota).</t>
        </is>
      </c>
      <c r="X11" s="25" t="inlineStr">
        <is>
          <t>High</t>
        </is>
      </c>
      <c r="Y11" s="25" t="inlineStr">
        <is>
          <t>3950</t>
        </is>
      </c>
      <c r="Z11" s="26" t="n"/>
      <c r="AA11" s="26" t="n"/>
      <c r="AB11" s="25" t="n"/>
      <c r="AC11" s="25" t="inlineStr">
        <is>
          <t>Open</t>
        </is>
      </c>
      <c r="AD11" s="25" t="inlineStr">
        <is>
          <t>2026-10-01</t>
        </is>
      </c>
      <c r="AE11" s="25" t="inlineStr">
        <is>
          <t>2027-03-15</t>
        </is>
      </c>
      <c r="AF11" s="25" t="inlineStr">
        <is>
          <t>No</t>
        </is>
      </c>
      <c r="AG11" s="28" t="inlineStr">
        <is>
          <t>https://www.unilim.fr/gradschool-ceramics-ict/formation/smart-iot/</t>
        </is>
      </c>
      <c r="AH11" s="26" t="inlineStr">
        <is>
          <t>Year 1 The admissions committee will focus in particular on the candidate’s grades in subjects related to the intended field of study and on the candidate’s ability to articulate their motivations and career goals. Minim</t>
        </is>
      </c>
      <c r="AI11" s="28" t="inlineStr">
        <is>
          <t>Open in EEF</t>
        </is>
      </c>
    </row>
    <row r="12" ht="22.35" customHeight="1" s="19">
      <c r="A12" s="25" t="n">
        <v>11</v>
      </c>
      <c r="B12" s="25" t="inlineStr">
        <is>
          <t>★★★★★</t>
        </is>
      </c>
      <c r="C12" s="25" t="inlineStr">
        <is>
          <t>5 – Core fit (embedded/biomedical/health tech)</t>
        </is>
      </c>
      <c r="D12" s="25" t="inlineStr">
        <is>
          <t>Biomedical / Health tech</t>
        </is>
      </c>
      <c r="E12" s="26" t="inlineStr">
        <is>
          <t>Master Sciences, technologies, santé, mention Ingéniérie de la santé parcours Biomatériaux et bio ingénierie pour la santé</t>
        </is>
      </c>
      <c r="F12" s="26" t="inlineStr">
        <is>
          <t>Master Science, Technology, Health (STS), – major: Engineering of the Health – track: Biomaterials &amp; bio Engineering for Health</t>
        </is>
      </c>
      <c r="G12" s="25" t="inlineStr">
        <is>
          <t>Master indifférencié (recherche et professionnel)</t>
        </is>
      </c>
      <c r="H12" s="25" t="inlineStr">
        <is>
          <t>Faculté de chirurgie dentaire</t>
        </is>
      </c>
      <c r="I12" s="25" t="inlineStr">
        <is>
          <t>Université de Strasbourg</t>
        </is>
      </c>
      <c r="J12" s="25" t="inlineStr">
        <is>
          <t>Site de Strasbourg</t>
        </is>
      </c>
      <c r="K12" s="25" t="n"/>
      <c r="L12" s="25" t="inlineStr">
        <is>
          <t>Public university</t>
        </is>
      </c>
      <c r="M12" s="25" t="inlineStr">
        <is>
          <t>French &amp; English</t>
        </is>
      </c>
      <c r="N12" s="25" t="inlineStr">
        <is>
          <t>General</t>
        </is>
      </c>
      <c r="O12" s="25" t="inlineStr">
        <is>
          <t>Bac +4 / Bac +5</t>
        </is>
      </c>
      <c r="P12" s="26" t="inlineStr">
        <is>
          <t>Eligible on level (4-yr BS ≈ Bac+4)</t>
        </is>
      </c>
      <c r="Q12" s="25" t="inlineStr">
        <is>
          <t>1/2</t>
        </is>
      </c>
      <c r="R12" s="25" t="n"/>
      <c r="S12" s="27" t="n">
        <v>3950</v>
      </c>
      <c r="T12" s="27" t="n">
        <v>255</v>
      </c>
      <c r="U12" s="25" t="n">
        <v>2</v>
      </c>
      <c r="V12" s="27">
        <f>IF(S12="","",S12*U12)</f>
        <v/>
      </c>
      <c r="W12" s="26" t="inlineStr">
        <is>
          <t>Catalogue: €3,950. = national differentiated master fee (2026-27: €3,950). Exemption to ~€255 possible (university quota).</t>
        </is>
      </c>
      <c r="X12" s="25" t="inlineStr">
        <is>
          <t>High</t>
        </is>
      </c>
      <c r="Y12" s="25" t="inlineStr">
        <is>
          <t>3950</t>
        </is>
      </c>
      <c r="Z12" s="26" t="n"/>
      <c r="AA12" s="26" t="inlineStr">
        <is>
          <t>Unistra: master entrants who did not do their licence at Unistra pay the differentiated fee (€3,950).</t>
        </is>
      </c>
      <c r="AB12" s="28" t="inlineStr">
        <is>
          <t>https://www.unistra.fr/fr/node/8168</t>
        </is>
      </c>
      <c r="AC12" s="25" t="inlineStr">
        <is>
          <t>Open</t>
        </is>
      </c>
      <c r="AD12" s="25" t="inlineStr">
        <is>
          <t>2026-10-01</t>
        </is>
      </c>
      <c r="AE12" s="25" t="inlineStr">
        <is>
          <t>2027-03-15</t>
        </is>
      </c>
      <c r="AF12" s="25" t="inlineStr">
        <is>
          <t>No</t>
        </is>
      </c>
      <c r="AG12" s="28" t="inlineStr">
        <is>
          <t>https://chirurgie-dentaire.unistra.fr/</t>
        </is>
      </c>
      <c r="AH12" s="26" t="inlineStr">
        <is>
          <t>Formation à enseignement mixte : français/anglais. Niveau de langue (anglais B1, français C1)</t>
        </is>
      </c>
      <c r="AI12" s="28" t="inlineStr">
        <is>
          <t>Open in EEF</t>
        </is>
      </c>
    </row>
    <row r="13" ht="32.8" customHeight="1" s="19">
      <c r="A13" s="25" t="n">
        <v>12</v>
      </c>
      <c r="B13" s="25" t="inlineStr">
        <is>
          <t>★★★★★</t>
        </is>
      </c>
      <c r="C13" s="25" t="inlineStr">
        <is>
          <t>5 – Core fit (embedded/biomedical/health tech)</t>
        </is>
      </c>
      <c r="D13" s="25" t="inlineStr">
        <is>
          <t>Biomedical / Health tech</t>
        </is>
      </c>
      <c r="E13" s="26" t="inlineStr">
        <is>
          <t>Master Sciences, technologies, santé, mention Ingénierie de la santé parcours Jumeaux numériques pour la santé</t>
        </is>
      </c>
      <c r="F13" s="26" t="inlineStr">
        <is>
          <t>Master Science, Technology, Health (STS), – major: Health Engineering – track: Jumeaux Digital for the Health</t>
        </is>
      </c>
      <c r="G13" s="25" t="inlineStr">
        <is>
          <t>Master indifférencié (recherche et professionnel)</t>
        </is>
      </c>
      <c r="H13" s="25" t="inlineStr">
        <is>
          <t>Université de technologie de Compiègne</t>
        </is>
      </c>
      <c r="I13" s="25" t="n"/>
      <c r="J13" s="25" t="inlineStr">
        <is>
          <t>Site de Compiègne</t>
        </is>
      </c>
      <c r="K13" s="25" t="n"/>
      <c r="L13" s="25" t="inlineStr">
        <is>
          <t>Public university</t>
        </is>
      </c>
      <c r="M13" s="25" t="inlineStr">
        <is>
          <t>French &amp; English</t>
        </is>
      </c>
      <c r="N13" s="25" t="inlineStr">
        <is>
          <t>General</t>
        </is>
      </c>
      <c r="O13" s="25" t="inlineStr">
        <is>
          <t>Bac +4 / Bac +5</t>
        </is>
      </c>
      <c r="P13" s="26" t="inlineStr">
        <is>
          <t>Eligible on level (4-yr BS ≈ Bac+4)</t>
        </is>
      </c>
      <c r="Q13" s="25" t="inlineStr">
        <is>
          <t>1/2</t>
        </is>
      </c>
      <c r="R13" s="25" t="n"/>
      <c r="S13" s="27" t="n">
        <v>3950</v>
      </c>
      <c r="T13" s="27" t="n">
        <v>255</v>
      </c>
      <c r="U13" s="25" t="n">
        <v>2</v>
      </c>
      <c r="V13" s="27">
        <f>IF(S13="","",S13*U13)</f>
        <v/>
      </c>
      <c r="W13" s="26" t="inlineStr">
        <is>
          <t>Catalogue: €3,950. = national differentiated master fee (2026-27: €3,950). Exemption to ~€255 possible (university quota).</t>
        </is>
      </c>
      <c r="X13" s="25" t="inlineStr">
        <is>
          <t>High</t>
        </is>
      </c>
      <c r="Y13" s="25" t="inlineStr">
        <is>
          <t>3950</t>
        </is>
      </c>
      <c r="Z13" s="26" t="n"/>
      <c r="AA13" s="26" t="n"/>
      <c r="AB13" s="25" t="n"/>
      <c r="AC13" s="25" t="inlineStr">
        <is>
          <t>Open</t>
        </is>
      </c>
      <c r="AD13" s="25" t="inlineStr">
        <is>
          <t>2026-10-01</t>
        </is>
      </c>
      <c r="AE13" s="25" t="inlineStr">
        <is>
          <t>2027-03-15</t>
        </is>
      </c>
      <c r="AF13" s="25" t="inlineStr">
        <is>
          <t>No</t>
        </is>
      </c>
      <c r="AG13" s="25" t="n"/>
      <c r="AH13" s="26" t="inlineStr">
        <is>
          <t>Parcours DTH Mentions de licences conseillées : Informatique Mathématiques Physique Mécanique Sciences et technologies Sciences pour l'ingénieur Attendus : Avoir des compétences en mathématiques appliquées, en mécanique</t>
        </is>
      </c>
      <c r="AI13" s="28" t="inlineStr">
        <is>
          <t>Open in EEF</t>
        </is>
      </c>
    </row>
    <row r="14" ht="32.8" customHeight="1" s="19">
      <c r="A14" s="25" t="n">
        <v>13</v>
      </c>
      <c r="B14" s="25" t="inlineStr">
        <is>
          <t>★★★★★</t>
        </is>
      </c>
      <c r="C14" s="25" t="inlineStr">
        <is>
          <t>5 – Core fit (embedded/biomedical/health tech)</t>
        </is>
      </c>
      <c r="D14" s="25" t="inlineStr">
        <is>
          <t>Biomedical / Health tech</t>
        </is>
      </c>
      <c r="E14" s="26" t="inlineStr">
        <is>
          <t>Master indifférencié (recherche et professionnel) Sciences, technologies, santé mention Electronique, énergie électrique, automatique parcours Ingénierie pour la santé</t>
        </is>
      </c>
      <c r="F14" s="26" t="inlineStr">
        <is>
          <t>Science, Technology, Health (STS) – major: Electronics, Electrical Energy &amp; Automation (EEA) – track: Engineering for Health</t>
        </is>
      </c>
      <c r="G14" s="25" t="inlineStr">
        <is>
          <t>Master indifférencié (recherche et professionnel)</t>
        </is>
      </c>
      <c r="H14" s="25" t="inlineStr">
        <is>
          <t>Sciences et Ingénierie</t>
        </is>
      </c>
      <c r="I14" s="25" t="inlineStr">
        <is>
          <t>Sorbonne Université</t>
        </is>
      </c>
      <c r="J14" s="25" t="inlineStr">
        <is>
          <t>Site de Paris</t>
        </is>
      </c>
      <c r="K14" s="25" t="n"/>
      <c r="L14" s="25" t="inlineStr">
        <is>
          <t>Public university</t>
        </is>
      </c>
      <c r="M14" s="25" t="inlineStr">
        <is>
          <t>French &amp; English</t>
        </is>
      </c>
      <c r="N14" s="25" t="inlineStr">
        <is>
          <t>General</t>
        </is>
      </c>
      <c r="O14" s="25" t="inlineStr">
        <is>
          <t>Bac +4 / Bac +5</t>
        </is>
      </c>
      <c r="P14" s="26" t="inlineStr">
        <is>
          <t>Eligible on level (4-yr BS ≈ Bac+4)</t>
        </is>
      </c>
      <c r="Q14" s="25" t="inlineStr">
        <is>
          <t>1/2</t>
        </is>
      </c>
      <c r="R14" s="25" t="n"/>
      <c r="S14" s="27" t="n">
        <v>3950</v>
      </c>
      <c r="T14" s="27" t="n">
        <v>255</v>
      </c>
      <c r="U14" s="25" t="n">
        <v>2</v>
      </c>
      <c r="V14" s="27">
        <f>IF(S14="","",S14*U14)</f>
        <v/>
      </c>
      <c r="W14" s="26" t="inlineStr">
        <is>
          <t>Not in catalogue. Public national master → 2026-27 differentiated fee €3,950; exemption to ~€254-255 depends on university quota (25% cap in 2027-28).</t>
        </is>
      </c>
      <c r="X14" s="25" t="inlineStr">
        <is>
          <t>Medium</t>
        </is>
      </c>
      <c r="Y14" s="25" t="n"/>
      <c r="Z14" s="26" t="n"/>
      <c r="AA14" s="26" t="inlineStr">
        <is>
          <t>Board vote 7 Jul 2026: Sorbonne Université says it can exempt all eligible non-EU applicants (pay same as EU, ~€254) for 2026-27.</t>
        </is>
      </c>
      <c r="AB14" s="28" t="inlineStr">
        <is>
          <t>https://www.sorbonne-universite.fr/actualites/le-conseil-dadministration-de-sorbonne-universite-vote-lunanimite-le-7-juillet-2026-sa</t>
        </is>
      </c>
      <c r="AC14" s="25" t="inlineStr">
        <is>
          <t>Open</t>
        </is>
      </c>
      <c r="AD14" s="25" t="inlineStr">
        <is>
          <t>2026-10-01</t>
        </is>
      </c>
      <c r="AE14" s="25" t="inlineStr">
        <is>
          <t>2027-03-15</t>
        </is>
      </c>
      <c r="AF14" s="25" t="inlineStr">
        <is>
          <t>No</t>
        </is>
      </c>
      <c r="AG14" s="28" t="inlineStr">
        <is>
          <t>https://masters-sdi.sorbonne-universite.fr/electronique-energie-electrique-automatique</t>
        </is>
      </c>
      <c r="AH14" s="26" t="n"/>
      <c r="AI14" s="28" t="inlineStr">
        <is>
          <t>Open in EEF</t>
        </is>
      </c>
    </row>
    <row r="15" ht="43.25" customHeight="1" s="19">
      <c r="A15" s="25" t="n">
        <v>14</v>
      </c>
      <c r="B15" s="25" t="inlineStr">
        <is>
          <t>★★★★★</t>
        </is>
      </c>
      <c r="C15" s="25" t="inlineStr">
        <is>
          <t>5 – Core fit (embedded/biomedical/health tech)</t>
        </is>
      </c>
      <c r="D15" s="25" t="inlineStr">
        <is>
          <t>Embedded systems / Electronics</t>
        </is>
      </c>
      <c r="E15" s="26" t="inlineStr">
        <is>
          <t>Master indifférencié (recherche et professionnel) Sciences, technologies, santé mention Electronique, énergie électrique, automatique parcours Microélectronique Intégration des Systèmes Temps Réels et Embarqués (EEA MISTRE)</t>
        </is>
      </c>
      <c r="F15" s="26" t="inlineStr">
        <is>
          <t>Science, Technology, Health (STS) – major: Electronics, Electrical Energy &amp; Automation (EEA) – track: Microelectronics Integration of Systems Real-Times &amp; Embedded (EEA MISTRE)</t>
        </is>
      </c>
      <c r="G15" s="25" t="inlineStr">
        <is>
          <t>Master indifférencié (recherche et professionnel)</t>
        </is>
      </c>
      <c r="H15" s="25" t="inlineStr">
        <is>
          <t>UFR de Physique, ingénierie, terre, environnement, mécanique</t>
        </is>
      </c>
      <c r="I15" s="25" t="inlineStr">
        <is>
          <t>Université de Grenoble Alpes</t>
        </is>
      </c>
      <c r="J15" s="25" t="inlineStr">
        <is>
          <t>Site de Grenoble - Polygone scientifique - GreEn-ER</t>
        </is>
      </c>
      <c r="K15" s="25" t="n"/>
      <c r="L15" s="25" t="inlineStr">
        <is>
          <t>Public university</t>
        </is>
      </c>
      <c r="M15" s="25" t="inlineStr">
        <is>
          <t>French &amp; English</t>
        </is>
      </c>
      <c r="N15" s="25" t="inlineStr">
        <is>
          <t>General</t>
        </is>
      </c>
      <c r="O15" s="25" t="inlineStr">
        <is>
          <t>Bac +4 / Bac +5</t>
        </is>
      </c>
      <c r="P15" s="26" t="inlineStr">
        <is>
          <t>Eligible on level (4-yr BS ≈ Bac+4)</t>
        </is>
      </c>
      <c r="Q15" s="25" t="inlineStr">
        <is>
          <t>1/2</t>
        </is>
      </c>
      <c r="R15" s="25" t="n"/>
      <c r="S15" s="27" t="n">
        <v>3950</v>
      </c>
      <c r="T15" s="27" t="n">
        <v>255</v>
      </c>
      <c r="U15" s="25" t="n">
        <v>2</v>
      </c>
      <c r="V15" s="27">
        <f>IF(S15="","",S15*U15)</f>
        <v/>
      </c>
      <c r="W15" s="26" t="inlineStr">
        <is>
          <t>Not in catalogue. Public national master → 2026-27 differentiated fee €3,950; exemption to ~€254-255 depends on university quota (25% cap in 2027-28).</t>
        </is>
      </c>
      <c r="X15" s="25" t="inlineStr">
        <is>
          <t>Medium</t>
        </is>
      </c>
      <c r="Y15" s="25" t="n"/>
      <c r="Z15" s="26" t="n"/>
      <c r="AA15" s="26" t="inlineStr">
        <is>
          <t>UGA (incl. Grenoble INP masters): 2026-27 broad exemptions on request (pay national €254). From 2027-28 the decree caps apply; exemptions based on resources.</t>
        </is>
      </c>
      <c r="AB15" s="28" t="inlineStr">
        <is>
          <t>https://www.univ-grenoble-alpes.fr/actualites/a-la-une/actualites-universite/etudiants-internationaux-ce-que-change-le-nouveau-decret-sur-les-droits-d-inscription-a-l-uga-1775870.kjsp</t>
        </is>
      </c>
      <c r="AC15" s="25" t="inlineStr">
        <is>
          <t>Open</t>
        </is>
      </c>
      <c r="AD15" s="25" t="inlineStr">
        <is>
          <t>2026-10-01</t>
        </is>
      </c>
      <c r="AE15" s="25" t="inlineStr">
        <is>
          <t>2027-03-15</t>
        </is>
      </c>
      <c r="AF15" s="25" t="inlineStr">
        <is>
          <t>No</t>
        </is>
      </c>
      <c r="AG15" s="28" t="inlineStr">
        <is>
          <t>https://formations.univ-grenoble-alpes.fr/fr/catalogue-2021/master-XB/master-electronique-energie-electrique-automatique-IFZ3DRB9/parcours-microelectronique-integration-des-systemes-temps-reels-embarques-mistre-1re-et-2e-annees-IFZ5TP7C.html</t>
        </is>
      </c>
      <c r="AH15" s="26" t="inlineStr">
        <is>
          <t>Master 1 : - Les candidats titulaires d'un diplôme de BAC+5 au moment de la candidature ne seront pas admis en master 1. Seules les candidatures de BAC+3 ou BAC+4 seront considérées. - Prérequis : Electronique, automatiq</t>
        </is>
      </c>
      <c r="AI15" s="28" t="inlineStr">
        <is>
          <t>Open in EEF</t>
        </is>
      </c>
    </row>
    <row r="16" ht="32.8" customHeight="1" s="19">
      <c r="A16" s="25" t="n">
        <v>15</v>
      </c>
      <c r="B16" s="25" t="inlineStr">
        <is>
          <t>★★★★★</t>
        </is>
      </c>
      <c r="C16" s="25" t="inlineStr">
        <is>
          <t>5 – Core fit (embedded/biomedical/health tech)</t>
        </is>
      </c>
      <c r="D16" s="25" t="inlineStr">
        <is>
          <t>Embedded systems / Electronics</t>
        </is>
      </c>
      <c r="E16" s="26" t="inlineStr">
        <is>
          <t>Master indifférencié (recherche et professionnel) Sciences, technologies, santé mention Electronique, énergie électrique, automatique parcours Systèmes Communicants</t>
        </is>
      </c>
      <c r="F16" s="26" t="inlineStr">
        <is>
          <t>Science, Technology, Health (STS) – major: Electronics, Electrical Energy &amp; Automation (EEA) – track: Systems Communicating</t>
        </is>
      </c>
      <c r="G16" s="25" t="inlineStr">
        <is>
          <t>Master indifférencié (recherche et professionnel)</t>
        </is>
      </c>
      <c r="H16" s="25" t="inlineStr">
        <is>
          <t>Sciences et Ingénierie</t>
        </is>
      </c>
      <c r="I16" s="25" t="inlineStr">
        <is>
          <t>Sorbonne Université</t>
        </is>
      </c>
      <c r="J16" s="25" t="inlineStr">
        <is>
          <t>Site de Paris</t>
        </is>
      </c>
      <c r="K16" s="25" t="n"/>
      <c r="L16" s="25" t="inlineStr">
        <is>
          <t>Public university</t>
        </is>
      </c>
      <c r="M16" s="25" t="inlineStr">
        <is>
          <t>French &amp; English</t>
        </is>
      </c>
      <c r="N16" s="25" t="inlineStr">
        <is>
          <t>General</t>
        </is>
      </c>
      <c r="O16" s="25" t="inlineStr">
        <is>
          <t>Bac +4 / Bac +5</t>
        </is>
      </c>
      <c r="P16" s="26" t="inlineStr">
        <is>
          <t>Eligible on level (4-yr BS ≈ Bac+4)</t>
        </is>
      </c>
      <c r="Q16" s="25" t="inlineStr">
        <is>
          <t>1/2</t>
        </is>
      </c>
      <c r="R16" s="25" t="n"/>
      <c r="S16" s="27" t="n">
        <v>3950</v>
      </c>
      <c r="T16" s="27" t="n">
        <v>255</v>
      </c>
      <c r="U16" s="25" t="n">
        <v>2</v>
      </c>
      <c r="V16" s="27">
        <f>IF(S16="","",S16*U16)</f>
        <v/>
      </c>
      <c r="W16" s="26" t="inlineStr">
        <is>
          <t>Not in catalogue. Public national master → 2026-27 differentiated fee €3,950; exemption to ~€254-255 depends on university quota (25% cap in 2027-28).</t>
        </is>
      </c>
      <c r="X16" s="25" t="inlineStr">
        <is>
          <t>Medium</t>
        </is>
      </c>
      <c r="Y16" s="25" t="n"/>
      <c r="Z16" s="26" t="n"/>
      <c r="AA16" s="26" t="inlineStr">
        <is>
          <t>Board vote 7 Jul 2026: Sorbonne Université says it can exempt all eligible non-EU applicants (pay same as EU, ~€254) for 2026-27.</t>
        </is>
      </c>
      <c r="AB16" s="28" t="inlineStr">
        <is>
          <t>https://www.sorbonne-universite.fr/actualites/le-conseil-dadministration-de-sorbonne-universite-vote-lunanimite-le-7-juillet-2026-sa</t>
        </is>
      </c>
      <c r="AC16" s="25" t="inlineStr">
        <is>
          <t>Open</t>
        </is>
      </c>
      <c r="AD16" s="25" t="inlineStr">
        <is>
          <t>2026-10-01</t>
        </is>
      </c>
      <c r="AE16" s="25" t="inlineStr">
        <is>
          <t>2027-03-15</t>
        </is>
      </c>
      <c r="AF16" s="25" t="inlineStr">
        <is>
          <t>No</t>
        </is>
      </c>
      <c r="AG16" s="28" t="inlineStr">
        <is>
          <t>https://masters-sdi.sorbonne-universite.fr/electronique-energie-electrique-automatique</t>
        </is>
      </c>
      <c r="AH16" s="26" t="n"/>
      <c r="AI16" s="28" t="inlineStr">
        <is>
          <t>Open in EEF</t>
        </is>
      </c>
    </row>
    <row r="17" ht="32.8" customHeight="1" s="19">
      <c r="A17" s="25" t="n">
        <v>16</v>
      </c>
      <c r="B17" s="25" t="inlineStr">
        <is>
          <t>★★★★★</t>
        </is>
      </c>
      <c r="C17" s="25" t="inlineStr">
        <is>
          <t>5 – Core fit (embedded/biomedical/health tech)</t>
        </is>
      </c>
      <c r="D17" s="25" t="inlineStr">
        <is>
          <t>Biomedical / Health tech</t>
        </is>
      </c>
      <c r="E17" s="26" t="inlineStr">
        <is>
          <t>Master Sciences de la santé mention Ingénierie de la santé</t>
        </is>
      </c>
      <c r="F17" s="26" t="inlineStr">
        <is>
          <t>Master Sciences of the Health – major: Health Engineering</t>
        </is>
      </c>
      <c r="G17" s="25" t="inlineStr">
        <is>
          <t>Master indifférencié (recherche et professionnel)</t>
        </is>
      </c>
      <c r="H17" s="25" t="inlineStr">
        <is>
          <t>UFR des Sciences Fondamentales et Biomédicales</t>
        </is>
      </c>
      <c r="I17" s="25" t="inlineStr">
        <is>
          <t>Université Paris Cité</t>
        </is>
      </c>
      <c r="J17" s="25" t="inlineStr">
        <is>
          <t>Site de Paris</t>
        </is>
      </c>
      <c r="K17" s="25" t="inlineStr">
        <is>
          <t>75006 Paris</t>
        </is>
      </c>
      <c r="L17" s="25" t="inlineStr">
        <is>
          <t>Public university</t>
        </is>
      </c>
      <c r="M17" s="25" t="inlineStr">
        <is>
          <t>French &amp; English</t>
        </is>
      </c>
      <c r="N17" s="25" t="inlineStr">
        <is>
          <t>General</t>
        </is>
      </c>
      <c r="O17" s="25" t="inlineStr">
        <is>
          <t>Bac +4</t>
        </is>
      </c>
      <c r="P17" s="26" t="inlineStr">
        <is>
          <t>Eligible on level (4-yr BS ≈ Bac+4)</t>
        </is>
      </c>
      <c r="Q17" s="25" t="inlineStr">
        <is>
          <t>1</t>
        </is>
      </c>
      <c r="R17" s="25" t="n"/>
      <c r="S17" s="27" t="n">
        <v>3950</v>
      </c>
      <c r="T17" s="27" t="n">
        <v>255</v>
      </c>
      <c r="U17" s="25" t="n">
        <v>2</v>
      </c>
      <c r="V17" s="27">
        <f>IF(S17="","",S17*U17)</f>
        <v/>
      </c>
      <c r="W17" s="26" t="inlineStr">
        <is>
          <t>Not in catalogue. Public national master → 2026-27 differentiated fee €3,950; exemption to ~€254-255 depends on university quota (25% cap in 2027-28).</t>
        </is>
      </c>
      <c r="X17" s="25" t="inlineStr">
        <is>
          <t>Medium</t>
        </is>
      </c>
      <c r="Y17" s="25" t="n"/>
      <c r="Z17" s="26" t="n"/>
      <c r="AA17" s="26" t="inlineStr">
        <is>
          <t>Paris Cité historically exempted non-EU master students (paid EU rate). 2026-27/2027-28 policy not yet published – confirm.</t>
        </is>
      </c>
      <c r="AB17" s="28" t="inlineStr">
        <is>
          <t>https://u-paris.fr/droits-dinscription-tarifs-exonerations/</t>
        </is>
      </c>
      <c r="AC17" s="25" t="inlineStr">
        <is>
          <t>Open</t>
        </is>
      </c>
      <c r="AD17" s="25" t="inlineStr">
        <is>
          <t>2026-10-01</t>
        </is>
      </c>
      <c r="AE17" s="25" t="inlineStr">
        <is>
          <t>2027-03-15</t>
        </is>
      </c>
      <c r="AF17" s="25" t="inlineStr">
        <is>
          <t>Yes</t>
        </is>
      </c>
      <c r="AG17" s="28" t="inlineStr">
        <is>
          <t>https://odf.u-paris.fr/fr/offre-de-formation/master-XB/sciences-technologies-sante-STS/ingenierie-de-la-sante-K2NDJ7KW.html</t>
        </is>
      </c>
      <c r="AH17" s="26" t="inlineStr">
        <is>
          <t>All courses are taught in English, so candidates must demonstrate a perfect command of English (C1 level certificate required) with no French prerequisites for non-French speaking students. Candidates must: - excel in th</t>
        </is>
      </c>
      <c r="AI17" s="28" t="inlineStr">
        <is>
          <t>Open in EEF</t>
        </is>
      </c>
    </row>
    <row r="18" ht="32.8" customHeight="1" s="19">
      <c r="A18" s="25" t="n">
        <v>17</v>
      </c>
      <c r="B18" s="25" t="inlineStr">
        <is>
          <t>★★★★★</t>
        </is>
      </c>
      <c r="C18" s="25" t="inlineStr">
        <is>
          <t>5 – Core fit (embedded/biomedical/health tech)</t>
        </is>
      </c>
      <c r="D18" s="25" t="inlineStr">
        <is>
          <t>Embedded systems / Electronics</t>
        </is>
      </c>
      <c r="E18" s="26" t="inlineStr">
        <is>
          <t>Master indifférencié (recherche et professionnel) Sciences et technologies mention Electronique, énergie électrique, automatique parcours Systèmes Embarqués (SE)</t>
        </is>
      </c>
      <c r="F18" s="26" t="inlineStr">
        <is>
          <t>Science &amp; Technology – major: Electronics, Electrical Energy &amp; Automation (EEA) – track: Embedded Systems (SE)</t>
        </is>
      </c>
      <c r="G18" s="25" t="inlineStr">
        <is>
          <t>Master indifférencié (recherche et professionnel)</t>
        </is>
      </c>
      <c r="H18" s="25" t="inlineStr">
        <is>
          <t>Campus scientifique de BEAULIEU</t>
        </is>
      </c>
      <c r="I18" s="25" t="inlineStr">
        <is>
          <t>Université de Rennes</t>
        </is>
      </c>
      <c r="J18" s="25" t="inlineStr">
        <is>
          <t>Site de Rennes - ISTIC</t>
        </is>
      </c>
      <c r="K18" s="25" t="inlineStr">
        <is>
          <t>35042 RENNES Cedex</t>
        </is>
      </c>
      <c r="L18" s="25" t="inlineStr">
        <is>
          <t>Public university</t>
        </is>
      </c>
      <c r="M18" s="25" t="inlineStr">
        <is>
          <t>French</t>
        </is>
      </c>
      <c r="N18" s="25" t="inlineStr">
        <is>
          <t>General</t>
        </is>
      </c>
      <c r="O18" s="25" t="inlineStr">
        <is>
          <t>Bac +4</t>
        </is>
      </c>
      <c r="P18" s="26" t="inlineStr">
        <is>
          <t>Eligible on level (4-yr BS ≈ Bac+4)</t>
        </is>
      </c>
      <c r="Q18" s="25" t="inlineStr">
        <is>
          <t>1</t>
        </is>
      </c>
      <c r="R18" s="25" t="inlineStr">
        <is>
          <t>12</t>
        </is>
      </c>
      <c r="S18" s="27" t="n">
        <v>3950</v>
      </c>
      <c r="T18" s="27" t="n">
        <v>255</v>
      </c>
      <c r="U18" s="25" t="n">
        <v>2</v>
      </c>
      <c r="V18" s="27">
        <f>IF(S18="","",S18*U18)</f>
        <v/>
      </c>
      <c r="W18" s="26" t="inlineStr">
        <is>
          <t>Catalogue: €3,950. = national differentiated master fee (2026-27: €3,950). Exemption to ~€255 possible (university quota).</t>
        </is>
      </c>
      <c r="X18" s="25" t="inlineStr">
        <is>
          <t>High</t>
        </is>
      </c>
      <c r="Y18" s="25" t="inlineStr">
        <is>
          <t>3950</t>
        </is>
      </c>
      <c r="Z18" s="26" t="inlineStr">
        <is>
          <t>ue, il faudra vous acquitter obligatoirement des frais d'inscription d'un montant de 3950 euros pour vous inscrire dans la formation</t>
        </is>
      </c>
      <c r="AA18" s="26" t="n"/>
      <c r="AB18" s="25" t="n"/>
      <c r="AC18" s="25" t="inlineStr">
        <is>
          <t>Open</t>
        </is>
      </c>
      <c r="AD18" s="25" t="inlineStr">
        <is>
          <t>2026-10-01</t>
        </is>
      </c>
      <c r="AE18" s="25" t="inlineStr">
        <is>
          <t>2027-03-15</t>
        </is>
      </c>
      <c r="AF18" s="25" t="inlineStr">
        <is>
          <t>No</t>
        </is>
      </c>
      <c r="AG18" s="28" t="inlineStr">
        <is>
          <t>https://istic.univ-rennes.fr/master-eeea-electronique-energie-electrique-automatique</t>
        </is>
      </c>
      <c r="AH18" s="26" t="inlineStr">
        <is>
          <t>Prérequis :Les candidats doivent disposer de bases solides en électronique analogique et numérique, en outils mathématiques pour le traitement du signal ainsi qu'en programmation. Profil attendu : Etudiant.e de niveau Ba</t>
        </is>
      </c>
      <c r="AI18" s="28" t="inlineStr">
        <is>
          <t>Open in EEF</t>
        </is>
      </c>
    </row>
    <row r="19" ht="32.8" customHeight="1" s="19">
      <c r="A19" s="25" t="n">
        <v>18</v>
      </c>
      <c r="B19" s="25" t="inlineStr">
        <is>
          <t>★★★★★</t>
        </is>
      </c>
      <c r="C19" s="25" t="inlineStr">
        <is>
          <t>5 – Core fit (embedded/biomedical/health tech)</t>
        </is>
      </c>
      <c r="D19" s="25" t="inlineStr">
        <is>
          <t>Embedded systems / Electronics</t>
        </is>
      </c>
      <c r="E19" s="26" t="inlineStr">
        <is>
          <t>Master indifférencié (recherche et professionnel) Sciences, technologies, santé mention génie industriel parcours Systèmes Embarqués et Technologies d'Intelligence Artificielle</t>
        </is>
      </c>
      <c r="F19" s="26" t="inlineStr">
        <is>
          <t>Science, Technology, Health (STS) – major: Industrial Engineering – track: Embedded Systems &amp; Technologies d'Artificial Intelligence</t>
        </is>
      </c>
      <c r="G19" s="25" t="inlineStr">
        <is>
          <t>Master indifférencié (recherche et professionnel)</t>
        </is>
      </c>
      <c r="H19" s="25" t="inlineStr">
        <is>
          <t>Institut supérieur des sciences et techniques</t>
        </is>
      </c>
      <c r="I19" s="25" t="inlineStr">
        <is>
          <t>Université Picardie Jules Verne Amiens</t>
        </is>
      </c>
      <c r="J19" s="25" t="inlineStr">
        <is>
          <t>Site de Saint-Quentin</t>
        </is>
      </c>
      <c r="K19" s="25" t="inlineStr">
        <is>
          <t>02315 Saint Quentin cedex</t>
        </is>
      </c>
      <c r="L19" s="25" t="inlineStr">
        <is>
          <t>Public school / institute</t>
        </is>
      </c>
      <c r="M19" s="25" t="inlineStr">
        <is>
          <t>French</t>
        </is>
      </c>
      <c r="N19" s="25" t="inlineStr">
        <is>
          <t>General</t>
        </is>
      </c>
      <c r="O19" s="25" t="inlineStr">
        <is>
          <t>Bac +4</t>
        </is>
      </c>
      <c r="P19" s="26" t="inlineStr">
        <is>
          <t>Eligible on level (4-yr BS ≈ Bac+4)</t>
        </is>
      </c>
      <c r="Q19" s="25" t="inlineStr">
        <is>
          <t>1</t>
        </is>
      </c>
      <c r="R19" s="25" t="inlineStr">
        <is>
          <t>12</t>
        </is>
      </c>
      <c r="S19" s="27" t="n">
        <v>3950</v>
      </c>
      <c r="T19" s="27" t="n">
        <v>255</v>
      </c>
      <c r="U19" s="25" t="n">
        <v>2</v>
      </c>
      <c r="V19" s="27">
        <f>IF(S19="","",S19*U19)</f>
        <v/>
      </c>
      <c r="W19" s="26" t="inlineStr">
        <is>
          <t>Catalogue: €3,950. = national differentiated master fee (2026-27: €3,950). Exemption to ~€255 possible (university quota).</t>
        </is>
      </c>
      <c r="X19" s="25" t="inlineStr">
        <is>
          <t>High</t>
        </is>
      </c>
      <c r="Y19" s="25" t="inlineStr">
        <is>
          <t>3950</t>
        </is>
      </c>
      <c r="Z19" s="26" t="n"/>
      <c r="AA19" s="26" t="n"/>
      <c r="AB19" s="25" t="n"/>
      <c r="AC19" s="25" t="inlineStr">
        <is>
          <t>Open</t>
        </is>
      </c>
      <c r="AD19" s="25" t="inlineStr">
        <is>
          <t>2026-10-01</t>
        </is>
      </c>
      <c r="AE19" s="25" t="inlineStr">
        <is>
          <t>2027-03-15</t>
        </is>
      </c>
      <c r="AF19" s="25" t="inlineStr">
        <is>
          <t>No</t>
        </is>
      </c>
      <c r="AG19" s="28" t="inlineStr">
        <is>
          <t>https://www.insset.u-picardie.fr/</t>
        </is>
      </c>
      <c r="AH19" s="26" t="inlineStr">
        <is>
          <t>Niveau de test de compétence en Francais requis B2 Le tarif indiqué est celui de l'année universitaire 2026/2027 et, est susceptible d'etre modifié pour la rentrée 2027/2028 Pré-requis nécessaires en programmation inform</t>
        </is>
      </c>
      <c r="AI19" s="28" t="inlineStr">
        <is>
          <t>Open in EEF</t>
        </is>
      </c>
    </row>
    <row r="20" ht="32.8" customHeight="1" s="19">
      <c r="A20" s="25" t="n">
        <v>19</v>
      </c>
      <c r="B20" s="25" t="inlineStr">
        <is>
          <t>★★★★★</t>
        </is>
      </c>
      <c r="C20" s="25" t="inlineStr">
        <is>
          <t>5 – Core fit (embedded/biomedical/health tech)</t>
        </is>
      </c>
      <c r="D20" s="25" t="inlineStr">
        <is>
          <t>Embedded systems / Electronics</t>
        </is>
      </c>
      <c r="E20" s="26" t="inlineStr">
        <is>
          <t>Master indifférencié (recherche et professionnel) Sciences, technologies, santé mention informatique parcours LSE : logiciel pour systèmes embarqués</t>
        </is>
      </c>
      <c r="F20" s="26" t="inlineStr">
        <is>
          <t>Science, Technology, Health (STS) – major: Computer Science – track: LSE : Software for Embedded Systems</t>
        </is>
      </c>
      <c r="G20" s="25" t="inlineStr">
        <is>
          <t>Master indifférencié (recherche et professionnel)</t>
        </is>
      </c>
      <c r="H20" s="25" t="inlineStr">
        <is>
          <t>UFR sciences et techniques</t>
        </is>
      </c>
      <c r="I20" s="25" t="inlineStr">
        <is>
          <t>Université de Bretagne Occidentale</t>
        </is>
      </c>
      <c r="J20" s="25" t="inlineStr">
        <is>
          <t>Site de Brest</t>
        </is>
      </c>
      <c r="K20" s="25" t="n"/>
      <c r="L20" s="25" t="inlineStr">
        <is>
          <t>Public university</t>
        </is>
      </c>
      <c r="M20" s="25" t="inlineStr">
        <is>
          <t>French</t>
        </is>
      </c>
      <c r="N20" s="25" t="inlineStr">
        <is>
          <t>General</t>
        </is>
      </c>
      <c r="O20" s="25" t="inlineStr">
        <is>
          <t>Bac +4 / Bac +5</t>
        </is>
      </c>
      <c r="P20" s="26" t="inlineStr">
        <is>
          <t>Eligible on level (4-yr BS ≈ Bac+4)</t>
        </is>
      </c>
      <c r="Q20" s="25" t="inlineStr">
        <is>
          <t>1/2</t>
        </is>
      </c>
      <c r="R20" s="25" t="inlineStr">
        <is>
          <t>12</t>
        </is>
      </c>
      <c r="S20" s="27" t="n">
        <v>3950</v>
      </c>
      <c r="T20" s="27" t="n">
        <v>255</v>
      </c>
      <c r="U20" s="25" t="n">
        <v>2</v>
      </c>
      <c r="V20" s="27">
        <f>IF(S20="","",S20*U20)</f>
        <v/>
      </c>
      <c r="W20" s="26" t="inlineStr">
        <is>
          <t>Catalogue: €3,950. = national differentiated master fee (2026-27: €3,950). Exemption to ~€255 possible (university quota).</t>
        </is>
      </c>
      <c r="X20" s="25" t="inlineStr">
        <is>
          <t>High</t>
        </is>
      </c>
      <c r="Y20" s="25" t="inlineStr">
        <is>
          <t>3950</t>
        </is>
      </c>
      <c r="Z20" s="26" t="n"/>
      <c r="AA20" s="26" t="n"/>
      <c r="AB20" s="25" t="n"/>
      <c r="AC20" s="25" t="inlineStr">
        <is>
          <t>Open</t>
        </is>
      </c>
      <c r="AD20" s="25" t="inlineStr">
        <is>
          <t>2026-10-01</t>
        </is>
      </c>
      <c r="AE20" s="25" t="inlineStr">
        <is>
          <t>2027-03-15</t>
        </is>
      </c>
      <c r="AF20" s="25" t="inlineStr">
        <is>
          <t>No</t>
        </is>
      </c>
      <c r="AG20" s="28" t="inlineStr">
        <is>
          <t>http://www.univ-brest.fr/ufr-sciences</t>
        </is>
      </c>
      <c r="AH20" s="26" t="inlineStr">
        <is>
          <t>L'université de Bretagne occidentale demande de présenter un Test de connaissance en français pour tous les candidats dont une des langues officielles n'est pas le français. Pour les pays où le français n'est pas la seul</t>
        </is>
      </c>
      <c r="AI20" s="28" t="inlineStr">
        <is>
          <t>Open in EEF</t>
        </is>
      </c>
    </row>
    <row r="21" ht="32.8" customHeight="1" s="19">
      <c r="A21" s="25" t="n">
        <v>20</v>
      </c>
      <c r="B21" s="25" t="inlineStr">
        <is>
          <t>★★★★★</t>
        </is>
      </c>
      <c r="C21" s="25" t="inlineStr">
        <is>
          <t>5 – Core fit (embedded/biomedical/health tech)</t>
        </is>
      </c>
      <c r="D21" s="25" t="inlineStr">
        <is>
          <t>Biomedical / Health tech</t>
        </is>
      </c>
      <c r="E21" s="26" t="inlineStr">
        <is>
          <t>Master indifférencié (recherche et professionnel) Sciences, technologies, santé mention Ingénierie de la santé parcours Technologies biomédicales et territoires de santé</t>
        </is>
      </c>
      <c r="F21" s="26" t="inlineStr">
        <is>
          <t>Science, Technology, Health (STS) – major: Health Engineering – track: Technologies biomédicales &amp; Territories of Health</t>
        </is>
      </c>
      <c r="G21" s="25" t="inlineStr">
        <is>
          <t>Master indifférencié (recherche et professionnel)</t>
        </is>
      </c>
      <c r="H21" s="25" t="inlineStr">
        <is>
          <t>Université de technologie de Compiègne</t>
        </is>
      </c>
      <c r="I21" s="25" t="n"/>
      <c r="J21" s="25" t="inlineStr">
        <is>
          <t>Site de Compiègne</t>
        </is>
      </c>
      <c r="K21" s="25" t="n"/>
      <c r="L21" s="25" t="inlineStr">
        <is>
          <t>Public university</t>
        </is>
      </c>
      <c r="M21" s="25" t="inlineStr">
        <is>
          <t>French</t>
        </is>
      </c>
      <c r="N21" s="25" t="inlineStr">
        <is>
          <t>General</t>
        </is>
      </c>
      <c r="O21" s="25" t="inlineStr">
        <is>
          <t>Bac +4 / Bac +5</t>
        </is>
      </c>
      <c r="P21" s="26" t="inlineStr">
        <is>
          <t>Eligible on level (4-yr BS ≈ Bac+4)</t>
        </is>
      </c>
      <c r="Q21" s="25" t="inlineStr">
        <is>
          <t>1/2</t>
        </is>
      </c>
      <c r="R21" s="25" t="n"/>
      <c r="S21" s="27" t="n">
        <v>3950</v>
      </c>
      <c r="T21" s="27" t="n">
        <v>255</v>
      </c>
      <c r="U21" s="25" t="n">
        <v>2</v>
      </c>
      <c r="V21" s="27">
        <f>IF(S21="","",S21*U21)</f>
        <v/>
      </c>
      <c r="W21" s="26" t="inlineStr">
        <is>
          <t>Catalogue: €3,950. = national differentiated master fee (2026-27: €3,950). Exemption to ~€255 possible (university quota).</t>
        </is>
      </c>
      <c r="X21" s="25" t="inlineStr">
        <is>
          <t>High</t>
        </is>
      </c>
      <c r="Y21" s="25" t="inlineStr">
        <is>
          <t>3950</t>
        </is>
      </c>
      <c r="Z21" s="26" t="n"/>
      <c r="AA21" s="26" t="n"/>
      <c r="AB21" s="25" t="n"/>
      <c r="AC21" s="25" t="inlineStr">
        <is>
          <t>Open</t>
        </is>
      </c>
      <c r="AD21" s="25" t="inlineStr">
        <is>
          <t>2026-10-01</t>
        </is>
      </c>
      <c r="AE21" s="25" t="inlineStr">
        <is>
          <t>2027-03-15</t>
        </is>
      </c>
      <c r="AF21" s="25" t="inlineStr">
        <is>
          <t>No</t>
        </is>
      </c>
      <c r="AG21" s="28" t="inlineStr">
        <is>
          <t>https://www.utc.fr/formations/diplome-de-master/mention-ingenierie-de-la-sante-ids/parcours-technologies-biomedicales-et-territoires-de-sante-tbts/</t>
        </is>
      </c>
      <c r="AH21" s="26" t="inlineStr">
        <is>
          <t>Pour les parcours DMAR et TBTS Attention, le recrutement en M1 est commun. Ainsi, en candidatant sur l’un vous candidatez également sur l’autre, pas besoin de déposer votre dossier de candidature deux fois. Mentions de l</t>
        </is>
      </c>
      <c r="AI21" s="28" t="inlineStr">
        <is>
          <t>Open in EEF</t>
        </is>
      </c>
    </row>
    <row r="22" ht="43.25" customHeight="1" s="19">
      <c r="A22" s="25" t="n">
        <v>21</v>
      </c>
      <c r="B22" s="25" t="inlineStr">
        <is>
          <t>★★★★★</t>
        </is>
      </c>
      <c r="C22" s="25" t="inlineStr">
        <is>
          <t>5 – Core fit (embedded/biomedical/health tech)</t>
        </is>
      </c>
      <c r="D22" s="25" t="inlineStr">
        <is>
          <t>Embedded systems / Electronics</t>
        </is>
      </c>
      <c r="E22" s="26" t="inlineStr">
        <is>
          <t>Master indifférencié (recherche et professionnel) Sciences, technologies, santé mention Ingénierie des systèmes complexes parcours Robotique, Intelligence artificielle et Systèmes Embarqués (RISE)</t>
        </is>
      </c>
      <c r="F22" s="26" t="inlineStr">
        <is>
          <t>Science, Technology, Health (STS) – major: Complex Systems Engineering – track: Robotics, Artificial Intelligence &amp; Embedded Systems (RISE)</t>
        </is>
      </c>
      <c r="G22" s="25" t="inlineStr">
        <is>
          <t>Master indifférencié (recherche et professionnel)</t>
        </is>
      </c>
      <c r="H22" s="25" t="inlineStr">
        <is>
          <t>UFR de sciences et techniques</t>
        </is>
      </c>
      <c r="I22" s="25" t="inlineStr">
        <is>
          <t>Université de Toulon</t>
        </is>
      </c>
      <c r="J22" s="25" t="inlineStr">
        <is>
          <t>Site de La Garde</t>
        </is>
      </c>
      <c r="K22" s="25" t="inlineStr">
        <is>
          <t>83130 La Garde UFR SCIENCES ET TECH</t>
        </is>
      </c>
      <c r="L22" s="25" t="inlineStr">
        <is>
          <t>Public university</t>
        </is>
      </c>
      <c r="M22" s="25" t="inlineStr">
        <is>
          <t>French</t>
        </is>
      </c>
      <c r="N22" s="25" t="inlineStr">
        <is>
          <t>General</t>
        </is>
      </c>
      <c r="O22" s="25" t="inlineStr">
        <is>
          <t>Bac +4</t>
        </is>
      </c>
      <c r="P22" s="26" t="inlineStr">
        <is>
          <t>Eligible on level (4-yr BS ≈ Bac+4)</t>
        </is>
      </c>
      <c r="Q22" s="25" t="inlineStr">
        <is>
          <t>1</t>
        </is>
      </c>
      <c r="R22" s="25" t="inlineStr">
        <is>
          <t>12</t>
        </is>
      </c>
      <c r="S22" s="27" t="n">
        <v>3950</v>
      </c>
      <c r="T22" s="27" t="n">
        <v>255</v>
      </c>
      <c r="U22" s="25" t="n">
        <v>2</v>
      </c>
      <c r="V22" s="27">
        <f>IF(S22="","",S22*U22)</f>
        <v/>
      </c>
      <c r="W22" s="26" t="inlineStr">
        <is>
          <t>Catalogue: €3,950. = national differentiated master fee (2026-27: €3,950). Exemption to ~€255 possible (university quota).</t>
        </is>
      </c>
      <c r="X22" s="25" t="inlineStr">
        <is>
          <t>High</t>
        </is>
      </c>
      <c r="Y22" s="25" t="inlineStr">
        <is>
          <t>3950</t>
        </is>
      </c>
      <c r="Z22" s="26" t="n"/>
      <c r="AA22" s="26" t="n"/>
      <c r="AB22" s="25" t="n"/>
      <c r="AC22" s="25" t="inlineStr">
        <is>
          <t>Open</t>
        </is>
      </c>
      <c r="AD22" s="25" t="inlineStr">
        <is>
          <t>2026-10-01</t>
        </is>
      </c>
      <c r="AE22" s="25" t="inlineStr">
        <is>
          <t>2027-03-15</t>
        </is>
      </c>
      <c r="AF22" s="25" t="inlineStr">
        <is>
          <t>No</t>
        </is>
      </c>
      <c r="AG22" s="28" t="inlineStr">
        <is>
          <t>https://formations.univ-tln.fr/fr/offre-de-formation/master-XB/master-ingenierie-des-systemes-complexes-LO8RGPP1/master-ingenierie-des-systemes-complexes-parcours-robotique-intelligente-et-systemes-embarques-LPZRY65U.html</t>
        </is>
      </c>
      <c r="AH22" s="26" t="inlineStr">
        <is>
          <t>Attendus administratifs : Niveau B2 de langue française exigé Attendus pédagogiques : solides connaissances en maths-physiques, notions de programmation, sens physique. Un nombre limité de cours magistraux sont susceptib</t>
        </is>
      </c>
      <c r="AI22" s="28" t="inlineStr">
        <is>
          <t>Open in EEF</t>
        </is>
      </c>
    </row>
    <row r="23" ht="32.8" customHeight="1" s="19">
      <c r="A23" s="25" t="n">
        <v>22</v>
      </c>
      <c r="B23" s="25" t="inlineStr">
        <is>
          <t>★★★★★</t>
        </is>
      </c>
      <c r="C23" s="25" t="inlineStr">
        <is>
          <t>5 – Core fit (embedded/biomedical/health tech)</t>
        </is>
      </c>
      <c r="D23" s="25" t="inlineStr">
        <is>
          <t>Biomedical / Health tech</t>
        </is>
      </c>
      <c r="E23" s="26" t="inlineStr">
        <is>
          <t>Master indifférencié (recherche et professionnel) Sciences, technologies, santé mention Physique fondamentale et applications parcours Physique médicale</t>
        </is>
      </c>
      <c r="F23" s="26" t="inlineStr">
        <is>
          <t>Science, Technology, Health (STS) – major: Physics Fundamental &amp; Applications – track: Medical Physics</t>
        </is>
      </c>
      <c r="G23" s="25" t="inlineStr">
        <is>
          <t>Master indifférencié (recherche et professionnel)</t>
        </is>
      </c>
      <c r="H23" s="25" t="inlineStr">
        <is>
          <t>Campus scientifique de BEAULIEU</t>
        </is>
      </c>
      <c r="I23" s="25" t="inlineStr">
        <is>
          <t>Université de Rennes</t>
        </is>
      </c>
      <c r="J23" s="25" t="inlineStr">
        <is>
          <t>Site de Rennes - FDS Faculté des sciences</t>
        </is>
      </c>
      <c r="K23" s="25" t="n"/>
      <c r="L23" s="25" t="inlineStr">
        <is>
          <t>Public university</t>
        </is>
      </c>
      <c r="M23" s="25" t="inlineStr">
        <is>
          <t>French</t>
        </is>
      </c>
      <c r="N23" s="25" t="inlineStr">
        <is>
          <t>General</t>
        </is>
      </c>
      <c r="O23" s="25" t="inlineStr">
        <is>
          <t>Bac +4</t>
        </is>
      </c>
      <c r="P23" s="26" t="inlineStr">
        <is>
          <t>Eligible on level (4-yr BS ≈ Bac+4)</t>
        </is>
      </c>
      <c r="Q23" s="25" t="inlineStr">
        <is>
          <t>1</t>
        </is>
      </c>
      <c r="R23" s="25" t="inlineStr">
        <is>
          <t>12</t>
        </is>
      </c>
      <c r="S23" s="27" t="n">
        <v>3950</v>
      </c>
      <c r="T23" s="27" t="n">
        <v>255</v>
      </c>
      <c r="U23" s="25" t="n">
        <v>2</v>
      </c>
      <c r="V23" s="27">
        <f>IF(S23="","",S23*U23)</f>
        <v/>
      </c>
      <c r="W23" s="26" t="inlineStr">
        <is>
          <t>Catalogue: €3,950. = national differentiated master fee (2026-27: €3,950). Exemption to ~€255 possible (university quota).</t>
        </is>
      </c>
      <c r="X23" s="25" t="inlineStr">
        <is>
          <t>High</t>
        </is>
      </c>
      <c r="Y23" s="25" t="inlineStr">
        <is>
          <t>3950</t>
        </is>
      </c>
      <c r="Z23" s="26" t="inlineStr">
        <is>
          <t>ption, il faudra vous acquitter obligatoirement des frais d'inscription s’élevant à 3 950 Euros</t>
        </is>
      </c>
      <c r="AA23" s="26" t="n"/>
      <c r="AB23" s="25" t="n"/>
      <c r="AC23" s="25" t="inlineStr">
        <is>
          <t>Open</t>
        </is>
      </c>
      <c r="AD23" s="25" t="inlineStr">
        <is>
          <t>2026-10-01</t>
        </is>
      </c>
      <c r="AE23" s="25" t="inlineStr">
        <is>
          <t>2027-03-15</t>
        </is>
      </c>
      <c r="AF23" s="25" t="inlineStr">
        <is>
          <t>No</t>
        </is>
      </c>
      <c r="AG23" s="28" t="inlineStr">
        <is>
          <t>https://formations.univ-rennes.fr/</t>
        </is>
      </c>
      <c r="AH23" s="26" t="inlineStr">
        <is>
          <t>Formations ou matières qu'il faut avoir déjà suivi au cours de son cursus antérieur : Licence de physique ou physique chimie, sciences des matériaux, master 1 en physique, bon socle en mathématiques. Niveau spécifique at</t>
        </is>
      </c>
      <c r="AI23" s="28" t="inlineStr">
        <is>
          <t>Open in EEF</t>
        </is>
      </c>
    </row>
    <row r="24" ht="32.8" customHeight="1" s="19">
      <c r="A24" s="25" t="n">
        <v>23</v>
      </c>
      <c r="B24" s="25" t="inlineStr">
        <is>
          <t>★★★★★</t>
        </is>
      </c>
      <c r="C24" s="25" t="inlineStr">
        <is>
          <t>5 – Core fit (embedded/biomedical/health tech)</t>
        </is>
      </c>
      <c r="D24" s="25" t="inlineStr">
        <is>
          <t>Biomedical / Health tech</t>
        </is>
      </c>
      <c r="E24" s="26" t="inlineStr">
        <is>
          <t>Master indifférencié (recherche et professionnel) Sciences, technologies, santé mention Sciences et génie des matériaux parcours Ingénierie Biomédicale, Biomatériaux, Biomolécules</t>
        </is>
      </c>
      <c r="F24" s="26" t="inlineStr">
        <is>
          <t>Science, Technology, Health (STS) – major: Sciences &amp; Engineering of Materials – track: Biomedical Engineering, Biomaterials, Biomolecules</t>
        </is>
      </c>
      <c r="G24" s="25" t="inlineStr">
        <is>
          <t>Master indifférencié (recherche et professionnel)</t>
        </is>
      </c>
      <c r="H24" s="25" t="inlineStr">
        <is>
          <t>Institut Galilée</t>
        </is>
      </c>
      <c r="I24" s="25" t="inlineStr">
        <is>
          <t>Université Sorbonne Paris Nord</t>
        </is>
      </c>
      <c r="J24" s="25" t="inlineStr">
        <is>
          <t>Site de Villetaneuse</t>
        </is>
      </c>
      <c r="K24" s="25" t="n"/>
      <c r="L24" s="25" t="inlineStr">
        <is>
          <t>Public school / institute</t>
        </is>
      </c>
      <c r="M24" s="25" t="inlineStr">
        <is>
          <t>French</t>
        </is>
      </c>
      <c r="N24" s="25" t="inlineStr">
        <is>
          <t>General</t>
        </is>
      </c>
      <c r="O24" s="25" t="inlineStr">
        <is>
          <t>Bac +4 / Bac +5</t>
        </is>
      </c>
      <c r="P24" s="26" t="inlineStr">
        <is>
          <t>Eligible on level (4-yr BS ≈ Bac+4)</t>
        </is>
      </c>
      <c r="Q24" s="25" t="inlineStr">
        <is>
          <t>1/2</t>
        </is>
      </c>
      <c r="R24" s="25" t="inlineStr">
        <is>
          <t>12</t>
        </is>
      </c>
      <c r="S24" s="27" t="n">
        <v>3950</v>
      </c>
      <c r="T24" s="27" t="n">
        <v>255</v>
      </c>
      <c r="U24" s="25" t="n">
        <v>2</v>
      </c>
      <c r="V24" s="27">
        <f>IF(S24="","",S24*U24)</f>
        <v/>
      </c>
      <c r="W24" s="26" t="inlineStr">
        <is>
          <t>Catalogue: €3,770. = national differentiated master fee (2026-27: €3,950). Exemption to ~€255 possible (university quota).</t>
        </is>
      </c>
      <c r="X24" s="25" t="inlineStr">
        <is>
          <t>High</t>
        </is>
      </c>
      <c r="Y24" s="25" t="inlineStr">
        <is>
          <t>3950/3770</t>
        </is>
      </c>
      <c r="Z24" s="26" t="inlineStr">
        <is>
          <t>sitaire 2024-2025 et devront s'acquitter des mêmes frais que les étudiants nationaux (250 euros + CVEC) L'information concernant une exonération</t>
        </is>
      </c>
      <c r="AA24" s="26" t="n"/>
      <c r="AB24" s="25" t="n"/>
      <c r="AC24" s="25" t="inlineStr">
        <is>
          <t>Open</t>
        </is>
      </c>
      <c r="AD24" s="25" t="inlineStr">
        <is>
          <t>2026-10-01</t>
        </is>
      </c>
      <c r="AE24" s="25" t="inlineStr">
        <is>
          <t>2027-03-15</t>
        </is>
      </c>
      <c r="AF24" s="25" t="inlineStr">
        <is>
          <t>No</t>
        </is>
      </c>
      <c r="AG24" s="28" t="inlineStr">
        <is>
          <t>http://www-galilee.univ-paris13.fr/</t>
        </is>
      </c>
      <c r="AH24" s="26" t="inlineStr">
        <is>
          <t>Niveau TCF Minimun C1 bon niveau d'anglais Diplome scientifique chimie, physique-chimie, biologie ou science technologique et santé ou diplôme équivalent. Etudiant en filières médicales et odontologiques ou filières équi</t>
        </is>
      </c>
      <c r="AI24" s="28" t="inlineStr">
        <is>
          <t>Open in EEF</t>
        </is>
      </c>
    </row>
    <row r="25" ht="22.35" customHeight="1" s="19">
      <c r="A25" s="25" t="n">
        <v>24</v>
      </c>
      <c r="B25" s="25" t="inlineStr">
        <is>
          <t>★★★★★</t>
        </is>
      </c>
      <c r="C25" s="25" t="inlineStr">
        <is>
          <t>5 – Core fit (embedded/biomedical/health tech)</t>
        </is>
      </c>
      <c r="D25" s="25" t="inlineStr">
        <is>
          <t>Biomedical / Health tech</t>
        </is>
      </c>
      <c r="E25" s="26" t="inlineStr">
        <is>
          <t>Master Ingénierie de la santé BioTesting et Biomédicaments</t>
        </is>
      </c>
      <c r="F25" s="26" t="inlineStr">
        <is>
          <t>Master Health Engineering BioTesting &amp; Biodrugs</t>
        </is>
      </c>
      <c r="G25" s="25" t="inlineStr">
        <is>
          <t>Master indifférencié (recherche et professionnel)</t>
        </is>
      </c>
      <c r="H25" s="25" t="inlineStr">
        <is>
          <t>UFR Sciences et Techniques</t>
        </is>
      </c>
      <c r="I25" s="25" t="inlineStr">
        <is>
          <t>Université de Rouen</t>
        </is>
      </c>
      <c r="J25" s="25" t="inlineStr">
        <is>
          <t>Site de Mont-Saint-Aignan</t>
        </is>
      </c>
      <c r="K25" s="25" t="n"/>
      <c r="L25" s="25" t="inlineStr">
        <is>
          <t>Public university</t>
        </is>
      </c>
      <c r="M25" s="25" t="inlineStr">
        <is>
          <t>French</t>
        </is>
      </c>
      <c r="N25" s="25" t="inlineStr">
        <is>
          <t>General</t>
        </is>
      </c>
      <c r="O25" s="25" t="inlineStr">
        <is>
          <t>Bac +4</t>
        </is>
      </c>
      <c r="P25" s="26" t="inlineStr">
        <is>
          <t>Eligible on level (4-yr BS ≈ Bac+4)</t>
        </is>
      </c>
      <c r="Q25" s="25" t="inlineStr">
        <is>
          <t>1</t>
        </is>
      </c>
      <c r="R25" s="25" t="inlineStr">
        <is>
          <t>10</t>
        </is>
      </c>
      <c r="S25" s="27" t="n">
        <v>3950</v>
      </c>
      <c r="T25" s="27" t="n">
        <v>255</v>
      </c>
      <c r="U25" s="25" t="n">
        <v>2</v>
      </c>
      <c r="V25" s="27">
        <f>IF(S25="","",S25*U25)</f>
        <v/>
      </c>
      <c r="W25" s="26" t="inlineStr">
        <is>
          <t>Catalogue: €3,950. = national differentiated master fee (2026-27: €3,950). Exemption to ~€255 possible (university quota).</t>
        </is>
      </c>
      <c r="X25" s="25" t="inlineStr">
        <is>
          <t>High</t>
        </is>
      </c>
      <c r="Y25" s="25" t="inlineStr">
        <is>
          <t>3950</t>
        </is>
      </c>
      <c r="Z25" s="26" t="n"/>
      <c r="AA25" s="26" t="inlineStr">
        <is>
          <t>Rouen: individual exemptions up to 30% quota, priority to social/economic hardship.</t>
        </is>
      </c>
      <c r="AB25" s="28" t="inlineStr">
        <is>
          <t>https://www.univ-rouen.fr/actualites/application-des-droits-dinscription-differencies-a-luniversite-de-rouen-normandie-a-compter-de-la-rentree-universitaire-2026-2027/</t>
        </is>
      </c>
      <c r="AC25" s="25" t="inlineStr">
        <is>
          <t>Open</t>
        </is>
      </c>
      <c r="AD25" s="25" t="inlineStr">
        <is>
          <t>2026-10-01</t>
        </is>
      </c>
      <c r="AE25" s="25" t="inlineStr">
        <is>
          <t>2027-03-15</t>
        </is>
      </c>
      <c r="AF25" s="25" t="inlineStr">
        <is>
          <t>No</t>
        </is>
      </c>
      <c r="AG25" s="28" t="inlineStr">
        <is>
          <t>https://sciences-techniques.univ-rouen.fr/offre-de-formation-les-masters--332182.kjsp?RH=1392301431998&amp;RF=1378324428882</t>
        </is>
      </c>
      <c r="AH25" s="26" t="inlineStr">
        <is>
          <t>B2 en français exigé. Bac +3 dans du domaine requis (licence sciences de la vie ou équivalent)</t>
        </is>
      </c>
      <c r="AI25" s="28" t="inlineStr">
        <is>
          <t>Open in EEF</t>
        </is>
      </c>
    </row>
    <row r="26" ht="22.35" customHeight="1" s="19">
      <c r="A26" s="25" t="n">
        <v>25</v>
      </c>
      <c r="B26" s="25" t="inlineStr">
        <is>
          <t>★★★★★</t>
        </is>
      </c>
      <c r="C26" s="25" t="inlineStr">
        <is>
          <t>5 – Core fit (embedded/biomedical/health tech)</t>
        </is>
      </c>
      <c r="D26" s="25" t="inlineStr">
        <is>
          <t>Biomedical / Health tech</t>
        </is>
      </c>
      <c r="E26" s="26" t="inlineStr">
        <is>
          <t>Master Ingénierie de la santé parcours Analyses et Qualité en Bio-Industries (AQBIO)</t>
        </is>
      </c>
      <c r="F26" s="26" t="inlineStr">
        <is>
          <t>Master Health Engineering – track: Analyses &amp; Quality in Bio-Industries (AQBIO)</t>
        </is>
      </c>
      <c r="G26" s="25" t="inlineStr">
        <is>
          <t>Master indifférencié (recherche et professionnel)</t>
        </is>
      </c>
      <c r="H26" s="25" t="inlineStr">
        <is>
          <t>UFR Sciences et Techniques</t>
        </is>
      </c>
      <c r="I26" s="25" t="inlineStr">
        <is>
          <t>Université de Rouen</t>
        </is>
      </c>
      <c r="J26" s="25" t="inlineStr">
        <is>
          <t>Site de Mont-Saint-Aignan</t>
        </is>
      </c>
      <c r="K26" s="25" t="n"/>
      <c r="L26" s="25" t="inlineStr">
        <is>
          <t>Public university</t>
        </is>
      </c>
      <c r="M26" s="25" t="inlineStr">
        <is>
          <t>French</t>
        </is>
      </c>
      <c r="N26" s="25" t="inlineStr">
        <is>
          <t>General</t>
        </is>
      </c>
      <c r="O26" s="25" t="inlineStr">
        <is>
          <t>Bac +4</t>
        </is>
      </c>
      <c r="P26" s="26" t="inlineStr">
        <is>
          <t>Eligible on level (4-yr BS ≈ Bac+4)</t>
        </is>
      </c>
      <c r="Q26" s="25" t="inlineStr">
        <is>
          <t>1</t>
        </is>
      </c>
      <c r="R26" s="25" t="inlineStr">
        <is>
          <t>10</t>
        </is>
      </c>
      <c r="S26" s="27" t="n">
        <v>3950</v>
      </c>
      <c r="T26" s="27" t="n">
        <v>255</v>
      </c>
      <c r="U26" s="25" t="n">
        <v>2</v>
      </c>
      <c r="V26" s="27">
        <f>IF(S26="","",S26*U26)</f>
        <v/>
      </c>
      <c r="W26" s="26" t="inlineStr">
        <is>
          <t>Catalogue: €3,950. = national differentiated master fee (2026-27: €3,950). Exemption to ~€255 possible (university quota).</t>
        </is>
      </c>
      <c r="X26" s="25" t="inlineStr">
        <is>
          <t>High</t>
        </is>
      </c>
      <c r="Y26" s="25" t="inlineStr">
        <is>
          <t>3950</t>
        </is>
      </c>
      <c r="Z26" s="26" t="n"/>
      <c r="AA26" s="26" t="inlineStr">
        <is>
          <t>Rouen: individual exemptions up to 30% quota, priority to social/economic hardship.</t>
        </is>
      </c>
      <c r="AB26" s="28" t="inlineStr">
        <is>
          <t>https://www.univ-rouen.fr/actualites/application-des-droits-dinscription-differencies-a-luniversite-de-rouen-normandie-a-compter-de-la-rentree-universitaire-2026-2027/</t>
        </is>
      </c>
      <c r="AC26" s="25" t="inlineStr">
        <is>
          <t>Open</t>
        </is>
      </c>
      <c r="AD26" s="25" t="inlineStr">
        <is>
          <t>2026-10-01</t>
        </is>
      </c>
      <c r="AE26" s="25" t="inlineStr">
        <is>
          <t>2027-03-15</t>
        </is>
      </c>
      <c r="AF26" s="25" t="inlineStr">
        <is>
          <t>No</t>
        </is>
      </c>
      <c r="AG26" s="28" t="inlineStr">
        <is>
          <t>https://sciences-techniques.univ-rouen.fr/</t>
        </is>
      </c>
      <c r="AH26" s="26" t="inlineStr">
        <is>
          <t>B2 en français exigé et Bac+3 du domaine requis. Rentrée début septembre</t>
        </is>
      </c>
      <c r="AI26" s="28" t="inlineStr">
        <is>
          <t>Open in EEF</t>
        </is>
      </c>
    </row>
    <row r="27" ht="32.8" customHeight="1" s="19">
      <c r="A27" s="25" t="n">
        <v>26</v>
      </c>
      <c r="B27" s="25" t="inlineStr">
        <is>
          <t>★★★★★</t>
        </is>
      </c>
      <c r="C27" s="25" t="inlineStr">
        <is>
          <t>5 – Core fit (embedded/biomedical/health tech)</t>
        </is>
      </c>
      <c r="D27" s="25" t="inlineStr">
        <is>
          <t>Biomedical / Health tech</t>
        </is>
      </c>
      <c r="E27" s="26" t="inlineStr">
        <is>
          <t>Master Ingénierie de la santé parcours Imagerie Cellulaire (IMAC)</t>
        </is>
      </c>
      <c r="F27" s="26" t="inlineStr">
        <is>
          <t>Master Health Engineering – track: Imaging Cellular (IMAC)</t>
        </is>
      </c>
      <c r="G27" s="25" t="inlineStr">
        <is>
          <t>Master indifférencié (recherche et professionnel)</t>
        </is>
      </c>
      <c r="H27" s="25" t="inlineStr">
        <is>
          <t>UFR Sciences et Techniques</t>
        </is>
      </c>
      <c r="I27" s="25" t="inlineStr">
        <is>
          <t>Université de Rouen</t>
        </is>
      </c>
      <c r="J27" s="25" t="inlineStr">
        <is>
          <t>Site de Mont-Saint-Aignan</t>
        </is>
      </c>
      <c r="K27" s="25" t="n"/>
      <c r="L27" s="25" t="inlineStr">
        <is>
          <t>Public university</t>
        </is>
      </c>
      <c r="M27" s="25" t="inlineStr">
        <is>
          <t>French</t>
        </is>
      </c>
      <c r="N27" s="25" t="inlineStr">
        <is>
          <t>General</t>
        </is>
      </c>
      <c r="O27" s="25" t="inlineStr">
        <is>
          <t>Bac +4 / Bac +5</t>
        </is>
      </c>
      <c r="P27" s="26" t="inlineStr">
        <is>
          <t>Eligible on level (4-yr BS ≈ Bac+4)</t>
        </is>
      </c>
      <c r="Q27" s="25" t="inlineStr">
        <is>
          <t>1/2</t>
        </is>
      </c>
      <c r="R27" s="25" t="inlineStr">
        <is>
          <t>10</t>
        </is>
      </c>
      <c r="S27" s="27" t="n">
        <v>3950</v>
      </c>
      <c r="T27" s="27" t="n">
        <v>255</v>
      </c>
      <c r="U27" s="25" t="n">
        <v>2</v>
      </c>
      <c r="V27" s="27">
        <f>IF(S27="","",S27*U27)</f>
        <v/>
      </c>
      <c r="W27" s="26" t="inlineStr">
        <is>
          <t>Catalogue: €3,950. = national differentiated master fee (2026-27: €3,950). Exemption to ~€255 possible (university quota).</t>
        </is>
      </c>
      <c r="X27" s="25" t="inlineStr">
        <is>
          <t>High</t>
        </is>
      </c>
      <c r="Y27" s="25" t="inlineStr">
        <is>
          <t>3950</t>
        </is>
      </c>
      <c r="Z27" s="26" t="n"/>
      <c r="AA27" s="26" t="inlineStr">
        <is>
          <t>Rouen: individual exemptions up to 30% quota, priority to social/economic hardship.</t>
        </is>
      </c>
      <c r="AB27" s="28" t="inlineStr">
        <is>
          <t>https://www.univ-rouen.fr/actualites/application-des-droits-dinscription-differencies-a-luniversite-de-rouen-normandie-a-compter-de-la-rentree-universitaire-2026-2027/</t>
        </is>
      </c>
      <c r="AC27" s="25" t="inlineStr">
        <is>
          <t>Open</t>
        </is>
      </c>
      <c r="AD27" s="25" t="inlineStr">
        <is>
          <t>2026-10-01</t>
        </is>
      </c>
      <c r="AE27" s="25" t="inlineStr">
        <is>
          <t>2027-03-15</t>
        </is>
      </c>
      <c r="AF27" s="25" t="inlineStr">
        <is>
          <t>No</t>
        </is>
      </c>
      <c r="AG27" s="28" t="inlineStr">
        <is>
          <t>https://sciences-techniques.univ-rouen.fr/</t>
        </is>
      </c>
      <c r="AH27" s="26" t="inlineStr">
        <is>
          <t>B2 en français exigé. Rentrée début septembre. Pour une entrée en master 1 niveau Bac + 3 dans le domaine requis. Pour une entrée en Master 2, Bac + 4 dans le domaine requis. Ce master est un master spécialisé sur deux a</t>
        </is>
      </c>
      <c r="AI27" s="28" t="inlineStr">
        <is>
          <t>Open in EEF</t>
        </is>
      </c>
    </row>
    <row r="28" ht="22.35" customHeight="1" s="19">
      <c r="A28" s="25" t="n">
        <v>27</v>
      </c>
      <c r="B28" s="25" t="inlineStr">
        <is>
          <t>★★★★★</t>
        </is>
      </c>
      <c r="C28" s="25" t="inlineStr">
        <is>
          <t>5 – Core fit (embedded/biomedical/health tech)</t>
        </is>
      </c>
      <c r="D28" s="25" t="inlineStr">
        <is>
          <t>Biomedical / Health tech</t>
        </is>
      </c>
      <c r="E28" s="26" t="inlineStr">
        <is>
          <t>Master Ingénierie de la santé parcours Ingénierie pour le Bio-Médical</t>
        </is>
      </c>
      <c r="F28" s="26" t="inlineStr">
        <is>
          <t>Master Health Engineering – track: Engineering for the Bio-Médical</t>
        </is>
      </c>
      <c r="G28" s="25" t="inlineStr">
        <is>
          <t>Master indifférencié (recherche et professionnel)</t>
        </is>
      </c>
      <c r="H28" s="25" t="inlineStr">
        <is>
          <t>UFR Sciences et Techniques</t>
        </is>
      </c>
      <c r="I28" s="25" t="inlineStr">
        <is>
          <t>Université de Rouen</t>
        </is>
      </c>
      <c r="J28" s="25" t="inlineStr">
        <is>
          <t>Saint-Etienne-du-Rouvray</t>
        </is>
      </c>
      <c r="K28" s="25" t="n"/>
      <c r="L28" s="25" t="inlineStr">
        <is>
          <t>Public university</t>
        </is>
      </c>
      <c r="M28" s="25" t="inlineStr">
        <is>
          <t>French</t>
        </is>
      </c>
      <c r="N28" s="25" t="inlineStr">
        <is>
          <t>General</t>
        </is>
      </c>
      <c r="O28" s="25" t="inlineStr">
        <is>
          <t>Bac +4 / Bac +5</t>
        </is>
      </c>
      <c r="P28" s="26" t="inlineStr">
        <is>
          <t>Eligible on level (4-yr BS ≈ Bac+4)</t>
        </is>
      </c>
      <c r="Q28" s="25" t="inlineStr">
        <is>
          <t>1/2</t>
        </is>
      </c>
      <c r="R28" s="25" t="inlineStr">
        <is>
          <t>10</t>
        </is>
      </c>
      <c r="S28" s="27" t="n">
        <v>3950</v>
      </c>
      <c r="T28" s="27" t="n">
        <v>255</v>
      </c>
      <c r="U28" s="25" t="n">
        <v>2</v>
      </c>
      <c r="V28" s="27">
        <f>IF(S28="","",S28*U28)</f>
        <v/>
      </c>
      <c r="W28" s="26" t="inlineStr">
        <is>
          <t>Catalogue: €3,950. = national differentiated master fee (2026-27: €3,950). Exemption to ~€255 possible (university quota).</t>
        </is>
      </c>
      <c r="X28" s="25" t="inlineStr">
        <is>
          <t>High</t>
        </is>
      </c>
      <c r="Y28" s="25" t="inlineStr">
        <is>
          <t>3950</t>
        </is>
      </c>
      <c r="Z28" s="26" t="n"/>
      <c r="AA28" s="26" t="inlineStr">
        <is>
          <t>Rouen: individual exemptions up to 30% quota, priority to social/economic hardship.</t>
        </is>
      </c>
      <c r="AB28" s="28" t="inlineStr">
        <is>
          <t>https://www.univ-rouen.fr/actualites/application-des-droits-dinscription-differencies-a-luniversite-de-rouen-normandie-a-compter-de-la-rentree-universitaire-2026-2027/</t>
        </is>
      </c>
      <c r="AC28" s="25" t="inlineStr">
        <is>
          <t>Open</t>
        </is>
      </c>
      <c r="AD28" s="25" t="inlineStr">
        <is>
          <t>2026-10-01</t>
        </is>
      </c>
      <c r="AE28" s="25" t="inlineStr">
        <is>
          <t>2027-03-15</t>
        </is>
      </c>
      <c r="AF28" s="25" t="inlineStr">
        <is>
          <t>No</t>
        </is>
      </c>
      <c r="AG28" s="28" t="inlineStr">
        <is>
          <t>http://sciences-techniques.univ-rouen.fr/</t>
        </is>
      </c>
      <c r="AH28" s="26" t="inlineStr">
        <is>
          <t>B2 en français exigé. Rentrée début septembre.</t>
        </is>
      </c>
      <c r="AI28" s="28" t="inlineStr">
        <is>
          <t>Open in EEF</t>
        </is>
      </c>
    </row>
    <row r="29" ht="32.8" customHeight="1" s="19">
      <c r="A29" s="25" t="n">
        <v>28</v>
      </c>
      <c r="B29" s="25" t="inlineStr">
        <is>
          <t>★★★★★</t>
        </is>
      </c>
      <c r="C29" s="25" t="inlineStr">
        <is>
          <t>5 – Core fit (embedded/biomedical/health tech)</t>
        </is>
      </c>
      <c r="D29" s="25" t="inlineStr">
        <is>
          <t>Embedded systems / Electronics</t>
        </is>
      </c>
      <c r="E29" s="26" t="inlineStr">
        <is>
          <t>Master mention Génie industriel [Electronique embarquée et systèmes de communication]</t>
        </is>
      </c>
      <c r="F29" s="26" t="inlineStr">
        <is>
          <t>Master – major: Industrial Engineering [Embedded Electronics &amp; Systems of Communication]</t>
        </is>
      </c>
      <c r="G29" s="25" t="inlineStr">
        <is>
          <t>Master indifférencié (recherche et professionnel)</t>
        </is>
      </c>
      <c r="H29" s="25" t="inlineStr">
        <is>
          <t>UFR Systèmes industriels et techniques de communication (Ville d'Avray)</t>
        </is>
      </c>
      <c r="I29" s="25" t="inlineStr">
        <is>
          <t>Université Paris Nanterre</t>
        </is>
      </c>
      <c r="J29" s="25" t="inlineStr">
        <is>
          <t>Site de Ville-d'Avray</t>
        </is>
      </c>
      <c r="K29" s="25" t="n"/>
      <c r="L29" s="25" t="inlineStr">
        <is>
          <t>Public university</t>
        </is>
      </c>
      <c r="M29" s="25" t="inlineStr">
        <is>
          <t>French</t>
        </is>
      </c>
      <c r="N29" s="25" t="inlineStr">
        <is>
          <t>General</t>
        </is>
      </c>
      <c r="O29" s="25" t="inlineStr">
        <is>
          <t>Bac +4</t>
        </is>
      </c>
      <c r="P29" s="26" t="inlineStr">
        <is>
          <t>Eligible on level (4-yr BS ≈ Bac+4)</t>
        </is>
      </c>
      <c r="Q29" s="25" t="inlineStr">
        <is>
          <t>1</t>
        </is>
      </c>
      <c r="R29" s="25" t="n"/>
      <c r="S29" s="27" t="n">
        <v>3950</v>
      </c>
      <c r="T29" s="27" t="n">
        <v>255</v>
      </c>
      <c r="U29" s="25" t="n">
        <v>2</v>
      </c>
      <c r="V29" s="27">
        <f>IF(S29="","",S29*U29)</f>
        <v/>
      </c>
      <c r="W29" s="26" t="inlineStr">
        <is>
          <t>Catalogue: €3,950. = national differentiated master fee (2026-27: €3,950). Exemption to ~€255 possible (university quota).</t>
        </is>
      </c>
      <c r="X29" s="25" t="inlineStr">
        <is>
          <t>High</t>
        </is>
      </c>
      <c r="Y29" s="25" t="inlineStr">
        <is>
          <t>3950</t>
        </is>
      </c>
      <c r="Z29" s="26" t="n"/>
      <c r="AA29" s="26" t="n"/>
      <c r="AB29" s="25" t="n"/>
      <c r="AC29" s="25" t="inlineStr">
        <is>
          <t>Open</t>
        </is>
      </c>
      <c r="AD29" s="25" t="inlineStr">
        <is>
          <t>2026-10-01</t>
        </is>
      </c>
      <c r="AE29" s="25" t="inlineStr">
        <is>
          <t>2027-03-15</t>
        </is>
      </c>
      <c r="AF29" s="25" t="inlineStr">
        <is>
          <t>No</t>
        </is>
      </c>
      <c r="AG29" s="28" t="inlineStr">
        <is>
          <t>https://ufr-sitec.parisnanterre.fr/</t>
        </is>
      </c>
      <c r="AH29" s="26" t="inlineStr">
        <is>
          <t>Les candidats non francophones ou ressortissant d'un pays ou le français n'est pas langue officielle doivent impérativement justifier de leur niveau de français en produisant dans leur dossier le TCF niveau C1 ou le DALF</t>
        </is>
      </c>
      <c r="AI29" s="28" t="inlineStr">
        <is>
          <t>Open in EEF</t>
        </is>
      </c>
    </row>
    <row r="30" ht="32.8" customHeight="1" s="19">
      <c r="A30" s="25" t="n">
        <v>29</v>
      </c>
      <c r="B30" s="25" t="inlineStr">
        <is>
          <t>★★★★★</t>
        </is>
      </c>
      <c r="C30" s="25" t="inlineStr">
        <is>
          <t>5 – Core fit (embedded/biomedical/health tech)</t>
        </is>
      </c>
      <c r="D30" s="25" t="inlineStr">
        <is>
          <t>Embedded systems / Electronics</t>
        </is>
      </c>
      <c r="E30" s="26" t="inlineStr">
        <is>
          <t>Master Sciences, technologies, santé, mention Electronique, énergie électrique, automatique Orientations CIM (Capteurs intelligents et micro-nano-technologies) et EMB (Électronique Embarquée)</t>
        </is>
      </c>
      <c r="F30" s="26" t="inlineStr">
        <is>
          <t>Master Science, Technology, Health (STS), – major: Electronics, Electrical Energy &amp; Automation (EEA) Orientations CIM (Sensors Intelligent &amp; micro-nano-technologies) &amp; EMB (Embedded Electronics)</t>
        </is>
      </c>
      <c r="G30" s="25" t="inlineStr">
        <is>
          <t>Master indifférencié (recherche et professionnel)</t>
        </is>
      </c>
      <c r="H30" s="25" t="inlineStr">
        <is>
          <t>Faculté des Sciences et Technologies</t>
        </is>
      </c>
      <c r="I30" s="25" t="inlineStr">
        <is>
          <t>Université de Lorraine</t>
        </is>
      </c>
      <c r="J30" s="25" t="inlineStr">
        <is>
          <t>Site de Vandoeuvre-lès-Nancy</t>
        </is>
      </c>
      <c r="K30" s="25" t="n"/>
      <c r="L30" s="25" t="inlineStr">
        <is>
          <t>Public university</t>
        </is>
      </c>
      <c r="M30" s="25" t="inlineStr">
        <is>
          <t>French</t>
        </is>
      </c>
      <c r="N30" s="25" t="inlineStr">
        <is>
          <t>General</t>
        </is>
      </c>
      <c r="O30" s="25" t="inlineStr">
        <is>
          <t>Bac +4</t>
        </is>
      </c>
      <c r="P30" s="26" t="inlineStr">
        <is>
          <t>Eligible on level (4-yr BS ≈ Bac+4)</t>
        </is>
      </c>
      <c r="Q30" s="25" t="inlineStr">
        <is>
          <t>1</t>
        </is>
      </c>
      <c r="R30" s="25" t="n"/>
      <c r="S30" s="27" t="n">
        <v>3950</v>
      </c>
      <c r="T30" s="27" t="n">
        <v>255</v>
      </c>
      <c r="U30" s="25" t="n">
        <v>2</v>
      </c>
      <c r="V30" s="27">
        <f>IF(S30="","",S30*U30)</f>
        <v/>
      </c>
      <c r="W30" s="26" t="inlineStr">
        <is>
          <t>Catalogue: €3,950. = national differentiated master fee (2026-27: €3,950). Exemption to ~€255 possible (university quota).</t>
        </is>
      </c>
      <c r="X30" s="25" t="inlineStr">
        <is>
          <t>High</t>
        </is>
      </c>
      <c r="Y30" s="25" t="inlineStr">
        <is>
          <t>3950</t>
        </is>
      </c>
      <c r="Z30" s="26" t="n"/>
      <c r="AA30" s="26" t="n"/>
      <c r="AB30" s="25" t="n"/>
      <c r="AC30" s="25" t="inlineStr">
        <is>
          <t>Open</t>
        </is>
      </c>
      <c r="AD30" s="25" t="inlineStr">
        <is>
          <t>2026-10-01</t>
        </is>
      </c>
      <c r="AE30" s="25" t="inlineStr">
        <is>
          <t>2027-03-15</t>
        </is>
      </c>
      <c r="AF30" s="25" t="inlineStr">
        <is>
          <t>No</t>
        </is>
      </c>
      <c r="AG30" s="28" t="inlineStr">
        <is>
          <t>https://fst.univ-lorraine.fr/formations/</t>
        </is>
      </c>
      <c r="AH30" s="26" t="inlineStr">
        <is>
          <t>Pour le Master 1 : Niveau licence en électronique, électrotechnique, Automatique, Informatique industrielle exigé. Niveau B2 en langue française exigé. Aucun dossier transmis en dehors de la campagne d'ouverture de Campu</t>
        </is>
      </c>
      <c r="AI30" s="28" t="inlineStr">
        <is>
          <t>Open in EEF</t>
        </is>
      </c>
    </row>
    <row r="31" ht="22.35" customHeight="1" s="19">
      <c r="A31" s="25" t="n">
        <v>30</v>
      </c>
      <c r="B31" s="25" t="inlineStr">
        <is>
          <t>★★★★★</t>
        </is>
      </c>
      <c r="C31" s="25" t="inlineStr">
        <is>
          <t>5 – Core fit (embedded/biomedical/health tech)</t>
        </is>
      </c>
      <c r="D31" s="25" t="inlineStr">
        <is>
          <t>Biomedical / Health tech</t>
        </is>
      </c>
      <c r="E31" s="26" t="inlineStr">
        <is>
          <t>Master Sciences, technologies, santé, mention Ingénierie de la santé</t>
        </is>
      </c>
      <c r="F31" s="26" t="inlineStr">
        <is>
          <t>Master Science, Technology, Health (STS), – major: Health Engineering</t>
        </is>
      </c>
      <c r="G31" s="25" t="inlineStr">
        <is>
          <t>Master indifférencié (recherche et professionnel)</t>
        </is>
      </c>
      <c r="H31" s="25" t="inlineStr">
        <is>
          <t>Faculté de Santé</t>
        </is>
      </c>
      <c r="I31" s="25" t="inlineStr">
        <is>
          <t>Université Jean Monnet Saint-Etienne</t>
        </is>
      </c>
      <c r="J31" s="25" t="inlineStr">
        <is>
          <t>Site de Saint-Etienne</t>
        </is>
      </c>
      <c r="K31" s="25" t="inlineStr">
        <is>
          <t>42270 Saint-Priest-en-Jarez</t>
        </is>
      </c>
      <c r="L31" s="25" t="inlineStr">
        <is>
          <t>Public university</t>
        </is>
      </c>
      <c r="M31" s="25" t="inlineStr">
        <is>
          <t>French</t>
        </is>
      </c>
      <c r="N31" s="25" t="inlineStr">
        <is>
          <t>General</t>
        </is>
      </c>
      <c r="O31" s="25" t="inlineStr">
        <is>
          <t>Bac +4</t>
        </is>
      </c>
      <c r="P31" s="26" t="inlineStr">
        <is>
          <t>Eligible on level (4-yr BS ≈ Bac+4)</t>
        </is>
      </c>
      <c r="Q31" s="25" t="inlineStr">
        <is>
          <t>1</t>
        </is>
      </c>
      <c r="R31" s="25" t="n"/>
      <c r="S31" s="27" t="n">
        <v>3950</v>
      </c>
      <c r="T31" s="27" t="n">
        <v>255</v>
      </c>
      <c r="U31" s="25" t="n">
        <v>2</v>
      </c>
      <c r="V31" s="27">
        <f>IF(S31="","",S31*U31)</f>
        <v/>
      </c>
      <c r="W31" s="26" t="inlineStr">
        <is>
          <t>Catalogue: €3,950. = national differentiated master fee (2026-27: €3,950). Exemption to ~€255 possible (university quota).</t>
        </is>
      </c>
      <c r="X31" s="25" t="inlineStr">
        <is>
          <t>High</t>
        </is>
      </c>
      <c r="Y31" s="25" t="inlineStr">
        <is>
          <t>3950</t>
        </is>
      </c>
      <c r="Z31" s="26" t="inlineStr">
        <is>
          <t>Master : 3950 € + le paiement de la CVEC : 105 € (tarif indicatif 2026/2027)</t>
        </is>
      </c>
      <c r="AA31" s="26" t="n"/>
      <c r="AB31" s="25" t="n"/>
      <c r="AC31" s="25" t="inlineStr">
        <is>
          <t>Open</t>
        </is>
      </c>
      <c r="AD31" s="25" t="inlineStr">
        <is>
          <t>2026-10-01</t>
        </is>
      </c>
      <c r="AE31" s="25" t="inlineStr">
        <is>
          <t>2027-03-15</t>
        </is>
      </c>
      <c r="AF31" s="25" t="inlineStr">
        <is>
          <t>No</t>
        </is>
      </c>
      <c r="AG31" s="28" t="inlineStr">
        <is>
          <t>https://medecine.univ-st-etienne.fr/fr/formation-initiale/licence-masters.html</t>
        </is>
      </c>
      <c r="AH31" s="26" t="inlineStr">
        <is>
          <t>Niveaux de langues : B2 minimum en Français et en Anglais</t>
        </is>
      </c>
      <c r="AI31" s="28" t="inlineStr">
        <is>
          <t>Open in EEF</t>
        </is>
      </c>
    </row>
    <row r="32" ht="32.8" customHeight="1" s="19">
      <c r="A32" s="25" t="n">
        <v>31</v>
      </c>
      <c r="B32" s="25" t="inlineStr">
        <is>
          <t>★★★★★</t>
        </is>
      </c>
      <c r="C32" s="25" t="inlineStr">
        <is>
          <t>5 – Core fit (embedded/biomedical/health tech)</t>
        </is>
      </c>
      <c r="D32" s="25" t="inlineStr">
        <is>
          <t>Biomedical / Health tech</t>
        </is>
      </c>
      <c r="E32" s="26" t="inlineStr">
        <is>
          <t>Master Sciences, technologies, santé, mention Ingénierie de la santé parcours Dispositif médical et affaires réglementaires</t>
        </is>
      </c>
      <c r="F32" s="26" t="inlineStr">
        <is>
          <t>Master Science, Technology, Health (STS), – major: Health Engineering – track: Dispositif Medical &amp; affaires réglementaires</t>
        </is>
      </c>
      <c r="G32" s="25" t="inlineStr">
        <is>
          <t>Master indifférencié (recherche et professionnel)</t>
        </is>
      </c>
      <c r="H32" s="25" t="inlineStr">
        <is>
          <t>Université de technologie de Compiègne</t>
        </is>
      </c>
      <c r="I32" s="25" t="n"/>
      <c r="J32" s="25" t="inlineStr">
        <is>
          <t>Site de Compiègne</t>
        </is>
      </c>
      <c r="K32" s="25" t="n"/>
      <c r="L32" s="25" t="inlineStr">
        <is>
          <t>Public university</t>
        </is>
      </c>
      <c r="M32" s="25" t="inlineStr">
        <is>
          <t>French</t>
        </is>
      </c>
      <c r="N32" s="25" t="inlineStr">
        <is>
          <t>General</t>
        </is>
      </c>
      <c r="O32" s="25" t="inlineStr">
        <is>
          <t>Bac +4 / Bac +5</t>
        </is>
      </c>
      <c r="P32" s="26" t="inlineStr">
        <is>
          <t>Eligible on level (4-yr BS ≈ Bac+4)</t>
        </is>
      </c>
      <c r="Q32" s="25" t="inlineStr">
        <is>
          <t>1/2</t>
        </is>
      </c>
      <c r="R32" s="25" t="n"/>
      <c r="S32" s="27" t="n">
        <v>3950</v>
      </c>
      <c r="T32" s="27" t="n">
        <v>255</v>
      </c>
      <c r="U32" s="25" t="n">
        <v>2</v>
      </c>
      <c r="V32" s="27">
        <f>IF(S32="","",S32*U32)</f>
        <v/>
      </c>
      <c r="W32" s="26" t="inlineStr">
        <is>
          <t>Catalogue: €3,950. = national differentiated master fee (2026-27: €3,950). Exemption to ~€255 possible (university quota).</t>
        </is>
      </c>
      <c r="X32" s="25" t="inlineStr">
        <is>
          <t>High</t>
        </is>
      </c>
      <c r="Y32" s="25" t="inlineStr">
        <is>
          <t>3950</t>
        </is>
      </c>
      <c r="Z32" s="26" t="n"/>
      <c r="AA32" s="26" t="n"/>
      <c r="AB32" s="25" t="n"/>
      <c r="AC32" s="25" t="inlineStr">
        <is>
          <t>Open</t>
        </is>
      </c>
      <c r="AD32" s="25" t="inlineStr">
        <is>
          <t>2026-10-01</t>
        </is>
      </c>
      <c r="AE32" s="25" t="inlineStr">
        <is>
          <t>2027-03-15</t>
        </is>
      </c>
      <c r="AF32" s="25" t="inlineStr">
        <is>
          <t>No</t>
        </is>
      </c>
      <c r="AG32" s="28" t="inlineStr">
        <is>
          <t>https://www.utc.fr/formations/diplome-de-master/mention-ingenierie-de-la-sante-ids/parcours-dispositif-medical-et-affaires-reglementaires-dmar/</t>
        </is>
      </c>
      <c r="AH32" s="26" t="inlineStr">
        <is>
          <t>Pour les parcours DMAR et TBTS Attention, le recrutement en M1 est commun. Ainsi, en candidatant sur l’un vous candidatez également sur l’autre, pas besoin de déposer votre dossier de candidature deux fois. Mentions de l</t>
        </is>
      </c>
      <c r="AI32" s="28" t="inlineStr">
        <is>
          <t>Open in EEF</t>
        </is>
      </c>
    </row>
    <row r="33" ht="22.35" customHeight="1" s="19">
      <c r="A33" s="25" t="n">
        <v>32</v>
      </c>
      <c r="B33" s="25" t="inlineStr">
        <is>
          <t>★★★★★</t>
        </is>
      </c>
      <c r="C33" s="25" t="inlineStr">
        <is>
          <t>5 – Core fit (embedded/biomedical/health tech)</t>
        </is>
      </c>
      <c r="D33" s="25" t="inlineStr">
        <is>
          <t>Biomedical / Health tech</t>
        </is>
      </c>
      <c r="E33" s="26" t="inlineStr">
        <is>
          <t>Master Sciences, technologies, santé, mention Ingénierie de la santé parcours Ingénierie des formations en santé (IFS)</t>
        </is>
      </c>
      <c r="F33" s="26" t="inlineStr">
        <is>
          <t>Master Science, Technology, Health (STS), – major: Health Engineering – track: Engineering of formations in Health (IFS)</t>
        </is>
      </c>
      <c r="G33" s="25" t="inlineStr">
        <is>
          <t>Master indifférencié (recherche et professionnel)</t>
        </is>
      </c>
      <c r="H33" s="25" t="inlineStr">
        <is>
          <t>UFR de santé médecine biologie humaine - Léonard de Vinci</t>
        </is>
      </c>
      <c r="I33" s="25" t="inlineStr">
        <is>
          <t>Université Sorbonne Paris Nord</t>
        </is>
      </c>
      <c r="J33" s="25" t="inlineStr">
        <is>
          <t>Site de Bobigny</t>
        </is>
      </c>
      <c r="K33" s="25" t="n"/>
      <c r="L33" s="25" t="inlineStr">
        <is>
          <t>Public university</t>
        </is>
      </c>
      <c r="M33" s="25" t="inlineStr">
        <is>
          <t>French</t>
        </is>
      </c>
      <c r="N33" s="25" t="inlineStr">
        <is>
          <t>General</t>
        </is>
      </c>
      <c r="O33" s="25" t="inlineStr">
        <is>
          <t>Bac +4 / Bac +5</t>
        </is>
      </c>
      <c r="P33" s="26" t="inlineStr">
        <is>
          <t>Eligible on level (4-yr BS ≈ Bac+4)</t>
        </is>
      </c>
      <c r="Q33" s="25" t="inlineStr">
        <is>
          <t>1/2</t>
        </is>
      </c>
      <c r="R33" s="25" t="n"/>
      <c r="S33" s="27" t="n">
        <v>3950</v>
      </c>
      <c r="T33" s="27" t="n">
        <v>255</v>
      </c>
      <c r="U33" s="25" t="n">
        <v>2</v>
      </c>
      <c r="V33" s="27">
        <f>IF(S33="","",S33*U33)</f>
        <v/>
      </c>
      <c r="W33" s="26" t="inlineStr">
        <is>
          <t>Catalogue: €3,950. = national differentiated master fee (2026-27: €3,950). Exemption to ~€255 possible (university quota).</t>
        </is>
      </c>
      <c r="X33" s="25" t="inlineStr">
        <is>
          <t>High</t>
        </is>
      </c>
      <c r="Y33" s="25" t="inlineStr">
        <is>
          <t>3950</t>
        </is>
      </c>
      <c r="Z33" s="26" t="n"/>
      <c r="AA33" s="26" t="n"/>
      <c r="AB33" s="25" t="n"/>
      <c r="AC33" s="25" t="inlineStr">
        <is>
          <t>Open</t>
        </is>
      </c>
      <c r="AD33" s="25" t="inlineStr">
        <is>
          <t>2026-10-01</t>
        </is>
      </c>
      <c r="AE33" s="25" t="inlineStr">
        <is>
          <t>2027-03-15</t>
        </is>
      </c>
      <c r="AF33" s="25" t="inlineStr">
        <is>
          <t>No</t>
        </is>
      </c>
      <c r="AG33" s="25" t="n"/>
      <c r="AH33" s="26" t="n"/>
      <c r="AI33" s="28" t="inlineStr">
        <is>
          <t>Open in EEF</t>
        </is>
      </c>
    </row>
    <row r="34" ht="22.35" customHeight="1" s="19">
      <c r="A34" s="25" t="n">
        <v>33</v>
      </c>
      <c r="B34" s="25" t="inlineStr">
        <is>
          <t>★★★★★</t>
        </is>
      </c>
      <c r="C34" s="25" t="inlineStr">
        <is>
          <t>5 – Core fit (embedded/biomedical/health tech)</t>
        </is>
      </c>
      <c r="D34" s="25" t="inlineStr">
        <is>
          <t>Biomedical / Health tech</t>
        </is>
      </c>
      <c r="E34" s="26" t="inlineStr">
        <is>
          <t>Master Sciences, technologies, santé, mention Ingénierie de la santé parcours Qualité, sécurité des parcours de soins (QSPS)</t>
        </is>
      </c>
      <c r="F34" s="26" t="inlineStr">
        <is>
          <t>Master Science, Technology, Health (STS), – major: Health Engineering – track: Quality, Security of – track: of soins (QSPS)</t>
        </is>
      </c>
      <c r="G34" s="25" t="inlineStr">
        <is>
          <t>Master indifférencié (recherche et professionnel)</t>
        </is>
      </c>
      <c r="H34" s="25" t="inlineStr">
        <is>
          <t>UFR de santé médecine biologie humaine - Léonard de Vinci</t>
        </is>
      </c>
      <c r="I34" s="25" t="inlineStr">
        <is>
          <t>Université Sorbonne Paris Nord</t>
        </is>
      </c>
      <c r="J34" s="25" t="inlineStr">
        <is>
          <t>Site de Bobigny</t>
        </is>
      </c>
      <c r="K34" s="25" t="n"/>
      <c r="L34" s="25" t="inlineStr">
        <is>
          <t>Public university</t>
        </is>
      </c>
      <c r="M34" s="25" t="inlineStr">
        <is>
          <t>French</t>
        </is>
      </c>
      <c r="N34" s="25" t="inlineStr">
        <is>
          <t>General</t>
        </is>
      </c>
      <c r="O34" s="25" t="inlineStr">
        <is>
          <t>Bac +4</t>
        </is>
      </c>
      <c r="P34" s="26" t="inlineStr">
        <is>
          <t>Eligible on level (4-yr BS ≈ Bac+4)</t>
        </is>
      </c>
      <c r="Q34" s="25" t="inlineStr">
        <is>
          <t>1</t>
        </is>
      </c>
      <c r="R34" s="25" t="n"/>
      <c r="S34" s="27" t="n">
        <v>3950</v>
      </c>
      <c r="T34" s="27" t="n">
        <v>255</v>
      </c>
      <c r="U34" s="25" t="n">
        <v>2</v>
      </c>
      <c r="V34" s="27">
        <f>IF(S34="","",S34*U34)</f>
        <v/>
      </c>
      <c r="W34" s="26" t="inlineStr">
        <is>
          <t>Catalogue: €3,950. = national differentiated master fee (2026-27: €3,950). Exemption to ~€255 possible (university quota).</t>
        </is>
      </c>
      <c r="X34" s="25" t="inlineStr">
        <is>
          <t>High</t>
        </is>
      </c>
      <c r="Y34" s="25" t="inlineStr">
        <is>
          <t>3950</t>
        </is>
      </c>
      <c r="Z34" s="26" t="n"/>
      <c r="AA34" s="26" t="n"/>
      <c r="AB34" s="25" t="n"/>
      <c r="AC34" s="25" t="inlineStr">
        <is>
          <t>Open</t>
        </is>
      </c>
      <c r="AD34" s="25" t="inlineStr">
        <is>
          <t>2026-10-01</t>
        </is>
      </c>
      <c r="AE34" s="25" t="inlineStr">
        <is>
          <t>2027-03-15</t>
        </is>
      </c>
      <c r="AF34" s="25" t="inlineStr">
        <is>
          <t>No</t>
        </is>
      </c>
      <c r="AG34" s="25" t="n"/>
      <c r="AH34" s="26" t="n"/>
      <c r="AI34" s="28" t="inlineStr">
        <is>
          <t>Open in EEF</t>
        </is>
      </c>
    </row>
    <row r="35" ht="32.8" customHeight="1" s="19">
      <c r="A35" s="25" t="n">
        <v>34</v>
      </c>
      <c r="B35" s="25" t="inlineStr">
        <is>
          <t>★★★★★</t>
        </is>
      </c>
      <c r="C35" s="25" t="inlineStr">
        <is>
          <t>5 – Core fit (embedded/biomedical/health tech)</t>
        </is>
      </c>
      <c r="D35" s="25" t="inlineStr">
        <is>
          <t>Biomedical / Health tech</t>
        </is>
      </c>
      <c r="E35" s="26" t="inlineStr">
        <is>
          <t>Master Sciences, technologies, santé mention sciences et techniques des activités physiques et sportives spécialité ingénierie de la rééducation, du handicap et de la performance motrice</t>
        </is>
      </c>
      <c r="F35" s="26" t="inlineStr">
        <is>
          <t>Master Science, Technology, Health (STS) – major: Sciences &amp; Techniques of activités physiques &amp; sportives – specialisation: Engineering of the rééducation, of handicap &amp; of the Performance motrice</t>
        </is>
      </c>
      <c r="G35" s="25" t="inlineStr">
        <is>
          <t>Master indifférencié (recherche et professionnel)</t>
        </is>
      </c>
      <c r="H35" s="25" t="inlineStr">
        <is>
          <t>UFR de sciences et techniques</t>
        </is>
      </c>
      <c r="I35" s="25" t="inlineStr">
        <is>
          <t>Le Mans Université</t>
        </is>
      </c>
      <c r="J35" s="25" t="inlineStr">
        <is>
          <t>UFR STS - Le Mans</t>
        </is>
      </c>
      <c r="K35" s="25" t="inlineStr">
        <is>
          <t>72085 LE MANS CEDEX</t>
        </is>
      </c>
      <c r="L35" s="25" t="inlineStr">
        <is>
          <t>Public university</t>
        </is>
      </c>
      <c r="M35" s="25" t="inlineStr">
        <is>
          <t>French</t>
        </is>
      </c>
      <c r="N35" s="25" t="inlineStr">
        <is>
          <t>General</t>
        </is>
      </c>
      <c r="O35" s="25" t="inlineStr">
        <is>
          <t>Bac +4 / Bac +5</t>
        </is>
      </c>
      <c r="P35" s="26" t="inlineStr">
        <is>
          <t>Eligible on level (4-yr BS ≈ Bac+4)</t>
        </is>
      </c>
      <c r="Q35" s="25" t="inlineStr">
        <is>
          <t>1/2</t>
        </is>
      </c>
      <c r="R35" s="25" t="inlineStr">
        <is>
          <t>12</t>
        </is>
      </c>
      <c r="S35" s="27" t="n">
        <v>3950</v>
      </c>
      <c r="T35" s="27" t="n">
        <v>255</v>
      </c>
      <c r="U35" s="25" t="n">
        <v>2</v>
      </c>
      <c r="V35" s="27">
        <f>IF(S35="","",S35*U35)</f>
        <v/>
      </c>
      <c r="W35" s="26" t="inlineStr">
        <is>
          <t>Catalogue: €3,950. = national differentiated master fee (2026-27: €3,950). Exemption to ~€255 possible (university quota).</t>
        </is>
      </c>
      <c r="X35" s="25" t="inlineStr">
        <is>
          <t>High</t>
        </is>
      </c>
      <c r="Y35" s="25" t="inlineStr">
        <is>
          <t>3950</t>
        </is>
      </c>
      <c r="Z35" s="26" t="n"/>
      <c r="AA35" s="26" t="inlineStr">
        <is>
          <t>Le Mans governance formally opposed the decree; exemption policy not published.</t>
        </is>
      </c>
      <c r="AB35" s="28" t="inlineStr">
        <is>
          <t>https://www.letudiant.fr/educpros/actualite/droits-d-inscription-majores-pour-les-etudiants-etrangers-pourquoi-l-application-du-decret-met-en-difficulte-de-nombreuses-universites.html</t>
        </is>
      </c>
      <c r="AC35" s="25" t="inlineStr">
        <is>
          <t>Open</t>
        </is>
      </c>
      <c r="AD35" s="25" t="inlineStr">
        <is>
          <t>2026-10-01</t>
        </is>
      </c>
      <c r="AE35" s="25" t="inlineStr">
        <is>
          <t>2027-03-15</t>
        </is>
      </c>
      <c r="AF35" s="25" t="inlineStr">
        <is>
          <t>No</t>
        </is>
      </c>
      <c r="AG35" s="28" t="inlineStr">
        <is>
          <t>http://sciences.univ-lemans.fr</t>
        </is>
      </c>
      <c r="AH35" s="26" t="inlineStr">
        <is>
          <t>TCF B2 minimum Pour candidature en M1 STAPS APAS : Licence 3 STAPS APAS déjà validée ou diplôme équivalent.</t>
        </is>
      </c>
      <c r="AI35" s="28" t="inlineStr">
        <is>
          <t>Open in EEF</t>
        </is>
      </c>
    </row>
    <row r="36" ht="32.8" customHeight="1" s="19">
      <c r="A36" s="25" t="n">
        <v>35</v>
      </c>
      <c r="B36" s="25" t="inlineStr">
        <is>
          <t>★★★★★</t>
        </is>
      </c>
      <c r="C36" s="25" t="inlineStr">
        <is>
          <t>5 – Core fit (embedded/biomedical/health tech)</t>
        </is>
      </c>
      <c r="D36" s="25" t="inlineStr">
        <is>
          <t>Signal / Image / Vision</t>
        </is>
      </c>
      <c r="E36" s="26" t="inlineStr">
        <is>
          <t>Master Sciences, technologies, santé, Optique, image, vision, mutlimédia parcours M2 Signaux et image en médecine (SIM)</t>
        </is>
      </c>
      <c r="F36" s="26" t="inlineStr">
        <is>
          <t>Master Science, Technology, Health (STS), Optics, Image, Vision, Multimedia – track: M2 Signaux &amp; Image in Medicine (SIM)</t>
        </is>
      </c>
      <c r="G36" s="25" t="inlineStr">
        <is>
          <t>Master indifférencié (recherche et professionnel)</t>
        </is>
      </c>
      <c r="H36" s="25" t="inlineStr">
        <is>
          <t>UFR des sciences et technologie</t>
        </is>
      </c>
      <c r="I36" s="25" t="inlineStr">
        <is>
          <t>Université Paris-Est Créteil Val-de-Marne</t>
        </is>
      </c>
      <c r="J36" s="25" t="inlineStr">
        <is>
          <t>Site de Créteil</t>
        </is>
      </c>
      <c r="K36" s="25" t="n"/>
      <c r="L36" s="25" t="inlineStr">
        <is>
          <t>Public university</t>
        </is>
      </c>
      <c r="M36" s="25" t="inlineStr">
        <is>
          <t>French</t>
        </is>
      </c>
      <c r="N36" s="25" t="inlineStr">
        <is>
          <t>General</t>
        </is>
      </c>
      <c r="O36" s="25" t="inlineStr">
        <is>
          <t>Bac +4 / Bac +5</t>
        </is>
      </c>
      <c r="P36" s="26" t="inlineStr">
        <is>
          <t>Eligible on level (4-yr BS ≈ Bac+4)</t>
        </is>
      </c>
      <c r="Q36" s="25" t="inlineStr">
        <is>
          <t>1/2</t>
        </is>
      </c>
      <c r="R36" s="25" t="inlineStr">
        <is>
          <t>12</t>
        </is>
      </c>
      <c r="S36" s="27" t="n">
        <v>3950</v>
      </c>
      <c r="T36" s="27" t="n">
        <v>255</v>
      </c>
      <c r="U36" s="25" t="n">
        <v>2</v>
      </c>
      <c r="V36" s="27">
        <f>IF(S36="","",S36*U36)</f>
        <v/>
      </c>
      <c r="W36" s="26" t="inlineStr">
        <is>
          <t>Catalogue: €3,950. = national differentiated master fee (2026-27: €3,950). Exemption to ~€255 possible (university quota).</t>
        </is>
      </c>
      <c r="X36" s="25" t="inlineStr">
        <is>
          <t>High</t>
        </is>
      </c>
      <c r="Y36" s="25" t="inlineStr">
        <is>
          <t>3950</t>
        </is>
      </c>
      <c r="Z36" s="26" t="n"/>
      <c r="AA36" s="26" t="n"/>
      <c r="AB36" s="25" t="n"/>
      <c r="AC36" s="25" t="inlineStr">
        <is>
          <t>Open</t>
        </is>
      </c>
      <c r="AD36" s="25" t="inlineStr">
        <is>
          <t>2026-10-01</t>
        </is>
      </c>
      <c r="AE36" s="25" t="inlineStr">
        <is>
          <t>2027-03-15</t>
        </is>
      </c>
      <c r="AF36" s="25" t="inlineStr">
        <is>
          <t>No</t>
        </is>
      </c>
      <c r="AG36" s="28" t="inlineStr">
        <is>
          <t>https://sciences-tech.u-pec.fr/formation/master-optique-image-vision-multimedia-parcours-signaux-et-image-en-medecine-sim</t>
        </is>
      </c>
      <c r="AH36" s="26" t="inlineStr">
        <is>
          <t>C2 ( C1 si anglophone) , Etre titulaire d'un master 1 en Sciences pour l'Ingénieur avec de bons résultats en Mathématiques, Programmation et Data Science. Pré-requis indispensable : avoir reçu un enseignement des fondame</t>
        </is>
      </c>
      <c r="AI36" s="28" t="inlineStr">
        <is>
          <t>Open in EEF</t>
        </is>
      </c>
    </row>
    <row r="37" ht="32.8" customHeight="1" s="19">
      <c r="A37" s="25" t="n">
        <v>36</v>
      </c>
      <c r="B37" s="25" t="inlineStr">
        <is>
          <t>★★★★★</t>
        </is>
      </c>
      <c r="C37" s="25" t="inlineStr">
        <is>
          <t>5 – Core fit (embedded/biomedical/health tech)</t>
        </is>
      </c>
      <c r="D37" s="25" t="inlineStr">
        <is>
          <t>Signal / Image / Vision</t>
        </is>
      </c>
      <c r="E37" s="26" t="inlineStr">
        <is>
          <t>Master Sciences, technologies, santé, Optique, image, vision, mutlimédia parcours M2 Intelligence artificielle, Science des données et systèmes cyber-physiques (IA2S)</t>
        </is>
      </c>
      <c r="F37" s="26" t="inlineStr">
        <is>
          <t>Master Science, Technology, Health (STS), Optics, Image, Vision, Multimedia – track: M2 Artificial Intelligence, Data Science &amp; Systems cyber-physiques (IA2S)</t>
        </is>
      </c>
      <c r="G37" s="25" t="inlineStr">
        <is>
          <t>Master indifférencié (recherche et professionnel)</t>
        </is>
      </c>
      <c r="H37" s="25" t="inlineStr">
        <is>
          <t>UFR des sciences et technologie</t>
        </is>
      </c>
      <c r="I37" s="25" t="inlineStr">
        <is>
          <t>Université Paris-Est Créteil Val-de-Marne</t>
        </is>
      </c>
      <c r="J37" s="25" t="inlineStr">
        <is>
          <t>Site de Créteil</t>
        </is>
      </c>
      <c r="K37" s="25" t="n"/>
      <c r="L37" s="25" t="inlineStr">
        <is>
          <t>Public university</t>
        </is>
      </c>
      <c r="M37" s="25" t="inlineStr">
        <is>
          <t>French</t>
        </is>
      </c>
      <c r="N37" s="25" t="inlineStr">
        <is>
          <t>General</t>
        </is>
      </c>
      <c r="O37" s="25" t="inlineStr">
        <is>
          <t>Bac +4 / Bac +5</t>
        </is>
      </c>
      <c r="P37" s="26" t="inlineStr">
        <is>
          <t>Eligible on level (4-yr BS ≈ Bac+4)</t>
        </is>
      </c>
      <c r="Q37" s="25" t="inlineStr">
        <is>
          <t>1/2</t>
        </is>
      </c>
      <c r="R37" s="25" t="inlineStr">
        <is>
          <t>10</t>
        </is>
      </c>
      <c r="S37" s="27" t="n">
        <v>3950</v>
      </c>
      <c r="T37" s="27" t="n">
        <v>255</v>
      </c>
      <c r="U37" s="25" t="n">
        <v>2</v>
      </c>
      <c r="V37" s="27">
        <f>IF(S37="","",S37*U37)</f>
        <v/>
      </c>
      <c r="W37" s="26" t="inlineStr">
        <is>
          <t>Catalogue: €3,950. = national differentiated master fee (2026-27: €3,950). Exemption to ~€255 possible (university quota).</t>
        </is>
      </c>
      <c r="X37" s="25" t="inlineStr">
        <is>
          <t>High</t>
        </is>
      </c>
      <c r="Y37" s="25" t="inlineStr">
        <is>
          <t>3950</t>
        </is>
      </c>
      <c r="Z37" s="26" t="n"/>
      <c r="AA37" s="26" t="n"/>
      <c r="AB37" s="25" t="n"/>
      <c r="AC37" s="25" t="inlineStr">
        <is>
          <t>Open</t>
        </is>
      </c>
      <c r="AD37" s="25" t="inlineStr">
        <is>
          <t>2026-10-01</t>
        </is>
      </c>
      <c r="AE37" s="25" t="inlineStr">
        <is>
          <t>2027-03-15</t>
        </is>
      </c>
      <c r="AF37" s="25" t="inlineStr">
        <is>
          <t>No</t>
        </is>
      </c>
      <c r="AG37" s="28" t="inlineStr">
        <is>
          <t>https://sciences-tech.u-pec.fr/formation/master-optique-image-vision-multimedia-parcours-intelligence-artificielle-sciences-des-donnees-et-systemes-cyber-physiques-ia2s</t>
        </is>
      </c>
      <c r="AH37" s="26" t="n"/>
      <c r="AI37" s="28" t="inlineStr">
        <is>
          <t>Open in EEF</t>
        </is>
      </c>
    </row>
    <row r="38" ht="32.8" customHeight="1" s="19">
      <c r="A38" s="25" t="n">
        <v>37</v>
      </c>
      <c r="B38" s="25" t="inlineStr">
        <is>
          <t>★★★★★</t>
        </is>
      </c>
      <c r="C38" s="25" t="inlineStr">
        <is>
          <t>5 – Core fit (embedded/biomedical/health tech)</t>
        </is>
      </c>
      <c r="D38" s="25" t="inlineStr">
        <is>
          <t>IoT / Telecom / Networks</t>
        </is>
      </c>
      <c r="E38" s="26" t="inlineStr">
        <is>
          <t>Master Sciences, technologies, santé, Traitement du signal et des images parcours Objets connectés</t>
        </is>
      </c>
      <c r="F38" s="26" t="inlineStr">
        <is>
          <t>Master Science, Technology, Health (STS), Signal &amp; Image Processing – track: Connected Objects (IoT)</t>
        </is>
      </c>
      <c r="G38" s="25" t="inlineStr">
        <is>
          <t>Master indifférencié (recherche et professionnel)</t>
        </is>
      </c>
      <c r="H38" s="25" t="inlineStr">
        <is>
          <t>UFR de sciences fondamentales et appliquées - Université de Poitiers</t>
        </is>
      </c>
      <c r="I38" s="25" t="inlineStr">
        <is>
          <t>Université de Poitiers</t>
        </is>
      </c>
      <c r="J38" s="25" t="inlineStr">
        <is>
          <t>Site de Poitiers</t>
        </is>
      </c>
      <c r="K38" s="25" t="n"/>
      <c r="L38" s="25" t="inlineStr">
        <is>
          <t>Public university</t>
        </is>
      </c>
      <c r="M38" s="25" t="inlineStr">
        <is>
          <t>French</t>
        </is>
      </c>
      <c r="N38" s="25" t="inlineStr">
        <is>
          <t>General</t>
        </is>
      </c>
      <c r="O38" s="25" t="inlineStr">
        <is>
          <t>Bac +4 / Bac +5</t>
        </is>
      </c>
      <c r="P38" s="26" t="inlineStr">
        <is>
          <t>Eligible on level (4-yr BS ≈ Bac+4)</t>
        </is>
      </c>
      <c r="Q38" s="25" t="inlineStr">
        <is>
          <t>1/2</t>
        </is>
      </c>
      <c r="R38" s="25" t="n"/>
      <c r="S38" s="27" t="n">
        <v>3950</v>
      </c>
      <c r="T38" s="27" t="n">
        <v>255</v>
      </c>
      <c r="U38" s="25" t="n">
        <v>2</v>
      </c>
      <c r="V38" s="27">
        <f>IF(S38="","",S38*U38)</f>
        <v/>
      </c>
      <c r="W38" s="26" t="inlineStr">
        <is>
          <t>Catalogue: €3,950. = national differentiated master fee (2026-27: €3,950). Exemption to ~€255 possible (university quota).</t>
        </is>
      </c>
      <c r="X38" s="25" t="inlineStr">
        <is>
          <t>High</t>
        </is>
      </c>
      <c r="Y38" s="25" t="inlineStr">
        <is>
          <t>3950</t>
        </is>
      </c>
      <c r="Z38" s="26" t="n"/>
      <c r="AA38" s="26" t="n"/>
      <c r="AB38" s="25" t="n"/>
      <c r="AC38" s="25" t="inlineStr">
        <is>
          <t>Open</t>
        </is>
      </c>
      <c r="AD38" s="25" t="inlineStr">
        <is>
          <t>2026-10-01</t>
        </is>
      </c>
      <c r="AE38" s="25" t="inlineStr">
        <is>
          <t>2027-03-15</t>
        </is>
      </c>
      <c r="AF38" s="25" t="inlineStr">
        <is>
          <t>No</t>
        </is>
      </c>
      <c r="AG38" s="28" t="inlineStr">
        <is>
          <t>https://sfa.univ-poitiers.fr/formation/offre-de-formation-sciences-technologies-sante/</t>
        </is>
      </c>
      <c r="AH38" s="26" t="inlineStr">
        <is>
          <t>Année 1 L'attention de la commission de recrutement sera portée notamment sur les résultats obtenus sur les matières en lien avec la discipline visée et sur l'aptitude du candidat à exposer ses motivations et son projet</t>
        </is>
      </c>
      <c r="AI38" s="28" t="inlineStr">
        <is>
          <t>Open in EEF</t>
        </is>
      </c>
    </row>
    <row r="39" ht="32.8" customHeight="1" s="19">
      <c r="A39" s="25" t="n">
        <v>38</v>
      </c>
      <c r="B39" s="25" t="inlineStr">
        <is>
          <t>★★★★★</t>
        </is>
      </c>
      <c r="C39" s="25" t="inlineStr">
        <is>
          <t>5 – Core fit (embedded/biomedical/health tech)</t>
        </is>
      </c>
      <c r="D39" s="25" t="inlineStr">
        <is>
          <t>Embedded systems / Electronics</t>
        </is>
      </c>
      <c r="E39" s="26" t="inlineStr">
        <is>
          <t>Master Systèmes intelligents, Mobiles et Embarqués (SIME)</t>
        </is>
      </c>
      <c r="F39" s="26" t="inlineStr">
        <is>
          <t>Master Systems Intelligent, Mobile &amp; Embedded (SIME)</t>
        </is>
      </c>
      <c r="G39" s="25" t="inlineStr">
        <is>
          <t>Master indifférencié (recherche et professionnel)</t>
        </is>
      </c>
      <c r="H39" s="25" t="inlineStr">
        <is>
          <t>UFR Sciences et Techniques</t>
        </is>
      </c>
      <c r="I39" s="25" t="inlineStr">
        <is>
          <t>Université de Rouen</t>
        </is>
      </c>
      <c r="J39" s="25" t="inlineStr">
        <is>
          <t>Saint-Etienne-du-Rouvray</t>
        </is>
      </c>
      <c r="K39" s="25" t="n"/>
      <c r="L39" s="25" t="inlineStr">
        <is>
          <t>Public university</t>
        </is>
      </c>
      <c r="M39" s="25" t="inlineStr">
        <is>
          <t>French</t>
        </is>
      </c>
      <c r="N39" s="25" t="inlineStr">
        <is>
          <t>General</t>
        </is>
      </c>
      <c r="O39" s="25" t="inlineStr">
        <is>
          <t>Bac +4 / Bac +5</t>
        </is>
      </c>
      <c r="P39" s="26" t="inlineStr">
        <is>
          <t>Eligible on level (4-yr BS ≈ Bac+4)</t>
        </is>
      </c>
      <c r="Q39" s="25" t="inlineStr">
        <is>
          <t>1/2</t>
        </is>
      </c>
      <c r="R39" s="25" t="inlineStr">
        <is>
          <t>10</t>
        </is>
      </c>
      <c r="S39" s="27" t="n">
        <v>3950</v>
      </c>
      <c r="T39" s="27" t="n">
        <v>255</v>
      </c>
      <c r="U39" s="25" t="n">
        <v>2</v>
      </c>
      <c r="V39" s="27">
        <f>IF(S39="","",S39*U39)</f>
        <v/>
      </c>
      <c r="W39" s="26" t="inlineStr">
        <is>
          <t>Catalogue: €3,950. = national differentiated master fee (2026-27: €3,950). Exemption to ~€255 possible (university quota).</t>
        </is>
      </c>
      <c r="X39" s="25" t="inlineStr">
        <is>
          <t>High</t>
        </is>
      </c>
      <c r="Y39" s="25" t="inlineStr">
        <is>
          <t>3950</t>
        </is>
      </c>
      <c r="Z39" s="26" t="n"/>
      <c r="AA39" s="26" t="inlineStr">
        <is>
          <t>Rouen: individual exemptions up to 30% quota, priority to social/economic hardship.</t>
        </is>
      </c>
      <c r="AB39" s="28" t="inlineStr">
        <is>
          <t>https://www.univ-rouen.fr/actualites/application-des-droits-dinscription-differencies-a-luniversite-de-rouen-normandie-a-compter-de-la-rentree-universitaire-2026-2027/</t>
        </is>
      </c>
      <c r="AC39" s="25" t="inlineStr">
        <is>
          <t>Open</t>
        </is>
      </c>
      <c r="AD39" s="25" t="inlineStr">
        <is>
          <t>2026-10-01</t>
        </is>
      </c>
      <c r="AE39" s="25" t="inlineStr">
        <is>
          <t>2027-03-15</t>
        </is>
      </c>
      <c r="AF39" s="25" t="inlineStr">
        <is>
          <t>No</t>
        </is>
      </c>
      <c r="AG39" s="28" t="inlineStr">
        <is>
          <t>http://sciences-techniques.univ-rouen.fr/</t>
        </is>
      </c>
      <c r="AH39" s="26" t="inlineStr">
        <is>
          <t>Master mention Science des Données sur 2 ans constitué de deux parcours au choix à partir de la 1ère année : - Apprentissage Automatique pour l'Intelligence Artificielle (A2IA) - Systèmes Intelligents Mobiles et Embarqué</t>
        </is>
      </c>
      <c r="AI39" s="28" t="inlineStr">
        <is>
          <t>Open in EEF</t>
        </is>
      </c>
    </row>
    <row r="40" ht="32.8" customHeight="1" s="19">
      <c r="A40" s="25" t="n">
        <v>39</v>
      </c>
      <c r="B40" s="25" t="inlineStr">
        <is>
          <t>★★★★★</t>
        </is>
      </c>
      <c r="C40" s="25" t="inlineStr">
        <is>
          <t>5 – Core fit (embedded/biomedical/health tech)</t>
        </is>
      </c>
      <c r="D40" s="25" t="inlineStr">
        <is>
          <t>Biomedical / Health tech</t>
        </is>
      </c>
      <c r="E40" s="26" t="inlineStr">
        <is>
          <t>Master BioMedical Engineering</t>
        </is>
      </c>
      <c r="F40" s="26" t="inlineStr">
        <is>
          <t>Master BioMedical Engineering</t>
        </is>
      </c>
      <c r="G40" s="25" t="inlineStr">
        <is>
          <t>Master indifférencié (recherche et professionnel)</t>
        </is>
      </c>
      <c r="H40" s="25" t="inlineStr">
        <is>
          <t>UFR des Sciences pharmaceutiques et biologiques</t>
        </is>
      </c>
      <c r="I40" s="25" t="inlineStr">
        <is>
          <t>Université de Montpellier</t>
        </is>
      </c>
      <c r="J40" s="25" t="inlineStr">
        <is>
          <t>Site de Montpellier</t>
        </is>
      </c>
      <c r="K40" s="25" t="inlineStr">
        <is>
          <t>34090 Montpellier</t>
        </is>
      </c>
      <c r="L40" s="25" t="inlineStr">
        <is>
          <t>Public university</t>
        </is>
      </c>
      <c r="M40" s="25" t="inlineStr">
        <is>
          <t>French</t>
        </is>
      </c>
      <c r="N40" s="25" t="inlineStr">
        <is>
          <t>General</t>
        </is>
      </c>
      <c r="O40" s="25" t="inlineStr">
        <is>
          <t>Bac +4</t>
        </is>
      </c>
      <c r="P40" s="26" t="inlineStr">
        <is>
          <t>Eligible on level (4-yr BS ≈ Bac+4)</t>
        </is>
      </c>
      <c r="Q40" s="25" t="inlineStr">
        <is>
          <t>1</t>
        </is>
      </c>
      <c r="R40" s="25" t="inlineStr">
        <is>
          <t>12</t>
        </is>
      </c>
      <c r="S40" s="27" t="n">
        <v>3950</v>
      </c>
      <c r="T40" s="27" t="n">
        <v>255</v>
      </c>
      <c r="U40" s="25" t="n">
        <v>2</v>
      </c>
      <c r="V40" s="27">
        <f>IF(S40="","",S40*U40)</f>
        <v/>
      </c>
      <c r="W40" s="26" t="inlineStr">
        <is>
          <t>Not in catalogue. Public national master → 2026-27 differentiated fee €3,950; exemption to ~€254-255 depends on university quota (25% cap in 2027-28).</t>
        </is>
      </c>
      <c r="X40" s="25" t="inlineStr">
        <is>
          <t>Medium</t>
        </is>
      </c>
      <c r="Y40" s="25" t="n"/>
      <c r="Z40" s="26" t="n"/>
      <c r="AA40" s="26" t="inlineStr">
        <is>
          <t>Montpellier 2026-27: new non-EU entrants pay the differentiated fee unless individual exemption (limited).</t>
        </is>
      </c>
      <c r="AB40" s="28" t="inlineStr">
        <is>
          <t>https://www.umontpellier.fr/en/international/etudier-a-letranger/etudiants-internationaux-annee-universitaire-2026-2027/</t>
        </is>
      </c>
      <c r="AC40" s="25" t="inlineStr">
        <is>
          <t>Open</t>
        </is>
      </c>
      <c r="AD40" s="25" t="inlineStr">
        <is>
          <t>2026-10-01</t>
        </is>
      </c>
      <c r="AE40" s="25" t="inlineStr">
        <is>
          <t>2027-03-15</t>
        </is>
      </c>
      <c r="AF40" s="25" t="inlineStr">
        <is>
          <t>No</t>
        </is>
      </c>
      <c r="AG40" s="28" t="inlineStr">
        <is>
          <t>https://idil.edu.umontpellier.fr/master-idil/les-parcours/</t>
        </is>
      </c>
      <c r="AH40" s="26" t="inlineStr">
        <is>
          <t>Conditions d’accès Diplôme de licence dans la discipline choisie IDIL Niveau d’anglais B2 minimum CV et lettre de motivation 2 lettres de soutien d’un chercheur et/ou professeur (recommandé, mais non obligatoire) Estimat</t>
        </is>
      </c>
      <c r="AI40" s="28" t="inlineStr">
        <is>
          <t>Open in EEF</t>
        </is>
      </c>
    </row>
    <row r="41" ht="43.25" customHeight="1" s="19">
      <c r="A41" s="25" t="n">
        <v>40</v>
      </c>
      <c r="B41" s="25" t="inlineStr">
        <is>
          <t>★★★★★</t>
        </is>
      </c>
      <c r="C41" s="25" t="inlineStr">
        <is>
          <t>5 – Core fit (embedded/biomedical/health tech)</t>
        </is>
      </c>
      <c r="D41" s="25" t="inlineStr">
        <is>
          <t>Biomedical / Health tech</t>
        </is>
      </c>
      <c r="E41" s="26" t="inlineStr">
        <is>
          <t>Master indifférencié (recherche et professionnel) Sciences et technologies mention STAPS: ingénierie et ergonomie de l'activité physique parcours Bio-ingénierie des tissus et des implants (BTI)</t>
        </is>
      </c>
      <c r="F41" s="26" t="inlineStr">
        <is>
          <t>Science &amp; Technology – major: STAPS: Engineering &amp; Ergonomics of l'activité Physics – track: Bioengineering of Tissues &amp; of Implants (BTI)</t>
        </is>
      </c>
      <c r="G41" s="25" t="inlineStr">
        <is>
          <t>Master indifférencié (recherche et professionnel)</t>
        </is>
      </c>
      <c r="H41" s="25" t="inlineStr">
        <is>
          <t>Faculté des sciences du sport</t>
        </is>
      </c>
      <c r="I41" s="25" t="inlineStr">
        <is>
          <t>Université d'Aix-Marseille</t>
        </is>
      </c>
      <c r="J41" s="25" t="inlineStr">
        <is>
          <t>Site de Marseille</t>
        </is>
      </c>
      <c r="K41" s="25" t="n"/>
      <c r="L41" s="25" t="inlineStr">
        <is>
          <t>Public university</t>
        </is>
      </c>
      <c r="M41" s="25" t="inlineStr">
        <is>
          <t>French</t>
        </is>
      </c>
      <c r="N41" s="25" t="inlineStr">
        <is>
          <t>General</t>
        </is>
      </c>
      <c r="O41" s="25" t="inlineStr">
        <is>
          <t>Bac +4</t>
        </is>
      </c>
      <c r="P41" s="26" t="inlineStr">
        <is>
          <t>Eligible on level (4-yr BS ≈ Bac+4)</t>
        </is>
      </c>
      <c r="Q41" s="25" t="inlineStr">
        <is>
          <t>1</t>
        </is>
      </c>
      <c r="R41" s="25" t="inlineStr">
        <is>
          <t>12</t>
        </is>
      </c>
      <c r="S41" s="27" t="n">
        <v>3950</v>
      </c>
      <c r="T41" s="27" t="n">
        <v>255</v>
      </c>
      <c r="U41" s="25" t="n">
        <v>2</v>
      </c>
      <c r="V41" s="27">
        <f>IF(S41="","",S41*U41)</f>
        <v/>
      </c>
      <c r="W41" s="26" t="inlineStr">
        <is>
          <t>Not in catalogue. Public national master → 2026-27 differentiated fee €3,950; exemption to ~€254-255 depends on university quota (25% cap in 2027-28).</t>
        </is>
      </c>
      <c r="X41" s="25" t="inlineStr">
        <is>
          <t>Medium</t>
        </is>
      </c>
      <c r="Y41" s="25" t="n"/>
      <c r="Z41" s="26" t="n"/>
      <c r="AA41" s="26" t="inlineStr">
        <is>
          <t>AMU 2026-27: limited exemptions (≈1,800 of 5,500 students) – priority to continuing students, conflict zones, excellence scholarships. New master entrants usually pay €3,950.</t>
        </is>
      </c>
      <c r="AB41" s="28" t="inlineStr">
        <is>
          <t>https://www.univ-amu.fr/fr/actualites/aix-marseille-universite-mobilise-pleinement-capacite-dexoneration-continuer-accueillir</t>
        </is>
      </c>
      <c r="AC41" s="25" t="inlineStr">
        <is>
          <t>Open</t>
        </is>
      </c>
      <c r="AD41" s="25" t="inlineStr">
        <is>
          <t>2026-10-01</t>
        </is>
      </c>
      <c r="AE41" s="25" t="inlineStr">
        <is>
          <t>2027-03-15</t>
        </is>
      </c>
      <c r="AF41" s="25" t="inlineStr">
        <is>
          <t>No</t>
        </is>
      </c>
      <c r="AG41" s="28" t="inlineStr">
        <is>
          <t>http://fss.univ-amu.fr/</t>
        </is>
      </c>
      <c r="AH41" s="26" t="inlineStr">
        <is>
          <t>Niveau en langues : Niveau B2 en Français pour les non francophones. Niveau B2 en anglais pour les non anglophones Compétences académiques : Mathématiques, Mécanique, Physique pour les étudiants issus d’un cursus Science</t>
        </is>
      </c>
      <c r="AI41" s="28" t="inlineStr">
        <is>
          <t>Open in EEF</t>
        </is>
      </c>
    </row>
    <row r="42" ht="32.8" customHeight="1" s="19">
      <c r="A42" s="25" t="n">
        <v>41</v>
      </c>
      <c r="B42" s="25" t="inlineStr">
        <is>
          <t>★★★★★</t>
        </is>
      </c>
      <c r="C42" s="25" t="inlineStr">
        <is>
          <t>5 – Core fit (embedded/biomedical/health tech)</t>
        </is>
      </c>
      <c r="D42" s="25" t="inlineStr">
        <is>
          <t>Biomedical / Health tech</t>
        </is>
      </c>
      <c r="E42" s="26" t="inlineStr">
        <is>
          <t>Master indifférencié (recherche et professionnel) Sciences, technologies, santé mention Biotechnologies parcours Bioingénierie, Recherche et Application Biomédicale</t>
        </is>
      </c>
      <c r="F42" s="26" t="inlineStr">
        <is>
          <t>Science, Technology, Health (STS) – major: Biotechnologies – track: Bioengineering, Research &amp; Application Biomedical</t>
        </is>
      </c>
      <c r="G42" s="25" t="inlineStr">
        <is>
          <t>Master indifférencié (recherche et professionnel)</t>
        </is>
      </c>
      <c r="H42" s="25" t="inlineStr">
        <is>
          <t>Faculté des Sciences et d'Ingénierie</t>
        </is>
      </c>
      <c r="I42" s="25" t="inlineStr">
        <is>
          <t>Université de Toulouse</t>
        </is>
      </c>
      <c r="J42" s="25" t="inlineStr">
        <is>
          <t>Site de Toulouse</t>
        </is>
      </c>
      <c r="K42" s="25" t="n"/>
      <c r="L42" s="25" t="inlineStr">
        <is>
          <t>Public university</t>
        </is>
      </c>
      <c r="M42" s="25" t="inlineStr">
        <is>
          <t>French</t>
        </is>
      </c>
      <c r="N42" s="25" t="inlineStr">
        <is>
          <t>General</t>
        </is>
      </c>
      <c r="O42" s="25" t="inlineStr">
        <is>
          <t>Bac +4 / Bac +5</t>
        </is>
      </c>
      <c r="P42" s="26" t="inlineStr">
        <is>
          <t>Eligible on level (4-yr BS ≈ Bac+4)</t>
        </is>
      </c>
      <c r="Q42" s="25" t="inlineStr">
        <is>
          <t>1/2</t>
        </is>
      </c>
      <c r="R42" s="25" t="n"/>
      <c r="S42" s="27" t="n">
        <v>3950</v>
      </c>
      <c r="T42" s="27" t="n">
        <v>255</v>
      </c>
      <c r="U42" s="25" t="n">
        <v>2</v>
      </c>
      <c r="V42" s="27">
        <f>IF(S42="","",S42*U42)</f>
        <v/>
      </c>
      <c r="W42" s="26" t="inlineStr">
        <is>
          <t>Not in catalogue. Public national master → 2026-27 differentiated fee €3,950; exemption to ~€254-255 depends on university quota (25% cap in 2027-28).</t>
        </is>
      </c>
      <c r="X42" s="25" t="inlineStr">
        <is>
          <t>Medium</t>
        </is>
      </c>
      <c r="Y42" s="25" t="n"/>
      <c r="Z42" s="26" t="n"/>
      <c r="AA42" s="26" t="inlineStr">
        <is>
          <t>Board decision (Feb 2026, pre-decree): partial exemption for ALL non-EU students subject to differentiated fees, until end of cycle. Re-check for 2027-28.</t>
        </is>
      </c>
      <c r="AB42" s="28" t="inlineStr">
        <is>
          <t>https://www.utoulouse.fr/medias/fichier/2026-02-ca-075_1774430647495-pdf</t>
        </is>
      </c>
      <c r="AC42" s="25" t="inlineStr">
        <is>
          <t>Open</t>
        </is>
      </c>
      <c r="AD42" s="25" t="inlineStr">
        <is>
          <t>2026-10-01</t>
        </is>
      </c>
      <c r="AE42" s="25" t="inlineStr">
        <is>
          <t>2027-03-15</t>
        </is>
      </c>
      <c r="AF42" s="25" t="inlineStr">
        <is>
          <t>No</t>
        </is>
      </c>
      <c r="AG42" s="28" t="inlineStr">
        <is>
          <t>http://www.univ-tlse3.fr/</t>
        </is>
      </c>
      <c r="AH42" s="26" t="inlineStr">
        <is>
          <t>https://www.univ-tlse3.fr/master-parcours-bio-ingenierie-recherche-et-application-biomedicale-birab Si vous ne maîtrisez pas encore le français au niveau exigé pour intégrer une formation en France, le DU FUSEE (Diplôme</t>
        </is>
      </c>
      <c r="AI42" s="28" t="inlineStr">
        <is>
          <t>Open in EEF</t>
        </is>
      </c>
    </row>
    <row r="43" ht="32.8" customHeight="1" s="19">
      <c r="A43" s="25" t="n">
        <v>42</v>
      </c>
      <c r="B43" s="25" t="inlineStr">
        <is>
          <t>★★★★★</t>
        </is>
      </c>
      <c r="C43" s="25" t="inlineStr">
        <is>
          <t>5 – Core fit (embedded/biomedical/health tech)</t>
        </is>
      </c>
      <c r="D43" s="25" t="inlineStr">
        <is>
          <t>Embedded systems / Electronics</t>
        </is>
      </c>
      <c r="E43" s="26" t="inlineStr">
        <is>
          <t>Master indifférencié (recherche et professionnel) Sciences, technologies, santé mention Electronique, Energie électrique, Automatique parcours Capteurs Electronique et Objets Connectés - CEO</t>
        </is>
      </c>
      <c r="F43" s="26" t="inlineStr">
        <is>
          <t>Science, Technology, Health (STS) – major: Electronics, Electrical Energy &amp; Automation (EEA) – track: Sensors Electronics &amp; Connected Objects (IoT) - CEO</t>
        </is>
      </c>
      <c r="G43" s="25" t="inlineStr">
        <is>
          <t>Master indifférencié (recherche et professionnel)</t>
        </is>
      </c>
      <c r="H43" s="25" t="inlineStr">
        <is>
          <t>UFR des Sciences de Montpellier</t>
        </is>
      </c>
      <c r="I43" s="25" t="inlineStr">
        <is>
          <t>Université de Montpellier</t>
        </is>
      </c>
      <c r="J43" s="25" t="inlineStr">
        <is>
          <t>Site de Montpellier</t>
        </is>
      </c>
      <c r="K43" s="25" t="n"/>
      <c r="L43" s="25" t="inlineStr">
        <is>
          <t>Public university</t>
        </is>
      </c>
      <c r="M43" s="25" t="inlineStr">
        <is>
          <t>French</t>
        </is>
      </c>
      <c r="N43" s="25" t="inlineStr">
        <is>
          <t>General</t>
        </is>
      </c>
      <c r="O43" s="25" t="inlineStr">
        <is>
          <t>Bac +4 / Bac +5</t>
        </is>
      </c>
      <c r="P43" s="26" t="inlineStr">
        <is>
          <t>Eligible on level (4-yr BS ≈ Bac+4)</t>
        </is>
      </c>
      <c r="Q43" s="25" t="inlineStr">
        <is>
          <t>1/2</t>
        </is>
      </c>
      <c r="R43" s="25" t="n"/>
      <c r="S43" s="27" t="n">
        <v>3950</v>
      </c>
      <c r="T43" s="27" t="n">
        <v>255</v>
      </c>
      <c r="U43" s="25" t="n">
        <v>2</v>
      </c>
      <c r="V43" s="27">
        <f>IF(S43="","",S43*U43)</f>
        <v/>
      </c>
      <c r="W43" s="26" t="inlineStr">
        <is>
          <t>Not in catalogue. Public national master → 2026-27 differentiated fee €3,950; exemption to ~€254-255 depends on university quota (25% cap in 2027-28).</t>
        </is>
      </c>
      <c r="X43" s="25" t="inlineStr">
        <is>
          <t>Medium</t>
        </is>
      </c>
      <c r="Y43" s="25" t="n"/>
      <c r="Z43" s="26" t="n"/>
      <c r="AA43" s="26" t="inlineStr">
        <is>
          <t>Montpellier 2026-27: new non-EU entrants pay the differentiated fee unless individual exemption (limited).</t>
        </is>
      </c>
      <c r="AB43" s="28" t="inlineStr">
        <is>
          <t>https://www.umontpellier.fr/en/international/etudier-a-letranger/etudiants-internationaux-annee-universitaire-2026-2027/</t>
        </is>
      </c>
      <c r="AC43" s="25" t="inlineStr">
        <is>
          <t>Open</t>
        </is>
      </c>
      <c r="AD43" s="25" t="inlineStr">
        <is>
          <t>2026-10-01</t>
        </is>
      </c>
      <c r="AE43" s="25" t="inlineStr">
        <is>
          <t>2027-03-15</t>
        </is>
      </c>
      <c r="AF43" s="25" t="inlineStr">
        <is>
          <t>No</t>
        </is>
      </c>
      <c r="AG43" s="28" t="inlineStr">
        <is>
          <t>http://sciences.edu.umontpellier.fr/</t>
        </is>
      </c>
      <c r="AH43" s="26" t="inlineStr">
        <is>
          <t>Niveau de Français B2 au minimum, exigé. 12/20 min les années précédentes</t>
        </is>
      </c>
      <c r="AI43" s="28" t="inlineStr">
        <is>
          <t>Open in EEF</t>
        </is>
      </c>
    </row>
    <row r="44" ht="32.8" customHeight="1" s="19">
      <c r="A44" s="25" t="n">
        <v>43</v>
      </c>
      <c r="B44" s="25" t="inlineStr">
        <is>
          <t>★★★★★</t>
        </is>
      </c>
      <c r="C44" s="25" t="inlineStr">
        <is>
          <t>5 – Core fit (embedded/biomedical/health tech)</t>
        </is>
      </c>
      <c r="D44" s="25" t="inlineStr">
        <is>
          <t>Embedded systems / Electronics</t>
        </is>
      </c>
      <c r="E44" s="26" t="inlineStr">
        <is>
          <t>Master indifférencié (recherche et professionnel) Sciences, technologies, santé mention Electronique, Energie électrique, Automatique parcours Systèmes Électroniques Intégrés et Embarqués - SEIE</t>
        </is>
      </c>
      <c r="F44" s="26" t="inlineStr">
        <is>
          <t>Science, Technology, Health (STS) – major: Electronics, Electrical Energy &amp; Automation (EEA) – track: Systems Electronic Integrated &amp; Embedded - SEIE</t>
        </is>
      </c>
      <c r="G44" s="25" t="inlineStr">
        <is>
          <t>Master indifférencié (recherche et professionnel)</t>
        </is>
      </c>
      <c r="H44" s="25" t="inlineStr">
        <is>
          <t>UFR des Sciences de Montpellier</t>
        </is>
      </c>
      <c r="I44" s="25" t="inlineStr">
        <is>
          <t>Université de Montpellier</t>
        </is>
      </c>
      <c r="J44" s="25" t="inlineStr">
        <is>
          <t>Site de Montpellier</t>
        </is>
      </c>
      <c r="K44" s="25" t="n"/>
      <c r="L44" s="25" t="inlineStr">
        <is>
          <t>Public university</t>
        </is>
      </c>
      <c r="M44" s="25" t="inlineStr">
        <is>
          <t>French</t>
        </is>
      </c>
      <c r="N44" s="25" t="inlineStr">
        <is>
          <t>General</t>
        </is>
      </c>
      <c r="O44" s="25" t="inlineStr">
        <is>
          <t>Bac +4 / Bac +5</t>
        </is>
      </c>
      <c r="P44" s="26" t="inlineStr">
        <is>
          <t>Eligible on level (4-yr BS ≈ Bac+4)</t>
        </is>
      </c>
      <c r="Q44" s="25" t="inlineStr">
        <is>
          <t>1/2</t>
        </is>
      </c>
      <c r="R44" s="25" t="n"/>
      <c r="S44" s="27" t="n">
        <v>3950</v>
      </c>
      <c r="T44" s="27" t="n">
        <v>255</v>
      </c>
      <c r="U44" s="25" t="n">
        <v>2</v>
      </c>
      <c r="V44" s="27">
        <f>IF(S44="","",S44*U44)</f>
        <v/>
      </c>
      <c r="W44" s="26" t="inlineStr">
        <is>
          <t>Not in catalogue. Public national master → 2026-27 differentiated fee €3,950; exemption to ~€254-255 depends on university quota (25% cap in 2027-28).</t>
        </is>
      </c>
      <c r="X44" s="25" t="inlineStr">
        <is>
          <t>Medium</t>
        </is>
      </c>
      <c r="Y44" s="25" t="n"/>
      <c r="Z44" s="26" t="n"/>
      <c r="AA44" s="26" t="inlineStr">
        <is>
          <t>Montpellier 2026-27: new non-EU entrants pay the differentiated fee unless individual exemption (limited).</t>
        </is>
      </c>
      <c r="AB44" s="28" t="inlineStr">
        <is>
          <t>https://www.umontpellier.fr/en/international/etudier-a-letranger/etudiants-internationaux-annee-universitaire-2026-2027/</t>
        </is>
      </c>
      <c r="AC44" s="25" t="inlineStr">
        <is>
          <t>Open</t>
        </is>
      </c>
      <c r="AD44" s="25" t="inlineStr">
        <is>
          <t>2026-10-01</t>
        </is>
      </c>
      <c r="AE44" s="25" t="inlineStr">
        <is>
          <t>2027-03-15</t>
        </is>
      </c>
      <c r="AF44" s="25" t="inlineStr">
        <is>
          <t>No</t>
        </is>
      </c>
      <c r="AG44" s="28" t="inlineStr">
        <is>
          <t>http://sciences.edu.umontpellier.fr/</t>
        </is>
      </c>
      <c r="AH44" s="26" t="inlineStr">
        <is>
          <t>Niveau de Français B2 au minimum, exigé. 12/20 min les années précédentes</t>
        </is>
      </c>
      <c r="AI44" s="28" t="inlineStr">
        <is>
          <t>Open in EEF</t>
        </is>
      </c>
    </row>
    <row r="45" ht="32.8" customHeight="1" s="19">
      <c r="A45" s="25" t="n">
        <v>44</v>
      </c>
      <c r="B45" s="25" t="inlineStr">
        <is>
          <t>★★★★★</t>
        </is>
      </c>
      <c r="C45" s="25" t="inlineStr">
        <is>
          <t>5 – Core fit (embedded/biomedical/health tech)</t>
        </is>
      </c>
      <c r="D45" s="25" t="inlineStr">
        <is>
          <t>Embedded systems / Electronics</t>
        </is>
      </c>
      <c r="E45" s="26" t="inlineStr">
        <is>
          <t>Master indifférencié (recherche et professionnel) Sciences, technologies, santé mention Electronique, Energie électrique et Automatique parcours Electronique des systèmes embarqués et télécommunications</t>
        </is>
      </c>
      <c r="F45" s="26" t="inlineStr">
        <is>
          <t>Science, Technology, Health (STS) – major: Electronics, Electrical Energy &amp; Automation (EEA) – track: Electronics of Embedded Systems &amp; Telecommunications</t>
        </is>
      </c>
      <c r="G45" s="25" t="inlineStr">
        <is>
          <t>Master indifférencié (recherche et professionnel)</t>
        </is>
      </c>
      <c r="H45" s="25" t="inlineStr">
        <is>
          <t>Faculté des Sciences et d'Ingénierie</t>
        </is>
      </c>
      <c r="I45" s="25" t="inlineStr">
        <is>
          <t>Université de Toulouse</t>
        </is>
      </c>
      <c r="J45" s="25" t="inlineStr">
        <is>
          <t>Site de Toulouse</t>
        </is>
      </c>
      <c r="K45" s="25" t="n"/>
      <c r="L45" s="25" t="inlineStr">
        <is>
          <t>Public university</t>
        </is>
      </c>
      <c r="M45" s="25" t="inlineStr">
        <is>
          <t>French</t>
        </is>
      </c>
      <c r="N45" s="25" t="inlineStr">
        <is>
          <t>General</t>
        </is>
      </c>
      <c r="O45" s="25" t="inlineStr">
        <is>
          <t>Bac +4 / Bac +5</t>
        </is>
      </c>
      <c r="P45" s="26" t="inlineStr">
        <is>
          <t>Eligible on level (4-yr BS ≈ Bac+4)</t>
        </is>
      </c>
      <c r="Q45" s="25" t="inlineStr">
        <is>
          <t>1/2</t>
        </is>
      </c>
      <c r="R45" s="25" t="n"/>
      <c r="S45" s="27" t="n">
        <v>3950</v>
      </c>
      <c r="T45" s="27" t="n">
        <v>255</v>
      </c>
      <c r="U45" s="25" t="n">
        <v>2</v>
      </c>
      <c r="V45" s="27">
        <f>IF(S45="","",S45*U45)</f>
        <v/>
      </c>
      <c r="W45" s="26" t="inlineStr">
        <is>
          <t>Not in catalogue. Public national master → 2026-27 differentiated fee €3,950; exemption to ~€254-255 depends on university quota (25% cap in 2027-28).</t>
        </is>
      </c>
      <c r="X45" s="25" t="inlineStr">
        <is>
          <t>Medium</t>
        </is>
      </c>
      <c r="Y45" s="25" t="n"/>
      <c r="Z45" s="26" t="n"/>
      <c r="AA45" s="26" t="inlineStr">
        <is>
          <t>Board decision (Feb 2026, pre-decree): partial exemption for ALL non-EU students subject to differentiated fees, until end of cycle. Re-check for 2027-28.</t>
        </is>
      </c>
      <c r="AB45" s="28" t="inlineStr">
        <is>
          <t>https://www.utoulouse.fr/medias/fichier/2026-02-ca-075_1774430647495-pdf</t>
        </is>
      </c>
      <c r="AC45" s="25" t="inlineStr">
        <is>
          <t>Open</t>
        </is>
      </c>
      <c r="AD45" s="25" t="inlineStr">
        <is>
          <t>2026-10-01</t>
        </is>
      </c>
      <c r="AE45" s="25" t="inlineStr">
        <is>
          <t>2027-03-15</t>
        </is>
      </c>
      <c r="AF45" s="25" t="inlineStr">
        <is>
          <t>No</t>
        </is>
      </c>
      <c r="AG45" s="28" t="inlineStr">
        <is>
          <t>http://www.univ-tlse3.fr/</t>
        </is>
      </c>
      <c r="AH45" s="26" t="inlineStr">
        <is>
          <t>https://www.utoulouse.fr/decouvrir-nos-diplomes/les-mentions-de-masters Si vous ne maîtrisez pas encore le français au niveau exigé pour intégrer une formation en France, le DU FUSEE (Diplôme Universitaire de Français po</t>
        </is>
      </c>
      <c r="AI45" s="28" t="inlineStr">
        <is>
          <t>Open in EEF</t>
        </is>
      </c>
    </row>
    <row r="46" ht="32.8" customHeight="1" s="19">
      <c r="A46" s="25" t="n">
        <v>45</v>
      </c>
      <c r="B46" s="25" t="inlineStr">
        <is>
          <t>★★★★★</t>
        </is>
      </c>
      <c r="C46" s="25" t="inlineStr">
        <is>
          <t>5 – Core fit (embedded/biomedical/health tech)</t>
        </is>
      </c>
      <c r="D46" s="25" t="inlineStr">
        <is>
          <t>Embedded systems / Electronics</t>
        </is>
      </c>
      <c r="E46" s="26" t="inlineStr">
        <is>
          <t>Master indifférencié (recherche et professionnel) Sciences, technologies, santé mention Electronique, Energie électrique et Automatique parcours Systèmes et Microsystèmes Embarqués</t>
        </is>
      </c>
      <c r="F46" s="26" t="inlineStr">
        <is>
          <t>Science, Technology, Health (STS) – major: Electronics, Electrical Energy &amp; Automation (EEA) – track: Systems &amp; MicroEmbedded Systems</t>
        </is>
      </c>
      <c r="G46" s="25" t="inlineStr">
        <is>
          <t>Master indifférencié (recherche et professionnel)</t>
        </is>
      </c>
      <c r="H46" s="25" t="inlineStr">
        <is>
          <t>Faculté des Sciences et d'Ingénierie</t>
        </is>
      </c>
      <c r="I46" s="25" t="inlineStr">
        <is>
          <t>Université de Toulouse</t>
        </is>
      </c>
      <c r="J46" s="25" t="inlineStr">
        <is>
          <t>Site de Toulouse</t>
        </is>
      </c>
      <c r="K46" s="25" t="n"/>
      <c r="L46" s="25" t="inlineStr">
        <is>
          <t>Public university</t>
        </is>
      </c>
      <c r="M46" s="25" t="inlineStr">
        <is>
          <t>French</t>
        </is>
      </c>
      <c r="N46" s="25" t="inlineStr">
        <is>
          <t>General</t>
        </is>
      </c>
      <c r="O46" s="25" t="inlineStr">
        <is>
          <t>Bac +4 / Bac +5</t>
        </is>
      </c>
      <c r="P46" s="26" t="inlineStr">
        <is>
          <t>Eligible on level (4-yr BS ≈ Bac+4)</t>
        </is>
      </c>
      <c r="Q46" s="25" t="inlineStr">
        <is>
          <t>1/2</t>
        </is>
      </c>
      <c r="R46" s="25" t="n"/>
      <c r="S46" s="27" t="n">
        <v>3950</v>
      </c>
      <c r="T46" s="27" t="n">
        <v>255</v>
      </c>
      <c r="U46" s="25" t="n">
        <v>2</v>
      </c>
      <c r="V46" s="27">
        <f>IF(S46="","",S46*U46)</f>
        <v/>
      </c>
      <c r="W46" s="26" t="inlineStr">
        <is>
          <t>Not in catalogue. Public national master → 2026-27 differentiated fee €3,950; exemption to ~€254-255 depends on university quota (25% cap in 2027-28).</t>
        </is>
      </c>
      <c r="X46" s="25" t="inlineStr">
        <is>
          <t>Medium</t>
        </is>
      </c>
      <c r="Y46" s="25" t="n"/>
      <c r="Z46" s="26" t="n"/>
      <c r="AA46" s="26" t="inlineStr">
        <is>
          <t>Board decision (Feb 2026, pre-decree): partial exemption for ALL non-EU students subject to differentiated fees, until end of cycle. Re-check for 2027-28.</t>
        </is>
      </c>
      <c r="AB46" s="28" t="inlineStr">
        <is>
          <t>https://www.utoulouse.fr/medias/fichier/2026-02-ca-075_1774430647495-pdf</t>
        </is>
      </c>
      <c r="AC46" s="25" t="inlineStr">
        <is>
          <t>Open</t>
        </is>
      </c>
      <c r="AD46" s="25" t="inlineStr">
        <is>
          <t>2026-10-01</t>
        </is>
      </c>
      <c r="AE46" s="25" t="inlineStr">
        <is>
          <t>2027-03-15</t>
        </is>
      </c>
      <c r="AF46" s="25" t="inlineStr">
        <is>
          <t>No</t>
        </is>
      </c>
      <c r="AG46" s="28" t="inlineStr">
        <is>
          <t>http://www.univ-tlse3.fr/</t>
        </is>
      </c>
      <c r="AH46" s="26" t="inlineStr">
        <is>
          <t>https://www.utoulouse.fr/decouvrir-nos-diplomes/les-mentions-de-masters Si vous ne maîtrisez pas encore le français au niveau exigé pour intégrer une formation en France, le DU FUSEE (Diplôme Universitaire de Français po</t>
        </is>
      </c>
      <c r="AI46" s="28" t="inlineStr">
        <is>
          <t>Open in EEF</t>
        </is>
      </c>
    </row>
    <row r="47" ht="43.25" customHeight="1" s="19">
      <c r="A47" s="25" t="n">
        <v>46</v>
      </c>
      <c r="B47" s="25" t="inlineStr">
        <is>
          <t>★★★★★</t>
        </is>
      </c>
      <c r="C47" s="25" t="inlineStr">
        <is>
          <t>5 – Core fit (embedded/biomedical/health tech)</t>
        </is>
      </c>
      <c r="D47" s="25" t="inlineStr">
        <is>
          <t>Cybersecurity</t>
        </is>
      </c>
      <c r="E47" s="26" t="inlineStr">
        <is>
          <t>Master indifférencié (recherche et professionnel) Sciences, technologies, santé mention informatique parcours Cybersécurité et e-santé</t>
        </is>
      </c>
      <c r="F47" s="26" t="inlineStr">
        <is>
          <t>Science, Technology, Health (STS) – major: Computer Science – track: Cybersecurity &amp; e-santé</t>
        </is>
      </c>
      <c r="G47" s="25" t="inlineStr">
        <is>
          <t>Master indifférencié (recherche et professionnel)</t>
        </is>
      </c>
      <c r="H47" s="25" t="inlineStr">
        <is>
          <t>UFR des Sciences Fondamentales et Biomédicales</t>
        </is>
      </c>
      <c r="I47" s="25" t="inlineStr">
        <is>
          <t>Université Paris Cité</t>
        </is>
      </c>
      <c r="J47" s="25" t="inlineStr">
        <is>
          <t>Site de Paris</t>
        </is>
      </c>
      <c r="K47" s="25" t="inlineStr">
        <is>
          <t>75006 Paris</t>
        </is>
      </c>
      <c r="L47" s="25" t="inlineStr">
        <is>
          <t>Public university</t>
        </is>
      </c>
      <c r="M47" s="25" t="inlineStr">
        <is>
          <t>French</t>
        </is>
      </c>
      <c r="N47" s="25" t="inlineStr">
        <is>
          <t>General</t>
        </is>
      </c>
      <c r="O47" s="25" t="inlineStr">
        <is>
          <t>Bac +4 / Bac +5</t>
        </is>
      </c>
      <c r="P47" s="26" t="inlineStr">
        <is>
          <t>Eligible on level (4-yr BS ≈ Bac+4)</t>
        </is>
      </c>
      <c r="Q47" s="25" t="inlineStr">
        <is>
          <t>1/2</t>
        </is>
      </c>
      <c r="R47" s="25" t="n"/>
      <c r="S47" s="27" t="n">
        <v>3950</v>
      </c>
      <c r="T47" s="27" t="n">
        <v>255</v>
      </c>
      <c r="U47" s="25" t="n">
        <v>2</v>
      </c>
      <c r="V47" s="27">
        <f>IF(S47="","",S47*U47)</f>
        <v/>
      </c>
      <c r="W47" s="26" t="inlineStr">
        <is>
          <t>Not in catalogue. Public national master → 2026-27 differentiated fee €3,950; exemption to ~€254-255 depends on university quota (25% cap in 2027-28).</t>
        </is>
      </c>
      <c r="X47" s="25" t="inlineStr">
        <is>
          <t>Medium</t>
        </is>
      </c>
      <c r="Y47" s="25" t="n"/>
      <c r="Z47" s="26" t="n"/>
      <c r="AA47" s="26" t="inlineStr">
        <is>
          <t>Paris Cité historically exempted non-EU master students (paid EU rate). 2026-27/2027-28 policy not yet published – confirm.</t>
        </is>
      </c>
      <c r="AB47" s="28" t="inlineStr">
        <is>
          <t>https://u-paris.fr/droits-dinscription-tarifs-exonerations/</t>
        </is>
      </c>
      <c r="AC47" s="25" t="inlineStr">
        <is>
          <t>Open</t>
        </is>
      </c>
      <c r="AD47" s="25" t="inlineStr">
        <is>
          <t>2026-10-01</t>
        </is>
      </c>
      <c r="AE47" s="25" t="inlineStr">
        <is>
          <t>2027-03-15</t>
        </is>
      </c>
      <c r="AF47" s="25" t="inlineStr">
        <is>
          <t>No</t>
        </is>
      </c>
      <c r="AG47" s="28" t="inlineStr">
        <is>
          <t>https://odf.u-paris.fr/fr/offre-de-formation/master-XB/sciences-technologies-sante-STS/informatique-K2NDIF4R//master-informatique-parcours-cybersecurite-et-esante-JT5NZSOS.html</t>
        </is>
      </c>
      <c r="AH47" s="26" t="inlineStr">
        <is>
          <t>https://odf.u-paris.fr/fr/offre-de-formation/master-XB/sciences-technologies-sante-STS/informatique-K2NDIF4R//master-informatique-parcours-cybersecurite-et-esante-JT5NZSOS.html Droits d’inscriptions différenciés 2027-202</t>
        </is>
      </c>
      <c r="AI47" s="28" t="inlineStr">
        <is>
          <t>Open in EEF</t>
        </is>
      </c>
    </row>
    <row r="48" ht="32.8" customHeight="1" s="19">
      <c r="A48" s="25" t="n">
        <v>47</v>
      </c>
      <c r="B48" s="25" t="inlineStr">
        <is>
          <t>★★★★★</t>
        </is>
      </c>
      <c r="C48" s="25" t="inlineStr">
        <is>
          <t>5 – Core fit (embedded/biomedical/health tech)</t>
        </is>
      </c>
      <c r="D48" s="25" t="inlineStr">
        <is>
          <t>Embedded systems / Electronics</t>
        </is>
      </c>
      <c r="E48" s="26" t="inlineStr">
        <is>
          <t>Master indifférencié (recherche et professionnel) Sciences, technologies, santé mention informatique parcours Systèmes Embarqués et Connectés : Infrastructures et Logiciels</t>
        </is>
      </c>
      <c r="F48" s="26" t="inlineStr">
        <is>
          <t>Science, Technology, Health (STS) – major: Computer Science – track: Embedded Systems &amp; Connected : Infrastructures &amp; Software</t>
        </is>
      </c>
      <c r="G48" s="25" t="inlineStr">
        <is>
          <t>Master indifférencié (recherche et professionnel)</t>
        </is>
      </c>
      <c r="H48" s="25" t="inlineStr">
        <is>
          <t>Faculté des Sciences et d'Ingénierie</t>
        </is>
      </c>
      <c r="I48" s="25" t="inlineStr">
        <is>
          <t>Université de Toulouse</t>
        </is>
      </c>
      <c r="J48" s="25" t="inlineStr">
        <is>
          <t>Site de Toulouse</t>
        </is>
      </c>
      <c r="K48" s="25" t="n"/>
      <c r="L48" s="25" t="inlineStr">
        <is>
          <t>Public university</t>
        </is>
      </c>
      <c r="M48" s="25" t="inlineStr">
        <is>
          <t>French</t>
        </is>
      </c>
      <c r="N48" s="25" t="inlineStr">
        <is>
          <t>General</t>
        </is>
      </c>
      <c r="O48" s="25" t="inlineStr">
        <is>
          <t>Bac +4 / Bac +5</t>
        </is>
      </c>
      <c r="P48" s="26" t="inlineStr">
        <is>
          <t>Eligible on level (4-yr BS ≈ Bac+4)</t>
        </is>
      </c>
      <c r="Q48" s="25" t="inlineStr">
        <is>
          <t>1/2</t>
        </is>
      </c>
      <c r="R48" s="25" t="n"/>
      <c r="S48" s="27" t="n">
        <v>3950</v>
      </c>
      <c r="T48" s="27" t="n">
        <v>255</v>
      </c>
      <c r="U48" s="25" t="n">
        <v>2</v>
      </c>
      <c r="V48" s="27">
        <f>IF(S48="","",S48*U48)</f>
        <v/>
      </c>
      <c r="W48" s="26" t="inlineStr">
        <is>
          <t>Not in catalogue. Public national master → 2026-27 differentiated fee €3,950; exemption to ~€254-255 depends on university quota (25% cap in 2027-28).</t>
        </is>
      </c>
      <c r="X48" s="25" t="inlineStr">
        <is>
          <t>Medium</t>
        </is>
      </c>
      <c r="Y48" s="25" t="n"/>
      <c r="Z48" s="26" t="n"/>
      <c r="AA48" s="26" t="inlineStr">
        <is>
          <t>Board decision (Feb 2026, pre-decree): partial exemption for ALL non-EU students subject to differentiated fees, until end of cycle. Re-check for 2027-28.</t>
        </is>
      </c>
      <c r="AB48" s="28" t="inlineStr">
        <is>
          <t>https://www.utoulouse.fr/medias/fichier/2026-02-ca-075_1774430647495-pdf</t>
        </is>
      </c>
      <c r="AC48" s="25" t="inlineStr">
        <is>
          <t>Open</t>
        </is>
      </c>
      <c r="AD48" s="25" t="inlineStr">
        <is>
          <t>2026-10-01</t>
        </is>
      </c>
      <c r="AE48" s="25" t="inlineStr">
        <is>
          <t>2027-03-15</t>
        </is>
      </c>
      <c r="AF48" s="25" t="inlineStr">
        <is>
          <t>No</t>
        </is>
      </c>
      <c r="AG48" s="28" t="inlineStr">
        <is>
          <t>http://www.univ-tlse3.fr/</t>
        </is>
      </c>
      <c r="AH48" s="26" t="inlineStr">
        <is>
          <t>https://www.univ-tlse3.fr/master-parcours-systemes-embarques-et-connectes-infrastructures-et-logiciels-secil</t>
        </is>
      </c>
      <c r="AI48" s="28" t="inlineStr">
        <is>
          <t>Open in EEF</t>
        </is>
      </c>
    </row>
    <row r="49" ht="32.8" customHeight="1" s="19">
      <c r="A49" s="25" t="n">
        <v>48</v>
      </c>
      <c r="B49" s="25" t="inlineStr">
        <is>
          <t>★★★★★</t>
        </is>
      </c>
      <c r="C49" s="25" t="inlineStr">
        <is>
          <t>5 – Core fit (embedded/biomedical/health tech)</t>
        </is>
      </c>
      <c r="D49" s="25" t="inlineStr">
        <is>
          <t>Biomedical / Health tech</t>
        </is>
      </c>
      <c r="E49" s="26" t="inlineStr">
        <is>
          <t>Master indifférencié (recherche et professionnel) Sciences, technologies, santé mention Ingénierie de la santé parcours Technologies, imagerie et physique pour la santé</t>
        </is>
      </c>
      <c r="F49" s="26" t="inlineStr">
        <is>
          <t>Science, Technology, Health (STS) – major: Health Engineering – track: Technologies, Imaging &amp; Physics for the Health</t>
        </is>
      </c>
      <c r="G49" s="25" t="inlineStr">
        <is>
          <t>Master indifférencié (recherche et professionnel)</t>
        </is>
      </c>
      <c r="H49" s="25" t="inlineStr">
        <is>
          <t>UFR Médecine - Pharmacie</t>
        </is>
      </c>
      <c r="I49" s="25" t="inlineStr">
        <is>
          <t>Université de Grenoble Alpes</t>
        </is>
      </c>
      <c r="J49" s="25" t="inlineStr">
        <is>
          <t>Site de Grenoble - Campus de La Merci - La Tronche</t>
        </is>
      </c>
      <c r="K49" s="25" t="n"/>
      <c r="L49" s="25" t="inlineStr">
        <is>
          <t>Public university</t>
        </is>
      </c>
      <c r="M49" s="25" t="inlineStr">
        <is>
          <t>French</t>
        </is>
      </c>
      <c r="N49" s="25" t="inlineStr">
        <is>
          <t>General</t>
        </is>
      </c>
      <c r="O49" s="25" t="inlineStr">
        <is>
          <t>Bac +4</t>
        </is>
      </c>
      <c r="P49" s="26" t="inlineStr">
        <is>
          <t>Eligible on level (4-yr BS ≈ Bac+4)</t>
        </is>
      </c>
      <c r="Q49" s="25" t="inlineStr">
        <is>
          <t>1</t>
        </is>
      </c>
      <c r="R49" s="25" t="n"/>
      <c r="S49" s="27" t="n">
        <v>3950</v>
      </c>
      <c r="T49" s="27" t="n">
        <v>255</v>
      </c>
      <c r="U49" s="25" t="n">
        <v>2</v>
      </c>
      <c r="V49" s="27">
        <f>IF(S49="","",S49*U49)</f>
        <v/>
      </c>
      <c r="W49" s="26" t="inlineStr">
        <is>
          <t>Not in catalogue. Public national master → 2026-27 differentiated fee €3,950; exemption to ~€254-255 depends on university quota (25% cap in 2027-28).</t>
        </is>
      </c>
      <c r="X49" s="25" t="inlineStr">
        <is>
          <t>Medium</t>
        </is>
      </c>
      <c r="Y49" s="25" t="n"/>
      <c r="Z49" s="26" t="n"/>
      <c r="AA49" s="26" t="inlineStr">
        <is>
          <t>UGA (incl. Grenoble INP masters): 2026-27 broad exemptions on request (pay national €254). From 2027-28 the decree caps apply; exemptions based on resources.</t>
        </is>
      </c>
      <c r="AB49" s="28" t="inlineStr">
        <is>
          <t>https://www.univ-grenoble-alpes.fr/actualites/a-la-une/actualites-universite/etudiants-internationaux-ce-que-change-le-nouveau-decret-sur-les-droits-d-inscription-a-l-uga-1775870.kjsp</t>
        </is>
      </c>
      <c r="AC49" s="25" t="inlineStr">
        <is>
          <t>Open</t>
        </is>
      </c>
      <c r="AD49" s="25" t="inlineStr">
        <is>
          <t>2026-10-01</t>
        </is>
      </c>
      <c r="AE49" s="25" t="inlineStr">
        <is>
          <t>2027-03-15</t>
        </is>
      </c>
      <c r="AF49" s="25" t="inlineStr">
        <is>
          <t>No</t>
        </is>
      </c>
      <c r="AG49" s="28" t="inlineStr">
        <is>
          <t>https://formations.univ-grenoble-alpes.fr/fr/catalogue-2021/master-XB/master-ingenierie-de-la-sante-IAQKSXOB.html</t>
        </is>
      </c>
      <c r="AH49" s="26" t="inlineStr">
        <is>
          <t>licence ou master 1 dans les domaines de l'imagerie ou la radioprotection ou la modelisation en santé ou la recherche clinique, niveau d'anglais B1 conseillé</t>
        </is>
      </c>
      <c r="AI49" s="28" t="inlineStr">
        <is>
          <t>Open in EEF</t>
        </is>
      </c>
    </row>
    <row r="50" ht="32.8" customHeight="1" s="19">
      <c r="A50" s="25" t="n">
        <v>49</v>
      </c>
      <c r="B50" s="25" t="inlineStr">
        <is>
          <t>★★★★★</t>
        </is>
      </c>
      <c r="C50" s="25" t="inlineStr">
        <is>
          <t>5 – Core fit (embedded/biomedical/health tech)</t>
        </is>
      </c>
      <c r="D50" s="25" t="inlineStr">
        <is>
          <t>Biomedical / Health tech</t>
        </is>
      </c>
      <c r="E50" s="26" t="inlineStr">
        <is>
          <t>Master indifférencié (recherche et professionnel) Sciences, technologies, santé mention Sciences et numérique pour la santé parcours PHYSIQUE BIOMEDICALE (PHYMED)</t>
        </is>
      </c>
      <c r="F50" s="26" t="inlineStr">
        <is>
          <t>Science, Technology, Health (STS) – major: Sciences &amp; Digital for the Health – track: Physics BIOMEDICALE (PHYMED)</t>
        </is>
      </c>
      <c r="G50" s="25" t="inlineStr">
        <is>
          <t>Master indifférencié (recherche et professionnel)</t>
        </is>
      </c>
      <c r="H50" s="25" t="inlineStr">
        <is>
          <t>UFR des Sciences de Montpellier</t>
        </is>
      </c>
      <c r="I50" s="25" t="inlineStr">
        <is>
          <t>Université de Montpellier</t>
        </is>
      </c>
      <c r="J50" s="25" t="inlineStr">
        <is>
          <t>Site de Montpellier</t>
        </is>
      </c>
      <c r="K50" s="25" t="n"/>
      <c r="L50" s="25" t="inlineStr">
        <is>
          <t>Public university</t>
        </is>
      </c>
      <c r="M50" s="25" t="inlineStr">
        <is>
          <t>French</t>
        </is>
      </c>
      <c r="N50" s="25" t="inlineStr">
        <is>
          <t>General</t>
        </is>
      </c>
      <c r="O50" s="25" t="inlineStr">
        <is>
          <t>Bac +4</t>
        </is>
      </c>
      <c r="P50" s="26" t="inlineStr">
        <is>
          <t>Eligible on level (4-yr BS ≈ Bac+4)</t>
        </is>
      </c>
      <c r="Q50" s="25" t="inlineStr">
        <is>
          <t>1</t>
        </is>
      </c>
      <c r="R50" s="25" t="n"/>
      <c r="S50" s="27" t="n">
        <v>3950</v>
      </c>
      <c r="T50" s="27" t="n">
        <v>255</v>
      </c>
      <c r="U50" s="25" t="n">
        <v>2</v>
      </c>
      <c r="V50" s="27">
        <f>IF(S50="","",S50*U50)</f>
        <v/>
      </c>
      <c r="W50" s="26" t="inlineStr">
        <is>
          <t>Not in catalogue. Public national master → 2026-27 differentiated fee €3,950; exemption to ~€254-255 depends on university quota (25% cap in 2027-28).</t>
        </is>
      </c>
      <c r="X50" s="25" t="inlineStr">
        <is>
          <t>Medium</t>
        </is>
      </c>
      <c r="Y50" s="25" t="n"/>
      <c r="Z50" s="26" t="n"/>
      <c r="AA50" s="26" t="inlineStr">
        <is>
          <t>Montpellier 2026-27: new non-EU entrants pay the differentiated fee unless individual exemption (limited).</t>
        </is>
      </c>
      <c r="AB50" s="28" t="inlineStr">
        <is>
          <t>https://www.umontpellier.fr/en/international/etudier-a-letranger/etudiants-internationaux-annee-universitaire-2026-2027/</t>
        </is>
      </c>
      <c r="AC50" s="25" t="inlineStr">
        <is>
          <t>Open</t>
        </is>
      </c>
      <c r="AD50" s="25" t="inlineStr">
        <is>
          <t>2026-10-01</t>
        </is>
      </c>
      <c r="AE50" s="25" t="inlineStr">
        <is>
          <t>2027-03-15</t>
        </is>
      </c>
      <c r="AF50" s="25" t="inlineStr">
        <is>
          <t>No</t>
        </is>
      </c>
      <c r="AG50" s="28" t="inlineStr">
        <is>
          <t>http://www.fdsweb.univ-montp2.fr/etudier-a-la-fds/catalogue-de-formation-675</t>
        </is>
      </c>
      <c r="AH50" s="26" t="inlineStr">
        <is>
          <t>L3 Scientifique et Santé</t>
        </is>
      </c>
      <c r="AI50" s="28" t="inlineStr">
        <is>
          <t>Open in EEF</t>
        </is>
      </c>
    </row>
    <row r="51" ht="22.35" customHeight="1" s="19">
      <c r="A51" s="25" t="n">
        <v>50</v>
      </c>
      <c r="B51" s="25" t="inlineStr">
        <is>
          <t>★★★★★</t>
        </is>
      </c>
      <c r="C51" s="25" t="inlineStr">
        <is>
          <t>5 – Core fit (embedded/biomedical/health tech)</t>
        </is>
      </c>
      <c r="D51" s="25" t="inlineStr">
        <is>
          <t>Biomedical / Health tech</t>
        </is>
      </c>
      <c r="E51" s="26" t="inlineStr">
        <is>
          <t>Master Sciences et technologies mention Ingénierie de la santé</t>
        </is>
      </c>
      <c r="F51" s="26" t="inlineStr">
        <is>
          <t>Master Science &amp; Technology – major: Health Engineering</t>
        </is>
      </c>
      <c r="G51" s="25" t="inlineStr">
        <is>
          <t>Master indifférencié (recherche et professionnel)</t>
        </is>
      </c>
      <c r="H51" s="25" t="inlineStr">
        <is>
          <t>UFR Santé</t>
        </is>
      </c>
      <c r="I51" s="25" t="inlineStr">
        <is>
          <t>Université Marie et Louis Pasteur</t>
        </is>
      </c>
      <c r="J51" s="25" t="inlineStr">
        <is>
          <t>Site de Besançon</t>
        </is>
      </c>
      <c r="K51" s="25" t="inlineStr">
        <is>
          <t>25030 BESANCON</t>
        </is>
      </c>
      <c r="L51" s="25" t="inlineStr">
        <is>
          <t>Public university</t>
        </is>
      </c>
      <c r="M51" s="25" t="inlineStr">
        <is>
          <t>French</t>
        </is>
      </c>
      <c r="N51" s="25" t="inlineStr">
        <is>
          <t>General</t>
        </is>
      </c>
      <c r="O51" s="25" t="inlineStr">
        <is>
          <t>Bac +4 / Bac +5</t>
        </is>
      </c>
      <c r="P51" s="26" t="inlineStr">
        <is>
          <t>Eligible on level (4-yr BS ≈ Bac+4)</t>
        </is>
      </c>
      <c r="Q51" s="25" t="inlineStr">
        <is>
          <t>1/2</t>
        </is>
      </c>
      <c r="R51" s="25" t="inlineStr">
        <is>
          <t>12</t>
        </is>
      </c>
      <c r="S51" s="27" t="n">
        <v>3950</v>
      </c>
      <c r="T51" s="27" t="n">
        <v>255</v>
      </c>
      <c r="U51" s="25" t="n">
        <v>2</v>
      </c>
      <c r="V51" s="27">
        <f>IF(S51="","",S51*U51)</f>
        <v/>
      </c>
      <c r="W51" s="26" t="inlineStr">
        <is>
          <t>Not in catalogue. Public national master → 2026-27 differentiated fee €3,950; exemption to ~€254-255 depends on university quota (25% cap in 2027-28).</t>
        </is>
      </c>
      <c r="X51" s="25" t="inlineStr">
        <is>
          <t>Medium</t>
        </is>
      </c>
      <c r="Y51" s="25" t="n"/>
      <c r="Z51" s="26" t="n"/>
      <c r="AA51" s="26" t="inlineStr">
        <is>
          <t>UMLP: individual exemption requests assessed on personal resources.</t>
        </is>
      </c>
      <c r="AB51" s="28" t="inlineStr">
        <is>
          <t>https://www.umlp.fr/sites/default/files/2026-07-02-page-droits-differencies-vf.pdf</t>
        </is>
      </c>
      <c r="AC51" s="25" t="inlineStr">
        <is>
          <t>Open</t>
        </is>
      </c>
      <c r="AD51" s="25" t="inlineStr">
        <is>
          <t>2026-10-01</t>
        </is>
      </c>
      <c r="AE51" s="25" t="inlineStr">
        <is>
          <t>2027-03-15</t>
        </is>
      </c>
      <c r="AF51" s="25" t="inlineStr">
        <is>
          <t>No</t>
        </is>
      </c>
      <c r="AG51" s="25" t="n"/>
      <c r="AH51" s="26" t="n"/>
      <c r="AI51" s="28" t="inlineStr">
        <is>
          <t>Open in EEF</t>
        </is>
      </c>
    </row>
    <row r="52" ht="43.25" customHeight="1" s="19">
      <c r="A52" s="25" t="n">
        <v>51</v>
      </c>
      <c r="B52" s="25" t="inlineStr">
        <is>
          <t>★★★★★</t>
        </is>
      </c>
      <c r="C52" s="25" t="inlineStr">
        <is>
          <t>5 – Core fit (embedded/biomedical/health tech)</t>
        </is>
      </c>
      <c r="D52" s="25" t="inlineStr">
        <is>
          <t>Biomedical / Health tech</t>
        </is>
      </c>
      <c r="E52" s="26" t="inlineStr">
        <is>
          <t>Master Sciences, technologies, santé mention Sciences du médicament et des produits de santé parcours Pharmacologie, Pharmacochimie, Bioingénierie des Biomolécules.</t>
        </is>
      </c>
      <c r="F52" s="26" t="inlineStr">
        <is>
          <t>Master Science, Technology, Health (STS) – major: Sciences of médicament &amp; of produits of Health – track: Pharmacology, Pharmacochimie, Bioengineering of Biomolecules.</t>
        </is>
      </c>
      <c r="G52" s="25" t="inlineStr">
        <is>
          <t>Master indifférencié (recherche et professionnel)</t>
        </is>
      </c>
      <c r="H52" s="25" t="inlineStr">
        <is>
          <t>UFR de Pharmacie</t>
        </is>
      </c>
      <c r="I52" s="25" t="inlineStr">
        <is>
          <t>Université Paris Cité</t>
        </is>
      </c>
      <c r="J52" s="25" t="inlineStr">
        <is>
          <t>Site de Paris</t>
        </is>
      </c>
      <c r="K52" s="25" t="inlineStr">
        <is>
          <t>75006 Paris</t>
        </is>
      </c>
      <c r="L52" s="25" t="inlineStr">
        <is>
          <t>Public university</t>
        </is>
      </c>
      <c r="M52" s="25" t="inlineStr">
        <is>
          <t>French</t>
        </is>
      </c>
      <c r="N52" s="25" t="inlineStr">
        <is>
          <t>General</t>
        </is>
      </c>
      <c r="O52" s="25" t="inlineStr">
        <is>
          <t>Bac +4</t>
        </is>
      </c>
      <c r="P52" s="26" t="inlineStr">
        <is>
          <t>Eligible on level (4-yr BS ≈ Bac+4)</t>
        </is>
      </c>
      <c r="Q52" s="25" t="inlineStr">
        <is>
          <t>1</t>
        </is>
      </c>
      <c r="R52" s="25" t="n"/>
      <c r="S52" s="27" t="n">
        <v>3950</v>
      </c>
      <c r="T52" s="27" t="n">
        <v>255</v>
      </c>
      <c r="U52" s="25" t="n">
        <v>2</v>
      </c>
      <c r="V52" s="27">
        <f>IF(S52="","",S52*U52)</f>
        <v/>
      </c>
      <c r="W52" s="26" t="inlineStr">
        <is>
          <t>Not in catalogue. Public national master → 2026-27 differentiated fee €3,950; exemption to ~€254-255 depends on university quota (25% cap in 2027-28).</t>
        </is>
      </c>
      <c r="X52" s="25" t="inlineStr">
        <is>
          <t>Medium</t>
        </is>
      </c>
      <c r="Y52" s="25" t="n"/>
      <c r="Z52" s="26" t="n"/>
      <c r="AA52" s="26" t="inlineStr">
        <is>
          <t>Paris Cité historically exempted non-EU master students (paid EU rate). 2026-27/2027-28 policy not yet published – confirm.</t>
        </is>
      </c>
      <c r="AB52" s="28" t="inlineStr">
        <is>
          <t>https://u-paris.fr/droits-dinscription-tarifs-exonerations/</t>
        </is>
      </c>
      <c r="AC52" s="25" t="inlineStr">
        <is>
          <t>Open</t>
        </is>
      </c>
      <c r="AD52" s="25" t="inlineStr">
        <is>
          <t>2026-10-01</t>
        </is>
      </c>
      <c r="AE52" s="25" t="inlineStr">
        <is>
          <t>2027-03-15</t>
        </is>
      </c>
      <c r="AF52" s="25" t="inlineStr">
        <is>
          <t>No</t>
        </is>
      </c>
      <c r="AG52" s="28" t="inlineStr">
        <is>
          <t>https://pharmacie.u-paris.fr/</t>
        </is>
      </c>
      <c r="AH52" s="26" t="inlineStr">
        <is>
          <t>https://odf.u-paris.fr/fr/offre-de-formation/master-XB/sciences-technologies-sante-STS/sciences-du-medicament-et-des-produits-de-sante-K2NDKZA2/master-sciences-du-medicament-et-des-produits-de-sante-parcours-pharmacologi</t>
        </is>
      </c>
      <c r="AI52" s="28" t="inlineStr">
        <is>
          <t>Open in EEF</t>
        </is>
      </c>
    </row>
    <row r="53" ht="22.35" customHeight="1" s="19">
      <c r="A53" s="25" t="n">
        <v>52</v>
      </c>
      <c r="B53" s="25" t="inlineStr">
        <is>
          <t>★★★★★</t>
        </is>
      </c>
      <c r="C53" s="25" t="inlineStr">
        <is>
          <t>5 – Core fit (embedded/biomedical/health tech)</t>
        </is>
      </c>
      <c r="D53" s="25" t="inlineStr">
        <is>
          <t>Biomedical / Health tech</t>
        </is>
      </c>
      <c r="E53" s="26" t="inlineStr">
        <is>
          <t>Sciences de la santé parcours Ingénierie de la santé et intelligence artificielle</t>
        </is>
      </c>
      <c r="F53" s="26" t="inlineStr">
        <is>
          <t>Sciences of the Health – track: Health Engineering &amp; Artificial Intelligence</t>
        </is>
      </c>
      <c r="G53" s="25" t="inlineStr">
        <is>
          <t>Master indifférencié (recherche et professionnel)</t>
        </is>
      </c>
      <c r="H53" s="25" t="inlineStr">
        <is>
          <t>UFR Santé</t>
        </is>
      </c>
      <c r="I53" s="25" t="inlineStr">
        <is>
          <t>Université Marie et Louis Pasteur</t>
        </is>
      </c>
      <c r="J53" s="25" t="inlineStr">
        <is>
          <t>Site de Besançon</t>
        </is>
      </c>
      <c r="K53" s="25" t="inlineStr">
        <is>
          <t>25030 BESANCON</t>
        </is>
      </c>
      <c r="L53" s="25" t="inlineStr">
        <is>
          <t>Public university</t>
        </is>
      </c>
      <c r="M53" s="25" t="inlineStr">
        <is>
          <t>French</t>
        </is>
      </c>
      <c r="N53" s="25" t="inlineStr">
        <is>
          <t>General</t>
        </is>
      </c>
      <c r="O53" s="25" t="inlineStr">
        <is>
          <t>Bac +4 / Bac +5</t>
        </is>
      </c>
      <c r="P53" s="26" t="inlineStr">
        <is>
          <t>Eligible on level (4-yr BS ≈ Bac+4)</t>
        </is>
      </c>
      <c r="Q53" s="25" t="inlineStr">
        <is>
          <t>1/2</t>
        </is>
      </c>
      <c r="R53" s="25" t="inlineStr">
        <is>
          <t>12</t>
        </is>
      </c>
      <c r="S53" s="27" t="n">
        <v>3950</v>
      </c>
      <c r="T53" s="27" t="n">
        <v>255</v>
      </c>
      <c r="U53" s="25" t="n">
        <v>2</v>
      </c>
      <c r="V53" s="27">
        <f>IF(S53="","",S53*U53)</f>
        <v/>
      </c>
      <c r="W53" s="26" t="inlineStr">
        <is>
          <t>Not in catalogue. Public national master → 2026-27 differentiated fee €3,950; exemption to ~€254-255 depends on university quota (25% cap in 2027-28).</t>
        </is>
      </c>
      <c r="X53" s="25" t="inlineStr">
        <is>
          <t>Medium</t>
        </is>
      </c>
      <c r="Y53" s="25" t="n"/>
      <c r="Z53" s="26" t="n"/>
      <c r="AA53" s="26" t="inlineStr">
        <is>
          <t>UMLP: individual exemption requests assessed on personal resources.</t>
        </is>
      </c>
      <c r="AB53" s="28" t="inlineStr">
        <is>
          <t>https://www.umlp.fr/sites/default/files/2026-07-02-page-droits-differencies-vf.pdf</t>
        </is>
      </c>
      <c r="AC53" s="25" t="inlineStr">
        <is>
          <t>Open</t>
        </is>
      </c>
      <c r="AD53" s="25" t="inlineStr">
        <is>
          <t>2026-10-01</t>
        </is>
      </c>
      <c r="AE53" s="25" t="inlineStr">
        <is>
          <t>2027-03-15</t>
        </is>
      </c>
      <c r="AF53" s="25" t="inlineStr">
        <is>
          <t>No</t>
        </is>
      </c>
      <c r="AG53" s="25" t="n"/>
      <c r="AH53" s="26" t="inlineStr">
        <is>
          <t>Niveau de langue C1 minimum Entretien visio ou téléphonique obligatoire</t>
        </is>
      </c>
      <c r="AI53" s="28" t="inlineStr">
        <is>
          <t>Open in EEF</t>
        </is>
      </c>
    </row>
    <row r="54" ht="32.8" customHeight="1" s="19">
      <c r="A54" s="25" t="n">
        <v>53</v>
      </c>
      <c r="B54" s="25" t="inlineStr">
        <is>
          <t>★★★★★</t>
        </is>
      </c>
      <c r="C54" s="25" t="inlineStr">
        <is>
          <t>5 – Core fit (embedded/biomedical/health tech)</t>
        </is>
      </c>
      <c r="D54" s="25" t="inlineStr">
        <is>
          <t>Embedded systems / Electronics</t>
        </is>
      </c>
      <c r="E54" s="26" t="inlineStr">
        <is>
          <t>Master professionnel Sciences, technologies, santé mention ingénierie des systèmes complexes parcours Cyber-sécurité des systèmes embarqués</t>
        </is>
      </c>
      <c r="F54" s="26" t="inlineStr">
        <is>
          <t>Professional Master Science, Technology, Health (STS) – major: Complex Systems Engineering – track: Cyber-sécurité of Embedded Systems</t>
        </is>
      </c>
      <c r="G54" s="25" t="inlineStr">
        <is>
          <t>Master professionnel</t>
        </is>
      </c>
      <c r="H54" s="25" t="inlineStr">
        <is>
          <t>Faculté des sciences et sciences de l'ingénieur (Campus de Lorient)</t>
        </is>
      </c>
      <c r="I54" s="25" t="inlineStr">
        <is>
          <t>Université Bretagne-Sud</t>
        </is>
      </c>
      <c r="J54" s="25" t="inlineStr">
        <is>
          <t>Site de Lorient</t>
        </is>
      </c>
      <c r="K54" s="25" t="n"/>
      <c r="L54" s="25" t="inlineStr">
        <is>
          <t>Public university</t>
        </is>
      </c>
      <c r="M54" s="25" t="inlineStr">
        <is>
          <t>French</t>
        </is>
      </c>
      <c r="N54" s="25" t="inlineStr">
        <is>
          <t>General</t>
        </is>
      </c>
      <c r="O54" s="25" t="inlineStr">
        <is>
          <t>Bac +4 / Bac +5</t>
        </is>
      </c>
      <c r="P54" s="26" t="inlineStr">
        <is>
          <t>Eligible on level (4-yr BS ≈ Bac+4)</t>
        </is>
      </c>
      <c r="Q54" s="25" t="inlineStr">
        <is>
          <t>1/2</t>
        </is>
      </c>
      <c r="R54" s="25" t="n"/>
      <c r="S54" s="27" t="n">
        <v>3950</v>
      </c>
      <c r="T54" s="27" t="n">
        <v>255</v>
      </c>
      <c r="U54" s="25" t="n">
        <v>2</v>
      </c>
      <c r="V54" s="27">
        <f>IF(S54="","",S54*U54)</f>
        <v/>
      </c>
      <c r="W54" s="26" t="inlineStr">
        <is>
          <t>Not in catalogue. Public national master → 2026-27 differentiated fee €3,950; exemption to ~€254-255 depends on university quota (25% cap in 2027-28).</t>
        </is>
      </c>
      <c r="X54" s="25" t="inlineStr">
        <is>
          <t>Medium</t>
        </is>
      </c>
      <c r="Y54" s="25" t="n"/>
      <c r="Z54" s="26" t="n"/>
      <c r="AA54" s="26" t="n"/>
      <c r="AB54" s="25" t="n"/>
      <c r="AC54" s="25" t="inlineStr">
        <is>
          <t>Open</t>
        </is>
      </c>
      <c r="AD54" s="25" t="inlineStr">
        <is>
          <t>2026-10-01</t>
        </is>
      </c>
      <c r="AE54" s="25" t="inlineStr">
        <is>
          <t>2027-03-15</t>
        </is>
      </c>
      <c r="AF54" s="25" t="inlineStr">
        <is>
          <t>No</t>
        </is>
      </c>
      <c r="AG54" s="28" t="inlineStr">
        <is>
          <t>https://www.univ-ubs.fr/fr/formation-initiale-continue/formations-2017-2018/master-XB/sciences-technologies-sante-STS/master-cyber-securite-des-systemes-embarques-program-5scy00-217-5scy01.html</t>
        </is>
      </c>
      <c r="AH54" s="26" t="inlineStr">
        <is>
          <t>Moyenne cumulative (études sécondaires et études supérieures) : 13/20 Niveau C1 exigé en français. Pour les étudiants en alternance : date limite la fin du mois d'octobre de l'année en cours</t>
        </is>
      </c>
      <c r="AI54" s="28" t="inlineStr">
        <is>
          <t>Open in EEF</t>
        </is>
      </c>
    </row>
    <row r="55" ht="32.8" customHeight="1" s="19">
      <c r="A55" s="25" t="n">
        <v>54</v>
      </c>
      <c r="B55" s="25" t="inlineStr">
        <is>
          <t>★★★★★</t>
        </is>
      </c>
      <c r="C55" s="25" t="inlineStr">
        <is>
          <t>5 – Core fit (embedded/biomedical/health tech)</t>
        </is>
      </c>
      <c r="D55" s="25" t="inlineStr">
        <is>
          <t>Embedded systems / Electronics</t>
        </is>
      </c>
      <c r="E55" s="26" t="inlineStr">
        <is>
          <t>Master professionnel Sciences, technologies, santé mention ingénierie des systèmes complexes parcours Systèmes embarqués / systèmes intégrés</t>
        </is>
      </c>
      <c r="F55" s="26" t="inlineStr">
        <is>
          <t>Professional Master Science, Technology, Health (STS) – major: Complex Systems Engineering – track: Embedded Systems / Systems Integrated</t>
        </is>
      </c>
      <c r="G55" s="25" t="inlineStr">
        <is>
          <t>Master professionnel</t>
        </is>
      </c>
      <c r="H55" s="25" t="inlineStr">
        <is>
          <t>Faculté des sciences et sciences de l'ingénieur (Campus de Lorient)</t>
        </is>
      </c>
      <c r="I55" s="25" t="inlineStr">
        <is>
          <t>Université Bretagne-Sud</t>
        </is>
      </c>
      <c r="J55" s="25" t="inlineStr">
        <is>
          <t>Site de Lorient</t>
        </is>
      </c>
      <c r="K55" s="25" t="n"/>
      <c r="L55" s="25" t="inlineStr">
        <is>
          <t>Public university</t>
        </is>
      </c>
      <c r="M55" s="25" t="inlineStr">
        <is>
          <t>French</t>
        </is>
      </c>
      <c r="N55" s="25" t="inlineStr">
        <is>
          <t>General</t>
        </is>
      </c>
      <c r="O55" s="25" t="inlineStr">
        <is>
          <t>Bac +4 / Bac +5</t>
        </is>
      </c>
      <c r="P55" s="26" t="inlineStr">
        <is>
          <t>Eligible on level (4-yr BS ≈ Bac+4)</t>
        </is>
      </c>
      <c r="Q55" s="25" t="inlineStr">
        <is>
          <t>1/2</t>
        </is>
      </c>
      <c r="R55" s="25" t="n"/>
      <c r="S55" s="27" t="n">
        <v>3950</v>
      </c>
      <c r="T55" s="27" t="n">
        <v>255</v>
      </c>
      <c r="U55" s="25" t="n">
        <v>2</v>
      </c>
      <c r="V55" s="27">
        <f>IF(S55="","",S55*U55)</f>
        <v/>
      </c>
      <c r="W55" s="26" t="inlineStr">
        <is>
          <t>Not in catalogue. Public national master → 2026-27 differentiated fee €3,950; exemption to ~€254-255 depends on university quota (25% cap in 2027-28).</t>
        </is>
      </c>
      <c r="X55" s="25" t="inlineStr">
        <is>
          <t>Medium</t>
        </is>
      </c>
      <c r="Y55" s="25" t="n"/>
      <c r="Z55" s="26" t="n"/>
      <c r="AA55" s="26" t="n"/>
      <c r="AB55" s="25" t="n"/>
      <c r="AC55" s="25" t="inlineStr">
        <is>
          <t>Open</t>
        </is>
      </c>
      <c r="AD55" s="25" t="inlineStr">
        <is>
          <t>2026-10-01</t>
        </is>
      </c>
      <c r="AE55" s="25" t="inlineStr">
        <is>
          <t>2027-03-15</t>
        </is>
      </c>
      <c r="AF55" s="25" t="inlineStr">
        <is>
          <t>No</t>
        </is>
      </c>
      <c r="AG55" s="28" t="inlineStr">
        <is>
          <t>https://www.univ-ubs.fr/fr/formation-initiale-continue/formations-2017-2018/master-XB/sciences-technologies-sante-STS/master-systemes-embarques-systemes-integres-program-5ssy00-217-4ssy01.html</t>
        </is>
      </c>
      <c r="AH55" s="26" t="inlineStr">
        <is>
          <t>Moyenne cumulative (études sécondaires et études supérieures) : 13/20 Niveau B2 exigé en français. Pour l'alternance: date limite pour la signature du contrat 31 octobre 2027</t>
        </is>
      </c>
      <c r="AI55" s="28" t="inlineStr">
        <is>
          <t>Open in EEF</t>
        </is>
      </c>
    </row>
    <row r="56" ht="32.8" customHeight="1" s="19">
      <c r="A56" s="25" t="n">
        <v>55</v>
      </c>
      <c r="B56" s="25" t="inlineStr">
        <is>
          <t>★★★★★</t>
        </is>
      </c>
      <c r="C56" s="25" t="inlineStr">
        <is>
          <t>5 – Core fit (embedded/biomedical/health tech)</t>
        </is>
      </c>
      <c r="D56" s="25" t="inlineStr">
        <is>
          <t>Embedded systems / Electronics</t>
        </is>
      </c>
      <c r="E56" s="26" t="inlineStr">
        <is>
          <t>diplôme d'ingénieur de l'Ecole d'ingénieurs de l'Université de Caen spécialité systèmes embarqués</t>
        </is>
      </c>
      <c r="F56" s="26" t="inlineStr">
        <is>
          <t>Engineering diploma of School of Engineers of University of Caen – specialisation: Embedded Systems</t>
        </is>
      </c>
      <c r="G56" s="25" t="inlineStr">
        <is>
          <t>Diplôme d'ingénieur</t>
        </is>
      </c>
      <c r="H56" s="25" t="inlineStr">
        <is>
          <t>Ecole supérieur d'ingénieurs _ ESIX</t>
        </is>
      </c>
      <c r="I56" s="25" t="inlineStr">
        <is>
          <t>Université Caen Normandie</t>
        </is>
      </c>
      <c r="J56" s="25" t="inlineStr">
        <is>
          <t>Site de Caen</t>
        </is>
      </c>
      <c r="K56" s="25" t="n"/>
      <c r="L56" s="25" t="inlineStr">
        <is>
          <t>Public school / institute</t>
        </is>
      </c>
      <c r="M56" s="25" t="inlineStr">
        <is>
          <t>French</t>
        </is>
      </c>
      <c r="N56" s="25" t="inlineStr">
        <is>
          <t>General</t>
        </is>
      </c>
      <c r="O56" s="25" t="inlineStr">
        <is>
          <t>Bac +3 / Bac +4</t>
        </is>
      </c>
      <c r="P56" s="26" t="inlineStr">
        <is>
          <t>Eligible on level (4-yr BS ≈ Bac+4)</t>
        </is>
      </c>
      <c r="Q56" s="25" t="inlineStr">
        <is>
          <t>1/2</t>
        </is>
      </c>
      <c r="R56" s="25" t="inlineStr">
        <is>
          <t>10</t>
        </is>
      </c>
      <c r="S56" s="27" t="n">
        <v>601</v>
      </c>
      <c r="T56" s="27" t="n"/>
      <c r="U56" s="25" t="n">
        <v>2</v>
      </c>
      <c r="V56" s="27">
        <f>IF(S56="","",S56*U56)</f>
        <v/>
      </c>
      <c r="W56" s="26" t="inlineStr">
        <is>
          <t>Catalogue lists €601 (EU/national rate). Confirm whether non-EU surcharge applies.</t>
        </is>
      </c>
      <c r="X56" s="25" t="inlineStr">
        <is>
          <t>Medium</t>
        </is>
      </c>
      <c r="Y56" s="25" t="inlineStr">
        <is>
          <t>601</t>
        </is>
      </c>
      <c r="Z56" s="26" t="n"/>
      <c r="AA56" s="26" t="n"/>
      <c r="AB56" s="25" t="n"/>
      <c r="AC56" s="25" t="inlineStr">
        <is>
          <t>Open</t>
        </is>
      </c>
      <c r="AD56" s="25" t="inlineStr">
        <is>
          <t>2026-10-01</t>
        </is>
      </c>
      <c r="AE56" s="25" t="inlineStr">
        <is>
          <t>2027-03-15</t>
        </is>
      </c>
      <c r="AF56" s="25" t="inlineStr">
        <is>
          <t>No</t>
        </is>
      </c>
      <c r="AG56" s="28" t="inlineStr">
        <is>
          <t>https://esix.unicaen.fr</t>
        </is>
      </c>
      <c r="AH56" s="26" t="inlineStr">
        <is>
          <t>- Entrer en formation avec un niveau Bac+3 validé - Avoir un niveau B1 en Anglais - Avoir un niveau B2 en français Vous avez des problèmes de santé ou une situation de handicap qui peut impacter vos études ? Penser à ant</t>
        </is>
      </c>
      <c r="AI56" s="28" t="inlineStr">
        <is>
          <t>Open in EEF</t>
        </is>
      </c>
    </row>
    <row r="57" ht="22.35" customHeight="1" s="19">
      <c r="A57" s="25" t="n">
        <v>56</v>
      </c>
      <c r="B57" s="25" t="inlineStr">
        <is>
          <t>★★★★★</t>
        </is>
      </c>
      <c r="C57" s="25" t="inlineStr">
        <is>
          <t>5 – Core fit (embedded/biomedical/health tech)</t>
        </is>
      </c>
      <c r="D57" s="25" t="inlineStr">
        <is>
          <t>Embedded systems / Electronics</t>
        </is>
      </c>
      <c r="E57" s="26" t="inlineStr">
        <is>
          <t>diplôme d'ingénieur de 'Université Sorbonne Paris Nord spécialité instrumentation : Systèmes embarqués et génie médical</t>
        </is>
      </c>
      <c r="F57" s="26" t="inlineStr">
        <is>
          <t>Engineering diploma of 'Université Sorbonne Paris Nord – specialisation: Instrumentation : Embedded Systems &amp; Engineering Medical</t>
        </is>
      </c>
      <c r="G57" s="25" t="inlineStr">
        <is>
          <t>Diplôme d'ingénieur</t>
        </is>
      </c>
      <c r="H57" s="25" t="inlineStr">
        <is>
          <t>Institut Galilée</t>
        </is>
      </c>
      <c r="I57" s="25" t="inlineStr">
        <is>
          <t>Université Sorbonne Paris Nord</t>
        </is>
      </c>
      <c r="J57" s="25" t="inlineStr">
        <is>
          <t>Site de Villetaneuse</t>
        </is>
      </c>
      <c r="K57" s="25" t="n"/>
      <c r="L57" s="25" t="inlineStr">
        <is>
          <t>Public school / institute</t>
        </is>
      </c>
      <c r="M57" s="25" t="inlineStr">
        <is>
          <t>French</t>
        </is>
      </c>
      <c r="N57" s="25" t="inlineStr">
        <is>
          <t>General</t>
        </is>
      </c>
      <c r="O57" s="25" t="inlineStr">
        <is>
          <t>Bac +3 / Bac +4</t>
        </is>
      </c>
      <c r="P57" s="26" t="inlineStr">
        <is>
          <t>Eligible on level (4-yr BS ≈ Bac+4)</t>
        </is>
      </c>
      <c r="Q57" s="25" t="inlineStr">
        <is>
          <t>3/4</t>
        </is>
      </c>
      <c r="R57" s="25" t="n"/>
      <c r="S57" s="27" t="n">
        <v>628</v>
      </c>
      <c r="T57" s="27" t="n"/>
      <c r="U57" s="25" t="n">
        <v>2</v>
      </c>
      <c r="V57" s="27">
        <f>IF(S57="","",S57*U57)</f>
        <v/>
      </c>
      <c r="W57" s="26" t="inlineStr">
        <is>
          <t>Catalogue lists €628 (EU/national rate). Confirm whether non-EU surcharge applies.</t>
        </is>
      </c>
      <c r="X57" s="25" t="inlineStr">
        <is>
          <t>Medium</t>
        </is>
      </c>
      <c r="Y57" s="25" t="inlineStr">
        <is>
          <t>628</t>
        </is>
      </c>
      <c r="Z57" s="26" t="n"/>
      <c r="AA57" s="26" t="n"/>
      <c r="AB57" s="25" t="n"/>
      <c r="AC57" s="25" t="inlineStr">
        <is>
          <t>Open</t>
        </is>
      </c>
      <c r="AD57" s="25" t="inlineStr">
        <is>
          <t>2026-10-01</t>
        </is>
      </c>
      <c r="AE57" s="25" t="inlineStr">
        <is>
          <t>2027-03-15</t>
        </is>
      </c>
      <c r="AF57" s="25" t="inlineStr">
        <is>
          <t>No</t>
        </is>
      </c>
      <c r="AG57" s="28" t="inlineStr">
        <is>
          <t>http://www.sup-galilee.univ-paris13.fr/</t>
        </is>
      </c>
      <c r="AH57" s="26" t="n"/>
      <c r="AI57" s="28" t="inlineStr">
        <is>
          <t>Open in EEF</t>
        </is>
      </c>
    </row>
    <row r="58" ht="43.25" customHeight="1" s="19">
      <c r="A58" s="25" t="n">
        <v>57</v>
      </c>
      <c r="B58" s="25" t="inlineStr">
        <is>
          <t>★★★★★</t>
        </is>
      </c>
      <c r="C58" s="25" t="inlineStr">
        <is>
          <t>5 – Core fit (embedded/biomedical/health tech)</t>
        </is>
      </c>
      <c r="D58" s="25" t="inlineStr">
        <is>
          <t>Biomedical / Health tech</t>
        </is>
      </c>
      <c r="E58" s="26" t="inlineStr">
        <is>
          <t>spécialité Biomédical et Santé</t>
        </is>
      </c>
      <c r="F58" s="26" t="inlineStr">
        <is>
          <t>specialisation: Biomedical &amp; Health</t>
        </is>
      </c>
      <c r="G58" s="25" t="inlineStr">
        <is>
          <t>Diplôme d'ingénieur</t>
        </is>
      </c>
      <c r="H58" s="25" t="inlineStr">
        <is>
          <t>Ecole Publique d'Ingénieurs de la Santé et du Numérique - EPISEN</t>
        </is>
      </c>
      <c r="I58" s="25" t="inlineStr">
        <is>
          <t>Université Paris-Est Créteil Val-de-Marne</t>
        </is>
      </c>
      <c r="J58" s="25" t="inlineStr">
        <is>
          <t>Site de Créteil</t>
        </is>
      </c>
      <c r="K58" s="25" t="inlineStr">
        <is>
          <t>94000 Créteil</t>
        </is>
      </c>
      <c r="L58" s="25" t="inlineStr">
        <is>
          <t>Public university</t>
        </is>
      </c>
      <c r="M58" s="25" t="inlineStr">
        <is>
          <t>French</t>
        </is>
      </c>
      <c r="N58" s="25" t="inlineStr">
        <is>
          <t>General</t>
        </is>
      </c>
      <c r="O58" s="25" t="inlineStr">
        <is>
          <t>Bac +3 / Bac +4</t>
        </is>
      </c>
      <c r="P58" s="26" t="inlineStr">
        <is>
          <t>Eligible on level (4-yr BS ≈ Bac+4)</t>
        </is>
      </c>
      <c r="Q58" s="25" t="inlineStr">
        <is>
          <t>1/2</t>
        </is>
      </c>
      <c r="R58" s="25" t="inlineStr">
        <is>
          <t>12</t>
        </is>
      </c>
      <c r="S58" s="27" t="n">
        <v>628</v>
      </c>
      <c r="T58" s="27" t="n"/>
      <c r="U58" s="25" t="n">
        <v>2</v>
      </c>
      <c r="V58" s="27">
        <f>IF(S58="","",S58*U58)</f>
        <v/>
      </c>
      <c r="W58" s="26" t="inlineStr">
        <is>
          <t>Catalogue lists €628 (EU/national rate). Confirm whether non-EU surcharge applies.</t>
        </is>
      </c>
      <c r="X58" s="25" t="inlineStr">
        <is>
          <t>Medium</t>
        </is>
      </c>
      <c r="Y58" s="25" t="inlineStr">
        <is>
          <t>628</t>
        </is>
      </c>
      <c r="Z58" s="26" t="inlineStr">
        <is>
          <t>Montant frais inscription 2025-2026 = 628€, susceptibles d’augmenter en 2026-2027 … n biologie - Bon niveau de Français et d'anglais Montant frais inscription 2025-2026 = 628€, susceptibles d’augmenter en 2026-2027</t>
        </is>
      </c>
      <c r="AA58" s="26" t="n"/>
      <c r="AB58" s="25" t="n"/>
      <c r="AC58" s="25" t="inlineStr">
        <is>
          <t>Open</t>
        </is>
      </c>
      <c r="AD58" s="25" t="inlineStr">
        <is>
          <t>2026-10-01</t>
        </is>
      </c>
      <c r="AE58" s="25" t="inlineStr">
        <is>
          <t>2027-03-15</t>
        </is>
      </c>
      <c r="AF58" s="25" t="inlineStr">
        <is>
          <t>No</t>
        </is>
      </c>
      <c r="AG58" s="28" t="inlineStr">
        <is>
          <t>https://episen.u-pec.fr/</t>
        </is>
      </c>
      <c r="AH58" s="26" t="inlineStr">
        <is>
          <t>Être issu d'une filière fournissant des compétences de base en mathématiques, en informatique, en mécanique OU en biologie - Bon niveau de Français et d'anglais</t>
        </is>
      </c>
      <c r="AI58" s="28" t="inlineStr">
        <is>
          <t>Open in EEF</t>
        </is>
      </c>
    </row>
    <row r="59" ht="43.25" customHeight="1" s="19">
      <c r="A59" s="25" t="n">
        <v>58</v>
      </c>
      <c r="B59" s="25" t="inlineStr">
        <is>
          <t>★★★★★</t>
        </is>
      </c>
      <c r="C59" s="25" t="inlineStr">
        <is>
          <t>5 – Core fit (embedded/biomedical/health tech)</t>
        </is>
      </c>
      <c r="D59" s="25" t="inlineStr">
        <is>
          <t>Biomedical / Health tech</t>
        </is>
      </c>
      <c r="E59" s="26" t="inlineStr">
        <is>
          <t>spécialité Ingénierie et Technologies pour la santé</t>
        </is>
      </c>
      <c r="F59" s="26" t="inlineStr">
        <is>
          <t>specialisation: Engineering &amp; Technologies for the Health</t>
        </is>
      </c>
      <c r="G59" s="25" t="inlineStr">
        <is>
          <t>Diplôme d'ingénieur</t>
        </is>
      </c>
      <c r="H59" s="25" t="inlineStr">
        <is>
          <t>Ecole Publique d'Ingénieurs de la Santé et du Numérique - EPISEN</t>
        </is>
      </c>
      <c r="I59" s="25" t="inlineStr">
        <is>
          <t>Université Paris-Est Créteil Val-de-Marne</t>
        </is>
      </c>
      <c r="J59" s="25" t="inlineStr">
        <is>
          <t>Site de Créteil</t>
        </is>
      </c>
      <c r="K59" s="25" t="inlineStr">
        <is>
          <t>94000 Créteil</t>
        </is>
      </c>
      <c r="L59" s="25" t="inlineStr">
        <is>
          <t>Public university</t>
        </is>
      </c>
      <c r="M59" s="25" t="inlineStr">
        <is>
          <t>French</t>
        </is>
      </c>
      <c r="N59" s="25" t="inlineStr">
        <is>
          <t>General</t>
        </is>
      </c>
      <c r="O59" s="25" t="inlineStr">
        <is>
          <t>Bac +3 / Bac +4</t>
        </is>
      </c>
      <c r="P59" s="26" t="inlineStr">
        <is>
          <t>Eligible on level (4-yr BS ≈ Bac+4)</t>
        </is>
      </c>
      <c r="Q59" s="25" t="inlineStr">
        <is>
          <t>1/2</t>
        </is>
      </c>
      <c r="R59" s="25" t="inlineStr">
        <is>
          <t>12</t>
        </is>
      </c>
      <c r="S59" s="27" t="n">
        <v>628</v>
      </c>
      <c r="T59" s="27" t="n"/>
      <c r="U59" s="25" t="n">
        <v>2</v>
      </c>
      <c r="V59" s="27">
        <f>IF(S59="","",S59*U59)</f>
        <v/>
      </c>
      <c r="W59" s="26" t="inlineStr">
        <is>
          <t>Catalogue lists €628 (EU/national rate). Confirm whether non-EU surcharge applies.</t>
        </is>
      </c>
      <c r="X59" s="25" t="inlineStr">
        <is>
          <t>Medium</t>
        </is>
      </c>
      <c r="Y59" s="25" t="inlineStr">
        <is>
          <t>628</t>
        </is>
      </c>
      <c r="Z59" s="26" t="inlineStr">
        <is>
          <t>Montant frais inscription 2025-2026 = 628€, susceptibles d’augmenter en 2026-2027 … Bon niveau d'anglais et de français Montant frais inscription 2025-2026 = 628€, susceptibles d’augmenter en 2026-2027</t>
        </is>
      </c>
      <c r="AA59" s="26" t="n"/>
      <c r="AB59" s="25" t="n"/>
      <c r="AC59" s="25" t="inlineStr">
        <is>
          <t>Open</t>
        </is>
      </c>
      <c r="AD59" s="25" t="inlineStr">
        <is>
          <t>2026-10-01</t>
        </is>
      </c>
      <c r="AE59" s="25" t="inlineStr">
        <is>
          <t>2027-03-15</t>
        </is>
      </c>
      <c r="AF59" s="25" t="inlineStr">
        <is>
          <t>No</t>
        </is>
      </c>
      <c r="AG59" s="28" t="inlineStr">
        <is>
          <t>https://episen.u-pec.fr/</t>
        </is>
      </c>
      <c r="AH59" s="26" t="inlineStr">
        <is>
          <t>1ère année : Informatique et Mathématiques niveau Classe Préparatoire, L2 info ou science, L3 info ou science, BUT ou DUT Info, RT, GEII. Bon niveau d'anglais et de français 2ème année : Informatique et Mathématiques niv</t>
        </is>
      </c>
      <c r="AI59" s="28" t="inlineStr">
        <is>
          <t>Open in EEF</t>
        </is>
      </c>
    </row>
    <row r="60" ht="32.8" customHeight="1" s="19">
      <c r="A60" s="25" t="n">
        <v>59</v>
      </c>
      <c r="B60" s="25" t="inlineStr">
        <is>
          <t>★★★★★</t>
        </is>
      </c>
      <c r="C60" s="25" t="inlineStr">
        <is>
          <t>5 – Core fit (embedded/biomedical/health tech)</t>
        </is>
      </c>
      <c r="D60" s="25" t="inlineStr">
        <is>
          <t>IoT / Telecom / Networks</t>
        </is>
      </c>
      <c r="E60" s="26" t="inlineStr">
        <is>
          <t>diplôme d'ingénieur de l'Ecole polytechnique universitaire de Lille, Université Lille I, sciences et technologies spécialité Internet des Objets et Cybersécurité</t>
        </is>
      </c>
      <c r="F60" s="26" t="inlineStr">
        <is>
          <t>Engineering diploma of the University Polytechnic School of Lille, University Lille I, Science &amp; Technology – specialisation: Internet of Things &amp; Cybersecurity</t>
        </is>
      </c>
      <c r="G60" s="25" t="inlineStr">
        <is>
          <t>Diplôme d'ingénieur</t>
        </is>
      </c>
      <c r="H60" s="25" t="inlineStr">
        <is>
          <t>Polytech Lille</t>
        </is>
      </c>
      <c r="I60" s="25" t="inlineStr">
        <is>
          <t>Groupement Polytech</t>
        </is>
      </c>
      <c r="J60" s="25" t="inlineStr">
        <is>
          <t>Site de Villeneuve-d'Ascq</t>
        </is>
      </c>
      <c r="K60" s="25" t="n"/>
      <c r="L60" s="25" t="inlineStr">
        <is>
          <t>Public school / institute</t>
        </is>
      </c>
      <c r="M60" s="25" t="inlineStr">
        <is>
          <t>French</t>
        </is>
      </c>
      <c r="N60" s="25" t="inlineStr">
        <is>
          <t>General</t>
        </is>
      </c>
      <c r="O60" s="25" t="inlineStr">
        <is>
          <t>Bac +3 / Bac +4</t>
        </is>
      </c>
      <c r="P60" s="26" t="inlineStr">
        <is>
          <t>Eligible on level (4-yr BS ≈ Bac+4)</t>
        </is>
      </c>
      <c r="Q60" s="25" t="inlineStr">
        <is>
          <t>3/4</t>
        </is>
      </c>
      <c r="R60" s="25" t="inlineStr">
        <is>
          <t>12</t>
        </is>
      </c>
      <c r="S60" s="27" t="n">
        <v>3950</v>
      </c>
      <c r="T60" s="27" t="n">
        <v>628</v>
      </c>
      <c r="U60" s="25" t="n">
        <v>2</v>
      </c>
      <c r="V60" s="27">
        <f>IF(S60="","",S60*U60)</f>
        <v/>
      </c>
      <c r="W60" s="26" t="inlineStr">
        <is>
          <t>Not in catalogue. Public engineering diploma: national rate ~€601-628; many schools charge non-EU up to ~€3,950. Verify.</t>
        </is>
      </c>
      <c r="X60" s="25" t="inlineStr">
        <is>
          <t>Low</t>
        </is>
      </c>
      <c r="Y60" s="25" t="n"/>
      <c r="Z60" s="26" t="n"/>
      <c r="AA60" s="26" t="n"/>
      <c r="AB60" s="25" t="n"/>
      <c r="AC60" s="25" t="inlineStr">
        <is>
          <t>Open</t>
        </is>
      </c>
      <c r="AD60" s="25" t="inlineStr">
        <is>
          <t>2026-10-01</t>
        </is>
      </c>
      <c r="AE60" s="25" t="inlineStr">
        <is>
          <t>2027-03-15</t>
        </is>
      </c>
      <c r="AF60" s="25" t="inlineStr">
        <is>
          <t>Yes</t>
        </is>
      </c>
      <c r="AG60" s="28" t="inlineStr">
        <is>
          <t>https://www.polytech-lille.fr/formation/ingenieur-internet-des-objets-cybersecurite/</t>
        </is>
      </c>
      <c r="AH60" s="26" t="inlineStr">
        <is>
          <t>Les systèmes embarqués connectés sont au cœur de la spécialité « internet des objets et cybersécurité ». Ces systèmes sont présents partout, pour l’agriculture, pour la défense nationale, dans le domaine de la santé, en</t>
        </is>
      </c>
      <c r="AI60" s="28" t="inlineStr">
        <is>
          <t>Open in EEF</t>
        </is>
      </c>
    </row>
    <row r="61" ht="32.8" customHeight="1" s="19">
      <c r="A61" s="25" t="n">
        <v>60</v>
      </c>
      <c r="B61" s="25" t="inlineStr">
        <is>
          <t>★★★★★</t>
        </is>
      </c>
      <c r="C61" s="25" t="inlineStr">
        <is>
          <t>5 – Core fit (embedded/biomedical/health tech)</t>
        </is>
      </c>
      <c r="D61" s="25" t="inlineStr">
        <is>
          <t>Biomedical / Health tech</t>
        </is>
      </c>
      <c r="E61" s="26" t="inlineStr">
        <is>
          <t>diplôme d'ingénieur de l'École polytechnique universitaire de Marseille de l'Université d'Aix-Marseille spécialité génie biomédical</t>
        </is>
      </c>
      <c r="F61" s="26" t="inlineStr">
        <is>
          <t>Engineering diploma of the University Polytechnic School of Marseille of University d'Aix-Marseille – specialisation: Biomedical Engineering</t>
        </is>
      </c>
      <c r="G61" s="25" t="inlineStr">
        <is>
          <t>Diplôme d'ingénieur</t>
        </is>
      </c>
      <c r="H61" s="25" t="inlineStr">
        <is>
          <t>Polytech Marseille</t>
        </is>
      </c>
      <c r="I61" s="25" t="inlineStr">
        <is>
          <t>Groupement Polytech</t>
        </is>
      </c>
      <c r="J61" s="25" t="inlineStr">
        <is>
          <t>Site de Luminy</t>
        </is>
      </c>
      <c r="K61" s="25" t="n"/>
      <c r="L61" s="25" t="inlineStr">
        <is>
          <t>Public school / institute</t>
        </is>
      </c>
      <c r="M61" s="25" t="inlineStr">
        <is>
          <t>French</t>
        </is>
      </c>
      <c r="N61" s="25" t="inlineStr">
        <is>
          <t>General</t>
        </is>
      </c>
      <c r="O61" s="25" t="inlineStr">
        <is>
          <t>Bac +3 / Bac +4</t>
        </is>
      </c>
      <c r="P61" s="26" t="inlineStr">
        <is>
          <t>Eligible on level (4-yr BS ≈ Bac+4)</t>
        </is>
      </c>
      <c r="Q61" s="25" t="inlineStr">
        <is>
          <t>3/4</t>
        </is>
      </c>
      <c r="R61" s="25" t="n"/>
      <c r="S61" s="27" t="n">
        <v>3950</v>
      </c>
      <c r="T61" s="27" t="n">
        <v>628</v>
      </c>
      <c r="U61" s="25" t="n">
        <v>2</v>
      </c>
      <c r="V61" s="27">
        <f>IF(S61="","",S61*U61)</f>
        <v/>
      </c>
      <c r="W61" s="26" t="inlineStr">
        <is>
          <t>Not in catalogue. Public engineering diploma: national rate ~€601-628; many schools charge non-EU up to ~€3,950. Verify.</t>
        </is>
      </c>
      <c r="X61" s="25" t="inlineStr">
        <is>
          <t>Low</t>
        </is>
      </c>
      <c r="Y61" s="25" t="n"/>
      <c r="Z61" s="26" t="n"/>
      <c r="AA61" s="26" t="inlineStr">
        <is>
          <t>AMU 2026-27: limited exemptions (≈1,800 of 5,500 students) – priority to continuing students, conflict zones, excellence scholarships. New master entrants usually pay €3,950.</t>
        </is>
      </c>
      <c r="AB61" s="28" t="inlineStr">
        <is>
          <t>https://www.univ-amu.fr/fr/actualites/aix-marseille-universite-mobilise-pleinement-capacite-dexoneration-continuer-accueillir</t>
        </is>
      </c>
      <c r="AC61" s="25" t="inlineStr">
        <is>
          <t>Open</t>
        </is>
      </c>
      <c r="AD61" s="25" t="inlineStr">
        <is>
          <t>2026-10-01</t>
        </is>
      </c>
      <c r="AE61" s="25" t="inlineStr">
        <is>
          <t>2027-03-15</t>
        </is>
      </c>
      <c r="AF61" s="25" t="inlineStr">
        <is>
          <t>Yes</t>
        </is>
      </c>
      <c r="AG61" s="28" t="inlineStr">
        <is>
          <t>https://polytech.univ-amu.fr/fr/formations/cycle-ingenieur/genie-biomedical</t>
        </is>
      </c>
      <c r="AH61" s="26" t="inlineStr">
        <is>
          <t>Les informations qui suivent, concernent la candidature en cycle ingénieur (diplôme niveau Bac+5) du réseau Polytech. Les candidatures sont possibles : - en 3ème année (1ère année cycle ingénieur) avec un niveau Bac+2/Ba</t>
        </is>
      </c>
      <c r="AI61" s="28" t="inlineStr">
        <is>
          <t>Open in EEF</t>
        </is>
      </c>
    </row>
    <row r="62" ht="32.8" customHeight="1" s="19">
      <c r="A62" s="25" t="n">
        <v>61</v>
      </c>
      <c r="B62" s="25" t="inlineStr">
        <is>
          <t>★★★★★</t>
        </is>
      </c>
      <c r="C62" s="25" t="inlineStr">
        <is>
          <t>5 – Core fit (embedded/biomedical/health tech)</t>
        </is>
      </c>
      <c r="D62" s="25" t="inlineStr">
        <is>
          <t>Embedded systems / Electronics</t>
        </is>
      </c>
      <c r="E62" s="26" t="inlineStr">
        <is>
          <t>diplôme d'ingénieur de l'Ecole polytechnique universitaire de Savoie de l'université de Chambéry spécialité Systèmes embarqués - Automatique (SEA)</t>
        </is>
      </c>
      <c r="F62" s="26" t="inlineStr">
        <is>
          <t>Engineering diploma of the University Polytechnic School of Savoie of University of Chambéry – specialisation: Embedded Systems - Automation (SEA)</t>
        </is>
      </c>
      <c r="G62" s="25" t="inlineStr">
        <is>
          <t>Diplôme d'ingénieur</t>
        </is>
      </c>
      <c r="H62" s="25" t="inlineStr">
        <is>
          <t>Polytech Annecy-Chambéry</t>
        </is>
      </c>
      <c r="I62" s="25" t="inlineStr">
        <is>
          <t>Groupement Polytech</t>
        </is>
      </c>
      <c r="J62" s="25" t="inlineStr">
        <is>
          <t>Site d'Annecy</t>
        </is>
      </c>
      <c r="K62" s="25" t="n"/>
      <c r="L62" s="25" t="inlineStr">
        <is>
          <t>Public school / institute</t>
        </is>
      </c>
      <c r="M62" s="25" t="inlineStr">
        <is>
          <t>French</t>
        </is>
      </c>
      <c r="N62" s="25" t="inlineStr">
        <is>
          <t>General</t>
        </is>
      </c>
      <c r="O62" s="25" t="inlineStr">
        <is>
          <t>Bac +3 / Bac +4</t>
        </is>
      </c>
      <c r="P62" s="26" t="inlineStr">
        <is>
          <t>Eligible on level (4-yr BS ≈ Bac+4)</t>
        </is>
      </c>
      <c r="Q62" s="25" t="inlineStr">
        <is>
          <t>3/4</t>
        </is>
      </c>
      <c r="R62" s="25" t="inlineStr">
        <is>
          <t>12</t>
        </is>
      </c>
      <c r="S62" s="27" t="n">
        <v>3950</v>
      </c>
      <c r="T62" s="27" t="n">
        <v>628</v>
      </c>
      <c r="U62" s="25" t="n">
        <v>2</v>
      </c>
      <c r="V62" s="27">
        <f>IF(S62="","",S62*U62)</f>
        <v/>
      </c>
      <c r="W62" s="26" t="inlineStr">
        <is>
          <t>Not in catalogue. Public engineering diploma: national rate ~€601-628; many schools charge non-EU up to ~€3,950. Verify.</t>
        </is>
      </c>
      <c r="X62" s="25" t="inlineStr">
        <is>
          <t>Low</t>
        </is>
      </c>
      <c r="Y62" s="25" t="n"/>
      <c r="Z62" s="26" t="n"/>
      <c r="AA62" s="26" t="n"/>
      <c r="AB62" s="25" t="n"/>
      <c r="AC62" s="25" t="inlineStr">
        <is>
          <t>Open</t>
        </is>
      </c>
      <c r="AD62" s="25" t="inlineStr">
        <is>
          <t>2026-10-01</t>
        </is>
      </c>
      <c r="AE62" s="25" t="inlineStr">
        <is>
          <t>2027-03-15</t>
        </is>
      </c>
      <c r="AF62" s="25" t="inlineStr">
        <is>
          <t>Yes</t>
        </is>
      </c>
      <c r="AG62" s="28" t="inlineStr">
        <is>
          <t>http://www.polytech.univ-savoie.fr</t>
        </is>
      </c>
      <c r="AH62" s="26" t="inlineStr">
        <is>
          <t>Les informations qui suivent, concernent la candidature en cycle ingénieur (diplôme niveau Bac+5) du réseau Polytech. Les candidatures sont possibles : - en 3ème année (1ère année cycle ingénieur) avec un niveau Bac+2/Ba</t>
        </is>
      </c>
      <c r="AI62" s="28" t="inlineStr">
        <is>
          <t>Open in EEF</t>
        </is>
      </c>
    </row>
    <row r="63" ht="22.35" customHeight="1" s="19">
      <c r="A63" s="25" t="n">
        <v>62</v>
      </c>
      <c r="B63" s="25" t="inlineStr">
        <is>
          <t>★★★★★</t>
        </is>
      </c>
      <c r="C63" s="25" t="inlineStr">
        <is>
          <t>5 – Core fit (embedded/biomedical/health tech)</t>
        </is>
      </c>
      <c r="D63" s="25" t="inlineStr">
        <is>
          <t>Embedded systems / Electronics</t>
        </is>
      </c>
      <c r="E63" s="26" t="inlineStr">
        <is>
          <t>diplôme d'ingénieur de l'Ecole Polytech Paris-Saclay parcours Electronique et Informatique pour l'Embarqué</t>
        </is>
      </c>
      <c r="F63" s="26" t="inlineStr">
        <is>
          <t>Engineering diploma of School Polytech Paris-Saclay – track: Electronics &amp; Computer Science for l'Embarqué</t>
        </is>
      </c>
      <c r="G63" s="25" t="inlineStr">
        <is>
          <t>Diplôme d'ingénieur</t>
        </is>
      </c>
      <c r="H63" s="25" t="inlineStr">
        <is>
          <t>Polytech Paris-Saclay</t>
        </is>
      </c>
      <c r="I63" s="25" t="inlineStr">
        <is>
          <t>Groupement Polytech</t>
        </is>
      </c>
      <c r="J63" s="25" t="inlineStr">
        <is>
          <t>Site d'Orsay</t>
        </is>
      </c>
      <c r="K63" s="25" t="inlineStr">
        <is>
          <t>91400 Orsay</t>
        </is>
      </c>
      <c r="L63" s="25" t="inlineStr">
        <is>
          <t>Public school / institute</t>
        </is>
      </c>
      <c r="M63" s="25" t="inlineStr">
        <is>
          <t>French</t>
        </is>
      </c>
      <c r="N63" s="25" t="inlineStr">
        <is>
          <t>General</t>
        </is>
      </c>
      <c r="O63" s="25" t="inlineStr">
        <is>
          <t>Bac +3 / Bac +4</t>
        </is>
      </c>
      <c r="P63" s="26" t="inlineStr">
        <is>
          <t>Eligible on level (4-yr BS ≈ Bac+4)</t>
        </is>
      </c>
      <c r="Q63" s="25" t="inlineStr">
        <is>
          <t>3/4</t>
        </is>
      </c>
      <c r="R63" s="25" t="inlineStr">
        <is>
          <t>12</t>
        </is>
      </c>
      <c r="S63" s="27" t="n">
        <v>3950</v>
      </c>
      <c r="T63" s="27" t="n">
        <v>628</v>
      </c>
      <c r="U63" s="25" t="n">
        <v>2</v>
      </c>
      <c r="V63" s="27">
        <f>IF(S63="","",S63*U63)</f>
        <v/>
      </c>
      <c r="W63" s="26" t="inlineStr">
        <is>
          <t>Not in catalogue. Public engineering diploma: national rate ~€601-628; many schools charge non-EU up to ~€3,950. Verify.</t>
        </is>
      </c>
      <c r="X63" s="25" t="inlineStr">
        <is>
          <t>Low</t>
        </is>
      </c>
      <c r="Y63" s="25" t="n"/>
      <c r="Z63" s="26" t="n"/>
      <c r="AA63" s="26" t="n"/>
      <c r="AB63" s="25" t="n"/>
      <c r="AC63" s="25" t="inlineStr">
        <is>
          <t>Open</t>
        </is>
      </c>
      <c r="AD63" s="25" t="inlineStr">
        <is>
          <t>2026-10-01</t>
        </is>
      </c>
      <c r="AE63" s="25" t="inlineStr">
        <is>
          <t>2027-03-15</t>
        </is>
      </c>
      <c r="AF63" s="25" t="inlineStr">
        <is>
          <t>Yes</t>
        </is>
      </c>
      <c r="AG63" s="28" t="inlineStr">
        <is>
          <t>https://www.polytech.universite-paris-saclay.fr/formation/electronique-et-informatique-pour-lembarque</t>
        </is>
      </c>
      <c r="AH63" s="26" t="n"/>
      <c r="AI63" s="28" t="inlineStr">
        <is>
          <t>Open in EEF</t>
        </is>
      </c>
    </row>
    <row r="64" ht="22.35" customHeight="1" s="19">
      <c r="A64" s="25" t="n">
        <v>63</v>
      </c>
      <c r="B64" s="25" t="inlineStr">
        <is>
          <t>★★★★★</t>
        </is>
      </c>
      <c r="C64" s="25" t="inlineStr">
        <is>
          <t>5 – Core fit (embedded/biomedical/health tech)</t>
        </is>
      </c>
      <c r="D64" s="25" t="inlineStr">
        <is>
          <t>Biomedical / Health tech</t>
        </is>
      </c>
      <c r="E64" s="26" t="inlineStr">
        <is>
          <t>diplôme d'ingénieur de l'Institut supérieur d'ingénieurs de Franche Comté de l'Université de Besançon spécialité génie biomédical</t>
        </is>
      </c>
      <c r="F64" s="26" t="inlineStr">
        <is>
          <t>Engineering diploma of Institute Higher of Engineers of Franche Comté of University of Besançon – specialisation: Biomedical Engineering</t>
        </is>
      </c>
      <c r="G64" s="25" t="inlineStr">
        <is>
          <t>Diplôme d'ingénieur</t>
        </is>
      </c>
      <c r="H64" s="25" t="inlineStr">
        <is>
          <t>Institut Supérieur d'Ingénieurs de Franche-Comté</t>
        </is>
      </c>
      <c r="I64" s="25" t="inlineStr">
        <is>
          <t>Université Marie et Louis Pasteur</t>
        </is>
      </c>
      <c r="J64" s="25" t="inlineStr">
        <is>
          <t>Site de Besançon</t>
        </is>
      </c>
      <c r="K64" s="25" t="n"/>
      <c r="L64" s="25" t="inlineStr">
        <is>
          <t>Public school / institute</t>
        </is>
      </c>
      <c r="M64" s="25" t="inlineStr">
        <is>
          <t>French</t>
        </is>
      </c>
      <c r="N64" s="25" t="inlineStr">
        <is>
          <t>General</t>
        </is>
      </c>
      <c r="O64" s="25" t="inlineStr">
        <is>
          <t>Bac +3 / Bac +4</t>
        </is>
      </c>
      <c r="P64" s="26" t="inlineStr">
        <is>
          <t>Eligible on level (4-yr BS ≈ Bac+4)</t>
        </is>
      </c>
      <c r="Q64" s="25" t="inlineStr">
        <is>
          <t>1/2</t>
        </is>
      </c>
      <c r="R64" s="25" t="n"/>
      <c r="S64" s="27" t="n">
        <v>3950</v>
      </c>
      <c r="T64" s="27" t="n">
        <v>628</v>
      </c>
      <c r="U64" s="25" t="n">
        <v>2</v>
      </c>
      <c r="V64" s="27">
        <f>IF(S64="","",S64*U64)</f>
        <v/>
      </c>
      <c r="W64" s="26" t="inlineStr">
        <is>
          <t>Not in catalogue. Public engineering diploma: national rate ~€601-628; many schools charge non-EU up to ~€3,950. Verify.</t>
        </is>
      </c>
      <c r="X64" s="25" t="inlineStr">
        <is>
          <t>Low</t>
        </is>
      </c>
      <c r="Y64" s="25" t="n"/>
      <c r="Z64" s="26" t="n"/>
      <c r="AA64" s="26" t="inlineStr">
        <is>
          <t>UMLP: individual exemption requests assessed on personal resources.</t>
        </is>
      </c>
      <c r="AB64" s="28" t="inlineStr">
        <is>
          <t>https://www.umlp.fr/sites/default/files/2026-07-02-page-droits-differencies-vf.pdf</t>
        </is>
      </c>
      <c r="AC64" s="25" t="inlineStr">
        <is>
          <t>Open</t>
        </is>
      </c>
      <c r="AD64" s="25" t="inlineStr">
        <is>
          <t>2026-10-01</t>
        </is>
      </c>
      <c r="AE64" s="25" t="inlineStr">
        <is>
          <t>2027-03-15</t>
        </is>
      </c>
      <c r="AF64" s="25" t="inlineStr">
        <is>
          <t>No</t>
        </is>
      </c>
      <c r="AG64" s="28" t="inlineStr">
        <is>
          <t>http://isifc.univ-fcomte.fr</t>
        </is>
      </c>
      <c r="AH64" s="26" t="inlineStr">
        <is>
          <t>Niveau B2 en français Niveau B1 en anglais Connaissances de bases solides en Mathématiques</t>
        </is>
      </c>
      <c r="AI64" s="28" t="inlineStr">
        <is>
          <t>Open in EEF</t>
        </is>
      </c>
    </row>
    <row r="65" ht="32.8" customHeight="1" s="19">
      <c r="A65" s="25" t="n">
        <v>64</v>
      </c>
      <c r="B65" s="25" t="inlineStr">
        <is>
          <t>★★★★★</t>
        </is>
      </c>
      <c r="C65" s="25" t="inlineStr">
        <is>
          <t>5 – Core fit (embedded/biomedical/health tech)</t>
        </is>
      </c>
      <c r="D65" s="25" t="inlineStr">
        <is>
          <t>Embedded systems / Electronics</t>
        </is>
      </c>
      <c r="E65" s="26" t="inlineStr">
        <is>
          <t>Diplôme d'ingénieur de l'école polytechnique universitaire de l'université d'Orléans, spécialité Génie physique et système embarqués</t>
        </is>
      </c>
      <c r="F65" s="26" t="inlineStr">
        <is>
          <t>Engineering diploma of the University Polytechnic School of University d'Orléans, – specialisation: Engineering Physics &amp; Embedded Systems</t>
        </is>
      </c>
      <c r="G65" s="25" t="inlineStr">
        <is>
          <t>Diplôme d'ingénieur</t>
        </is>
      </c>
      <c r="H65" s="25" t="inlineStr">
        <is>
          <t>Polytech Orléans</t>
        </is>
      </c>
      <c r="I65" s="25" t="inlineStr">
        <is>
          <t>Groupement Polytech</t>
        </is>
      </c>
      <c r="J65" s="25" t="inlineStr">
        <is>
          <t>Site d'Orléans</t>
        </is>
      </c>
      <c r="K65" s="25" t="inlineStr">
        <is>
          <t>45100 Orléans</t>
        </is>
      </c>
      <c r="L65" s="25" t="inlineStr">
        <is>
          <t>Public school / institute</t>
        </is>
      </c>
      <c r="M65" s="25" t="inlineStr">
        <is>
          <t>French</t>
        </is>
      </c>
      <c r="N65" s="25" t="inlineStr">
        <is>
          <t>General</t>
        </is>
      </c>
      <c r="O65" s="25" t="inlineStr">
        <is>
          <t>Bac +3 / Bac +4</t>
        </is>
      </c>
      <c r="P65" s="26" t="inlineStr">
        <is>
          <t>Eligible on level (4-yr BS ≈ Bac+4)</t>
        </is>
      </c>
      <c r="Q65" s="25" t="inlineStr">
        <is>
          <t>3/4</t>
        </is>
      </c>
      <c r="R65" s="25" t="inlineStr">
        <is>
          <t>12</t>
        </is>
      </c>
      <c r="S65" s="27" t="n">
        <v>635</v>
      </c>
      <c r="T65" s="27" t="n"/>
      <c r="U65" s="25" t="n">
        <v>2</v>
      </c>
      <c r="V65" s="27">
        <f>IF(S65="","",S65*U65)</f>
        <v/>
      </c>
      <c r="W65" s="26" t="inlineStr">
        <is>
          <t>Catalogue lists €635 (EU/national rate). Confirm whether non-EU surcharge applies.</t>
        </is>
      </c>
      <c r="X65" s="25" t="inlineStr">
        <is>
          <t>Medium</t>
        </is>
      </c>
      <c r="Y65" s="25" t="inlineStr">
        <is>
          <t>635</t>
        </is>
      </c>
      <c r="Z65" s="26" t="n"/>
      <c r="AA65" s="26" t="n"/>
      <c r="AB65" s="25" t="n"/>
      <c r="AC65" s="25" t="inlineStr">
        <is>
          <t>Open</t>
        </is>
      </c>
      <c r="AD65" s="25" t="inlineStr">
        <is>
          <t>2026-10-01</t>
        </is>
      </c>
      <c r="AE65" s="25" t="inlineStr">
        <is>
          <t>2027-03-15</t>
        </is>
      </c>
      <c r="AF65" s="25" t="inlineStr">
        <is>
          <t>Yes</t>
        </is>
      </c>
      <c r="AG65" s="28" t="inlineStr">
        <is>
          <t>http://www.polytech-orleans.fr</t>
        </is>
      </c>
      <c r="AH65" s="26" t="inlineStr">
        <is>
          <t>Les informations qui suivent, concernent la candidature en cycle ingénieur (diplôme niveau Bac+5) du réseau Polytech. Les candidatures sont possibles : - en 3ème année (1ère année cycle ingénieur) avec un niveau Bac+2/Ba</t>
        </is>
      </c>
      <c r="AI65" s="28" t="inlineStr">
        <is>
          <t>Open in EEF</t>
        </is>
      </c>
    </row>
    <row r="66" ht="32.8" customHeight="1" s="19">
      <c r="A66" s="25" t="n">
        <v>65</v>
      </c>
      <c r="B66" s="25" t="inlineStr">
        <is>
          <t>★★★★★</t>
        </is>
      </c>
      <c r="C66" s="25" t="inlineStr">
        <is>
          <t>5 – Core fit (embedded/biomedical/health tech)</t>
        </is>
      </c>
      <c r="D66" s="25" t="inlineStr">
        <is>
          <t>Embedded systems / Electronics</t>
        </is>
      </c>
      <c r="E66" s="26" t="inlineStr">
        <is>
          <t>diplôme d'ingénieur de l'Ecole nationale supérieure d'ingénieurs de Caen spécialité génie physique et systèmes embarqués</t>
        </is>
      </c>
      <c r="F66" s="26" t="inlineStr">
        <is>
          <t>Engineering diploma of the National Graduate School of Engineers of Caen – specialisation: Engineering Physics &amp; Embedded Systems</t>
        </is>
      </c>
      <c r="G66" s="25" t="inlineStr">
        <is>
          <t>Diplôme d'ingénieur</t>
        </is>
      </c>
      <c r="H66" s="25" t="inlineStr">
        <is>
          <t>Ecole nationale supérieure d'ingénieurs de Caen et centre de recherche</t>
        </is>
      </c>
      <c r="I66" s="25" t="n"/>
      <c r="J66" s="25" t="inlineStr">
        <is>
          <t>Site de Caen</t>
        </is>
      </c>
      <c r="K66" s="25" t="n"/>
      <c r="L66" s="25" t="inlineStr">
        <is>
          <t>Public school / institute</t>
        </is>
      </c>
      <c r="M66" s="25" t="inlineStr">
        <is>
          <t>French</t>
        </is>
      </c>
      <c r="N66" s="25" t="inlineStr">
        <is>
          <t>General</t>
        </is>
      </c>
      <c r="O66" s="25" t="inlineStr">
        <is>
          <t>Bac +3 / Bac +4</t>
        </is>
      </c>
      <c r="P66" s="26" t="inlineStr">
        <is>
          <t>Eligible on level (4-yr BS ≈ Bac+4)</t>
        </is>
      </c>
      <c r="Q66" s="25" t="inlineStr">
        <is>
          <t>1/2</t>
        </is>
      </c>
      <c r="R66" s="25" t="n"/>
      <c r="S66" s="27" t="n">
        <v>3879</v>
      </c>
      <c r="T66" s="27" t="n"/>
      <c r="U66" s="25" t="n">
        <v>2</v>
      </c>
      <c r="V66" s="27">
        <f>IF(S66="","",S66*U66)</f>
        <v/>
      </c>
      <c r="W66" s="26" t="inlineStr">
        <is>
          <t>Catalogue fee €3,879/yr (entered by institution).</t>
        </is>
      </c>
      <c r="X66" s="25" t="inlineStr">
        <is>
          <t>High</t>
        </is>
      </c>
      <c r="Y66" s="25" t="inlineStr">
        <is>
          <t>3941/3879</t>
        </is>
      </c>
      <c r="Z66" s="26" t="n"/>
      <c r="AA66" s="26" t="n"/>
      <c r="AB66" s="25" t="n"/>
      <c r="AC66" s="25" t="inlineStr">
        <is>
          <t>Open</t>
        </is>
      </c>
      <c r="AD66" s="25" t="inlineStr">
        <is>
          <t>2026-10-01</t>
        </is>
      </c>
      <c r="AE66" s="25" t="inlineStr">
        <is>
          <t>2027-03-15</t>
        </is>
      </c>
      <c r="AF66" s="25" t="inlineStr">
        <is>
          <t>Yes</t>
        </is>
      </c>
      <c r="AG66" s="28" t="inlineStr">
        <is>
          <t>https://www.ensicaen.fr/</t>
        </is>
      </c>
      <c r="AH66" s="26" t="inlineStr">
        <is>
          <t>Le candidat doit obligatoirement suivre la procédure d'admission sur dossier de l'ENSICAEN dont le détail se trouve sur le site internet de l'établissement. Dates clés : Téléchargement et ouverture du dépôt des dossiers</t>
        </is>
      </c>
      <c r="AI66" s="28" t="inlineStr">
        <is>
          <t>Open in EEF</t>
        </is>
      </c>
    </row>
    <row r="67" ht="32.8" customHeight="1" s="19">
      <c r="A67" s="25" t="n">
        <v>66</v>
      </c>
      <c r="B67" s="25" t="inlineStr">
        <is>
          <t>★★★★★</t>
        </is>
      </c>
      <c r="C67" s="25" t="inlineStr">
        <is>
          <t>5 – Core fit (embedded/biomedical/health tech)</t>
        </is>
      </c>
      <c r="D67" s="25" t="inlineStr">
        <is>
          <t>Embedded systems / Electronics</t>
        </is>
      </c>
      <c r="E67" s="26" t="inlineStr">
        <is>
          <t>diplôme d'ingénieur de l'Ecole Polytechnique d'Université Côte d'Azur parcours électronique et systèmes embarqués</t>
        </is>
      </c>
      <c r="F67" s="26" t="inlineStr">
        <is>
          <t>Engineering diploma of School Polytechnique of University Côte d'Azur – track: Electronics &amp; Embedded Systems</t>
        </is>
      </c>
      <c r="G67" s="25" t="inlineStr">
        <is>
          <t>Diplôme d'ingénieur</t>
        </is>
      </c>
      <c r="H67" s="25" t="inlineStr">
        <is>
          <t>Polytech Nice-Sophia</t>
        </is>
      </c>
      <c r="I67" s="25" t="inlineStr">
        <is>
          <t>Groupement Polytech</t>
        </is>
      </c>
      <c r="J67" s="25" t="inlineStr">
        <is>
          <t>Site de Biot</t>
        </is>
      </c>
      <c r="K67" s="25" t="n"/>
      <c r="L67" s="25" t="inlineStr">
        <is>
          <t>Public school / institute</t>
        </is>
      </c>
      <c r="M67" s="25" t="inlineStr">
        <is>
          <t>French</t>
        </is>
      </c>
      <c r="N67" s="25" t="inlineStr">
        <is>
          <t>General</t>
        </is>
      </c>
      <c r="O67" s="25" t="inlineStr">
        <is>
          <t>Bac +3 / Bac +4</t>
        </is>
      </c>
      <c r="P67" s="26" t="inlineStr">
        <is>
          <t>Eligible on level (4-yr BS ≈ Bac+4)</t>
        </is>
      </c>
      <c r="Q67" s="25" t="inlineStr">
        <is>
          <t>3/4</t>
        </is>
      </c>
      <c r="R67" s="25" t="inlineStr">
        <is>
          <t>36/24</t>
        </is>
      </c>
      <c r="S67" s="27" t="n">
        <v>3879</v>
      </c>
      <c r="T67" s="27" t="n"/>
      <c r="U67" s="25" t="n">
        <v>2</v>
      </c>
      <c r="V67" s="27">
        <f>IF(S67="","",S67*U67)</f>
        <v/>
      </c>
      <c r="W67" s="26" t="inlineStr">
        <is>
          <t>Catalogue fee €3,879/yr (entered by institution).</t>
        </is>
      </c>
      <c r="X67" s="25" t="inlineStr">
        <is>
          <t>High</t>
        </is>
      </c>
      <c r="Y67" s="25" t="inlineStr">
        <is>
          <t>3879</t>
        </is>
      </c>
      <c r="Z67" s="26" t="n"/>
      <c r="AA67" s="26" t="n"/>
      <c r="AB67" s="25" t="n"/>
      <c r="AC67" s="25" t="inlineStr">
        <is>
          <t>Open</t>
        </is>
      </c>
      <c r="AD67" s="25" t="inlineStr">
        <is>
          <t>2026-10-01</t>
        </is>
      </c>
      <c r="AE67" s="25" t="inlineStr">
        <is>
          <t>2027-03-15</t>
        </is>
      </c>
      <c r="AF67" s="25" t="inlineStr">
        <is>
          <t>Yes</t>
        </is>
      </c>
      <c r="AG67" s="28" t="inlineStr">
        <is>
          <t>https://polytech.univ-cotedazur.fr/</t>
        </is>
      </c>
      <c r="AH67" s="26" t="inlineStr">
        <is>
          <t>Le curriculum de la formation se trouve sur Internet : http://www.polytech.univ-cotedazur.fr/ Frais d'inscription : Etudiants français ou d'un pays de l'union européenne, de l'espace économique européen ou de la Suisse :</t>
        </is>
      </c>
      <c r="AI67" s="28" t="inlineStr">
        <is>
          <t>Open in EEF</t>
        </is>
      </c>
    </row>
    <row r="68" ht="22.35" customHeight="1" s="19">
      <c r="A68" s="25" t="n">
        <v>67</v>
      </c>
      <c r="B68" s="25" t="inlineStr">
        <is>
          <t>★★★★★</t>
        </is>
      </c>
      <c r="C68" s="25" t="inlineStr">
        <is>
          <t>5 – Core fit (embedded/biomedical/health tech)</t>
        </is>
      </c>
      <c r="D68" s="25" t="inlineStr">
        <is>
          <t>Embedded systems / Electronics</t>
        </is>
      </c>
      <c r="E68" s="26" t="inlineStr">
        <is>
          <t>Diplôme d'ingénieur de l'Ecole Polytechnique de l'Université Clermont Auvergne parcours Systèmes Embarqués, Energie Electrique et Robotique</t>
        </is>
      </c>
      <c r="F68" s="26" t="inlineStr">
        <is>
          <t>Engineering diploma of School Polytechnique of University Clermont Auvergne – track: Embedded Systems, Energy Electrical &amp; Robotics</t>
        </is>
      </c>
      <c r="G68" s="25" t="inlineStr">
        <is>
          <t>Diplôme d'ingénieur</t>
        </is>
      </c>
      <c r="H68" s="25" t="inlineStr">
        <is>
          <t>Polytech Clermont</t>
        </is>
      </c>
      <c r="I68" s="25" t="inlineStr">
        <is>
          <t>Groupement Polytech</t>
        </is>
      </c>
      <c r="J68" s="25" t="inlineStr">
        <is>
          <t>Clermont-Ferrand (Campus des Cézeaux - AUBIERE)</t>
        </is>
      </c>
      <c r="K68" s="25" t="inlineStr">
        <is>
          <t>63178 AUBIERE CEDEX FRANCE</t>
        </is>
      </c>
      <c r="L68" s="25" t="inlineStr">
        <is>
          <t>Public school / institute</t>
        </is>
      </c>
      <c r="M68" s="25" t="inlineStr">
        <is>
          <t>French</t>
        </is>
      </c>
      <c r="N68" s="25" t="inlineStr">
        <is>
          <t>General</t>
        </is>
      </c>
      <c r="O68" s="25" t="inlineStr">
        <is>
          <t>Bac +3 / Bac +4 / Bac +5</t>
        </is>
      </c>
      <c r="P68" s="26" t="inlineStr">
        <is>
          <t>Eligible on level (4-yr BS ≈ Bac+4)</t>
        </is>
      </c>
      <c r="Q68" s="25" t="inlineStr">
        <is>
          <t>3/4/5</t>
        </is>
      </c>
      <c r="R68" s="25" t="inlineStr">
        <is>
          <t>12</t>
        </is>
      </c>
      <c r="S68" s="27" t="n">
        <v>3879</v>
      </c>
      <c r="T68" s="27" t="n"/>
      <c r="U68" s="25" t="n">
        <v>2</v>
      </c>
      <c r="V68" s="27">
        <f>IF(S68="","",S68*U68)</f>
        <v/>
      </c>
      <c r="W68" s="26" t="inlineStr">
        <is>
          <t>Catalogue fee €3,879/yr (entered by institution).</t>
        </is>
      </c>
      <c r="X68" s="25" t="inlineStr">
        <is>
          <t>High</t>
        </is>
      </c>
      <c r="Y68" s="25" t="inlineStr">
        <is>
          <t>3879</t>
        </is>
      </c>
      <c r="Z68" s="26" t="n"/>
      <c r="AA68" s="26" t="inlineStr">
        <is>
          <t>UCA board (Dec 2025) kept its partial-exemption framework for 2026-27 (pre-decree; re-check).</t>
        </is>
      </c>
      <c r="AB68" s="28" t="inlineStr">
        <is>
          <t>https://www.uca.fr/medias/fichier/delib-ca-20251205-15-tarifs-differencies_1765204050111-pdf</t>
        </is>
      </c>
      <c r="AC68" s="25" t="inlineStr">
        <is>
          <t>Open</t>
        </is>
      </c>
      <c r="AD68" s="25" t="inlineStr">
        <is>
          <t>2026-10-01</t>
        </is>
      </c>
      <c r="AE68" s="25" t="inlineStr">
        <is>
          <t>2027-03-15</t>
        </is>
      </c>
      <c r="AF68" s="25" t="inlineStr">
        <is>
          <t>Yes</t>
        </is>
      </c>
      <c r="AG68" s="28" t="inlineStr">
        <is>
          <t>http://www.polytech-clermont.fr</t>
        </is>
      </c>
      <c r="AH68" s="26" t="n"/>
      <c r="AI68" s="28" t="inlineStr">
        <is>
          <t>Open in EEF</t>
        </is>
      </c>
    </row>
    <row r="69" ht="32.8" customHeight="1" s="19">
      <c r="A69" s="25" t="n">
        <v>68</v>
      </c>
      <c r="B69" s="25" t="inlineStr">
        <is>
          <t>★★★★★</t>
        </is>
      </c>
      <c r="C69" s="25" t="inlineStr">
        <is>
          <t>5 – Core fit (embedded/biomedical/health tech)</t>
        </is>
      </c>
      <c r="D69" s="25" t="inlineStr">
        <is>
          <t>Embedded systems / Electronics</t>
        </is>
      </c>
      <c r="E69" s="26" t="inlineStr">
        <is>
          <t>diplôme d'ingénieur de l'Ecole polytechnique de l'université Grenoble Alpes parcours informatique et électronique des systèmes embarqués</t>
        </is>
      </c>
      <c r="F69" s="26" t="inlineStr">
        <is>
          <t>Engineering diploma of School polytechnique of University Grenoble Alpes – track: Computer Science &amp; Electronics of Embedded Systems</t>
        </is>
      </c>
      <c r="G69" s="25" t="inlineStr">
        <is>
          <t>Diplôme d'ingénieur</t>
        </is>
      </c>
      <c r="H69" s="25" t="inlineStr">
        <is>
          <t>Polytech Grenoble</t>
        </is>
      </c>
      <c r="I69" s="25" t="inlineStr">
        <is>
          <t>Groupement Polytech</t>
        </is>
      </c>
      <c r="J69" s="25" t="inlineStr">
        <is>
          <t>Site de Grenoble</t>
        </is>
      </c>
      <c r="K69" s="25" t="n"/>
      <c r="L69" s="25" t="inlineStr">
        <is>
          <t>Public school / institute</t>
        </is>
      </c>
      <c r="M69" s="25" t="inlineStr">
        <is>
          <t>French</t>
        </is>
      </c>
      <c r="N69" s="25" t="inlineStr">
        <is>
          <t>General</t>
        </is>
      </c>
      <c r="O69" s="25" t="inlineStr">
        <is>
          <t>Bac +3 / Bac +4</t>
        </is>
      </c>
      <c r="P69" s="26" t="inlineStr">
        <is>
          <t>Eligible on level (4-yr BS ≈ Bac+4)</t>
        </is>
      </c>
      <c r="Q69" s="25" t="inlineStr">
        <is>
          <t>3/4</t>
        </is>
      </c>
      <c r="R69" s="25" t="inlineStr">
        <is>
          <t>12</t>
        </is>
      </c>
      <c r="S69" s="27" t="n">
        <v>3950</v>
      </c>
      <c r="T69" s="27" t="n"/>
      <c r="U69" s="25" t="n">
        <v>2</v>
      </c>
      <c r="V69" s="27">
        <f>IF(S69="","",S69*U69)</f>
        <v/>
      </c>
      <c r="W69" s="26" t="inlineStr">
        <is>
          <t>Catalogue fee €3,950/yr (entered by institution).</t>
        </is>
      </c>
      <c r="X69" s="25" t="inlineStr">
        <is>
          <t>High</t>
        </is>
      </c>
      <c r="Y69" s="25" t="inlineStr">
        <is>
          <t>3950</t>
        </is>
      </c>
      <c r="Z69" s="26" t="n"/>
      <c r="AA69" s="26" t="inlineStr">
        <is>
          <t>UGA (incl. Grenoble INP masters): 2026-27 broad exemptions on request (pay national €254). From 2027-28 the decree caps apply; exemptions based on resources.</t>
        </is>
      </c>
      <c r="AB69" s="28" t="inlineStr">
        <is>
          <t>https://www.univ-grenoble-alpes.fr/actualites/a-la-une/actualites-universite/etudiants-internationaux-ce-que-change-le-nouveau-decret-sur-les-droits-d-inscription-a-l-uga-1775870.kjsp</t>
        </is>
      </c>
      <c r="AC69" s="25" t="inlineStr">
        <is>
          <t>Open</t>
        </is>
      </c>
      <c r="AD69" s="25" t="inlineStr">
        <is>
          <t>2026-10-01</t>
        </is>
      </c>
      <c r="AE69" s="25" t="inlineStr">
        <is>
          <t>2027-03-15</t>
        </is>
      </c>
      <c r="AF69" s="25" t="inlineStr">
        <is>
          <t>Yes</t>
        </is>
      </c>
      <c r="AG69" s="28" t="inlineStr">
        <is>
          <t>https://polytech.grenoble-inp.fr/</t>
        </is>
      </c>
      <c r="AH69" s="26" t="inlineStr">
        <is>
          <t>Les informations qui suivent, concernent la candidature en cycle ingénieur (diplôme niveau Bac+5) du réseau Polytech. Les candidatures possibles - en 3ème année (1ère année cycle ingénieur) avec un niveau Bac+2/Bac+3 . -</t>
        </is>
      </c>
      <c r="AI69" s="28" t="inlineStr">
        <is>
          <t>Open in EEF</t>
        </is>
      </c>
    </row>
    <row r="70" ht="32.8" customHeight="1" s="19">
      <c r="A70" s="25" t="n">
        <v>69</v>
      </c>
      <c r="B70" s="25" t="inlineStr">
        <is>
          <t>★★★★★</t>
        </is>
      </c>
      <c r="C70" s="25" t="inlineStr">
        <is>
          <t>5 – Core fit (embedded/biomedical/health tech)</t>
        </is>
      </c>
      <c r="D70" s="25" t="inlineStr">
        <is>
          <t>Biomedical / Health tech</t>
        </is>
      </c>
      <c r="E70" s="26" t="inlineStr">
        <is>
          <t>diplôme d'ingénieur de l'École polytechnique universitaire de l'Université Lyon I spécialité génie biomédical</t>
        </is>
      </c>
      <c r="F70" s="26" t="inlineStr">
        <is>
          <t>Engineering diploma of the University Polytechnic School of University Lyon I – specialisation: Biomedical Engineering</t>
        </is>
      </c>
      <c r="G70" s="25" t="inlineStr">
        <is>
          <t>Diplôme d'ingénieur</t>
        </is>
      </c>
      <c r="H70" s="25" t="inlineStr">
        <is>
          <t>Polytech Lyon</t>
        </is>
      </c>
      <c r="I70" s="25" t="inlineStr">
        <is>
          <t>Groupement Polytech</t>
        </is>
      </c>
      <c r="J70" s="25" t="inlineStr">
        <is>
          <t>Site de Villeurbanne</t>
        </is>
      </c>
      <c r="K70" s="25" t="n"/>
      <c r="L70" s="25" t="inlineStr">
        <is>
          <t>Public school / institute</t>
        </is>
      </c>
      <c r="M70" s="25" t="inlineStr">
        <is>
          <t>French</t>
        </is>
      </c>
      <c r="N70" s="25" t="inlineStr">
        <is>
          <t>General</t>
        </is>
      </c>
      <c r="O70" s="25" t="inlineStr">
        <is>
          <t>Bac +3 / Bac +4</t>
        </is>
      </c>
      <c r="P70" s="26" t="inlineStr">
        <is>
          <t>Eligible on level (4-yr BS ≈ Bac+4)</t>
        </is>
      </c>
      <c r="Q70" s="25" t="inlineStr">
        <is>
          <t>3/4</t>
        </is>
      </c>
      <c r="R70" s="25" t="inlineStr">
        <is>
          <t>12</t>
        </is>
      </c>
      <c r="S70" s="27" t="n">
        <v>3950</v>
      </c>
      <c r="T70" s="27" t="n"/>
      <c r="U70" s="25" t="n">
        <v>2</v>
      </c>
      <c r="V70" s="27">
        <f>IF(S70="","",S70*U70)</f>
        <v/>
      </c>
      <c r="W70" s="26" t="inlineStr">
        <is>
          <t>Catalogue fee €3,950/yr (entered by institution).</t>
        </is>
      </c>
      <c r="X70" s="25" t="inlineStr">
        <is>
          <t>High</t>
        </is>
      </c>
      <c r="Y70" s="25" t="inlineStr">
        <is>
          <t>3950</t>
        </is>
      </c>
      <c r="Z70" s="26" t="n"/>
      <c r="AA70" s="26" t="n"/>
      <c r="AB70" s="25" t="n"/>
      <c r="AC70" s="25" t="inlineStr">
        <is>
          <t>Open</t>
        </is>
      </c>
      <c r="AD70" s="25" t="inlineStr">
        <is>
          <t>2026-10-01</t>
        </is>
      </c>
      <c r="AE70" s="25" t="inlineStr">
        <is>
          <t>2027-03-15</t>
        </is>
      </c>
      <c r="AF70" s="25" t="inlineStr">
        <is>
          <t>Yes</t>
        </is>
      </c>
      <c r="AG70" s="28" t="inlineStr">
        <is>
          <t>http://polytech.univ-lyon1.fr</t>
        </is>
      </c>
      <c r="AH70" s="26" t="inlineStr">
        <is>
          <t>Les informations qui suivent, concernent la candidature en cycle ingénieur (diplôme niveau Bac+5 ) du réseau Polytech. Les candidatures sont possibles : - en 3ème année (1ère année cycle ingénieur) avec un niveau Bac+2/B</t>
        </is>
      </c>
      <c r="AI70" s="28" t="inlineStr">
        <is>
          <t>Open in EEF</t>
        </is>
      </c>
    </row>
    <row r="71" ht="32.8" customHeight="1" s="19">
      <c r="A71" s="25" t="n">
        <v>70</v>
      </c>
      <c r="B71" s="25" t="inlineStr">
        <is>
          <t>★★★★★</t>
        </is>
      </c>
      <c r="C71" s="25" t="inlineStr">
        <is>
          <t>5 – Core fit (embedded/biomedical/health tech)</t>
        </is>
      </c>
      <c r="D71" s="25" t="inlineStr">
        <is>
          <t>Cybersecurity</t>
        </is>
      </c>
      <c r="E71" s="26" t="inlineStr">
        <is>
          <t>Master of science Cyber-Physical Social Systems</t>
        </is>
      </c>
      <c r="F71" s="26" t="inlineStr">
        <is>
          <t>Master of science Cyber-Physical Social Systems</t>
        </is>
      </c>
      <c r="G71" s="25" t="inlineStr">
        <is>
          <t>Master of Science (MSc)</t>
        </is>
      </c>
      <c r="H71" s="25" t="inlineStr">
        <is>
          <t>Ecole nationale supérieure des mines de Saint-Etienne</t>
        </is>
      </c>
      <c r="I71" s="25" t="n"/>
      <c r="J71" s="25" t="inlineStr">
        <is>
          <t>Site de Saint-Etienne</t>
        </is>
      </c>
      <c r="K71" s="25" t="n"/>
      <c r="L71" s="25" t="inlineStr">
        <is>
          <t>Public school / institute</t>
        </is>
      </c>
      <c r="M71" s="25" t="inlineStr">
        <is>
          <t>English</t>
        </is>
      </c>
      <c r="N71" s="25" t="inlineStr">
        <is>
          <t>Taught in English</t>
        </is>
      </c>
      <c r="O71" s="25" t="inlineStr">
        <is>
          <t>Bac +4</t>
        </is>
      </c>
      <c r="P71" s="26" t="inlineStr">
        <is>
          <t>Eligible on level (4-yr BS ≈ Bac+4)</t>
        </is>
      </c>
      <c r="Q71" s="25" t="inlineStr">
        <is>
          <t>1</t>
        </is>
      </c>
      <c r="R71" s="25" t="inlineStr">
        <is>
          <t>24</t>
        </is>
      </c>
      <c r="S71" s="27" t="n">
        <v>4150</v>
      </c>
      <c r="T71" s="27" t="n"/>
      <c r="U71" s="25" t="n">
        <v>2</v>
      </c>
      <c r="V71" s="27">
        <f>IF(S71="","",S71*U71)</f>
        <v/>
      </c>
      <c r="W71" s="26" t="inlineStr">
        <is>
          <t>Not in catalogue. Mastersportal lists €4,150/yr for Mines Saint-Étienne MSc (verify with school).</t>
        </is>
      </c>
      <c r="X71" s="25" t="inlineStr">
        <is>
          <t>Low</t>
        </is>
      </c>
      <c r="Y71" s="25" t="n"/>
      <c r="Z71" s="26" t="n"/>
      <c r="AA71" s="26" t="n"/>
      <c r="AB71" s="25" t="n"/>
      <c r="AC71" s="25" t="inlineStr">
        <is>
          <t>Open</t>
        </is>
      </c>
      <c r="AD71" s="25" t="inlineStr">
        <is>
          <t>2026-10-01</t>
        </is>
      </c>
      <c r="AE71" s="25" t="inlineStr">
        <is>
          <t>2027-03-15</t>
        </is>
      </c>
      <c r="AF71" s="25" t="inlineStr">
        <is>
          <t>Yes</t>
        </is>
      </c>
      <c r="AG71" s="28" t="inlineStr">
        <is>
          <t>https://www.mines-stetienne.fr/en/academic/msc-cyber-physical-social-systems-cps2/</t>
        </is>
      </c>
      <c r="AH71" s="26" t="inlineStr">
        <is>
          <t>Applicants with at least a Bachelor degree level (180 ECTS) or M1 degree level (240 ECTS) in computer science or equivalent are invited to apply. A good command of English is mandatory. International students’ applicatio</t>
        </is>
      </c>
      <c r="AI71" s="28" t="inlineStr">
        <is>
          <t>Open in EEF</t>
        </is>
      </c>
    </row>
    <row r="72" ht="32.8" customHeight="1" s="19">
      <c r="A72" s="25" t="n">
        <v>71</v>
      </c>
      <c r="B72" s="25" t="inlineStr">
        <is>
          <t>★★★★★</t>
        </is>
      </c>
      <c r="C72" s="25" t="inlineStr">
        <is>
          <t>5 – Core fit (embedded/biomedical/health tech)</t>
        </is>
      </c>
      <c r="D72" s="25" t="inlineStr">
        <is>
          <t>Cybersecurity</t>
        </is>
      </c>
      <c r="E72" s="26" t="inlineStr">
        <is>
          <t>Master indifférencié (recherche et professionnel) Sciences, technologies, santé mention informatique parcours Master of science Cyber-Physical Social Systems</t>
        </is>
      </c>
      <c r="F72" s="26" t="inlineStr">
        <is>
          <t>Science, Technology, Health (STS) – major: Computer Science – track: Master of Science Cyber-Physical Social Systems</t>
        </is>
      </c>
      <c r="G72" s="25" t="inlineStr">
        <is>
          <t>Master indifférencié (recherche et professionnel)</t>
        </is>
      </c>
      <c r="H72" s="25" t="inlineStr">
        <is>
          <t>Ecole nationale supérieure des mines de Saint-Etienne</t>
        </is>
      </c>
      <c r="I72" s="25" t="n"/>
      <c r="J72" s="25" t="inlineStr">
        <is>
          <t>Site de Saint-Etienne</t>
        </is>
      </c>
      <c r="K72" s="25" t="n"/>
      <c r="L72" s="25" t="inlineStr">
        <is>
          <t>Public school / institute</t>
        </is>
      </c>
      <c r="M72" s="25" t="inlineStr">
        <is>
          <t>French</t>
        </is>
      </c>
      <c r="N72" s="25" t="inlineStr">
        <is>
          <t>General</t>
        </is>
      </c>
      <c r="O72" s="25" t="inlineStr">
        <is>
          <t>Bac +4 / Bac +5</t>
        </is>
      </c>
      <c r="P72" s="26" t="inlineStr">
        <is>
          <t>Eligible on level (4-yr BS ≈ Bac+4)</t>
        </is>
      </c>
      <c r="Q72" s="25" t="inlineStr">
        <is>
          <t>1/2</t>
        </is>
      </c>
      <c r="R72" s="25" t="inlineStr">
        <is>
          <t>24/12</t>
        </is>
      </c>
      <c r="S72" s="27" t="n">
        <v>4150</v>
      </c>
      <c r="T72" s="27" t="n"/>
      <c r="U72" s="25" t="n">
        <v>2</v>
      </c>
      <c r="V72" s="27">
        <f>IF(S72="","",S72*U72)</f>
        <v/>
      </c>
      <c r="W72" s="26" t="inlineStr">
        <is>
          <t>Not in catalogue. Mastersportal lists €4,150/yr for Mines Saint-Étienne MSc (verify with school).</t>
        </is>
      </c>
      <c r="X72" s="25" t="inlineStr">
        <is>
          <t>Low</t>
        </is>
      </c>
      <c r="Y72" s="25" t="n"/>
      <c r="Z72" s="26" t="n"/>
      <c r="AA72" s="26" t="n"/>
      <c r="AB72" s="25" t="n"/>
      <c r="AC72" s="25" t="inlineStr">
        <is>
          <t>Open</t>
        </is>
      </c>
      <c r="AD72" s="25" t="inlineStr">
        <is>
          <t>2026-10-01</t>
        </is>
      </c>
      <c r="AE72" s="25" t="inlineStr">
        <is>
          <t>2027-03-15</t>
        </is>
      </c>
      <c r="AF72" s="25" t="inlineStr">
        <is>
          <t>Yes</t>
        </is>
      </c>
      <c r="AG72" s="25" t="n"/>
      <c r="AH72" s="26" t="n"/>
      <c r="AI72" s="28" t="inlineStr">
        <is>
          <t>Open in EEF</t>
        </is>
      </c>
    </row>
    <row r="73" ht="15" customHeight="1" s="19">
      <c r="A73" s="25" t="n">
        <v>72</v>
      </c>
      <c r="B73" s="25" t="inlineStr">
        <is>
          <t>★★★★★</t>
        </is>
      </c>
      <c r="C73" s="25" t="inlineStr">
        <is>
          <t>5 – Core fit (embedded/biomedical/health tech)</t>
        </is>
      </c>
      <c r="D73" s="25" t="inlineStr">
        <is>
          <t>Biomedical / Health tech</t>
        </is>
      </c>
      <c r="E73" s="26" t="inlineStr">
        <is>
          <t>Master BioMedical Engineering</t>
        </is>
      </c>
      <c r="F73" s="26" t="inlineStr">
        <is>
          <t>Master BioMedical Engineering</t>
        </is>
      </c>
      <c r="G73" s="25" t="inlineStr">
        <is>
          <t>Master indifférencié (recherche et professionnel)</t>
        </is>
      </c>
      <c r="H73" s="25" t="inlineStr">
        <is>
          <t>Institut Supérieur d'Ingénieurs de Franche-Comté</t>
        </is>
      </c>
      <c r="I73" s="25" t="inlineStr">
        <is>
          <t>Université Marie et Louis Pasteur</t>
        </is>
      </c>
      <c r="J73" s="25" t="inlineStr">
        <is>
          <t>Site de Besançon</t>
        </is>
      </c>
      <c r="K73" s="25" t="n"/>
      <c r="L73" s="25" t="inlineStr">
        <is>
          <t>Public school / institute</t>
        </is>
      </c>
      <c r="M73" s="25" t="inlineStr">
        <is>
          <t>English</t>
        </is>
      </c>
      <c r="N73" s="25" t="inlineStr">
        <is>
          <t>General</t>
        </is>
      </c>
      <c r="O73" s="25" t="inlineStr">
        <is>
          <t>Bac +4 / Bac +5</t>
        </is>
      </c>
      <c r="P73" s="26" t="inlineStr">
        <is>
          <t>Eligible on level (4-yr BS ≈ Bac+4)</t>
        </is>
      </c>
      <c r="Q73" s="25" t="inlineStr">
        <is>
          <t>1/2</t>
        </is>
      </c>
      <c r="R73" s="25" t="n"/>
      <c r="S73" s="27" t="n">
        <v>5000</v>
      </c>
      <c r="T73" s="27" t="n"/>
      <c r="U73" s="25" t="n">
        <v>2</v>
      </c>
      <c r="V73" s="27">
        <f>IF(S73="","",S73*U73)</f>
        <v/>
      </c>
      <c r="W73" s="26" t="inlineStr">
        <is>
          <t>Catalogue fee €5,000/yr (entered by institution).</t>
        </is>
      </c>
      <c r="X73" s="25" t="inlineStr">
        <is>
          <t>High</t>
        </is>
      </c>
      <c r="Y73" s="25" t="inlineStr">
        <is>
          <t>5000</t>
        </is>
      </c>
      <c r="Z73" s="26" t="n"/>
      <c r="AA73" s="26" t="inlineStr">
        <is>
          <t>UMLP: individual exemption requests assessed on personal resources.</t>
        </is>
      </c>
      <c r="AB73" s="28" t="inlineStr">
        <is>
          <t>https://www.umlp.fr/sites/default/files/2026-07-02-page-droits-differencies-vf.pdf</t>
        </is>
      </c>
      <c r="AC73" s="25" t="inlineStr">
        <is>
          <t>Open</t>
        </is>
      </c>
      <c r="AD73" s="25" t="inlineStr">
        <is>
          <t>2026-10-01</t>
        </is>
      </c>
      <c r="AE73" s="25" t="inlineStr">
        <is>
          <t>2027-03-15</t>
        </is>
      </c>
      <c r="AF73" s="25" t="inlineStr">
        <is>
          <t>Yes</t>
        </is>
      </c>
      <c r="AG73" s="28" t="inlineStr">
        <is>
          <t>http://isifc.univ-fcomte.fr</t>
        </is>
      </c>
      <c r="AH73" s="26" t="n"/>
      <c r="AI73" s="28" t="inlineStr">
        <is>
          <t>Open in EEF</t>
        </is>
      </c>
    </row>
    <row r="74" ht="32.8" customHeight="1" s="19">
      <c r="A74" s="25" t="n">
        <v>73</v>
      </c>
      <c r="B74" s="25" t="inlineStr">
        <is>
          <t>★★★★☆</t>
        </is>
      </c>
      <c r="C74" s="25" t="inlineStr">
        <is>
          <t>4 – Strong fit (electronics/signal/robotics/IoT/sensors)</t>
        </is>
      </c>
      <c r="D74" s="25" t="inlineStr">
        <is>
          <t>Signal / Image / Vision</t>
        </is>
      </c>
      <c r="E74" s="26" t="inlineStr">
        <is>
          <t>Master Sciences, technologies, santé, Optique, image, vision, mutlimédia</t>
        </is>
      </c>
      <c r="F74" s="26" t="inlineStr">
        <is>
          <t>Master Science, Technology, Health (STS), Optics, Image, Vision, Multimedia</t>
        </is>
      </c>
      <c r="G74" s="25" t="inlineStr">
        <is>
          <t>Master indifférencié (recherche et professionnel)</t>
        </is>
      </c>
      <c r="H74" s="25" t="inlineStr">
        <is>
          <t>UFR des sciences et technologie</t>
        </is>
      </c>
      <c r="I74" s="25" t="inlineStr">
        <is>
          <t>Université Paris-Est Créteil Val-de-Marne</t>
        </is>
      </c>
      <c r="J74" s="25" t="inlineStr">
        <is>
          <t>Site de Créteil</t>
        </is>
      </c>
      <c r="K74" s="25" t="n"/>
      <c r="L74" s="25" t="inlineStr">
        <is>
          <t>Public university</t>
        </is>
      </c>
      <c r="M74" s="25" t="inlineStr">
        <is>
          <t>French</t>
        </is>
      </c>
      <c r="N74" s="25" t="inlineStr">
        <is>
          <t>General</t>
        </is>
      </c>
      <c r="O74" s="25" t="inlineStr">
        <is>
          <t>Bac +4</t>
        </is>
      </c>
      <c r="P74" s="26" t="inlineStr">
        <is>
          <t>Eligible on level (4-yr BS ≈ Bac+4)</t>
        </is>
      </c>
      <c r="Q74" s="25" t="inlineStr">
        <is>
          <t>1</t>
        </is>
      </c>
      <c r="R74" s="25" t="inlineStr">
        <is>
          <t>11</t>
        </is>
      </c>
      <c r="S74" s="27" t="n">
        <v>254</v>
      </c>
      <c r="T74" s="27" t="n"/>
      <c r="U74" s="25" t="n">
        <v>2</v>
      </c>
      <c r="V74" s="27">
        <f>IF(S74="","",S74*U74)</f>
        <v/>
      </c>
      <c r="W74" s="26" t="inlineStr">
        <is>
          <t>Catalogue lists €254 (EU/national rate). Confirm whether non-EU surcharge applies.</t>
        </is>
      </c>
      <c r="X74" s="25" t="inlineStr">
        <is>
          <t>Medium</t>
        </is>
      </c>
      <c r="Y74" s="25" t="inlineStr">
        <is>
          <t>254</t>
        </is>
      </c>
      <c r="Z74" s="26" t="n"/>
      <c r="AA74" s="26" t="n"/>
      <c r="AB74" s="25" t="n"/>
      <c r="AC74" s="25" t="inlineStr">
        <is>
          <t>Open</t>
        </is>
      </c>
      <c r="AD74" s="25" t="inlineStr">
        <is>
          <t>2026-10-01</t>
        </is>
      </c>
      <c r="AE74" s="25" t="inlineStr">
        <is>
          <t>2027-03-15</t>
        </is>
      </c>
      <c r="AF74" s="25" t="inlineStr">
        <is>
          <t>No</t>
        </is>
      </c>
      <c r="AG74" s="28" t="inlineStr">
        <is>
          <t>http://sciences-tech.u-pec.fr</t>
        </is>
      </c>
      <c r="AH74" s="26" t="inlineStr">
        <is>
          <t>C2 ( C1 si anglophone) Etre titulaire d'une licence en Sciences pour l'Ingénieur avec de bons résultats en Mathématiques, Programmation et Data Science Bonjour Tout recours doit se faire par mail à l’adresse suivante : R</t>
        </is>
      </c>
      <c r="AI74" s="28" t="inlineStr">
        <is>
          <t>Open in EEF</t>
        </is>
      </c>
    </row>
    <row r="75" ht="32.8" customHeight="1" s="19">
      <c r="A75" s="25" t="n">
        <v>74</v>
      </c>
      <c r="B75" s="25" t="inlineStr">
        <is>
          <t>★★★★☆</t>
        </is>
      </c>
      <c r="C75" s="25" t="inlineStr">
        <is>
          <t>4 – Strong fit (electronics/signal/robotics/IoT/sensors)</t>
        </is>
      </c>
      <c r="D75" s="25" t="inlineStr">
        <is>
          <t>Robotics / Automation / Mechatronics</t>
        </is>
      </c>
      <c r="E75" s="26" t="inlineStr">
        <is>
          <t>Master indifférencié (recherche et professionnel) mention Automatique et Systèmes Électriques1 parcours Energie électrique et développement durable / electrical engineering for sustainable development.</t>
        </is>
      </c>
      <c r="F75" s="26" t="inlineStr">
        <is>
          <t>major: Automation &amp; Systems Electrical1 – track: Energy Electrical &amp; Development Sustainable / electrical engineering for sustainable development.</t>
        </is>
      </c>
      <c r="G75" s="25" t="inlineStr">
        <is>
          <t>Master indifférencié (recherche et professionnel)</t>
        </is>
      </c>
      <c r="H75" s="25" t="inlineStr">
        <is>
          <t>Faculté des sciences et technologies</t>
        </is>
      </c>
      <c r="I75" s="25" t="inlineStr">
        <is>
          <t>Université de Lille</t>
        </is>
      </c>
      <c r="J75" s="25" t="inlineStr">
        <is>
          <t>Département Electronique, électrotechnique et automatique</t>
        </is>
      </c>
      <c r="K75" s="25" t="n"/>
      <c r="L75" s="25" t="inlineStr">
        <is>
          <t>Public university</t>
        </is>
      </c>
      <c r="M75" s="25" t="inlineStr">
        <is>
          <t>English</t>
        </is>
      </c>
      <c r="N75" s="25" t="inlineStr">
        <is>
          <t>Taught in English</t>
        </is>
      </c>
      <c r="O75" s="25" t="inlineStr">
        <is>
          <t>Bac +4 / Bac +5</t>
        </is>
      </c>
      <c r="P75" s="26" t="inlineStr">
        <is>
          <t>Eligible on level (4-yr BS ≈ Bac+4)</t>
        </is>
      </c>
      <c r="Q75" s="25" t="inlineStr">
        <is>
          <t>1/2</t>
        </is>
      </c>
      <c r="R75" s="25" t="inlineStr">
        <is>
          <t>12</t>
        </is>
      </c>
      <c r="S75" s="27" t="n">
        <v>255</v>
      </c>
      <c r="T75" s="27" t="n"/>
      <c r="U75" s="25" t="n">
        <v>2</v>
      </c>
      <c r="V75" s="27">
        <f>IF(S75="","",S75*U75)</f>
        <v/>
      </c>
      <c r="W75" s="26" t="inlineStr">
        <is>
          <t>Catalogue lists €255 (EU/national rate). Confirm whether non-EU surcharge applies.</t>
        </is>
      </c>
      <c r="X75" s="25" t="inlineStr">
        <is>
          <t>Medium</t>
        </is>
      </c>
      <c r="Y75" s="25" t="inlineStr">
        <is>
          <t>255/3950</t>
        </is>
      </c>
      <c r="Z75" s="26" t="n"/>
      <c r="AA75" s="26" t="inlineStr">
        <is>
          <t>Lille opposed the decree; continues exemptions for part of non-EU students (master €254 if exempted). Apply for exemption early.</t>
        </is>
      </c>
      <c r="AB75" s="28" t="inlineStr">
        <is>
          <t>https://observalgerie.com/2026/06/13/misc/frais-dinscription-en-france-lille-maintient-un-avantage-pour-les-etudiants-etrangers/</t>
        </is>
      </c>
      <c r="AC75" s="25" t="inlineStr">
        <is>
          <t>Open</t>
        </is>
      </c>
      <c r="AD75" s="25" t="inlineStr">
        <is>
          <t>2026-10-01</t>
        </is>
      </c>
      <c r="AE75" s="25" t="inlineStr">
        <is>
          <t>2027-03-15</t>
        </is>
      </c>
      <c r="AF75" s="25" t="inlineStr">
        <is>
          <t>No</t>
        </is>
      </c>
      <c r="AG75" s="28" t="inlineStr">
        <is>
          <t>https://formation.univ-lille.fr/fr/offre-de-formation/master-lmd-XB/master-automatique-et-systemes-electriques-MG001978/energie-electrique-et-developpement-durable-electrical-engineering-for-sustainable-development-m2-MX002024.html</t>
        </is>
      </c>
      <c r="AH75" s="26" t="inlineStr">
        <is>
          <t>Le candidat doit avoir un niveau M1 ou équivalent en EEA (Electronique, Electrotechique et Automatique). Niveau d'anglais C1 exigé.</t>
        </is>
      </c>
      <c r="AI75" s="28" t="inlineStr">
        <is>
          <t>Open in EEF</t>
        </is>
      </c>
    </row>
    <row r="76" ht="32.8" customHeight="1" s="19">
      <c r="A76" s="25" t="n">
        <v>75</v>
      </c>
      <c r="B76" s="25" t="inlineStr">
        <is>
          <t>★★★★☆</t>
        </is>
      </c>
      <c r="C76" s="25" t="inlineStr">
        <is>
          <t>4 – Strong fit (electronics/signal/robotics/IoT/sensors)</t>
        </is>
      </c>
      <c r="D76" s="25" t="inlineStr">
        <is>
          <t>Neuroscience / Neuro-engineering</t>
        </is>
      </c>
      <c r="E76" s="26" t="inlineStr">
        <is>
          <t>Euro-mediterranean Master in Neurosciences Online -</t>
        </is>
      </c>
      <c r="F76" s="26" t="inlineStr">
        <is>
          <t>Euro-mediterranean Master in Neuroscience Online</t>
        </is>
      </c>
      <c r="G76" s="25" t="inlineStr">
        <is>
          <t>Master indifférencié (recherche et professionnel)</t>
        </is>
      </c>
      <c r="H76" s="25" t="inlineStr">
        <is>
          <t>Faculté des sciences de la vie</t>
        </is>
      </c>
      <c r="I76" s="25" t="inlineStr">
        <is>
          <t>Université de Strasbourg</t>
        </is>
      </c>
      <c r="J76" s="25" t="inlineStr">
        <is>
          <t>Site de Strasbourg</t>
        </is>
      </c>
      <c r="K76" s="25" t="inlineStr">
        <is>
          <t>67000 Strasbourg</t>
        </is>
      </c>
      <c r="L76" s="25" t="inlineStr">
        <is>
          <t>Public university</t>
        </is>
      </c>
      <c r="M76" s="25" t="inlineStr">
        <is>
          <t>English</t>
        </is>
      </c>
      <c r="N76" s="25" t="inlineStr">
        <is>
          <t>General</t>
        </is>
      </c>
      <c r="O76" s="25" t="inlineStr">
        <is>
          <t>Bac +4</t>
        </is>
      </c>
      <c r="P76" s="26" t="inlineStr">
        <is>
          <t>Eligible on level (4-yr BS ≈ Bac+4)</t>
        </is>
      </c>
      <c r="Q76" s="25" t="inlineStr">
        <is>
          <t>1</t>
        </is>
      </c>
      <c r="R76" s="25" t="n"/>
      <c r="S76" s="27" t="n">
        <v>3950</v>
      </c>
      <c r="T76" s="27" t="n">
        <v>255</v>
      </c>
      <c r="U76" s="25" t="n">
        <v>2</v>
      </c>
      <c r="V76" s="27">
        <f>IF(S76="","",S76*U76)</f>
        <v/>
      </c>
      <c r="W76" s="26" t="inlineStr">
        <is>
          <t>Catalogue: €3,950. = national differentiated master fee (2026-27: €3,950). Exemption to ~€255 possible (university quota).</t>
        </is>
      </c>
      <c r="X76" s="25" t="inlineStr">
        <is>
          <t>High</t>
        </is>
      </c>
      <c r="Y76" s="25" t="inlineStr">
        <is>
          <t>3950</t>
        </is>
      </c>
      <c r="Z76" s="26" t="n"/>
      <c r="AA76" s="26" t="inlineStr">
        <is>
          <t>Unistra: master entrants who did not do their licence at Unistra pay the differentiated fee (€3,950).</t>
        </is>
      </c>
      <c r="AB76" s="28" t="inlineStr">
        <is>
          <t>https://www.unistra.fr/fr/node/8168</t>
        </is>
      </c>
      <c r="AC76" s="25" t="inlineStr">
        <is>
          <t>Open</t>
        </is>
      </c>
      <c r="AD76" s="25" t="inlineStr">
        <is>
          <t>2026-10-01</t>
        </is>
      </c>
      <c r="AE76" s="25" t="inlineStr">
        <is>
          <t>2027-03-15</t>
        </is>
      </c>
      <c r="AF76" s="25" t="inlineStr">
        <is>
          <t>No</t>
        </is>
      </c>
      <c r="AG76" s="28" t="inlineStr">
        <is>
          <t>http://sciencesvie.unistra.fr/</t>
        </is>
      </c>
      <c r="AH76" s="26" t="inlineStr">
        <is>
          <t>Le programme propose un cursus international en neuroscience, avec des cours et des évaluations identiques dispensés par chacune des 4 Universités Françaises ainsi que 14 partenaires issus d’Europe et de la zone méditerr</t>
        </is>
      </c>
      <c r="AI76" s="28" t="inlineStr">
        <is>
          <t>Open in EEF</t>
        </is>
      </c>
    </row>
    <row r="77" ht="32.8" customHeight="1" s="19">
      <c r="A77" s="25" t="n">
        <v>76</v>
      </c>
      <c r="B77" s="25" t="inlineStr">
        <is>
          <t>★★★★☆</t>
        </is>
      </c>
      <c r="C77" s="25" t="inlineStr">
        <is>
          <t>4 – Strong fit (electronics/signal/robotics/IoT/sensors)</t>
        </is>
      </c>
      <c r="D77" s="25" t="inlineStr">
        <is>
          <t>Neuroscience / Neuro-engineering</t>
        </is>
      </c>
      <c r="E77" s="26" t="inlineStr">
        <is>
          <t>Interdisciplinary trainining in Neuroscience and Pain</t>
        </is>
      </c>
      <c r="F77" s="26" t="inlineStr">
        <is>
          <t>Interdisciplinary trainining in Neuroscience and Pain</t>
        </is>
      </c>
      <c r="G77" s="25" t="inlineStr">
        <is>
          <t>Master indifférencié (recherche et professionnel)</t>
        </is>
      </c>
      <c r="H77" s="25" t="inlineStr">
        <is>
          <t>Faculté des sciences de la vie</t>
        </is>
      </c>
      <c r="I77" s="25" t="inlineStr">
        <is>
          <t>Université de Strasbourg</t>
        </is>
      </c>
      <c r="J77" s="25" t="inlineStr">
        <is>
          <t>Site de Strasbourg</t>
        </is>
      </c>
      <c r="K77" s="25" t="inlineStr">
        <is>
          <t>67000 Strasbourg</t>
        </is>
      </c>
      <c r="L77" s="25" t="inlineStr">
        <is>
          <t>Public university</t>
        </is>
      </c>
      <c r="M77" s="25" t="inlineStr">
        <is>
          <t>English</t>
        </is>
      </c>
      <c r="N77" s="25" t="inlineStr">
        <is>
          <t>General</t>
        </is>
      </c>
      <c r="O77" s="25" t="inlineStr">
        <is>
          <t>Bac +4 / Bac +5</t>
        </is>
      </c>
      <c r="P77" s="26" t="inlineStr">
        <is>
          <t>Eligible on level (4-yr BS ≈ Bac+4)</t>
        </is>
      </c>
      <c r="Q77" s="25" t="inlineStr">
        <is>
          <t>1/2</t>
        </is>
      </c>
      <c r="R77" s="25" t="n"/>
      <c r="S77" s="27" t="n">
        <v>3950</v>
      </c>
      <c r="T77" s="27" t="n">
        <v>255</v>
      </c>
      <c r="U77" s="25" t="n">
        <v>2</v>
      </c>
      <c r="V77" s="27">
        <f>IF(S77="","",S77*U77)</f>
        <v/>
      </c>
      <c r="W77" s="26" t="inlineStr">
        <is>
          <t>Catalogue: €3,950. = national differentiated master fee (2026-27: €3,950). Exemption to ~€255 possible (university quota).</t>
        </is>
      </c>
      <c r="X77" s="25" t="inlineStr">
        <is>
          <t>High</t>
        </is>
      </c>
      <c r="Y77" s="25" t="inlineStr">
        <is>
          <t>3950</t>
        </is>
      </c>
      <c r="Z77" s="26" t="n"/>
      <c r="AA77" s="26" t="inlineStr">
        <is>
          <t>Unistra: master entrants who did not do their licence at Unistra pay the differentiated fee (€3,950).</t>
        </is>
      </c>
      <c r="AB77" s="28" t="inlineStr">
        <is>
          <t>https://www.unistra.fr/fr/node/8168</t>
        </is>
      </c>
      <c r="AC77" s="25" t="inlineStr">
        <is>
          <t>Open</t>
        </is>
      </c>
      <c r="AD77" s="25" t="inlineStr">
        <is>
          <t>2026-10-01</t>
        </is>
      </c>
      <c r="AE77" s="25" t="inlineStr">
        <is>
          <t>2027-03-15</t>
        </is>
      </c>
      <c r="AF77" s="25" t="inlineStr">
        <is>
          <t>No</t>
        </is>
      </c>
      <c r="AG77" s="28" t="inlineStr">
        <is>
          <t>http://sciencesvie.unistra.fr/</t>
        </is>
      </c>
      <c r="AH77" s="26" t="inlineStr">
        <is>
          <t>M1 : La sélection et le classement des dossiers de candidature reposeront sur l'examen des résultats académiques de l'ensemble de la licence, permettant de justifier d'un niveau suffisant pour une poursuite en master dan</t>
        </is>
      </c>
      <c r="AI77" s="28" t="inlineStr">
        <is>
          <t>Open in EEF</t>
        </is>
      </c>
    </row>
    <row r="78" ht="32.8" customHeight="1" s="19">
      <c r="A78" s="25" t="n">
        <v>77</v>
      </c>
      <c r="B78" s="25" t="inlineStr">
        <is>
          <t>★★★★☆</t>
        </is>
      </c>
      <c r="C78" s="25" t="inlineStr">
        <is>
          <t>4 – Strong fit (electronics/signal/robotics/IoT/sensors)</t>
        </is>
      </c>
      <c r="D78" s="25" t="inlineStr">
        <is>
          <t>Signal / Image / Vision</t>
        </is>
      </c>
      <c r="E78" s="26" t="inlineStr">
        <is>
          <t>Master indifférencié (recherche et professionnel) Sciences, technologies, santé mention Optique, image, vision, mutlimédia parcours international biométrie et vision intelligente (I-BVI)</t>
        </is>
      </c>
      <c r="F78" s="26" t="inlineStr">
        <is>
          <t>Science, Technology, Health (STS) – major: Optics, Image, Vision, Multimedia – track: international biométrie &amp; Vision intelligente (I-BVI)</t>
        </is>
      </c>
      <c r="G78" s="25" t="inlineStr">
        <is>
          <t>Master indifférencié (recherche et professionnel)</t>
        </is>
      </c>
      <c r="H78" s="25" t="inlineStr">
        <is>
          <t>UFR des sciences et technologie</t>
        </is>
      </c>
      <c r="I78" s="25" t="inlineStr">
        <is>
          <t>Université Paris-Est Créteil Val-de-Marne</t>
        </is>
      </c>
      <c r="J78" s="25" t="inlineStr">
        <is>
          <t>Site de Créteil</t>
        </is>
      </c>
      <c r="K78" s="25" t="n"/>
      <c r="L78" s="25" t="inlineStr">
        <is>
          <t>Public university</t>
        </is>
      </c>
      <c r="M78" s="25" t="inlineStr">
        <is>
          <t>English</t>
        </is>
      </c>
      <c r="N78" s="25" t="inlineStr">
        <is>
          <t>General</t>
        </is>
      </c>
      <c r="O78" s="25" t="inlineStr">
        <is>
          <t>Bac +4 / Bac +5</t>
        </is>
      </c>
      <c r="P78" s="26" t="inlineStr">
        <is>
          <t>Eligible on level (4-yr BS ≈ Bac+4)</t>
        </is>
      </c>
      <c r="Q78" s="25" t="inlineStr">
        <is>
          <t>1/2</t>
        </is>
      </c>
      <c r="R78" s="25" t="inlineStr">
        <is>
          <t>10</t>
        </is>
      </c>
      <c r="S78" s="27" t="n">
        <v>3950</v>
      </c>
      <c r="T78" s="27" t="n">
        <v>255</v>
      </c>
      <c r="U78" s="25" t="n">
        <v>2</v>
      </c>
      <c r="V78" s="27">
        <f>IF(S78="","",S78*U78)</f>
        <v/>
      </c>
      <c r="W78" s="26" t="inlineStr">
        <is>
          <t>Catalogue: €3,950. = national differentiated master fee (2026-27: €3,950). Exemption to ~€255 possible (university quota).</t>
        </is>
      </c>
      <c r="X78" s="25" t="inlineStr">
        <is>
          <t>High</t>
        </is>
      </c>
      <c r="Y78" s="25" t="inlineStr">
        <is>
          <t>3950</t>
        </is>
      </c>
      <c r="Z78" s="26" t="n"/>
      <c r="AA78" s="26" t="n"/>
      <c r="AB78" s="25" t="n"/>
      <c r="AC78" s="25" t="inlineStr">
        <is>
          <t>Open</t>
        </is>
      </c>
      <c r="AD78" s="25" t="inlineStr">
        <is>
          <t>2026-10-01</t>
        </is>
      </c>
      <c r="AE78" s="25" t="inlineStr">
        <is>
          <t>2027-03-15</t>
        </is>
      </c>
      <c r="AF78" s="25" t="inlineStr">
        <is>
          <t>No</t>
        </is>
      </c>
      <c r="AG78" s="28" t="inlineStr">
        <is>
          <t>http://sciences-tech.u-pec.fr</t>
        </is>
      </c>
      <c r="AH78" s="26" t="inlineStr">
        <is>
          <t>traitement d'image, programmation Python</t>
        </is>
      </c>
      <c r="AI78" s="28" t="inlineStr">
        <is>
          <t>Open in EEF</t>
        </is>
      </c>
    </row>
    <row r="79" ht="32.8" customHeight="1" s="19">
      <c r="A79" s="25" t="n">
        <v>78</v>
      </c>
      <c r="B79" s="25" t="inlineStr">
        <is>
          <t>★★★★☆</t>
        </is>
      </c>
      <c r="C79" s="25" t="inlineStr">
        <is>
          <t>4 – Strong fit (electronics/signal/robotics/IoT/sensors)</t>
        </is>
      </c>
      <c r="D79" s="25" t="inlineStr">
        <is>
          <t>Neuroscience / Neuro-engineering</t>
        </is>
      </c>
      <c r="E79" s="26" t="inlineStr">
        <is>
          <t>Master indifférencié (recherche et professionnel) Sciences, technologies, santé mention sciences du vivant parcours Dual Master in Neuroscience</t>
        </is>
      </c>
      <c r="F79" s="26" t="inlineStr">
        <is>
          <t>Science, Technology, Health (STS) – major: Sciences of Life – track: Dual Master in Neuroscience</t>
        </is>
      </c>
      <c r="G79" s="25" t="inlineStr">
        <is>
          <t>Master indifférencié (recherche et professionnel)</t>
        </is>
      </c>
      <c r="H79" s="25" t="inlineStr">
        <is>
          <t>Faculté des sciences de la vie</t>
        </is>
      </c>
      <c r="I79" s="25" t="inlineStr">
        <is>
          <t>Université de Strasbourg</t>
        </is>
      </c>
      <c r="J79" s="25" t="inlineStr">
        <is>
          <t>Site de Strasbourg</t>
        </is>
      </c>
      <c r="K79" s="25" t="inlineStr">
        <is>
          <t>67000 Strasbourg</t>
        </is>
      </c>
      <c r="L79" s="25" t="inlineStr">
        <is>
          <t>Public university</t>
        </is>
      </c>
      <c r="M79" s="25" t="inlineStr">
        <is>
          <t>English</t>
        </is>
      </c>
      <c r="N79" s="25" t="inlineStr">
        <is>
          <t>General</t>
        </is>
      </c>
      <c r="O79" s="25" t="inlineStr">
        <is>
          <t>Bac +4</t>
        </is>
      </c>
      <c r="P79" s="26" t="inlineStr">
        <is>
          <t>Eligible on level (4-yr BS ≈ Bac+4)</t>
        </is>
      </c>
      <c r="Q79" s="25" t="inlineStr">
        <is>
          <t>1</t>
        </is>
      </c>
      <c r="R79" s="25" t="n"/>
      <c r="S79" s="27" t="n">
        <v>3950</v>
      </c>
      <c r="T79" s="27" t="n">
        <v>255</v>
      </c>
      <c r="U79" s="25" t="n">
        <v>2</v>
      </c>
      <c r="V79" s="27">
        <f>IF(S79="","",S79*U79)</f>
        <v/>
      </c>
      <c r="W79" s="26" t="inlineStr">
        <is>
          <t>Catalogue: €3,950. = national differentiated master fee (2026-27: €3,950). Exemption to ~€255 possible (university quota).</t>
        </is>
      </c>
      <c r="X79" s="25" t="inlineStr">
        <is>
          <t>High</t>
        </is>
      </c>
      <c r="Y79" s="25" t="inlineStr">
        <is>
          <t>3950</t>
        </is>
      </c>
      <c r="Z79" s="26" t="n"/>
      <c r="AA79" s="26" t="inlineStr">
        <is>
          <t>Unistra: master entrants who did not do their licence at Unistra pay the differentiated fee (€3,950).</t>
        </is>
      </c>
      <c r="AB79" s="28" t="inlineStr">
        <is>
          <t>https://www.unistra.fr/fr/node/8168</t>
        </is>
      </c>
      <c r="AC79" s="25" t="inlineStr">
        <is>
          <t>Open</t>
        </is>
      </c>
      <c r="AD79" s="25" t="inlineStr">
        <is>
          <t>2026-10-01</t>
        </is>
      </c>
      <c r="AE79" s="25" t="inlineStr">
        <is>
          <t>2027-03-15</t>
        </is>
      </c>
      <c r="AF79" s="25" t="inlineStr">
        <is>
          <t>No</t>
        </is>
      </c>
      <c r="AG79" s="28" t="inlineStr">
        <is>
          <t>http://sciencesvie.unistra.fr/</t>
        </is>
      </c>
      <c r="AH79" s="26" t="inlineStr">
        <is>
          <t>Le parcours DMN est un parcours international de formation avancée en neuroscience organise conjointement par l’université du Manitoba (Canada) et celle de Strasbourg (France). Ce programme délivre un double diplôme de n</t>
        </is>
      </c>
      <c r="AI79" s="28" t="inlineStr">
        <is>
          <t>Open in EEF</t>
        </is>
      </c>
    </row>
    <row r="80" ht="32.8" customHeight="1" s="19">
      <c r="A80" s="25" t="n">
        <v>79</v>
      </c>
      <c r="B80" s="25" t="inlineStr">
        <is>
          <t>★★★★☆</t>
        </is>
      </c>
      <c r="C80" s="25" t="inlineStr">
        <is>
          <t>4 – Strong fit (electronics/signal/robotics/IoT/sensors)</t>
        </is>
      </c>
      <c r="D80" s="25" t="inlineStr">
        <is>
          <t>Robotics / Automation / Mechatronics</t>
        </is>
      </c>
      <c r="E80" s="26" t="inlineStr">
        <is>
          <t>Master indifférencié (recherche et professionnel) Sciences, technologies, santé mention Traitement Automatique des Langues (TAL)</t>
        </is>
      </c>
      <c r="F80" s="26" t="inlineStr">
        <is>
          <t>Science, Technology, Health (STS) – major: Processing Automation of Languages (TAL)</t>
        </is>
      </c>
      <c r="G80" s="25" t="inlineStr">
        <is>
          <t>Master indifférencié (recherche et professionnel)</t>
        </is>
      </c>
      <c r="H80" s="25" t="inlineStr">
        <is>
          <t>Institut des Sciences du Digital, Management et Cognition</t>
        </is>
      </c>
      <c r="I80" s="25" t="inlineStr">
        <is>
          <t>Université de Lorraine</t>
        </is>
      </c>
      <c r="J80" s="25" t="inlineStr">
        <is>
          <t>Site de Nancy</t>
        </is>
      </c>
      <c r="K80" s="25" t="n"/>
      <c r="L80" s="25" t="inlineStr">
        <is>
          <t>Public school / institute</t>
        </is>
      </c>
      <c r="M80" s="25" t="inlineStr">
        <is>
          <t>English</t>
        </is>
      </c>
      <c r="N80" s="25" t="inlineStr">
        <is>
          <t>Taught in English</t>
        </is>
      </c>
      <c r="O80" s="25" t="inlineStr">
        <is>
          <t>Bac +4</t>
        </is>
      </c>
      <c r="P80" s="26" t="inlineStr">
        <is>
          <t>Eligible on level (4-yr BS ≈ Bac+4)</t>
        </is>
      </c>
      <c r="Q80" s="25" t="inlineStr">
        <is>
          <t>1</t>
        </is>
      </c>
      <c r="R80" s="25" t="n"/>
      <c r="S80" s="27" t="n">
        <v>3950</v>
      </c>
      <c r="T80" s="27" t="n">
        <v>255</v>
      </c>
      <c r="U80" s="25" t="n">
        <v>2</v>
      </c>
      <c r="V80" s="27">
        <f>IF(S80="","",S80*U80)</f>
        <v/>
      </c>
      <c r="W80" s="26" t="inlineStr">
        <is>
          <t>Catalogue: €3,950. = national differentiated master fee (2026-27: €3,950). Exemption to ~€255 possible (university quota).</t>
        </is>
      </c>
      <c r="X80" s="25" t="inlineStr">
        <is>
          <t>High</t>
        </is>
      </c>
      <c r="Y80" s="25" t="inlineStr">
        <is>
          <t>3950</t>
        </is>
      </c>
      <c r="Z80" s="26" t="inlineStr">
        <is>
          <t>• Application fees for Msc 1 = 3950€ + Student Life and Campus Contribution (CVEC) whi … ch came to 105€ in 2026/2027</t>
        </is>
      </c>
      <c r="AA80" s="26" t="n"/>
      <c r="AB80" s="25" t="n"/>
      <c r="AC80" s="25" t="inlineStr">
        <is>
          <t>Open</t>
        </is>
      </c>
      <c r="AD80" s="25" t="inlineStr">
        <is>
          <t>2026-10-01</t>
        </is>
      </c>
      <c r="AE80" s="25" t="inlineStr">
        <is>
          <t>2027-03-15</t>
        </is>
      </c>
      <c r="AF80" s="25" t="inlineStr">
        <is>
          <t>No</t>
        </is>
      </c>
      <c r="AG80" s="28" t="inlineStr">
        <is>
          <t>https://idmc.univ-lorraine.fr/idmc-master-degree-in-natural-language-processing/</t>
        </is>
      </c>
      <c r="AH80" s="26" t="inlineStr">
        <is>
          <t>Deadline for transmitting the application form: ( date to be confirmed by the ambassy) Deadline for attending courses: September 01st 2027 Fluency in English required : C1 Academic qualifications : You must hold a « Bac+</t>
        </is>
      </c>
      <c r="AI80" s="28" t="inlineStr">
        <is>
          <t>Open in EEF</t>
        </is>
      </c>
    </row>
    <row r="81" ht="32.8" customHeight="1" s="19">
      <c r="A81" s="25" t="n">
        <v>80</v>
      </c>
      <c r="B81" s="25" t="inlineStr">
        <is>
          <t>★★★★☆</t>
        </is>
      </c>
      <c r="C81" s="25" t="inlineStr">
        <is>
          <t>4 – Strong fit (electronics/signal/robotics/IoT/sensors)</t>
        </is>
      </c>
      <c r="D81" s="25" t="inlineStr">
        <is>
          <t>Sensors / Instrumentation / Micro-Nano / Photonics</t>
        </is>
      </c>
      <c r="E81" s="26" t="inlineStr">
        <is>
          <t>Master indifférencié (recherche et professionnel) spécialité Physique fondamentale et applications parcours Quantum and Photonic Technologies</t>
        </is>
      </c>
      <c r="F81" s="26" t="inlineStr">
        <is>
          <t>specialisation: Physics Fundamental &amp; Applications – track: Quantum and Photonic Technologies</t>
        </is>
      </c>
      <c r="G81" s="25" t="inlineStr">
        <is>
          <t>Master indifférencié (recherche et professionnel)</t>
        </is>
      </c>
      <c r="H81" s="25" t="inlineStr">
        <is>
          <t>Faculté des sciences et technologies</t>
        </is>
      </c>
      <c r="I81" s="25" t="inlineStr">
        <is>
          <t>Université de Lille</t>
        </is>
      </c>
      <c r="J81" s="25" t="inlineStr">
        <is>
          <t>Département Physique</t>
        </is>
      </c>
      <c r="K81" s="25" t="n"/>
      <c r="L81" s="25" t="inlineStr">
        <is>
          <t>Public university</t>
        </is>
      </c>
      <c r="M81" s="25" t="inlineStr">
        <is>
          <t>English</t>
        </is>
      </c>
      <c r="N81" s="25" t="inlineStr">
        <is>
          <t>Taught in English</t>
        </is>
      </c>
      <c r="O81" s="25" t="inlineStr">
        <is>
          <t>Bac +4 / Bac +5</t>
        </is>
      </c>
      <c r="P81" s="26" t="inlineStr">
        <is>
          <t>Eligible on level (4-yr BS ≈ Bac+4)</t>
        </is>
      </c>
      <c r="Q81" s="25" t="inlineStr">
        <is>
          <t>1/2</t>
        </is>
      </c>
      <c r="R81" s="25" t="inlineStr">
        <is>
          <t>12</t>
        </is>
      </c>
      <c r="S81" s="27" t="n">
        <v>3950</v>
      </c>
      <c r="T81" s="27" t="n">
        <v>255</v>
      </c>
      <c r="U81" s="25" t="n">
        <v>2</v>
      </c>
      <c r="V81" s="27">
        <f>IF(S81="","",S81*U81)</f>
        <v/>
      </c>
      <c r="W81" s="26" t="inlineStr">
        <is>
          <t>Catalogue: €3,950. = national differentiated master fee (2026-27: €3,950). Exemption to ~€255 possible (university quota).</t>
        </is>
      </c>
      <c r="X81" s="25" t="inlineStr">
        <is>
          <t>High</t>
        </is>
      </c>
      <c r="Y81" s="25" t="inlineStr">
        <is>
          <t>3950</t>
        </is>
      </c>
      <c r="Z81" s="26" t="n"/>
      <c r="AA81" s="26" t="inlineStr">
        <is>
          <t>Lille opposed the decree; continues exemptions for part of non-EU students (master €254 if exempted). Apply for exemption early.</t>
        </is>
      </c>
      <c r="AB81" s="28" t="inlineStr">
        <is>
          <t>https://observalgerie.com/2026/06/13/misc/frais-dinscription-en-france-lille-maintient-un-avantage-pour-les-etudiants-etrangers/</t>
        </is>
      </c>
      <c r="AC81" s="25" t="inlineStr">
        <is>
          <t>Open</t>
        </is>
      </c>
      <c r="AD81" s="25" t="inlineStr">
        <is>
          <t>2026-10-01</t>
        </is>
      </c>
      <c r="AE81" s="25" t="inlineStr">
        <is>
          <t>2027-03-15</t>
        </is>
      </c>
      <c r="AF81" s="25" t="inlineStr">
        <is>
          <t>No</t>
        </is>
      </c>
      <c r="AG81" s="28" t="inlineStr">
        <is>
          <t>https://formation.univ-lille.fr/fr/offre-de-formation/master-lmd-XB/master-physique-fondamentale-et-applications-MG001988/quantum-and-photonic-technologies-m1-m2-MX195427.html</t>
        </is>
      </c>
      <c r="AH81" s="26" t="inlineStr">
        <is>
          <t>M1 : Bachelor degree in physics with courses on quantum theory, statistical physics, electromagnetism, optics, waves, thermodynamics, mechanics and mathematical tools for physics M2 : Equivalent to a first year graduate</t>
        </is>
      </c>
      <c r="AI81" s="28" t="inlineStr">
        <is>
          <t>Open in EEF</t>
        </is>
      </c>
    </row>
    <row r="82" ht="32.8" customHeight="1" s="19">
      <c r="A82" s="25" t="n">
        <v>81</v>
      </c>
      <c r="B82" s="25" t="inlineStr">
        <is>
          <t>★★★★☆</t>
        </is>
      </c>
      <c r="C82" s="25" t="inlineStr">
        <is>
          <t>4 – Strong fit (electronics/signal/robotics/IoT/sensors)</t>
        </is>
      </c>
      <c r="D82" s="25" t="inlineStr">
        <is>
          <t>Neuroscience / Neuro-engineering</t>
        </is>
      </c>
      <c r="E82" s="26" t="inlineStr">
        <is>
          <t>Master Sciences, technologies, santé, mention Neurosciences</t>
        </is>
      </c>
      <c r="F82" s="26" t="inlineStr">
        <is>
          <t>Master Science, Technology, Health (STS), – major: Neuroscience</t>
        </is>
      </c>
      <c r="G82" s="25" t="inlineStr">
        <is>
          <t>Master indifférencié (recherche et professionnel)</t>
        </is>
      </c>
      <c r="H82" s="25" t="inlineStr">
        <is>
          <t>UFR Biosciences (Biologie, Biochimie)</t>
        </is>
      </c>
      <c r="I82" s="25" t="inlineStr">
        <is>
          <t>Université Claude Bernard - Lyon 1</t>
        </is>
      </c>
      <c r="J82" s="25" t="inlineStr">
        <is>
          <t>Site de Villeurbanne</t>
        </is>
      </c>
      <c r="K82" s="25" t="n"/>
      <c r="L82" s="25" t="inlineStr">
        <is>
          <t>Public university</t>
        </is>
      </c>
      <c r="M82" s="25" t="inlineStr">
        <is>
          <t>English</t>
        </is>
      </c>
      <c r="N82" s="25" t="inlineStr">
        <is>
          <t>General</t>
        </is>
      </c>
      <c r="O82" s="25" t="inlineStr">
        <is>
          <t>Bac +4</t>
        </is>
      </c>
      <c r="P82" s="26" t="inlineStr">
        <is>
          <t>Eligible on level (4-yr BS ≈ Bac+4)</t>
        </is>
      </c>
      <c r="Q82" s="25" t="inlineStr">
        <is>
          <t>1</t>
        </is>
      </c>
      <c r="R82" s="25" t="n"/>
      <c r="S82" s="27" t="n">
        <v>3950</v>
      </c>
      <c r="T82" s="27" t="n">
        <v>255</v>
      </c>
      <c r="U82" s="25" t="n">
        <v>2</v>
      </c>
      <c r="V82" s="27">
        <f>IF(S82="","",S82*U82)</f>
        <v/>
      </c>
      <c r="W82" s="26" t="inlineStr">
        <is>
          <t>Catalogue: €3,950. = national differentiated master fee (2026-27: €3,950). Exemption to ~€255 possible (university quota).</t>
        </is>
      </c>
      <c r="X82" s="25" t="inlineStr">
        <is>
          <t>High</t>
        </is>
      </c>
      <c r="Y82" s="25" t="inlineStr">
        <is>
          <t>3950</t>
        </is>
      </c>
      <c r="Z82" s="26" t="inlineStr">
        <is>
          <t>Pour les pré-requis, consulter le site web https://masterneuro</t>
        </is>
      </c>
      <c r="AA82" s="26" t="inlineStr">
        <is>
          <t>Lyon 1: individual exemptions within the 30% quota (2026-27), apply via eCandidat.</t>
        </is>
      </c>
      <c r="AB82" s="28" t="inlineStr">
        <is>
          <t>https://www.univ-lyon1.fr/formation/inscription-et-scolarite/etudiantes-et-etudiants-internationaux-droits-dinscription-differencies-et-exonerations</t>
        </is>
      </c>
      <c r="AC82" s="25" t="inlineStr">
        <is>
          <t>Open</t>
        </is>
      </c>
      <c r="AD82" s="25" t="inlineStr">
        <is>
          <t>2026-10-01</t>
        </is>
      </c>
      <c r="AE82" s="25" t="inlineStr">
        <is>
          <t>2027-03-15</t>
        </is>
      </c>
      <c r="AF82" s="25" t="inlineStr">
        <is>
          <t>No</t>
        </is>
      </c>
      <c r="AG82" s="28" t="inlineStr">
        <is>
          <t>https://ufr-biosciences.univ-lyon1.fr</t>
        </is>
      </c>
      <c r="AH82" s="26" t="inlineStr">
        <is>
          <t>La formation est intégralement en anglais et nécessite donc la justification d'un niveau B2 en Anglais. Pour les pré-requis, consulter le site web: https://masterneuro.univ-lyon1.fr/paths/m1-main/m1-admission/ Il est ess</t>
        </is>
      </c>
      <c r="AI82" s="28" t="inlineStr">
        <is>
          <t>Open in EEF</t>
        </is>
      </c>
    </row>
    <row r="83" ht="32.8" customHeight="1" s="19">
      <c r="A83" s="25" t="n">
        <v>82</v>
      </c>
      <c r="B83" s="25" t="inlineStr">
        <is>
          <t>★★★★☆</t>
        </is>
      </c>
      <c r="C83" s="25" t="inlineStr">
        <is>
          <t>4 – Strong fit (electronics/signal/robotics/IoT/sensors)</t>
        </is>
      </c>
      <c r="D83" s="25" t="inlineStr">
        <is>
          <t>IoT / Telecom / Networks</t>
        </is>
      </c>
      <c r="E83" s="26" t="inlineStr">
        <is>
          <t>Master's degree in Telecommunications and Networks</t>
        </is>
      </c>
      <c r="F83" s="26" t="inlineStr">
        <is>
          <t>Master's degree in Telecommunications and Networks</t>
        </is>
      </c>
      <c r="G83" s="25" t="inlineStr">
        <is>
          <t>Master indifférencié (recherche et professionnel)</t>
        </is>
      </c>
      <c r="H83" s="25" t="inlineStr">
        <is>
          <t>Conservatoire national des arts et métiers - CNAM</t>
        </is>
      </c>
      <c r="I83" s="25" t="n"/>
      <c r="J83" s="25" t="inlineStr">
        <is>
          <t>Cnam Etablissement Public - EPN3 Electronics, Electrical engineering, Applied physics</t>
        </is>
      </c>
      <c r="K83" s="25" t="n"/>
      <c r="L83" s="25" t="inlineStr">
        <is>
          <t>Public school / institute</t>
        </is>
      </c>
      <c r="M83" s="25" t="inlineStr">
        <is>
          <t>English</t>
        </is>
      </c>
      <c r="N83" s="25" t="inlineStr">
        <is>
          <t>Taught in English</t>
        </is>
      </c>
      <c r="O83" s="25" t="inlineStr">
        <is>
          <t>Bac +4 / Bac +5</t>
        </is>
      </c>
      <c r="P83" s="26" t="inlineStr">
        <is>
          <t>Eligible on level (4-yr BS ≈ Bac+4)</t>
        </is>
      </c>
      <c r="Q83" s="25" t="inlineStr">
        <is>
          <t>1/2</t>
        </is>
      </c>
      <c r="R83" s="25" t="inlineStr">
        <is>
          <t>12</t>
        </is>
      </c>
      <c r="S83" s="27" t="n">
        <v>3950</v>
      </c>
      <c r="T83" s="27" t="n">
        <v>255</v>
      </c>
      <c r="U83" s="25" t="n">
        <v>2</v>
      </c>
      <c r="V83" s="27">
        <f>IF(S83="","",S83*U83)</f>
        <v/>
      </c>
      <c r="W83" s="26" t="inlineStr">
        <is>
          <t>Catalogue: €3,950. = national differentiated master fee (2026-27: €3,950). Exemption to ~€255 possible (university quota).</t>
        </is>
      </c>
      <c r="X83" s="25" t="inlineStr">
        <is>
          <t>High</t>
        </is>
      </c>
      <c r="Y83" s="25" t="inlineStr">
        <is>
          <t>3950</t>
        </is>
      </c>
      <c r="Z83" s="26" t="n"/>
      <c r="AA83" s="26" t="n"/>
      <c r="AB83" s="25" t="n"/>
      <c r="AC83" s="25" t="inlineStr">
        <is>
          <t>Open</t>
        </is>
      </c>
      <c r="AD83" s="25" t="inlineStr">
        <is>
          <t>2026-10-01</t>
        </is>
      </c>
      <c r="AE83" s="25" t="inlineStr">
        <is>
          <t>2027-03-15</t>
        </is>
      </c>
      <c r="AF83" s="25" t="inlineStr">
        <is>
          <t>Yes</t>
        </is>
      </c>
      <c r="AG83" s="28" t="inlineStr">
        <is>
          <t>https://eeap.cnam.fr</t>
        </is>
      </c>
      <c r="AH83" s="26" t="inlineStr">
        <is>
          <t>This program is aimed at graduates with a Bachelor of Science or equivalent degree obtained after 4 years' higher education in Telecommunications and Networks. Application procedure opens from early April to late June. A</t>
        </is>
      </c>
      <c r="AI83" s="28" t="inlineStr">
        <is>
          <t>Open in EEF</t>
        </is>
      </c>
    </row>
    <row r="84" ht="32.8" customHeight="1" s="19">
      <c r="A84" s="25" t="n">
        <v>83</v>
      </c>
      <c r="B84" s="25" t="inlineStr">
        <is>
          <t>★★★★☆</t>
        </is>
      </c>
      <c r="C84" s="25" t="inlineStr">
        <is>
          <t>4 – Strong fit (electronics/signal/robotics/IoT/sensors)</t>
        </is>
      </c>
      <c r="D84" s="25" t="inlineStr">
        <is>
          <t>Embedded systems / Electronics</t>
        </is>
      </c>
      <c r="E84" s="26" t="inlineStr">
        <is>
          <t>mention Nanosciences and Nanotechnologies parcours Electronic technologies for smart communicating systems</t>
        </is>
      </c>
      <c r="F84" s="26" t="inlineStr">
        <is>
          <t>major: Nanosciences and Nanotechnologies – track: Electronic Technologies for smart communicating systems</t>
        </is>
      </c>
      <c r="G84" s="25" t="inlineStr">
        <is>
          <t>Master indifférencié (recherche et professionnel)</t>
        </is>
      </c>
      <c r="H84" s="25" t="inlineStr">
        <is>
          <t>Faculté des sciences et technologies</t>
        </is>
      </c>
      <c r="I84" s="25" t="inlineStr">
        <is>
          <t>Université de Lille</t>
        </is>
      </c>
      <c r="J84" s="25" t="inlineStr">
        <is>
          <t>Département Electronique, électrotechnique et automatique</t>
        </is>
      </c>
      <c r="K84" s="25" t="n"/>
      <c r="L84" s="25" t="inlineStr">
        <is>
          <t>Public university</t>
        </is>
      </c>
      <c r="M84" s="25" t="inlineStr">
        <is>
          <t>English</t>
        </is>
      </c>
      <c r="N84" s="25" t="inlineStr">
        <is>
          <t>Taught in English</t>
        </is>
      </c>
      <c r="O84" s="25" t="inlineStr">
        <is>
          <t>Bac +4 / Bac +5</t>
        </is>
      </c>
      <c r="P84" s="26" t="inlineStr">
        <is>
          <t>Eligible on level (4-yr BS ≈ Bac+4)</t>
        </is>
      </c>
      <c r="Q84" s="25" t="inlineStr">
        <is>
          <t>1/2</t>
        </is>
      </c>
      <c r="R84" s="25" t="inlineStr">
        <is>
          <t>12</t>
        </is>
      </c>
      <c r="S84" s="27" t="n">
        <v>3950</v>
      </c>
      <c r="T84" s="27" t="n">
        <v>255</v>
      </c>
      <c r="U84" s="25" t="n">
        <v>2</v>
      </c>
      <c r="V84" s="27">
        <f>IF(S84="","",S84*U84)</f>
        <v/>
      </c>
      <c r="W84" s="26" t="inlineStr">
        <is>
          <t>Catalogue: €3,950. = national differentiated master fee (2026-27: €3,950). Exemption to ~€255 possible (university quota).</t>
        </is>
      </c>
      <c r="X84" s="25" t="inlineStr">
        <is>
          <t>High</t>
        </is>
      </c>
      <c r="Y84" s="25" t="inlineStr">
        <is>
          <t>3950</t>
        </is>
      </c>
      <c r="Z84" s="26" t="n"/>
      <c r="AA84" s="26" t="inlineStr">
        <is>
          <t>Lille opposed the decree; continues exemptions for part of non-EU students (master €254 if exempted). Apply for exemption early.</t>
        </is>
      </c>
      <c r="AB84" s="28" t="inlineStr">
        <is>
          <t>https://observalgerie.com/2026/06/13/misc/frais-dinscription-en-france-lille-maintient-un-avantage-pour-les-etudiants-etrangers/</t>
        </is>
      </c>
      <c r="AC84" s="25" t="inlineStr">
        <is>
          <t>Open</t>
        </is>
      </c>
      <c r="AD84" s="25" t="inlineStr">
        <is>
          <t>2026-10-01</t>
        </is>
      </c>
      <c r="AE84" s="25" t="inlineStr">
        <is>
          <t>2027-03-15</t>
        </is>
      </c>
      <c r="AF84" s="25" t="inlineStr">
        <is>
          <t>No</t>
        </is>
      </c>
      <c r="AG84" s="28" t="inlineStr">
        <is>
          <t>https://www.univ-lille.fr/formations/fr-00002031</t>
        </is>
      </c>
      <c r="AH84" s="26" t="inlineStr">
        <is>
          <t>Prérequis affichés aux étudiants : Bachelor in Electronic, Electrical Engineering, applied physics, physics, Engineering school. Physics of semiconductor, microelectronic, nanoelectronic, Electronic devices, circuits, mi</t>
        </is>
      </c>
      <c r="AI84" s="28" t="inlineStr">
        <is>
          <t>Open in EEF</t>
        </is>
      </c>
    </row>
    <row r="85" ht="32.8" customHeight="1" s="19">
      <c r="A85" s="25" t="n">
        <v>84</v>
      </c>
      <c r="B85" s="25" t="inlineStr">
        <is>
          <t>★★★★☆</t>
        </is>
      </c>
      <c r="C85" s="25" t="inlineStr">
        <is>
          <t>4 – Strong fit (electronics/signal/robotics/IoT/sensors)</t>
        </is>
      </c>
      <c r="D85" s="25" t="inlineStr">
        <is>
          <t>Sensors / Instrumentation / Micro-Nano / Photonics</t>
        </is>
      </c>
      <c r="E85" s="26" t="inlineStr">
        <is>
          <t>Master rech. Sciences, technologies, santé mention micro et nanotechnologies</t>
        </is>
      </c>
      <c r="F85" s="26" t="inlineStr">
        <is>
          <t>Research Master Science, Technology, Health (STS) – major: micro &amp; Nanotechnologies</t>
        </is>
      </c>
      <c r="G85" s="25" t="inlineStr">
        <is>
          <t>Master recherche</t>
        </is>
      </c>
      <c r="H85" s="25" t="inlineStr">
        <is>
          <t>Institut national des sciences appliquées de Lyon</t>
        </is>
      </c>
      <c r="I85" s="25" t="n"/>
      <c r="J85" s="25" t="inlineStr">
        <is>
          <t>Site de Villeurbanne</t>
        </is>
      </c>
      <c r="K85" s="25" t="n"/>
      <c r="L85" s="25" t="inlineStr">
        <is>
          <t>Public school / institute</t>
        </is>
      </c>
      <c r="M85" s="25" t="inlineStr">
        <is>
          <t>English</t>
        </is>
      </c>
      <c r="N85" s="25" t="inlineStr">
        <is>
          <t>General</t>
        </is>
      </c>
      <c r="O85" s="25" t="inlineStr">
        <is>
          <t>Bac +4</t>
        </is>
      </c>
      <c r="P85" s="26" t="inlineStr">
        <is>
          <t>Eligible on level (4-yr BS ≈ Bac+4)</t>
        </is>
      </c>
      <c r="Q85" s="25" t="inlineStr">
        <is>
          <t>1</t>
        </is>
      </c>
      <c r="R85" s="25" t="inlineStr">
        <is>
          <t>12</t>
        </is>
      </c>
      <c r="S85" s="27" t="n">
        <v>3950</v>
      </c>
      <c r="T85" s="27" t="n">
        <v>255</v>
      </c>
      <c r="U85" s="25" t="n">
        <v>1</v>
      </c>
      <c r="V85" s="27">
        <f>IF(S85="","",S85*U85)</f>
        <v/>
      </c>
      <c r="W85" s="26" t="inlineStr">
        <is>
          <t>Catalogue: €3,941. = national differentiated master fee (2026-27: €3,950). Exemption to ~€255 possible (university quota).</t>
        </is>
      </c>
      <c r="X85" s="25" t="inlineStr">
        <is>
          <t>High</t>
        </is>
      </c>
      <c r="Y85" s="25" t="inlineStr">
        <is>
          <t>3941</t>
        </is>
      </c>
      <c r="Z85" s="26" t="n"/>
      <c r="AA85" s="26" t="n"/>
      <c r="AB85" s="25" t="n"/>
      <c r="AC85" s="25" t="inlineStr">
        <is>
          <t>Open</t>
        </is>
      </c>
      <c r="AD85" s="25" t="inlineStr">
        <is>
          <t>2026-10-01</t>
        </is>
      </c>
      <c r="AE85" s="25" t="inlineStr">
        <is>
          <t>2027-03-15</t>
        </is>
      </c>
      <c r="AF85" s="25" t="inlineStr">
        <is>
          <t>Yes</t>
        </is>
      </c>
      <c r="AG85" s="28" t="inlineStr">
        <is>
          <t>https://www.ec-lyon.fr/formation/international-master-nanoscale-engineering</t>
        </is>
      </c>
      <c r="AH85" s="26" t="inlineStr">
        <is>
          <t>Le Master est accessible en M1 à tous les étudiants titulaires d’une Licence de Sciences et Technologies (physique, chimie, sciences des matériaux, biologie…) ou directement au niveau M2 aux élèves-ingénieurs/étudiants a</t>
        </is>
      </c>
      <c r="AI85" s="28" t="inlineStr">
        <is>
          <t>Open in EEF</t>
        </is>
      </c>
    </row>
    <row r="86" ht="32.8" customHeight="1" s="19">
      <c r="A86" s="25" t="n">
        <v>85</v>
      </c>
      <c r="B86" s="25" t="inlineStr">
        <is>
          <t>★★★★☆</t>
        </is>
      </c>
      <c r="C86" s="25" t="inlineStr">
        <is>
          <t>4 – Strong fit (electronics/signal/robotics/IoT/sensors)</t>
        </is>
      </c>
      <c r="D86" s="25" t="inlineStr">
        <is>
          <t>Sensors / Instrumentation / Micro-Nano / Photonics</t>
        </is>
      </c>
      <c r="E86" s="26" t="inlineStr">
        <is>
          <t>Master rech. Sciences, technologies, santé, mention Nanosciences Nanotechnologies</t>
        </is>
      </c>
      <c r="F86" s="26" t="inlineStr">
        <is>
          <t>Research Master Science, Technology, Health (STS), – major: Nanosciences Nanotechnologies</t>
        </is>
      </c>
      <c r="G86" s="25" t="inlineStr">
        <is>
          <t>Master recherche</t>
        </is>
      </c>
      <c r="H86" s="25" t="inlineStr">
        <is>
          <t>Institut national des sciences appliquées de Lyon</t>
        </is>
      </c>
      <c r="I86" s="25" t="n"/>
      <c r="J86" s="25" t="inlineStr">
        <is>
          <t>Site de Villeurbanne</t>
        </is>
      </c>
      <c r="K86" s="25" t="n"/>
      <c r="L86" s="25" t="inlineStr">
        <is>
          <t>Public school / institute</t>
        </is>
      </c>
      <c r="M86" s="25" t="inlineStr">
        <is>
          <t>English</t>
        </is>
      </c>
      <c r="N86" s="25" t="inlineStr">
        <is>
          <t>General</t>
        </is>
      </c>
      <c r="O86" s="25" t="inlineStr">
        <is>
          <t>Bac +4</t>
        </is>
      </c>
      <c r="P86" s="26" t="inlineStr">
        <is>
          <t>Eligible on level (4-yr BS ≈ Bac+4)</t>
        </is>
      </c>
      <c r="Q86" s="25" t="inlineStr">
        <is>
          <t>2</t>
        </is>
      </c>
      <c r="R86" s="25" t="inlineStr">
        <is>
          <t>12</t>
        </is>
      </c>
      <c r="S86" s="27" t="n">
        <v>3950</v>
      </c>
      <c r="T86" s="27" t="n">
        <v>255</v>
      </c>
      <c r="U86" s="25" t="n">
        <v>1</v>
      </c>
      <c r="V86" s="27">
        <f>IF(S86="","",S86*U86)</f>
        <v/>
      </c>
      <c r="W86" s="26" t="inlineStr">
        <is>
          <t>Catalogue: €3,941. = national differentiated master fee (2026-27: €3,950). Exemption to ~€255 possible (university quota).</t>
        </is>
      </c>
      <c r="X86" s="25" t="inlineStr">
        <is>
          <t>High</t>
        </is>
      </c>
      <c r="Y86" s="25" t="inlineStr">
        <is>
          <t>3941</t>
        </is>
      </c>
      <c r="Z86" s="26" t="n"/>
      <c r="AA86" s="26" t="n"/>
      <c r="AB86" s="25" t="n"/>
      <c r="AC86" s="25" t="inlineStr">
        <is>
          <t>Open</t>
        </is>
      </c>
      <c r="AD86" s="25" t="inlineStr">
        <is>
          <t>2026-10-01</t>
        </is>
      </c>
      <c r="AE86" s="25" t="inlineStr">
        <is>
          <t>2027-03-15</t>
        </is>
      </c>
      <c r="AF86" s="25" t="inlineStr">
        <is>
          <t>Yes</t>
        </is>
      </c>
      <c r="AG86" s="28" t="inlineStr">
        <is>
          <t>https://www.ec-lyon.fr/formation/international-master-nanoscale-engineering</t>
        </is>
      </c>
      <c r="AH86" s="26" t="inlineStr">
        <is>
          <t>Le Master est accessible en M1 à tous les étudiants titulaires d’une Licence de Sciences et Technologies (physique, chimie, sciences des matériaux, biologie…) ou directement au niveau M2 aux élèves-ingénieurs/étudiants a</t>
        </is>
      </c>
      <c r="AI86" s="28" t="inlineStr">
        <is>
          <t>Open in EEF</t>
        </is>
      </c>
    </row>
    <row r="87" ht="32.8" customHeight="1" s="19">
      <c r="A87" s="25" t="n">
        <v>86</v>
      </c>
      <c r="B87" s="25" t="inlineStr">
        <is>
          <t>★★★★☆</t>
        </is>
      </c>
      <c r="C87" s="25" t="inlineStr">
        <is>
          <t>4 – Strong fit (electronics/signal/robotics/IoT/sensors)</t>
        </is>
      </c>
      <c r="D87" s="25" t="inlineStr">
        <is>
          <t>Electrical energy</t>
        </is>
      </c>
      <c r="E87" s="26" t="inlineStr">
        <is>
          <t>International Master of Science in Electrical Engineering for Smart Grids and Buildings (SGB)</t>
        </is>
      </c>
      <c r="F87" s="26" t="inlineStr">
        <is>
          <t>International Master of Science in Electrical Engineering for Smart Grids and Buildings (SGB)</t>
        </is>
      </c>
      <c r="G87" s="25" t="inlineStr">
        <is>
          <t>Master indifférencié (recherche et professionnel)</t>
        </is>
      </c>
      <c r="H87" s="25" t="inlineStr">
        <is>
          <t>Ecole nationale supérieure de l'énergie, l'eau et l'environnement - Grenoble INP</t>
        </is>
      </c>
      <c r="I87" s="25" t="inlineStr">
        <is>
          <t>Grenoble INP</t>
        </is>
      </c>
      <c r="J87" s="25" t="inlineStr">
        <is>
          <t>Site de Grenoble</t>
        </is>
      </c>
      <c r="K87" s="25" t="n"/>
      <c r="L87" s="25" t="inlineStr">
        <is>
          <t>Public school / institute</t>
        </is>
      </c>
      <c r="M87" s="25" t="inlineStr">
        <is>
          <t>English</t>
        </is>
      </c>
      <c r="N87" s="25" t="inlineStr">
        <is>
          <t>Taught in English</t>
        </is>
      </c>
      <c r="O87" s="25" t="inlineStr">
        <is>
          <t>Bac +4 / Bac +5</t>
        </is>
      </c>
      <c r="P87" s="26" t="inlineStr">
        <is>
          <t>Eligible on level (4-yr BS ≈ Bac+4)</t>
        </is>
      </c>
      <c r="Q87" s="25" t="inlineStr">
        <is>
          <t>1/2</t>
        </is>
      </c>
      <c r="R87" s="25" t="n"/>
      <c r="S87" s="27" t="n">
        <v>3950</v>
      </c>
      <c r="T87" s="27" t="n">
        <v>255</v>
      </c>
      <c r="U87" s="25" t="n">
        <v>2</v>
      </c>
      <c r="V87" s="27">
        <f>IF(S87="","",S87*U87)</f>
        <v/>
      </c>
      <c r="W87" s="26" t="inlineStr">
        <is>
          <t>Not in catalogue. Public national master → 2026-27 differentiated fee €3,950; exemption to ~€254-255 depends on university quota (25% cap in 2027-28).</t>
        </is>
      </c>
      <c r="X87" s="25" t="inlineStr">
        <is>
          <t>Medium</t>
        </is>
      </c>
      <c r="Y87" s="25" t="n"/>
      <c r="Z87" s="26" t="n"/>
      <c r="AA87" s="26" t="inlineStr">
        <is>
          <t>UGA (incl. Grenoble INP masters): 2026-27 broad exemptions on request (pay national €254). From 2027-28 the decree caps apply; exemptions based on resources.</t>
        </is>
      </c>
      <c r="AB87" s="28" t="inlineStr">
        <is>
          <t>https://www.univ-grenoble-alpes.fr/actualites/a-la-une/actualites-universite/etudiants-internationaux-ce-que-change-le-nouveau-decret-sur-les-droits-d-inscription-a-l-uga-1775870.kjsp</t>
        </is>
      </c>
      <c r="AC87" s="25" t="inlineStr">
        <is>
          <t>Open</t>
        </is>
      </c>
      <c r="AD87" s="25" t="inlineStr">
        <is>
          <t>2026-10-01</t>
        </is>
      </c>
      <c r="AE87" s="25" t="inlineStr">
        <is>
          <t>2027-03-15</t>
        </is>
      </c>
      <c r="AF87" s="25" t="inlineStr">
        <is>
          <t>Yes</t>
        </is>
      </c>
      <c r="AG87" s="28" t="inlineStr">
        <is>
          <t>https://ense3.grenoble-inp.fr/en/study-at-ense3/masters-in-english</t>
        </is>
      </c>
      <c r="AH87" s="26" t="inlineStr">
        <is>
          <t>***PAGE CURRENTLY BEING UPDATED FOR THE 2027–2028 ACADEMIC YEAR*** Before applying, it is important to check the cost of the programme as well as the level of financial resources required for your year of study in France</t>
        </is>
      </c>
      <c r="AI87" s="28" t="inlineStr">
        <is>
          <t>Open in EEF</t>
        </is>
      </c>
    </row>
    <row r="88" ht="32.8" customHeight="1" s="19">
      <c r="A88" s="25" t="n">
        <v>87</v>
      </c>
      <c r="B88" s="25" t="inlineStr">
        <is>
          <t>★★★★☆</t>
        </is>
      </c>
      <c r="C88" s="25" t="inlineStr">
        <is>
          <t>4 – Strong fit (electronics/signal/robotics/IoT/sensors)</t>
        </is>
      </c>
      <c r="D88" s="25" t="inlineStr">
        <is>
          <t>Embedded systems / Electronics</t>
        </is>
      </c>
      <c r="E88" s="26" t="inlineStr">
        <is>
          <t>Master indifférencié (recherche et professionnel) mention Master EMIMEP : European Master for Industry in Microwave Electronics and Photonics</t>
        </is>
      </c>
      <c r="F88" s="26" t="inlineStr">
        <is>
          <t>major: Master EMIMEP : European Master for Industry in Microwave Electronics and Photonics</t>
        </is>
      </c>
      <c r="G88" s="25" t="inlineStr">
        <is>
          <t>Master indifférencié (recherche et professionnel)</t>
        </is>
      </c>
      <c r="H88" s="25" t="inlineStr">
        <is>
          <t>Faculté des Sciences et Techniques</t>
        </is>
      </c>
      <c r="I88" s="25" t="inlineStr">
        <is>
          <t>Université de Limoges</t>
        </is>
      </c>
      <c r="J88" s="25" t="inlineStr">
        <is>
          <t>Campus de la Borie Limoges</t>
        </is>
      </c>
      <c r="K88" s="25" t="n"/>
      <c r="L88" s="25" t="inlineStr">
        <is>
          <t>Public university</t>
        </is>
      </c>
      <c r="M88" s="25" t="inlineStr">
        <is>
          <t>English</t>
        </is>
      </c>
      <c r="N88" s="25" t="inlineStr">
        <is>
          <t>Taught in English</t>
        </is>
      </c>
      <c r="O88" s="25" t="inlineStr">
        <is>
          <t>Bac +4 / Bac +5</t>
        </is>
      </c>
      <c r="P88" s="26" t="inlineStr">
        <is>
          <t>Eligible on level (4-yr BS ≈ Bac+4)</t>
        </is>
      </c>
      <c r="Q88" s="25" t="inlineStr">
        <is>
          <t>1/2</t>
        </is>
      </c>
      <c r="R88" s="25" t="inlineStr">
        <is>
          <t>10</t>
        </is>
      </c>
      <c r="S88" s="27" t="n">
        <v>3950</v>
      </c>
      <c r="T88" s="27" t="n">
        <v>255</v>
      </c>
      <c r="U88" s="25" t="n">
        <v>2</v>
      </c>
      <c r="V88" s="27">
        <f>IF(S88="","",S88*U88)</f>
        <v/>
      </c>
      <c r="W88" s="26" t="inlineStr">
        <is>
          <t>Not in catalogue. Public national master → 2026-27 differentiated fee €3,950; exemption to ~€254-255 depends on university quota (25% cap in 2027-28).</t>
        </is>
      </c>
      <c r="X88" s="25" t="inlineStr">
        <is>
          <t>Medium</t>
        </is>
      </c>
      <c r="Y88" s="25" t="n"/>
      <c r="Z88" s="26" t="n"/>
      <c r="AA88" s="26" t="n"/>
      <c r="AB88" s="25" t="n"/>
      <c r="AC88" s="25" t="inlineStr">
        <is>
          <t>Open</t>
        </is>
      </c>
      <c r="AD88" s="25" t="inlineStr">
        <is>
          <t>2026-10-01</t>
        </is>
      </c>
      <c r="AE88" s="25" t="inlineStr">
        <is>
          <t>2027-03-15</t>
        </is>
      </c>
      <c r="AF88" s="25" t="inlineStr">
        <is>
          <t>Yes</t>
        </is>
      </c>
      <c r="AG88" s="28" t="inlineStr">
        <is>
          <t>https://www.erasmus-mundus.emimep.eu/</t>
        </is>
      </c>
      <c r="AH88" s="26" t="inlineStr">
        <is>
          <t>Bachelor diploma in Electronic Engineering, telecommunication engineering, or applied physics with solid bases in signal processing, electromagnetism, telecommunications, embedded systems, analogue and digital electronic</t>
        </is>
      </c>
      <c r="AI88" s="28" t="inlineStr">
        <is>
          <t>Open in EEF</t>
        </is>
      </c>
    </row>
    <row r="89" ht="32.8" customHeight="1" s="19">
      <c r="A89" s="25" t="n">
        <v>88</v>
      </c>
      <c r="B89" s="25" t="inlineStr">
        <is>
          <t>★★★★☆</t>
        </is>
      </c>
      <c r="C89" s="25" t="inlineStr">
        <is>
          <t>4 – Strong fit (electronics/signal/robotics/IoT/sensors)</t>
        </is>
      </c>
      <c r="D89" s="25" t="inlineStr">
        <is>
          <t>Sensors / Instrumentation / Micro-Nano / Photonics</t>
        </is>
      </c>
      <c r="E89" s="26" t="inlineStr">
        <is>
          <t>Master indifférencié (recherche et professionnel) mention Physique fondamentale et applications parcours Engineering Physics &amp; Advanced Photonics Technologies</t>
        </is>
      </c>
      <c r="F89" s="26" t="inlineStr">
        <is>
          <t>major: Physics Fundamental &amp; Applications – track: Engineering Physics &amp; Advanced Photonics Technologies</t>
        </is>
      </c>
      <c r="G89" s="25" t="inlineStr">
        <is>
          <t>Master indifférencié (recherche et professionnel)</t>
        </is>
      </c>
      <c r="H89" s="25" t="inlineStr">
        <is>
          <t>UFR Sciences et Techniques</t>
        </is>
      </c>
      <c r="I89" s="25" t="inlineStr">
        <is>
          <t>Université Marie et Louis Pasteur</t>
        </is>
      </c>
      <c r="J89" s="25" t="inlineStr">
        <is>
          <t>Site de Besançon</t>
        </is>
      </c>
      <c r="K89" s="25" t="inlineStr">
        <is>
          <t>25030 BESANCON CEDEX</t>
        </is>
      </c>
      <c r="L89" s="25" t="inlineStr">
        <is>
          <t>Public university</t>
        </is>
      </c>
      <c r="M89" s="25" t="inlineStr">
        <is>
          <t>English</t>
        </is>
      </c>
      <c r="N89" s="25" t="inlineStr">
        <is>
          <t>Taught in English</t>
        </is>
      </c>
      <c r="O89" s="25" t="inlineStr">
        <is>
          <t>Bac +4</t>
        </is>
      </c>
      <c r="P89" s="26" t="inlineStr">
        <is>
          <t>Eligible on level (4-yr BS ≈ Bac+4)</t>
        </is>
      </c>
      <c r="Q89" s="25" t="inlineStr">
        <is>
          <t>1</t>
        </is>
      </c>
      <c r="R89" s="25" t="inlineStr">
        <is>
          <t>12</t>
        </is>
      </c>
      <c r="S89" s="27" t="n">
        <v>3950</v>
      </c>
      <c r="T89" s="27" t="n">
        <v>255</v>
      </c>
      <c r="U89" s="25" t="n">
        <v>2</v>
      </c>
      <c r="V89" s="27">
        <f>IF(S89="","",S89*U89)</f>
        <v/>
      </c>
      <c r="W89" s="26" t="inlineStr">
        <is>
          <t>Not in catalogue. Public national master → 2026-27 differentiated fee €3,950; exemption to ~€254-255 depends on university quota (25% cap in 2027-28).</t>
        </is>
      </c>
      <c r="X89" s="25" t="inlineStr">
        <is>
          <t>Medium</t>
        </is>
      </c>
      <c r="Y89" s="25" t="n"/>
      <c r="Z89" s="26" t="n"/>
      <c r="AA89" s="26" t="inlineStr">
        <is>
          <t>UMLP: individual exemption requests assessed on personal resources.</t>
        </is>
      </c>
      <c r="AB89" s="28" t="inlineStr">
        <is>
          <t>https://www.umlp.fr/sites/default/files/2026-07-02-page-droits-differencies-vf.pdf</t>
        </is>
      </c>
      <c r="AC89" s="25" t="inlineStr">
        <is>
          <t>Open</t>
        </is>
      </c>
      <c r="AD89" s="25" t="inlineStr">
        <is>
          <t>2026-10-01</t>
        </is>
      </c>
      <c r="AE89" s="25" t="inlineStr">
        <is>
          <t>2027-03-15</t>
        </is>
      </c>
      <c r="AF89" s="25" t="inlineStr">
        <is>
          <t>No</t>
        </is>
      </c>
      <c r="AG89" s="28" t="inlineStr">
        <is>
          <t>https://taughtie.campusfrance.org/tiesearch/#/program/3551</t>
        </is>
      </c>
      <c r="AH89" s="26" t="inlineStr">
        <is>
          <t>Course in English for students holding a degree in Physics or equivalent (License, Bachelor of Sciences, Licenciatura, etc.).English level B2, or equivalent, is required. The prerequisite disciplines are general physics,</t>
        </is>
      </c>
      <c r="AI89" s="28" t="inlineStr">
        <is>
          <t>Open in EEF</t>
        </is>
      </c>
    </row>
    <row r="90" ht="32.8" customHeight="1" s="19">
      <c r="A90" s="25" t="n">
        <v>89</v>
      </c>
      <c r="B90" s="25" t="inlineStr">
        <is>
          <t>★★★★☆</t>
        </is>
      </c>
      <c r="C90" s="25" t="inlineStr">
        <is>
          <t>4 – Strong fit (electronics/signal/robotics/IoT/sensors)</t>
        </is>
      </c>
      <c r="D90" s="25" t="inlineStr">
        <is>
          <t>Sensors / Instrumentation / Micro-Nano / Photonics</t>
        </is>
      </c>
      <c r="E90" s="26" t="inlineStr">
        <is>
          <t>Master indifférencié (recherche et professionnel) Nanosciences and Nanotechnologies parcours Nanoscale and Quantum Engineering</t>
        </is>
      </c>
      <c r="F90" s="26" t="inlineStr">
        <is>
          <t>Nanosciences and Nanotechnologies – track: Nanoscale and Quantum Engineering</t>
        </is>
      </c>
      <c r="G90" s="25" t="inlineStr">
        <is>
          <t>Master indifférencié (recherche et professionnel)</t>
        </is>
      </c>
      <c r="H90" s="25" t="inlineStr">
        <is>
          <t>UFR Sciences</t>
        </is>
      </c>
      <c r="I90" s="25" t="inlineStr">
        <is>
          <t>Université d'Aix-Marseille</t>
        </is>
      </c>
      <c r="J90" s="25" t="inlineStr">
        <is>
          <t>Site de Marseille - St Jérôme</t>
        </is>
      </c>
      <c r="K90" s="25" t="n"/>
      <c r="L90" s="25" t="inlineStr">
        <is>
          <t>Public university</t>
        </is>
      </c>
      <c r="M90" s="25" t="inlineStr">
        <is>
          <t>English</t>
        </is>
      </c>
      <c r="N90" s="25" t="inlineStr">
        <is>
          <t>Taught in English</t>
        </is>
      </c>
      <c r="O90" s="25" t="inlineStr">
        <is>
          <t>Bac +4 / Bac +5</t>
        </is>
      </c>
      <c r="P90" s="26" t="inlineStr">
        <is>
          <t>Eligible on level (4-yr BS ≈ Bac+4)</t>
        </is>
      </c>
      <c r="Q90" s="25" t="inlineStr">
        <is>
          <t>1/2</t>
        </is>
      </c>
      <c r="R90" s="25" t="inlineStr">
        <is>
          <t>12</t>
        </is>
      </c>
      <c r="S90" s="27" t="n">
        <v>3950</v>
      </c>
      <c r="T90" s="27" t="n">
        <v>255</v>
      </c>
      <c r="U90" s="25" t="n">
        <v>2</v>
      </c>
      <c r="V90" s="27">
        <f>IF(S90="","",S90*U90)</f>
        <v/>
      </c>
      <c r="W90" s="26" t="inlineStr">
        <is>
          <t>Not in catalogue. Public national master → 2026-27 differentiated fee €3,950; exemption to ~€254-255 depends on university quota (25% cap in 2027-28).</t>
        </is>
      </c>
      <c r="X90" s="25" t="inlineStr">
        <is>
          <t>Medium</t>
        </is>
      </c>
      <c r="Y90" s="25" t="n"/>
      <c r="Z90" s="26" t="n"/>
      <c r="AA90" s="26" t="inlineStr">
        <is>
          <t>AMU 2026-27: limited exemptions (≈1,800 of 5,500 students) – priority to continuing students, conflict zones, excellence scholarships. New master entrants usually pay €3,950.</t>
        </is>
      </c>
      <c r="AB90" s="28" t="inlineStr">
        <is>
          <t>https://www.univ-amu.fr/fr/actualites/aix-marseille-universite-mobilise-pleinement-capacite-dexoneration-continuer-accueillir</t>
        </is>
      </c>
      <c r="AC90" s="25" t="inlineStr">
        <is>
          <t>Open</t>
        </is>
      </c>
      <c r="AD90" s="25" t="inlineStr">
        <is>
          <t>2026-10-01</t>
        </is>
      </c>
      <c r="AE90" s="25" t="inlineStr">
        <is>
          <t>2027-03-15</t>
        </is>
      </c>
      <c r="AF90" s="25" t="inlineStr">
        <is>
          <t>No</t>
        </is>
      </c>
      <c r="AG90" s="28" t="inlineStr">
        <is>
          <t>https://formations.univ-amu.fr/fr/master/5SNN/PRSNN5C3</t>
        </is>
      </c>
      <c r="AH90" s="26" t="inlineStr">
        <is>
          <t>4 important points for your application : Your application must be complete and validated by the Espace Etudes in France The faculty will review the applications The level of English required is B2 Opportunity to apply f</t>
        </is>
      </c>
      <c r="AI90" s="28" t="inlineStr">
        <is>
          <t>Open in EEF</t>
        </is>
      </c>
    </row>
    <row r="91" ht="32.8" customHeight="1" s="19">
      <c r="A91" s="25" t="n">
        <v>90</v>
      </c>
      <c r="B91" s="25" t="inlineStr">
        <is>
          <t>★★★★☆</t>
        </is>
      </c>
      <c r="C91" s="25" t="inlineStr">
        <is>
          <t>4 – Strong fit (electronics/signal/robotics/IoT/sensors)</t>
        </is>
      </c>
      <c r="D91" s="25" t="inlineStr">
        <is>
          <t>Neuroscience / Neuro-engineering</t>
        </is>
      </c>
      <c r="E91" s="26" t="inlineStr">
        <is>
          <t>Master indifférencié (recherche et professionnel) parcours IDIL - Master Integrative Neuroscience and Omics</t>
        </is>
      </c>
      <c r="F91" s="26" t="inlineStr">
        <is>
          <t>track: IDIL - Master Integrative Neuroscience and Omics</t>
        </is>
      </c>
      <c r="G91" s="25" t="inlineStr">
        <is>
          <t>Master indifférencié (recherche et professionnel)</t>
        </is>
      </c>
      <c r="H91" s="25" t="inlineStr">
        <is>
          <t>UFR des Sciences de Montpellier</t>
        </is>
      </c>
      <c r="I91" s="25" t="inlineStr">
        <is>
          <t>Université de Montpellier</t>
        </is>
      </c>
      <c r="J91" s="25" t="inlineStr">
        <is>
          <t>Site de Montpellier</t>
        </is>
      </c>
      <c r="K91" s="25" t="n"/>
      <c r="L91" s="25" t="inlineStr">
        <is>
          <t>Public university</t>
        </is>
      </c>
      <c r="M91" s="25" t="inlineStr">
        <is>
          <t>English</t>
        </is>
      </c>
      <c r="N91" s="25" t="inlineStr">
        <is>
          <t>Taught in English</t>
        </is>
      </c>
      <c r="O91" s="25" t="inlineStr">
        <is>
          <t>Bac +4 / Bac +5</t>
        </is>
      </c>
      <c r="P91" s="26" t="inlineStr">
        <is>
          <t>Eligible on level (4-yr BS ≈ Bac+4)</t>
        </is>
      </c>
      <c r="Q91" s="25" t="inlineStr">
        <is>
          <t>1/2</t>
        </is>
      </c>
      <c r="R91" s="25" t="inlineStr">
        <is>
          <t>12</t>
        </is>
      </c>
      <c r="S91" s="27" t="n">
        <v>3950</v>
      </c>
      <c r="T91" s="27" t="n">
        <v>255</v>
      </c>
      <c r="U91" s="25" t="n">
        <v>2</v>
      </c>
      <c r="V91" s="27">
        <f>IF(S91="","",S91*U91)</f>
        <v/>
      </c>
      <c r="W91" s="26" t="inlineStr">
        <is>
          <t>Not in catalogue. Public national master → 2026-27 differentiated fee €3,950; exemption to ~€254-255 depends on university quota (25% cap in 2027-28).</t>
        </is>
      </c>
      <c r="X91" s="25" t="inlineStr">
        <is>
          <t>Medium</t>
        </is>
      </c>
      <c r="Y91" s="25" t="n"/>
      <c r="Z91" s="26" t="n"/>
      <c r="AA91" s="26" t="inlineStr">
        <is>
          <t>Montpellier 2026-27: new non-EU entrants pay the differentiated fee unless individual exemption (limited).</t>
        </is>
      </c>
      <c r="AB91" s="28" t="inlineStr">
        <is>
          <t>https://www.umontpellier.fr/en/international/etudier-a-letranger/etudiants-internationaux-annee-universitaire-2026-2027/</t>
        </is>
      </c>
      <c r="AC91" s="25" t="inlineStr">
        <is>
          <t>Open</t>
        </is>
      </c>
      <c r="AD91" s="25" t="inlineStr">
        <is>
          <t>2026-10-01</t>
        </is>
      </c>
      <c r="AE91" s="25" t="inlineStr">
        <is>
          <t>2027-03-15</t>
        </is>
      </c>
      <c r="AF91" s="25" t="inlineStr">
        <is>
          <t>No</t>
        </is>
      </c>
      <c r="AG91" s="28" t="inlineStr">
        <is>
          <t>https://idil.edu.umontpellier.fr/</t>
        </is>
      </c>
      <c r="AH91" s="26" t="inlineStr">
        <is>
          <t>Conditions d’accès Diplôme de licence dans la discipline choisie IDIL Niveau d’anglais B2 minimum CV et lettre de motivation 2 lettres de soutien d’un chercheur et/ou professeur (recommandé, mais non obligatoire) Estimat</t>
        </is>
      </c>
      <c r="AI91" s="28" t="inlineStr">
        <is>
          <t>Open in EEF</t>
        </is>
      </c>
    </row>
    <row r="92" ht="32.8" customHeight="1" s="19">
      <c r="A92" s="25" t="n">
        <v>91</v>
      </c>
      <c r="B92" s="25" t="inlineStr">
        <is>
          <t>★★★★☆</t>
        </is>
      </c>
      <c r="C92" s="25" t="inlineStr">
        <is>
          <t>4 – Strong fit (electronics/signal/robotics/IoT/sensors)</t>
        </is>
      </c>
      <c r="D92" s="25" t="inlineStr">
        <is>
          <t>Biomedical / Health tech</t>
        </is>
      </c>
      <c r="E92" s="26" t="inlineStr">
        <is>
          <t>Master indifférencié (recherche et professionnel) parcours IDIL - Master Photonics &amp; Electronics Sensors for Environment &amp; Health</t>
        </is>
      </c>
      <c r="F92" s="26" t="inlineStr">
        <is>
          <t>track: IDIL - Master Photonics &amp; Electronics Sensors for Environment &amp; Health</t>
        </is>
      </c>
      <c r="G92" s="25" t="inlineStr">
        <is>
          <t>Master indifférencié (recherche et professionnel)</t>
        </is>
      </c>
      <c r="H92" s="25" t="inlineStr">
        <is>
          <t>UFR des Sciences de Montpellier</t>
        </is>
      </c>
      <c r="I92" s="25" t="inlineStr">
        <is>
          <t>Université de Montpellier</t>
        </is>
      </c>
      <c r="J92" s="25" t="inlineStr">
        <is>
          <t>Site de Montpellier</t>
        </is>
      </c>
      <c r="K92" s="25" t="n"/>
      <c r="L92" s="25" t="inlineStr">
        <is>
          <t>Public university</t>
        </is>
      </c>
      <c r="M92" s="25" t="inlineStr">
        <is>
          <t>English</t>
        </is>
      </c>
      <c r="N92" s="25" t="inlineStr">
        <is>
          <t>Taught in English</t>
        </is>
      </c>
      <c r="O92" s="25" t="inlineStr">
        <is>
          <t>Bac +4 / Bac +5</t>
        </is>
      </c>
      <c r="P92" s="26" t="inlineStr">
        <is>
          <t>Eligible on level (4-yr BS ≈ Bac+4)</t>
        </is>
      </c>
      <c r="Q92" s="25" t="inlineStr">
        <is>
          <t>1/2</t>
        </is>
      </c>
      <c r="R92" s="25" t="inlineStr">
        <is>
          <t>12</t>
        </is>
      </c>
      <c r="S92" s="27" t="n">
        <v>3950</v>
      </c>
      <c r="T92" s="27" t="n">
        <v>255</v>
      </c>
      <c r="U92" s="25" t="n">
        <v>2</v>
      </c>
      <c r="V92" s="27">
        <f>IF(S92="","",S92*U92)</f>
        <v/>
      </c>
      <c r="W92" s="26" t="inlineStr">
        <is>
          <t>Not in catalogue. Public national master → 2026-27 differentiated fee €3,950; exemption to ~€254-255 depends on university quota (25% cap in 2027-28).</t>
        </is>
      </c>
      <c r="X92" s="25" t="inlineStr">
        <is>
          <t>Medium</t>
        </is>
      </c>
      <c r="Y92" s="25" t="n"/>
      <c r="Z92" s="26" t="n"/>
      <c r="AA92" s="26" t="inlineStr">
        <is>
          <t>Montpellier 2026-27: new non-EU entrants pay the differentiated fee unless individual exemption (limited).</t>
        </is>
      </c>
      <c r="AB92" s="28" t="inlineStr">
        <is>
          <t>https://www.umontpellier.fr/en/international/etudier-a-letranger/etudiants-internationaux-annee-universitaire-2026-2027/</t>
        </is>
      </c>
      <c r="AC92" s="25" t="inlineStr">
        <is>
          <t>Open</t>
        </is>
      </c>
      <c r="AD92" s="25" t="inlineStr">
        <is>
          <t>2026-10-01</t>
        </is>
      </c>
      <c r="AE92" s="25" t="inlineStr">
        <is>
          <t>2027-03-15</t>
        </is>
      </c>
      <c r="AF92" s="25" t="inlineStr">
        <is>
          <t>No</t>
        </is>
      </c>
      <c r="AG92" s="28" t="inlineStr">
        <is>
          <t>https://idil.edu.umontpellier.fr/</t>
        </is>
      </c>
      <c r="AH92" s="26" t="inlineStr">
        <is>
          <t>Diplôme de licence dans le champ disciplinaire • Niveau d’anglais B2 minimum • CV et lettre de motivation • 2 lettres de soutien d’un chercheur et/ou professeur • Estimation du classement de l’étudiant dans sa promotion</t>
        </is>
      </c>
      <c r="AI92" s="28" t="inlineStr">
        <is>
          <t>Open in EEF</t>
        </is>
      </c>
    </row>
    <row r="93" ht="22.35" customHeight="1" s="19">
      <c r="A93" s="25" t="n">
        <v>92</v>
      </c>
      <c r="B93" s="25" t="inlineStr">
        <is>
          <t>★★★★☆</t>
        </is>
      </c>
      <c r="C93" s="25" t="inlineStr">
        <is>
          <t>4 – Strong fit (electronics/signal/robotics/IoT/sensors)</t>
        </is>
      </c>
      <c r="D93" s="25" t="inlineStr">
        <is>
          <t>Robotics / Automation / Mechatronics</t>
        </is>
      </c>
      <c r="E93" s="26" t="inlineStr">
        <is>
          <t>Master indifférencié (recherche et professionnel) parcours Master in Advanced Mechatronics</t>
        </is>
      </c>
      <c r="F93" s="26" t="inlineStr">
        <is>
          <t>track: Master in Advanced Mechatronics</t>
        </is>
      </c>
      <c r="G93" s="25" t="inlineStr">
        <is>
          <t>Master indifférencié (recherche et professionnel)</t>
        </is>
      </c>
      <c r="H93" s="25" t="inlineStr">
        <is>
          <t>Polytech Annecy-Chambéry</t>
        </is>
      </c>
      <c r="I93" s="25" t="inlineStr">
        <is>
          <t>Groupement Polytech</t>
        </is>
      </c>
      <c r="J93" s="25" t="inlineStr">
        <is>
          <t>Site d'Annecy</t>
        </is>
      </c>
      <c r="K93" s="25" t="n"/>
      <c r="L93" s="25" t="inlineStr">
        <is>
          <t>Public school / institute</t>
        </is>
      </c>
      <c r="M93" s="25" t="inlineStr">
        <is>
          <t>English</t>
        </is>
      </c>
      <c r="N93" s="25" t="inlineStr">
        <is>
          <t>Taught in English</t>
        </is>
      </c>
      <c r="O93" s="25" t="inlineStr">
        <is>
          <t>Bac +4 / Bac +5</t>
        </is>
      </c>
      <c r="P93" s="26" t="inlineStr">
        <is>
          <t>Eligible on level (4-yr BS ≈ Bac+4)</t>
        </is>
      </c>
      <c r="Q93" s="25" t="inlineStr">
        <is>
          <t>1/2</t>
        </is>
      </c>
      <c r="R93" s="25" t="inlineStr">
        <is>
          <t>10/12</t>
        </is>
      </c>
      <c r="S93" s="27" t="n">
        <v>3950</v>
      </c>
      <c r="T93" s="27" t="n">
        <v>255</v>
      </c>
      <c r="U93" s="25" t="n">
        <v>2</v>
      </c>
      <c r="V93" s="27">
        <f>IF(S93="","",S93*U93)</f>
        <v/>
      </c>
      <c r="W93" s="26" t="inlineStr">
        <is>
          <t>Not in catalogue. Public national master → 2026-27 differentiated fee €3,950; exemption to ~€254-255 depends on university quota (25% cap in 2027-28).</t>
        </is>
      </c>
      <c r="X93" s="25" t="inlineStr">
        <is>
          <t>Medium</t>
        </is>
      </c>
      <c r="Y93" s="25" t="n"/>
      <c r="Z93" s="26" t="n"/>
      <c r="AA93" s="26" t="n"/>
      <c r="AB93" s="25" t="n"/>
      <c r="AC93" s="25" t="inlineStr">
        <is>
          <t>Open</t>
        </is>
      </c>
      <c r="AD93" s="25" t="inlineStr">
        <is>
          <t>2026-10-01</t>
        </is>
      </c>
      <c r="AE93" s="25" t="inlineStr">
        <is>
          <t>2027-03-15</t>
        </is>
      </c>
      <c r="AF93" s="25" t="inlineStr">
        <is>
          <t>No</t>
        </is>
      </c>
      <c r="AG93" s="28" t="inlineStr">
        <is>
          <t>http://www.polytech.univ-smb.fr/en/programs/masters/advanced-mechatronics.html</t>
        </is>
      </c>
      <c r="AH93" s="26" t="n"/>
      <c r="AI93" s="28" t="inlineStr">
        <is>
          <t>Open in EEF</t>
        </is>
      </c>
    </row>
    <row r="94" ht="32.8" customHeight="1" s="19">
      <c r="A94" s="25" t="n">
        <v>93</v>
      </c>
      <c r="B94" s="25" t="inlineStr">
        <is>
          <t>★★★★☆</t>
        </is>
      </c>
      <c r="C94" s="25" t="inlineStr">
        <is>
          <t>4 – Strong fit (electronics/signal/robotics/IoT/sensors)</t>
        </is>
      </c>
      <c r="D94" s="25" t="inlineStr">
        <is>
          <t>Robotics / Automation / Mechatronics</t>
        </is>
      </c>
      <c r="E94" s="26" t="inlineStr">
        <is>
          <t>Master indifférencié (recherche et professionnel) Sciences, Technologie, Santé mention Automatique, robotique parcours Advanced robotics mechatronics and automatic control</t>
        </is>
      </c>
      <c r="F94" s="26" t="inlineStr">
        <is>
          <t>Sciences, Technology, Health – major: Automation, Robotics – track: Advanced robotics mechatronics and automatic control</t>
        </is>
      </c>
      <c r="G94" s="25" t="inlineStr">
        <is>
          <t>Master indifférencié (recherche et professionnel)</t>
        </is>
      </c>
      <c r="H94" s="25" t="inlineStr">
        <is>
          <t>UFR Sciences et Techniques</t>
        </is>
      </c>
      <c r="I94" s="25" t="inlineStr">
        <is>
          <t>Université Marie et Louis Pasteur</t>
        </is>
      </c>
      <c r="J94" s="25" t="inlineStr">
        <is>
          <t>Site de Besançon</t>
        </is>
      </c>
      <c r="K94" s="25" t="inlineStr">
        <is>
          <t>25030 BESANCON CEDEX</t>
        </is>
      </c>
      <c r="L94" s="25" t="inlineStr">
        <is>
          <t>Public university</t>
        </is>
      </c>
      <c r="M94" s="25" t="inlineStr">
        <is>
          <t>English</t>
        </is>
      </c>
      <c r="N94" s="25" t="inlineStr">
        <is>
          <t>Taught in English</t>
        </is>
      </c>
      <c r="O94" s="25" t="inlineStr">
        <is>
          <t>Bac +4</t>
        </is>
      </c>
      <c r="P94" s="26" t="inlineStr">
        <is>
          <t>Eligible on level (4-yr BS ≈ Bac+4)</t>
        </is>
      </c>
      <c r="Q94" s="25" t="inlineStr">
        <is>
          <t>1</t>
        </is>
      </c>
      <c r="R94" s="25" t="inlineStr">
        <is>
          <t>12</t>
        </is>
      </c>
      <c r="S94" s="27" t="n">
        <v>3950</v>
      </c>
      <c r="T94" s="27" t="n">
        <v>255</v>
      </c>
      <c r="U94" s="25" t="n">
        <v>2</v>
      </c>
      <c r="V94" s="27">
        <f>IF(S94="","",S94*U94)</f>
        <v/>
      </c>
      <c r="W94" s="26" t="inlineStr">
        <is>
          <t>Not in catalogue. Public national master → 2026-27 differentiated fee €3,950; exemption to ~€254-255 depends on university quota (25% cap in 2027-28).</t>
        </is>
      </c>
      <c r="X94" s="25" t="inlineStr">
        <is>
          <t>Medium</t>
        </is>
      </c>
      <c r="Y94" s="25" t="n"/>
      <c r="Z94" s="26" t="n"/>
      <c r="AA94" s="26" t="inlineStr">
        <is>
          <t>UMLP: individual exemption requests assessed on personal resources.</t>
        </is>
      </c>
      <c r="AB94" s="28" t="inlineStr">
        <is>
          <t>https://www.umlp.fr/sites/default/files/2026-07-02-page-droits-differencies-vf.pdf</t>
        </is>
      </c>
      <c r="AC94" s="25" t="inlineStr">
        <is>
          <t>Open</t>
        </is>
      </c>
      <c r="AD94" s="25" t="inlineStr">
        <is>
          <t>2026-10-01</t>
        </is>
      </c>
      <c r="AE94" s="25" t="inlineStr">
        <is>
          <t>2027-03-15</t>
        </is>
      </c>
      <c r="AF94" s="25" t="inlineStr">
        <is>
          <t>No</t>
        </is>
      </c>
      <c r="AG94" s="28" t="inlineStr">
        <is>
          <t>https://taughtie.campusfrance.org/tiesearch/#/program/3549</t>
        </is>
      </c>
      <c r="AH94" s="26" t="inlineStr">
        <is>
          <t>Bachelor in Electrical, Mechanical, Mechatronics or Control Engineering; English level equivalent to B2</t>
        </is>
      </c>
      <c r="AI94" s="28" t="inlineStr">
        <is>
          <t>Open in EEF</t>
        </is>
      </c>
    </row>
    <row r="95" ht="32.8" customHeight="1" s="19">
      <c r="A95" s="25" t="n">
        <v>94</v>
      </c>
      <c r="B95" s="25" t="inlineStr">
        <is>
          <t>★★★★☆</t>
        </is>
      </c>
      <c r="C95" s="25" t="inlineStr">
        <is>
          <t>4 – Strong fit (electronics/signal/robotics/IoT/sensors)</t>
        </is>
      </c>
      <c r="D95" s="25" t="inlineStr">
        <is>
          <t>Embedded systems / Electronics</t>
        </is>
      </c>
      <c r="E95" s="26" t="inlineStr">
        <is>
          <t>Master indifférencié (recherche et professionnel) Sciences, Technologies, Santé mention Electronique, énergie électrique, automatique parcours Electrical Engineering and Control Systems Parcours International</t>
        </is>
      </c>
      <c r="F95" s="26" t="inlineStr">
        <is>
          <t>Science, Technology, Health (STS) – major: Electronics, Electrical Energy &amp; Automation (EEA) – track: Electrical Engineering and Control Systems – track: International</t>
        </is>
      </c>
      <c r="G95" s="25" t="inlineStr">
        <is>
          <t>Master indifférencié (recherche et professionnel)</t>
        </is>
      </c>
      <c r="H95" s="25" t="inlineStr">
        <is>
          <t>UFR de Physique, ingénierie, terre, environnement, mécanique</t>
        </is>
      </c>
      <c r="I95" s="25" t="inlineStr">
        <is>
          <t>Université de Grenoble Alpes</t>
        </is>
      </c>
      <c r="J95" s="25" t="inlineStr">
        <is>
          <t>Site de Grenoble - Polygone scientifique - GreEn-ER</t>
        </is>
      </c>
      <c r="K95" s="25" t="n"/>
      <c r="L95" s="25" t="inlineStr">
        <is>
          <t>Public university</t>
        </is>
      </c>
      <c r="M95" s="25" t="inlineStr">
        <is>
          <t>English</t>
        </is>
      </c>
      <c r="N95" s="25" t="inlineStr">
        <is>
          <t>Taught in English</t>
        </is>
      </c>
      <c r="O95" s="25" t="inlineStr">
        <is>
          <t>Bac +4</t>
        </is>
      </c>
      <c r="P95" s="26" t="inlineStr">
        <is>
          <t>Eligible on level (4-yr BS ≈ Bac+4)</t>
        </is>
      </c>
      <c r="Q95" s="25" t="inlineStr">
        <is>
          <t>1</t>
        </is>
      </c>
      <c r="R95" s="25" t="n"/>
      <c r="S95" s="27" t="n">
        <v>3950</v>
      </c>
      <c r="T95" s="27" t="n">
        <v>255</v>
      </c>
      <c r="U95" s="25" t="n">
        <v>2</v>
      </c>
      <c r="V95" s="27">
        <f>IF(S95="","",S95*U95)</f>
        <v/>
      </c>
      <c r="W95" s="26" t="inlineStr">
        <is>
          <t>Not in catalogue. Public national master → 2026-27 differentiated fee €3,950; exemption to ~€254-255 depends on university quota (25% cap in 2027-28).</t>
        </is>
      </c>
      <c r="X95" s="25" t="inlineStr">
        <is>
          <t>Medium</t>
        </is>
      </c>
      <c r="Y95" s="25" t="n"/>
      <c r="Z95" s="26" t="n"/>
      <c r="AA95" s="26" t="inlineStr">
        <is>
          <t>UGA (incl. Grenoble INP masters): 2026-27 broad exemptions on request (pay national €254). From 2027-28 the decree caps apply; exemptions based on resources.</t>
        </is>
      </c>
      <c r="AB95" s="28" t="inlineStr">
        <is>
          <t>https://www.univ-grenoble-alpes.fr/actualites/a-la-une/actualites-universite/etudiants-internationaux-ce-que-change-le-nouveau-decret-sur-les-droits-d-inscription-a-l-uga-1775870.kjsp</t>
        </is>
      </c>
      <c r="AC95" s="25" t="inlineStr">
        <is>
          <t>Open</t>
        </is>
      </c>
      <c r="AD95" s="25" t="inlineStr">
        <is>
          <t>2026-10-01</t>
        </is>
      </c>
      <c r="AE95" s="25" t="inlineStr">
        <is>
          <t>2027-03-15</t>
        </is>
      </c>
      <c r="AF95" s="25" t="inlineStr">
        <is>
          <t>No</t>
        </is>
      </c>
      <c r="AG95" s="28" t="inlineStr">
        <is>
          <t>https://formations.univ-grenoble-alpes.fr/fr/catalogue-2021/master-XB/master-electronique-energie-electrique-automatique-IFZ3DRB9/parcours-electrical-engineering-and-control-systems-1ere-annee-KVQSSM5S.html</t>
        </is>
      </c>
      <c r="AH95" s="26" t="inlineStr">
        <is>
          <t>"General requirements: - hold a M1, bachelor or equivalent degree completed after four full years of University studies; - prove an English proficiency with CEFR (B2), TOEFL (IBT 87-109), IELTS (5.5-6.5), TOEIC (785-945)</t>
        </is>
      </c>
      <c r="AI95" s="28" t="inlineStr">
        <is>
          <t>Open in EEF</t>
        </is>
      </c>
    </row>
    <row r="96" ht="43.25" customHeight="1" s="19">
      <c r="A96" s="25" t="n">
        <v>95</v>
      </c>
      <c r="B96" s="25" t="inlineStr">
        <is>
          <t>★★★★☆</t>
        </is>
      </c>
      <c r="C96" s="25" t="inlineStr">
        <is>
          <t>4 – Strong fit (electronics/signal/robotics/IoT/sensors)</t>
        </is>
      </c>
      <c r="D96" s="25" t="inlineStr">
        <is>
          <t>Embedded systems / Electronics</t>
        </is>
      </c>
      <c r="E96" s="26" t="inlineStr">
        <is>
          <t>Master indifférencié (recherche et professionnel) Sciences, technologies, santé mention Electronique, énergie électrique, automatique parcours Master of Science in Electrical Engineering for Smart Grids and Buildings (SGB)</t>
        </is>
      </c>
      <c r="F96" s="26" t="inlineStr">
        <is>
          <t>Science, Technology, Health (STS) – major: Electronics, Electrical Energy &amp; Automation (EEA) – track: Master of Science in Electrical Engineering for Smart Grids and Buildings (SGB)</t>
        </is>
      </c>
      <c r="G96" s="25" t="inlineStr">
        <is>
          <t>Master indifférencié (recherche et professionnel)</t>
        </is>
      </c>
      <c r="H96" s="25" t="inlineStr">
        <is>
          <t>Ecole nationale supérieure de l'énergie, l'eau et l'environnement - Grenoble INP</t>
        </is>
      </c>
      <c r="I96" s="25" t="inlineStr">
        <is>
          <t>Grenoble INP</t>
        </is>
      </c>
      <c r="J96" s="25" t="inlineStr">
        <is>
          <t>Site de Grenoble</t>
        </is>
      </c>
      <c r="K96" s="25" t="n"/>
      <c r="L96" s="25" t="inlineStr">
        <is>
          <t>Public school / institute</t>
        </is>
      </c>
      <c r="M96" s="25" t="inlineStr">
        <is>
          <t>English</t>
        </is>
      </c>
      <c r="N96" s="25" t="inlineStr">
        <is>
          <t>General</t>
        </is>
      </c>
      <c r="O96" s="25" t="inlineStr">
        <is>
          <t>Bac +4 / Bac +5</t>
        </is>
      </c>
      <c r="P96" s="26" t="inlineStr">
        <is>
          <t>Eligible on level (4-yr BS ≈ Bac+4)</t>
        </is>
      </c>
      <c r="Q96" s="25" t="inlineStr">
        <is>
          <t>1/2</t>
        </is>
      </c>
      <c r="R96" s="25" t="n"/>
      <c r="S96" s="27" t="n">
        <v>3950</v>
      </c>
      <c r="T96" s="27" t="n">
        <v>255</v>
      </c>
      <c r="U96" s="25" t="n">
        <v>2</v>
      </c>
      <c r="V96" s="27">
        <f>IF(S96="","",S96*U96)</f>
        <v/>
      </c>
      <c r="W96" s="26" t="inlineStr">
        <is>
          <t>Not in catalogue. Public national master → 2026-27 differentiated fee €3,950; exemption to ~€254-255 depends on university quota (25% cap in 2027-28).</t>
        </is>
      </c>
      <c r="X96" s="25" t="inlineStr">
        <is>
          <t>Medium</t>
        </is>
      </c>
      <c r="Y96" s="25" t="n"/>
      <c r="Z96" s="26" t="inlineStr">
        <is>
          <t>ropean Economic Area, Andorra or Switzerland) and for students from Quebec fees will be : €1485 per year , plus campus tax* For non EU-studen … ts fees will be : €5180 per year , plus campus tax* * Fees are indica</t>
        </is>
      </c>
      <c r="AA96" s="26" t="inlineStr">
        <is>
          <t>UGA (incl. Grenoble INP masters): 2026-27 broad exemptions on request (pay national €254). From 2027-28 the decree caps apply; exemptions based on resources.</t>
        </is>
      </c>
      <c r="AB96" s="28" t="inlineStr">
        <is>
          <t>https://www.univ-grenoble-alpes.fr/actualites/a-la-une/actualites-universite/etudiants-internationaux-ce-que-change-le-nouveau-decret-sur-les-droits-d-inscription-a-l-uga-1775870.kjsp</t>
        </is>
      </c>
      <c r="AC96" s="25" t="inlineStr">
        <is>
          <t>Open</t>
        </is>
      </c>
      <c r="AD96" s="25" t="inlineStr">
        <is>
          <t>2026-10-01</t>
        </is>
      </c>
      <c r="AE96" s="25" t="inlineStr">
        <is>
          <t>2027-03-15</t>
        </is>
      </c>
      <c r="AF96" s="25" t="inlineStr">
        <is>
          <t>Yes</t>
        </is>
      </c>
      <c r="AG96" s="28" t="inlineStr">
        <is>
          <t>https://ense3.grenoble-inp.fr/en/study-at-ense3/masters-in-english</t>
        </is>
      </c>
      <c r="AH96" s="26" t="inlineStr">
        <is>
          <t>***PAGE CURRENTLY BEING UPDATED FOR THE 2027–2028 ACADEMIC YEAR*** Before applying, it is important to check the cost of the programme as well as the level of financial resources required for your year of study in France</t>
        </is>
      </c>
      <c r="AI96" s="28" t="inlineStr">
        <is>
          <t>Open in EEF</t>
        </is>
      </c>
    </row>
    <row r="97" ht="32.8" customHeight="1" s="19">
      <c r="A97" s="25" t="n">
        <v>96</v>
      </c>
      <c r="B97" s="25" t="inlineStr">
        <is>
          <t>★★★★☆</t>
        </is>
      </c>
      <c r="C97" s="25" t="inlineStr">
        <is>
          <t>4 – Strong fit (electronics/signal/robotics/IoT/sensors)</t>
        </is>
      </c>
      <c r="D97" s="25" t="inlineStr">
        <is>
          <t>Embedded systems / Electronics</t>
        </is>
      </c>
      <c r="E97" s="26" t="inlineStr">
        <is>
          <t>Master indifférencié (recherche et professionnel) Sciences, technologies, santé mention Electronique, Energie électrique, Automatique parcours Robotique</t>
        </is>
      </c>
      <c r="F97" s="26" t="inlineStr">
        <is>
          <t>Science, Technology, Health (STS) – major: Electronics, Electrical Energy &amp; Automation (EEA) – track: Robotics</t>
        </is>
      </c>
      <c r="G97" s="25" t="inlineStr">
        <is>
          <t>Master indifférencié (recherche et professionnel)</t>
        </is>
      </c>
      <c r="H97" s="25" t="inlineStr">
        <is>
          <t>UFR des Sciences de Montpellier</t>
        </is>
      </c>
      <c r="I97" s="25" t="inlineStr">
        <is>
          <t>Université de Montpellier</t>
        </is>
      </c>
      <c r="J97" s="25" t="inlineStr">
        <is>
          <t>Site de Montpellier</t>
        </is>
      </c>
      <c r="K97" s="25" t="n"/>
      <c r="L97" s="25" t="inlineStr">
        <is>
          <t>Public university</t>
        </is>
      </c>
      <c r="M97" s="25" t="inlineStr">
        <is>
          <t>English</t>
        </is>
      </c>
      <c r="N97" s="25" t="inlineStr">
        <is>
          <t>General</t>
        </is>
      </c>
      <c r="O97" s="25" t="inlineStr">
        <is>
          <t>Bac +4 / Bac +5</t>
        </is>
      </c>
      <c r="P97" s="26" t="inlineStr">
        <is>
          <t>Eligible on level (4-yr BS ≈ Bac+4)</t>
        </is>
      </c>
      <c r="Q97" s="25" t="inlineStr">
        <is>
          <t>1/2</t>
        </is>
      </c>
      <c r="R97" s="25" t="n"/>
      <c r="S97" s="27" t="n">
        <v>3950</v>
      </c>
      <c r="T97" s="27" t="n">
        <v>255</v>
      </c>
      <c r="U97" s="25" t="n">
        <v>2</v>
      </c>
      <c r="V97" s="27">
        <f>IF(S97="","",S97*U97)</f>
        <v/>
      </c>
      <c r="W97" s="26" t="inlineStr">
        <is>
          <t>Not in catalogue. Public national master → 2026-27 differentiated fee €3,950; exemption to ~€254-255 depends on university quota (25% cap in 2027-28).</t>
        </is>
      </c>
      <c r="X97" s="25" t="inlineStr">
        <is>
          <t>Medium</t>
        </is>
      </c>
      <c r="Y97" s="25" t="n"/>
      <c r="Z97" s="26" t="n"/>
      <c r="AA97" s="26" t="inlineStr">
        <is>
          <t>Montpellier 2026-27: new non-EU entrants pay the differentiated fee unless individual exemption (limited).</t>
        </is>
      </c>
      <c r="AB97" s="28" t="inlineStr">
        <is>
          <t>https://www.umontpellier.fr/en/international/etudier-a-letranger/etudiants-internationaux-annee-universitaire-2026-2027/</t>
        </is>
      </c>
      <c r="AC97" s="25" t="inlineStr">
        <is>
          <t>Open</t>
        </is>
      </c>
      <c r="AD97" s="25" t="inlineStr">
        <is>
          <t>2026-10-01</t>
        </is>
      </c>
      <c r="AE97" s="25" t="inlineStr">
        <is>
          <t>2027-03-15</t>
        </is>
      </c>
      <c r="AF97" s="25" t="inlineStr">
        <is>
          <t>No</t>
        </is>
      </c>
      <c r="AG97" s="28" t="inlineStr">
        <is>
          <t>http://www.eea.univ-montp2.fr/?-Robotique-Automatique-</t>
        </is>
      </c>
      <c r="AH97" s="26" t="inlineStr">
        <is>
          <t>Description: second year master in Robotics - one year course taught in English Requirements: At least four years of university studies (equivalent of 240 ECTS), in a field related to Robotics, such as: • Mechatronics •</t>
        </is>
      </c>
      <c r="AI97" s="28" t="inlineStr">
        <is>
          <t>Open in EEF</t>
        </is>
      </c>
    </row>
    <row r="98" ht="32.8" customHeight="1" s="19">
      <c r="A98" s="25" t="n">
        <v>97</v>
      </c>
      <c r="B98" s="25" t="inlineStr">
        <is>
          <t>★★★★☆</t>
        </is>
      </c>
      <c r="C98" s="25" t="inlineStr">
        <is>
          <t>4 – Strong fit (electronics/signal/robotics/IoT/sensors)</t>
        </is>
      </c>
      <c r="D98" s="25" t="inlineStr">
        <is>
          <t>Sensors / Instrumentation / Micro-Nano / Photonics</t>
        </is>
      </c>
      <c r="E98" s="26" t="inlineStr">
        <is>
          <t>Master indifférencié (recherche et professionnel) Sciences, Technologies, Santé mention Nanosciences et nanotechnologies parcours Nanophysics - Quantum Physics Parcours International</t>
        </is>
      </c>
      <c r="F98" s="26" t="inlineStr">
        <is>
          <t>Science, Technology, Health (STS) – major: Nanosciences &amp; Nanotechnologies – track: Nanophysics - Quantum Physics – track: International</t>
        </is>
      </c>
      <c r="G98" s="25" t="inlineStr">
        <is>
          <t>Master indifférencié (recherche et professionnel)</t>
        </is>
      </c>
      <c r="H98" s="25" t="inlineStr">
        <is>
          <t>UFR de Physique, ingénierie, terre, environnement, mécanique</t>
        </is>
      </c>
      <c r="I98" s="25" t="inlineStr">
        <is>
          <t>Université de Grenoble Alpes</t>
        </is>
      </c>
      <c r="J98" s="25" t="inlineStr">
        <is>
          <t>Site de Grenoble - Campus de Saint Martin d'Hères</t>
        </is>
      </c>
      <c r="K98" s="25" t="n"/>
      <c r="L98" s="25" t="inlineStr">
        <is>
          <t>Public university</t>
        </is>
      </c>
      <c r="M98" s="25" t="inlineStr">
        <is>
          <t>English</t>
        </is>
      </c>
      <c r="N98" s="25" t="inlineStr">
        <is>
          <t>Taught in English</t>
        </is>
      </c>
      <c r="O98" s="25" t="inlineStr">
        <is>
          <t>Bac +4 / Bac +5</t>
        </is>
      </c>
      <c r="P98" s="26" t="inlineStr">
        <is>
          <t>Eligible on level (4-yr BS ≈ Bac+4)</t>
        </is>
      </c>
      <c r="Q98" s="25" t="inlineStr">
        <is>
          <t>1/2</t>
        </is>
      </c>
      <c r="R98" s="25" t="n"/>
      <c r="S98" s="27" t="n">
        <v>3950</v>
      </c>
      <c r="T98" s="27" t="n">
        <v>255</v>
      </c>
      <c r="U98" s="25" t="n">
        <v>2</v>
      </c>
      <c r="V98" s="27">
        <f>IF(S98="","",S98*U98)</f>
        <v/>
      </c>
      <c r="W98" s="26" t="inlineStr">
        <is>
          <t>Not in catalogue. Public national master → 2026-27 differentiated fee €3,950; exemption to ~€254-255 depends on university quota (25% cap in 2027-28).</t>
        </is>
      </c>
      <c r="X98" s="25" t="inlineStr">
        <is>
          <t>Medium</t>
        </is>
      </c>
      <c r="Y98" s="25" t="n"/>
      <c r="Z98" s="26" t="n"/>
      <c r="AA98" s="26" t="inlineStr">
        <is>
          <t>UGA (incl. Grenoble INP masters): 2026-27 broad exemptions on request (pay national €254). From 2027-28 the decree caps apply; exemptions based on resources.</t>
        </is>
      </c>
      <c r="AB98" s="28" t="inlineStr">
        <is>
          <t>https://www.univ-grenoble-alpes.fr/actualites/a-la-une/actualites-universite/etudiants-internationaux-ce-que-change-le-nouveau-decret-sur-les-droits-d-inscription-a-l-uga-1775870.kjsp</t>
        </is>
      </c>
      <c r="AC98" s="25" t="inlineStr">
        <is>
          <t>Open</t>
        </is>
      </c>
      <c r="AD98" s="25" t="inlineStr">
        <is>
          <t>2026-10-01</t>
        </is>
      </c>
      <c r="AE98" s="25" t="inlineStr">
        <is>
          <t>2027-03-15</t>
        </is>
      </c>
      <c r="AF98" s="25" t="inlineStr">
        <is>
          <t>No</t>
        </is>
      </c>
      <c r="AG98" s="28" t="inlineStr">
        <is>
          <t>https://formations.univ-grenoble-alpes.fr/fr/catalogue-2021/master-XB/master-nanosciences-et-nanotechnologies-IAQK78RT/parcours-nanophysics-quantum-physics-1re-annee-KLQGAWF7.html</t>
        </is>
      </c>
      <c r="AH98" s="26" t="inlineStr">
        <is>
          <t>"The program is open to students who will have completed a Bachelor in physics, nanoscience, or physical-chemistry (with at least 180 ECTS) and containing general courses in physics, but also dedicated courses in quantum</t>
        </is>
      </c>
      <c r="AI98" s="28" t="inlineStr">
        <is>
          <t>Open in EEF</t>
        </is>
      </c>
    </row>
    <row r="99" ht="32.8" customHeight="1" s="19">
      <c r="A99" s="25" t="n">
        <v>98</v>
      </c>
      <c r="B99" s="25" t="inlineStr">
        <is>
          <t>★★★★☆</t>
        </is>
      </c>
      <c r="C99" s="25" t="inlineStr">
        <is>
          <t>4 – Strong fit (electronics/signal/robotics/IoT/sensors)</t>
        </is>
      </c>
      <c r="D99" s="25" t="inlineStr">
        <is>
          <t>Sensors / Instrumentation / Micro-Nano / Photonics</t>
        </is>
      </c>
      <c r="E99" s="26" t="inlineStr">
        <is>
          <t>Master indifférencié (recherche et professionnel) Sciences, Technologies, Santé mention Nanosciences et nanotechnologies parcours Physics of Complex Matter Parcours International</t>
        </is>
      </c>
      <c r="F99" s="26" t="inlineStr">
        <is>
          <t>Science, Technology, Health (STS) – major: Nanosciences &amp; Nanotechnologies – track: Physics of Complex Matter – track: International</t>
        </is>
      </c>
      <c r="G99" s="25" t="inlineStr">
        <is>
          <t>Master indifférencié (recherche et professionnel)</t>
        </is>
      </c>
      <c r="H99" s="25" t="inlineStr">
        <is>
          <t>UFR de Physique, ingénierie, terre, environnement, mécanique</t>
        </is>
      </c>
      <c r="I99" s="25" t="inlineStr">
        <is>
          <t>Université de Grenoble Alpes</t>
        </is>
      </c>
      <c r="J99" s="25" t="inlineStr">
        <is>
          <t>Site de Grenoble - Campus de Saint Martin d'Hères</t>
        </is>
      </c>
      <c r="K99" s="25" t="n"/>
      <c r="L99" s="25" t="inlineStr">
        <is>
          <t>Public university</t>
        </is>
      </c>
      <c r="M99" s="25" t="inlineStr">
        <is>
          <t>English</t>
        </is>
      </c>
      <c r="N99" s="25" t="inlineStr">
        <is>
          <t>Taught in English</t>
        </is>
      </c>
      <c r="O99" s="25" t="inlineStr">
        <is>
          <t>Bac +4 / Bac +5</t>
        </is>
      </c>
      <c r="P99" s="26" t="inlineStr">
        <is>
          <t>Eligible on level (4-yr BS ≈ Bac+4)</t>
        </is>
      </c>
      <c r="Q99" s="25" t="inlineStr">
        <is>
          <t>1/2</t>
        </is>
      </c>
      <c r="R99" s="25" t="n"/>
      <c r="S99" s="27" t="n">
        <v>3950</v>
      </c>
      <c r="T99" s="27" t="n">
        <v>255</v>
      </c>
      <c r="U99" s="25" t="n">
        <v>2</v>
      </c>
      <c r="V99" s="27">
        <f>IF(S99="","",S99*U99)</f>
        <v/>
      </c>
      <c r="W99" s="26" t="inlineStr">
        <is>
          <t>Not in catalogue. Public national master → 2026-27 differentiated fee €3,950; exemption to ~€254-255 depends on university quota (25% cap in 2027-28).</t>
        </is>
      </c>
      <c r="X99" s="25" t="inlineStr">
        <is>
          <t>Medium</t>
        </is>
      </c>
      <c r="Y99" s="25" t="n"/>
      <c r="Z99" s="26" t="n"/>
      <c r="AA99" s="26" t="inlineStr">
        <is>
          <t>UGA (incl. Grenoble INP masters): 2026-27 broad exemptions on request (pay national €254). From 2027-28 the decree caps apply; exemptions based on resources.</t>
        </is>
      </c>
      <c r="AB99" s="28" t="inlineStr">
        <is>
          <t>https://www.univ-grenoble-alpes.fr/actualites/a-la-une/actualites-universite/etudiants-internationaux-ce-que-change-le-nouveau-decret-sur-les-droits-d-inscription-a-l-uga-1775870.kjsp</t>
        </is>
      </c>
      <c r="AC99" s="25" t="inlineStr">
        <is>
          <t>Open</t>
        </is>
      </c>
      <c r="AD99" s="25" t="inlineStr">
        <is>
          <t>2026-10-01</t>
        </is>
      </c>
      <c r="AE99" s="25" t="inlineStr">
        <is>
          <t>2027-03-15</t>
        </is>
      </c>
      <c r="AF99" s="25" t="inlineStr">
        <is>
          <t>No</t>
        </is>
      </c>
      <c r="AG99" s="28" t="inlineStr">
        <is>
          <t>https://formations.univ-grenoble-alpes.fr/fr/catalogue-2021/master-XB/master-nanosciences-et-nanotechnologies-IAQK78RT/parcours-physics-of-complex-matter-parcours-international-1re-annee-IATOD7FB.html</t>
        </is>
      </c>
      <c r="AH99" s="26" t="inlineStr">
        <is>
          <t>M1 : Students who will have completed at a good level by the end of the current academic year a bachelor program (e.g. at least 180 ECTS) in Physics, Physical chemistry, Engineering (Chemical, mechanical, or nanotechnolo</t>
        </is>
      </c>
      <c r="AI99" s="28" t="inlineStr">
        <is>
          <t>Open in EEF</t>
        </is>
      </c>
    </row>
    <row r="100" ht="43.25" customHeight="1" s="19">
      <c r="A100" s="25" t="n">
        <v>99</v>
      </c>
      <c r="B100" s="25" t="inlineStr">
        <is>
          <t>★★★★☆</t>
        </is>
      </c>
      <c r="C100" s="25" t="inlineStr">
        <is>
          <t>4 – Strong fit (electronics/signal/robotics/IoT/sensors)</t>
        </is>
      </c>
      <c r="D100" s="25" t="inlineStr">
        <is>
          <t>Sensors / Instrumentation / Micro-Nano / Photonics</t>
        </is>
      </c>
      <c r="E100" s="26" t="inlineStr">
        <is>
          <t>Master indifférencié (recherche et professionnel) Sciences, technologies, santé mention nanosciences, nanotechnologies parcours NanoMédecine Biologie Structurale</t>
        </is>
      </c>
      <c r="F100" s="26" t="inlineStr">
        <is>
          <t>Science, Technology, Health (STS) – major: Nanosciences, Nanotechnologies – track: NanoMédecine Biology Structural</t>
        </is>
      </c>
      <c r="G100" s="25" t="inlineStr">
        <is>
          <t>Master indifférencié (recherche et professionnel)</t>
        </is>
      </c>
      <c r="H100" s="25" t="inlineStr">
        <is>
          <t>Ecole nationale supérieure de physique, électronique, matériaux - Grenoble INP</t>
        </is>
      </c>
      <c r="I100" s="25" t="inlineStr">
        <is>
          <t>Grenoble INP</t>
        </is>
      </c>
      <c r="J100" s="25" t="inlineStr">
        <is>
          <t>Site de Grenoble</t>
        </is>
      </c>
      <c r="K100" s="25" t="n"/>
      <c r="L100" s="25" t="inlineStr">
        <is>
          <t>Public school / institute</t>
        </is>
      </c>
      <c r="M100" s="25" t="inlineStr">
        <is>
          <t>English</t>
        </is>
      </c>
      <c r="N100" s="25" t="inlineStr">
        <is>
          <t>General</t>
        </is>
      </c>
      <c r="O100" s="25" t="inlineStr">
        <is>
          <t>Bac +4 / Bac +5</t>
        </is>
      </c>
      <c r="P100" s="26" t="inlineStr">
        <is>
          <t>Eligible on level (4-yr BS ≈ Bac+4)</t>
        </is>
      </c>
      <c r="Q100" s="25" t="inlineStr">
        <is>
          <t>1/2</t>
        </is>
      </c>
      <c r="R100" s="25" t="n"/>
      <c r="S100" s="27" t="n">
        <v>3950</v>
      </c>
      <c r="T100" s="27" t="n">
        <v>255</v>
      </c>
      <c r="U100" s="25" t="n">
        <v>2</v>
      </c>
      <c r="V100" s="27">
        <f>IF(S100="","",S100*U100)</f>
        <v/>
      </c>
      <c r="W100" s="26" t="inlineStr">
        <is>
          <t>Not in catalogue. Public national master → 2026-27 differentiated fee €3,950; exemption to ~€254-255 depends on university quota (25% cap in 2027-28).</t>
        </is>
      </c>
      <c r="X100" s="25" t="inlineStr">
        <is>
          <t>Medium</t>
        </is>
      </c>
      <c r="Y100" s="25" t="n"/>
      <c r="Z100" s="26" t="inlineStr">
        <is>
          <t>As a reference, for the 2026–2027 academic year, these fees amounted to €3,950 per year, subject to change based on the pol … To cover living expenses (housing, food, other essentials), a minimum monthly budget of €650</t>
        </is>
      </c>
      <c r="AA100" s="26" t="inlineStr">
        <is>
          <t>UGA (incl. Grenoble INP masters): 2026-27 broad exemptions on request (pay national €254). From 2027-28 the decree caps apply; exemptions based on resources.</t>
        </is>
      </c>
      <c r="AB100" s="28" t="inlineStr">
        <is>
          <t>https://www.univ-grenoble-alpes.fr/actualites/a-la-une/actualites-universite/etudiants-internationaux-ce-que-change-le-nouveau-decret-sur-les-droits-d-inscription-a-l-uga-1775870.kjsp</t>
        </is>
      </c>
      <c r="AC100" s="25" t="inlineStr">
        <is>
          <t>Open</t>
        </is>
      </c>
      <c r="AD100" s="25" t="inlineStr">
        <is>
          <t>2026-10-01</t>
        </is>
      </c>
      <c r="AE100" s="25" t="inlineStr">
        <is>
          <t>2027-03-15</t>
        </is>
      </c>
      <c r="AF100" s="25" t="inlineStr">
        <is>
          <t>Yes</t>
        </is>
      </c>
      <c r="AG100" s="28" t="inlineStr">
        <is>
          <t>https://phelma.grenoble-inp.fr/fr/formation/master-nanosciences-and-nanotechnologies-parcours-nanomedicine-and-structural-biology#page-presentation</t>
        </is>
      </c>
      <c r="AH100" s="26" t="inlineStr">
        <is>
          <t>***PAGE EN COURS D'ACTUALISATION POUR LA RENTREE UNIVERSITAIRE 2027- 2028 **** (PAGE CURRENTLY BEING UPDATED FOR THE 2027–2028 ACADEMIC YEAR) Avant de candidater, il est important de vérifier le coût de la formation et l</t>
        </is>
      </c>
      <c r="AI100" s="28" t="inlineStr">
        <is>
          <t>Open in EEF</t>
        </is>
      </c>
    </row>
    <row r="101" ht="32.8" customHeight="1" s="19">
      <c r="A101" s="25" t="n">
        <v>100</v>
      </c>
      <c r="B101" s="25" t="inlineStr">
        <is>
          <t>★★★★☆</t>
        </is>
      </c>
      <c r="C101" s="25" t="inlineStr">
        <is>
          <t>4 – Strong fit (electronics/signal/robotics/IoT/sensors)</t>
        </is>
      </c>
      <c r="D101" s="25" t="inlineStr">
        <is>
          <t>Neuroscience / Neuro-engineering</t>
        </is>
      </c>
      <c r="E101" s="26" t="inlineStr">
        <is>
          <t>Master indifférencié (recherche et professionnel) Sciences, technologies, santé mention Neurosciences parcours EMN-Online (euro-mediterranean master in neurosciences and biotechnology)</t>
        </is>
      </c>
      <c r="F101" s="26" t="inlineStr">
        <is>
          <t>Science, Technology, Health (STS) – major: Neuroscience – track: EMN-Online (euro-mediterranean master in Neuroscience and biotechnology)</t>
        </is>
      </c>
      <c r="G101" s="25" t="inlineStr">
        <is>
          <t>Master indifférencié (recherche et professionnel)</t>
        </is>
      </c>
      <c r="H101" s="25" t="inlineStr">
        <is>
          <t>Unité de formation de biologie</t>
        </is>
      </c>
      <c r="I101" s="25" t="inlineStr">
        <is>
          <t>Université de Bordeaux</t>
        </is>
      </c>
      <c r="J101" s="25" t="inlineStr">
        <is>
          <t>Site de Talence</t>
        </is>
      </c>
      <c r="K101" s="25" t="n"/>
      <c r="L101" s="25" t="inlineStr">
        <is>
          <t>Public university</t>
        </is>
      </c>
      <c r="M101" s="25" t="inlineStr">
        <is>
          <t>English</t>
        </is>
      </c>
      <c r="N101" s="25" t="inlineStr">
        <is>
          <t>General</t>
        </is>
      </c>
      <c r="O101" s="25" t="inlineStr">
        <is>
          <t>Bac +4 / Bac +5</t>
        </is>
      </c>
      <c r="P101" s="26" t="inlineStr">
        <is>
          <t>Eligible on level (4-yr BS ≈ Bac+4)</t>
        </is>
      </c>
      <c r="Q101" s="25" t="inlineStr">
        <is>
          <t>1/2</t>
        </is>
      </c>
      <c r="R101" s="25" t="n"/>
      <c r="S101" s="27" t="n">
        <v>3950</v>
      </c>
      <c r="T101" s="27" t="n">
        <v>255</v>
      </c>
      <c r="U101" s="25" t="n">
        <v>2</v>
      </c>
      <c r="V101" s="27">
        <f>IF(S101="","",S101*U101)</f>
        <v/>
      </c>
      <c r="W101" s="26" t="inlineStr">
        <is>
          <t>Not in catalogue. Public national master → 2026-27 differentiated fee €3,950; exemption to ~€254-255 depends on university quota (25% cap in 2027-28).</t>
        </is>
      </c>
      <c r="X101" s="25" t="inlineStr">
        <is>
          <t>Medium</t>
        </is>
      </c>
      <c r="Y101" s="25" t="n"/>
      <c r="Z101" s="26" t="n"/>
      <c r="AA101" s="26" t="n"/>
      <c r="AB101" s="25" t="n"/>
      <c r="AC101" s="25" t="inlineStr">
        <is>
          <t>Open</t>
        </is>
      </c>
      <c r="AD101" s="25" t="inlineStr">
        <is>
          <t>2026-10-01</t>
        </is>
      </c>
      <c r="AE101" s="25" t="inlineStr">
        <is>
          <t>2027-03-15</t>
        </is>
      </c>
      <c r="AF101" s="25" t="inlineStr">
        <is>
          <t>No</t>
        </is>
      </c>
      <c r="AG101" s="28" t="inlineStr">
        <is>
          <t>https://formations.u-bordeaux.fr/#/details-formation?type=formation&amp;id=131</t>
        </is>
      </c>
      <c r="AH101" s="26" t="n"/>
      <c r="AI101" s="28" t="inlineStr">
        <is>
          <t>Open in EEF</t>
        </is>
      </c>
    </row>
    <row r="102" ht="32.8" customHeight="1" s="19">
      <c r="A102" s="25" t="n">
        <v>101</v>
      </c>
      <c r="B102" s="25" t="inlineStr">
        <is>
          <t>★★★★☆</t>
        </is>
      </c>
      <c r="C102" s="25" t="inlineStr">
        <is>
          <t>4 – Strong fit (electronics/signal/robotics/IoT/sensors)</t>
        </is>
      </c>
      <c r="D102" s="25" t="inlineStr">
        <is>
          <t>Neuroscience / Neuro-engineering</t>
        </is>
      </c>
      <c r="E102" s="26" t="inlineStr">
        <is>
          <t>Master indifférencié (recherche et professionnel) Sciences, technologies, santé mention sciences du vivant parcours MemBioMed - From Membrane Biology to Neuroscience and Experimental Medicine</t>
        </is>
      </c>
      <c r="F102" s="26" t="inlineStr">
        <is>
          <t>Science, Technology, Health (STS) – major: Sciences of Life – track: MemBioMed - From Membrane Biology to Neuroscience and Experimental Medicine</t>
        </is>
      </c>
      <c r="G102" s="25" t="inlineStr">
        <is>
          <t>Master indifférencié (recherche et professionnel)</t>
        </is>
      </c>
      <c r="H102" s="25" t="inlineStr">
        <is>
          <t>Sciences</t>
        </is>
      </c>
      <c r="I102" s="25" t="inlineStr">
        <is>
          <t>Université Côte d'Azur</t>
        </is>
      </c>
      <c r="J102" s="25" t="inlineStr">
        <is>
          <t>Site de Nice</t>
        </is>
      </c>
      <c r="K102" s="25" t="n"/>
      <c r="L102" s="25" t="inlineStr">
        <is>
          <t>Public university</t>
        </is>
      </c>
      <c r="M102" s="25" t="inlineStr">
        <is>
          <t>English</t>
        </is>
      </c>
      <c r="N102" s="25" t="inlineStr">
        <is>
          <t>General</t>
        </is>
      </c>
      <c r="O102" s="25" t="inlineStr">
        <is>
          <t>Bac +3</t>
        </is>
      </c>
      <c r="P102" s="26" t="inlineStr">
        <is>
          <t>Eligible on level (4-yr BS ≈ Bac+4)</t>
        </is>
      </c>
      <c r="Q102" s="25" t="inlineStr">
        <is>
          <t>1</t>
        </is>
      </c>
      <c r="R102" s="25" t="n"/>
      <c r="S102" s="27" t="n">
        <v>3950</v>
      </c>
      <c r="T102" s="27" t="n">
        <v>255</v>
      </c>
      <c r="U102" s="25" t="n">
        <v>2</v>
      </c>
      <c r="V102" s="27">
        <f>IF(S102="","",S102*U102)</f>
        <v/>
      </c>
      <c r="W102" s="26" t="inlineStr">
        <is>
          <t>Not in catalogue. Public national master → 2026-27 differentiated fee €3,950; exemption to ~€254-255 depends on university quota (25% cap in 2027-28).</t>
        </is>
      </c>
      <c r="X102" s="25" t="inlineStr">
        <is>
          <t>Medium</t>
        </is>
      </c>
      <c r="Y102" s="25" t="n"/>
      <c r="Z102" s="26" t="n"/>
      <c r="AA102" s="26" t="n"/>
      <c r="AB102" s="25" t="n"/>
      <c r="AC102" s="25" t="inlineStr">
        <is>
          <t>Open</t>
        </is>
      </c>
      <c r="AD102" s="25" t="inlineStr">
        <is>
          <t>2026-10-01</t>
        </is>
      </c>
      <c r="AE102" s="25" t="inlineStr">
        <is>
          <t>2027-03-15</t>
        </is>
      </c>
      <c r="AF102" s="25" t="inlineStr">
        <is>
          <t>Yes</t>
        </is>
      </c>
      <c r="AG102" s="28" t="inlineStr">
        <is>
          <t>https://life.univ-cotedazur.fr/international/erasmus-mundus-joint-master-membiomed</t>
        </is>
      </c>
      <c r="AH102" s="26" t="inlineStr">
        <is>
          <t>Consulter le site web pour prérequis</t>
        </is>
      </c>
      <c r="AI102" s="28" t="inlineStr">
        <is>
          <t>Open in EEF</t>
        </is>
      </c>
    </row>
    <row r="103" ht="32.8" customHeight="1" s="19">
      <c r="A103" s="25" t="n">
        <v>102</v>
      </c>
      <c r="B103" s="25" t="inlineStr">
        <is>
          <t>★★★★☆</t>
        </is>
      </c>
      <c r="C103" s="25" t="inlineStr">
        <is>
          <t>4 – Strong fit (electronics/signal/robotics/IoT/sensors)</t>
        </is>
      </c>
      <c r="D103" s="25" t="inlineStr">
        <is>
          <t>Sensors / Instrumentation / Micro-Nano / Photonics</t>
        </is>
      </c>
      <c r="E103" s="26" t="inlineStr">
        <is>
          <t>Master Sciences et technologies mention Nanosciences et nanotechnologies parcours Nanoscale and Quantum Engineering</t>
        </is>
      </c>
      <c r="F103" s="26" t="inlineStr">
        <is>
          <t>Master Science &amp; Technology – major: Nanosciences &amp; Nanotechnologies – track: Nanoscale and Quantum Engineering</t>
        </is>
      </c>
      <c r="G103" s="25" t="inlineStr">
        <is>
          <t>Master indifférencié (recherche et professionnel)</t>
        </is>
      </c>
      <c r="H103" s="25" t="inlineStr">
        <is>
          <t>UFR Sciences</t>
        </is>
      </c>
      <c r="I103" s="25" t="inlineStr">
        <is>
          <t>Université d'Aix-Marseille</t>
        </is>
      </c>
      <c r="J103" s="25" t="inlineStr">
        <is>
          <t>Site de Marseille - St Jérôme</t>
        </is>
      </c>
      <c r="K103" s="25" t="n"/>
      <c r="L103" s="25" t="inlineStr">
        <is>
          <t>Public university</t>
        </is>
      </c>
      <c r="M103" s="25" t="inlineStr">
        <is>
          <t>English</t>
        </is>
      </c>
      <c r="N103" s="25" t="inlineStr">
        <is>
          <t>General</t>
        </is>
      </c>
      <c r="O103" s="25" t="inlineStr">
        <is>
          <t>Bac +4 / Bac +5</t>
        </is>
      </c>
      <c r="P103" s="26" t="inlineStr">
        <is>
          <t>Eligible on level (4-yr BS ≈ Bac+4)</t>
        </is>
      </c>
      <c r="Q103" s="25" t="inlineStr">
        <is>
          <t>1/2</t>
        </is>
      </c>
      <c r="R103" s="25" t="inlineStr">
        <is>
          <t>12</t>
        </is>
      </c>
      <c r="S103" s="27" t="n">
        <v>3950</v>
      </c>
      <c r="T103" s="27" t="n">
        <v>255</v>
      </c>
      <c r="U103" s="25" t="n">
        <v>2</v>
      </c>
      <c r="V103" s="27">
        <f>IF(S103="","",S103*U103)</f>
        <v/>
      </c>
      <c r="W103" s="26" t="inlineStr">
        <is>
          <t>Not in catalogue. Public national master → 2026-27 differentiated fee €3,950; exemption to ~€254-255 depends on university quota (25% cap in 2027-28).</t>
        </is>
      </c>
      <c r="X103" s="25" t="inlineStr">
        <is>
          <t>Medium</t>
        </is>
      </c>
      <c r="Y103" s="25" t="n"/>
      <c r="Z103" s="26" t="n"/>
      <c r="AA103" s="26" t="inlineStr">
        <is>
          <t>AMU 2026-27: limited exemptions (≈1,800 of 5,500 students) – priority to continuing students, conflict zones, excellence scholarships. New master entrants usually pay €3,950.</t>
        </is>
      </c>
      <c r="AB103" s="28" t="inlineStr">
        <is>
          <t>https://www.univ-amu.fr/fr/actualites/aix-marseille-universite-mobilise-pleinement-capacite-dexoneration-continuer-accueillir</t>
        </is>
      </c>
      <c r="AC103" s="25" t="inlineStr">
        <is>
          <t>Open</t>
        </is>
      </c>
      <c r="AD103" s="25" t="inlineStr">
        <is>
          <t>2026-10-01</t>
        </is>
      </c>
      <c r="AE103" s="25" t="inlineStr">
        <is>
          <t>2027-03-15</t>
        </is>
      </c>
      <c r="AF103" s="25" t="inlineStr">
        <is>
          <t>No</t>
        </is>
      </c>
      <c r="AG103" s="28" t="inlineStr">
        <is>
          <t>https://formations.univ-amu.fr/fr/master/5SNN/PRSNN5C3</t>
        </is>
      </c>
      <c r="AH103" s="26" t="inlineStr">
        <is>
          <t>4 important points for your application : Your application must be complete and validated by the Espace Etudes in France The faculty will review the applications The level of English required is B2 Opportunity to apply f</t>
        </is>
      </c>
      <c r="AI103" s="28" t="inlineStr">
        <is>
          <t>Open in EEF</t>
        </is>
      </c>
    </row>
    <row r="104" ht="32.8" customHeight="1" s="19">
      <c r="A104" s="25" t="n">
        <v>103</v>
      </c>
      <c r="B104" s="25" t="inlineStr">
        <is>
          <t>★★★★☆</t>
        </is>
      </c>
      <c r="C104" s="25" t="inlineStr">
        <is>
          <t>4 – Strong fit (electronics/signal/robotics/IoT/sensors)</t>
        </is>
      </c>
      <c r="D104" s="25" t="inlineStr">
        <is>
          <t>Neuroscience / Neuro-engineering</t>
        </is>
      </c>
      <c r="E104" s="26" t="inlineStr">
        <is>
          <t>Master Sciences et technologies mention Neurosciences</t>
        </is>
      </c>
      <c r="F104" s="26" t="inlineStr">
        <is>
          <t>Master Science &amp; Technology – major: Neuroscience</t>
        </is>
      </c>
      <c r="G104" s="25" t="inlineStr">
        <is>
          <t>Master indifférencié (recherche et professionnel)</t>
        </is>
      </c>
      <c r="H104" s="25" t="inlineStr">
        <is>
          <t>UFR Sciences</t>
        </is>
      </c>
      <c r="I104" s="25" t="inlineStr">
        <is>
          <t>Université d'Aix-Marseille</t>
        </is>
      </c>
      <c r="J104" s="25" t="inlineStr">
        <is>
          <t>Site de Marseille - St Charles</t>
        </is>
      </c>
      <c r="K104" s="25" t="n"/>
      <c r="L104" s="25" t="inlineStr">
        <is>
          <t>Public university</t>
        </is>
      </c>
      <c r="M104" s="25" t="inlineStr">
        <is>
          <t>English</t>
        </is>
      </c>
      <c r="N104" s="25" t="inlineStr">
        <is>
          <t>General</t>
        </is>
      </c>
      <c r="O104" s="25" t="inlineStr">
        <is>
          <t>Bac +4</t>
        </is>
      </c>
      <c r="P104" s="26" t="inlineStr">
        <is>
          <t>Eligible on level (4-yr BS ≈ Bac+4)</t>
        </is>
      </c>
      <c r="Q104" s="25" t="inlineStr">
        <is>
          <t>1</t>
        </is>
      </c>
      <c r="R104" s="25" t="inlineStr">
        <is>
          <t>12</t>
        </is>
      </c>
      <c r="S104" s="27" t="n">
        <v>3950</v>
      </c>
      <c r="T104" s="27" t="n">
        <v>255</v>
      </c>
      <c r="U104" s="25" t="n">
        <v>2</v>
      </c>
      <c r="V104" s="27">
        <f>IF(S104="","",S104*U104)</f>
        <v/>
      </c>
      <c r="W104" s="26" t="inlineStr">
        <is>
          <t>Not in catalogue. Public national master → 2026-27 differentiated fee €3,950; exemption to ~€254-255 depends on university quota (25% cap in 2027-28).</t>
        </is>
      </c>
      <c r="X104" s="25" t="inlineStr">
        <is>
          <t>Medium</t>
        </is>
      </c>
      <c r="Y104" s="25" t="n"/>
      <c r="Z104" s="26" t="n"/>
      <c r="AA104" s="26" t="inlineStr">
        <is>
          <t>AMU 2026-27: limited exemptions (≈1,800 of 5,500 students) – priority to continuing students, conflict zones, excellence scholarships. New master entrants usually pay €3,950.</t>
        </is>
      </c>
      <c r="AB104" s="28" t="inlineStr">
        <is>
          <t>https://www.univ-amu.fr/fr/actualites/aix-marseille-universite-mobilise-pleinement-capacite-dexoneration-continuer-accueillir</t>
        </is>
      </c>
      <c r="AC104" s="25" t="inlineStr">
        <is>
          <t>Open</t>
        </is>
      </c>
      <c r="AD104" s="25" t="inlineStr">
        <is>
          <t>2026-10-01</t>
        </is>
      </c>
      <c r="AE104" s="25" t="inlineStr">
        <is>
          <t>2027-03-15</t>
        </is>
      </c>
      <c r="AF104" s="25" t="inlineStr">
        <is>
          <t>No</t>
        </is>
      </c>
      <c r="AG104" s="28" t="inlineStr">
        <is>
          <t>https://formations.univ-amu.fr/fr/master/5SNE</t>
        </is>
      </c>
      <c r="AH104" s="26" t="inlineStr">
        <is>
          <t>Nous attirons votre attention sur 2 points importants pour votre candidature : Votre dossier doit être complet et validé par l’Espace Etudes en France La faculté des sciences examinera les dossiers de candidature en cohé</t>
        </is>
      </c>
      <c r="AI104" s="28" t="inlineStr">
        <is>
          <t>Open in EEF</t>
        </is>
      </c>
    </row>
    <row r="105" ht="32.8" customHeight="1" s="19">
      <c r="A105" s="25" t="n">
        <v>104</v>
      </c>
      <c r="B105" s="25" t="inlineStr">
        <is>
          <t>★★★★☆</t>
        </is>
      </c>
      <c r="C105" s="25" t="inlineStr">
        <is>
          <t>4 – Strong fit (electronics/signal/robotics/IoT/sensors)</t>
        </is>
      </c>
      <c r="D105" s="25" t="inlineStr">
        <is>
          <t>Sensors / Instrumentation / Micro-Nano / Photonics</t>
        </is>
      </c>
      <c r="E105" s="26" t="inlineStr">
        <is>
          <t>Master Sciences et technologies mention physique parcours Optics &amp; photonics (Europh</t>
        </is>
      </c>
      <c r="F105" s="26" t="inlineStr">
        <is>
          <t>Master Science &amp; Technology – major: Physics – track: Optics &amp; photonics (Europh</t>
        </is>
      </c>
      <c r="G105" s="25" t="inlineStr">
        <is>
          <t>Master indifférencié (recherche et professionnel)</t>
        </is>
      </c>
      <c r="H105" s="25" t="inlineStr">
        <is>
          <t>UFR Sciences</t>
        </is>
      </c>
      <c r="I105" s="25" t="inlineStr">
        <is>
          <t>Université d'Aix-Marseille</t>
        </is>
      </c>
      <c r="J105" s="25" t="inlineStr">
        <is>
          <t>Site de Marseille - St Jérôme</t>
        </is>
      </c>
      <c r="K105" s="25" t="n"/>
      <c r="L105" s="25" t="inlineStr">
        <is>
          <t>Public university</t>
        </is>
      </c>
      <c r="M105" s="25" t="inlineStr">
        <is>
          <t>English</t>
        </is>
      </c>
      <c r="N105" s="25" t="inlineStr">
        <is>
          <t>General</t>
        </is>
      </c>
      <c r="O105" s="25" t="inlineStr">
        <is>
          <t>Bac +4 / Bac +5</t>
        </is>
      </c>
      <c r="P105" s="26" t="inlineStr">
        <is>
          <t>Eligible on level (4-yr BS ≈ Bac+4)</t>
        </is>
      </c>
      <c r="Q105" s="25" t="inlineStr">
        <is>
          <t>1/2</t>
        </is>
      </c>
      <c r="R105" s="25" t="inlineStr">
        <is>
          <t>12</t>
        </is>
      </c>
      <c r="S105" s="27" t="n">
        <v>3950</v>
      </c>
      <c r="T105" s="27" t="n">
        <v>255</v>
      </c>
      <c r="U105" s="25" t="n">
        <v>2</v>
      </c>
      <c r="V105" s="27">
        <f>IF(S105="","",S105*U105)</f>
        <v/>
      </c>
      <c r="W105" s="26" t="inlineStr">
        <is>
          <t>Not in catalogue. Public national master → 2026-27 differentiated fee €3,950; exemption to ~€254-255 depends on university quota (25% cap in 2027-28).</t>
        </is>
      </c>
      <c r="X105" s="25" t="inlineStr">
        <is>
          <t>Medium</t>
        </is>
      </c>
      <c r="Y105" s="25" t="n"/>
      <c r="Z105" s="26" t="n"/>
      <c r="AA105" s="26" t="inlineStr">
        <is>
          <t>AMU 2026-27: limited exemptions (≈1,800 of 5,500 students) – priority to continuing students, conflict zones, excellence scholarships. New master entrants usually pay €3,950.</t>
        </is>
      </c>
      <c r="AB105" s="28" t="inlineStr">
        <is>
          <t>https://www.univ-amu.fr/fr/actualites/aix-marseille-universite-mobilise-pleinement-capacite-dexoneration-continuer-accueillir</t>
        </is>
      </c>
      <c r="AC105" s="25" t="inlineStr">
        <is>
          <t>Open</t>
        </is>
      </c>
      <c r="AD105" s="25" t="inlineStr">
        <is>
          <t>2026-10-01</t>
        </is>
      </c>
      <c r="AE105" s="25" t="inlineStr">
        <is>
          <t>2027-03-15</t>
        </is>
      </c>
      <c r="AF105" s="25" t="inlineStr">
        <is>
          <t>No</t>
        </is>
      </c>
      <c r="AG105" s="28" t="inlineStr">
        <is>
          <t>https://formations.univ-amu.fr/fr/master/5SPF/PRSPF5C4</t>
        </is>
      </c>
      <c r="AH105" s="26" t="inlineStr">
        <is>
          <t>2 important points for your application : - Your application must be complete and validated by the Espace Etudes in France - The faculty will review the applications The level of English required is B2. Access to Master</t>
        </is>
      </c>
      <c r="AI105" s="28" t="inlineStr">
        <is>
          <t>Open in EEF</t>
        </is>
      </c>
    </row>
    <row r="106" ht="32.8" customHeight="1" s="19">
      <c r="A106" s="25" t="n">
        <v>105</v>
      </c>
      <c r="B106" s="25" t="inlineStr">
        <is>
          <t>★★★★☆</t>
        </is>
      </c>
      <c r="C106" s="25" t="inlineStr">
        <is>
          <t>4 – Strong fit (electronics/signal/robotics/IoT/sensors)</t>
        </is>
      </c>
      <c r="D106" s="25" t="inlineStr">
        <is>
          <t>Neuroscience / Neuro-engineering</t>
        </is>
      </c>
      <c r="E106" s="26" t="inlineStr">
        <is>
          <t>Master Sciences, technologies, santé mention biologie, santé mention Master Integrative Neuroscience and Omics</t>
        </is>
      </c>
      <c r="F106" s="26" t="inlineStr">
        <is>
          <t>Master Science, Technology, Health (STS) – major: Biology-Health – major: Master Integrative Neuroscience and Omics</t>
        </is>
      </c>
      <c r="G106" s="25" t="inlineStr">
        <is>
          <t>Master indifférencié (recherche et professionnel)</t>
        </is>
      </c>
      <c r="H106" s="25" t="inlineStr">
        <is>
          <t>UFR des Sciences de Montpellier</t>
        </is>
      </c>
      <c r="I106" s="25" t="inlineStr">
        <is>
          <t>Université de Montpellier</t>
        </is>
      </c>
      <c r="J106" s="25" t="inlineStr">
        <is>
          <t>Site de Montpellier</t>
        </is>
      </c>
      <c r="K106" s="25" t="n"/>
      <c r="L106" s="25" t="inlineStr">
        <is>
          <t>Public university</t>
        </is>
      </c>
      <c r="M106" s="25" t="inlineStr">
        <is>
          <t>English</t>
        </is>
      </c>
      <c r="N106" s="25" t="inlineStr">
        <is>
          <t>General</t>
        </is>
      </c>
      <c r="O106" s="25" t="inlineStr">
        <is>
          <t>Bac +4 / Bac +5</t>
        </is>
      </c>
      <c r="P106" s="26" t="inlineStr">
        <is>
          <t>Eligible on level (4-yr BS ≈ Bac+4)</t>
        </is>
      </c>
      <c r="Q106" s="25" t="inlineStr">
        <is>
          <t>1/2</t>
        </is>
      </c>
      <c r="R106" s="25" t="inlineStr">
        <is>
          <t>12</t>
        </is>
      </c>
      <c r="S106" s="27" t="n">
        <v>3950</v>
      </c>
      <c r="T106" s="27" t="n">
        <v>255</v>
      </c>
      <c r="U106" s="25" t="n">
        <v>2</v>
      </c>
      <c r="V106" s="27">
        <f>IF(S106="","",S106*U106)</f>
        <v/>
      </c>
      <c r="W106" s="26" t="inlineStr">
        <is>
          <t>Not in catalogue. Public national master → 2026-27 differentiated fee €3,950; exemption to ~€254-255 depends on university quota (25% cap in 2027-28).</t>
        </is>
      </c>
      <c r="X106" s="25" t="inlineStr">
        <is>
          <t>Medium</t>
        </is>
      </c>
      <c r="Y106" s="25" t="n"/>
      <c r="Z106" s="26" t="n"/>
      <c r="AA106" s="26" t="inlineStr">
        <is>
          <t>Montpellier 2026-27: new non-EU entrants pay the differentiated fee unless individual exemption (limited).</t>
        </is>
      </c>
      <c r="AB106" s="28" t="inlineStr">
        <is>
          <t>https://www.umontpellier.fr/en/international/etudier-a-letranger/etudiants-internationaux-annee-universitaire-2026-2027/</t>
        </is>
      </c>
      <c r="AC106" s="25" t="inlineStr">
        <is>
          <t>Open</t>
        </is>
      </c>
      <c r="AD106" s="25" t="inlineStr">
        <is>
          <t>2026-10-01</t>
        </is>
      </c>
      <c r="AE106" s="25" t="inlineStr">
        <is>
          <t>2027-03-15</t>
        </is>
      </c>
      <c r="AF106" s="25" t="inlineStr">
        <is>
          <t>No</t>
        </is>
      </c>
      <c r="AG106" s="28" t="inlineStr">
        <is>
          <t>https://idil.edu.umontpellier.fr/</t>
        </is>
      </c>
      <c r="AH106" s="26" t="inlineStr">
        <is>
          <t>Conditions d’accès Diplôme de licence dans la discipline choisie IDIL Niveau d’anglais B2 minimum CV et lettre de motivation 2 lettres de soutien d’un chercheur et/ou professeur (recommandé, mais non obligatoire) Estimat</t>
        </is>
      </c>
      <c r="AI106" s="28" t="inlineStr">
        <is>
          <t>Open in EEF</t>
        </is>
      </c>
    </row>
    <row r="107" ht="32.8" customHeight="1" s="19">
      <c r="A107" s="25" t="n">
        <v>106</v>
      </c>
      <c r="B107" s="25" t="inlineStr">
        <is>
          <t>★★★★☆</t>
        </is>
      </c>
      <c r="C107" s="25" t="inlineStr">
        <is>
          <t>4 – Strong fit (electronics/signal/robotics/IoT/sensors)</t>
        </is>
      </c>
      <c r="D107" s="25" t="inlineStr">
        <is>
          <t>Biomedical / Health tech</t>
        </is>
      </c>
      <c r="E107" s="26" t="inlineStr">
        <is>
          <t>Master Sciences, technologies, santé, mention Electronique, Energie électrique, Automatique parcours Master Photonics &amp; Electronics Sensors for Environment &amp; Health - IDIL</t>
        </is>
      </c>
      <c r="F107" s="26" t="inlineStr">
        <is>
          <t>Master Science, Technology, Health (STS), – major: Electronics, Electrical Energy &amp; Automation (EEA) – track: Master Photonics &amp; Electronics Sensors for Environment &amp; Health - IDIL</t>
        </is>
      </c>
      <c r="G107" s="25" t="inlineStr">
        <is>
          <t>Master indifférencié (recherche et professionnel)</t>
        </is>
      </c>
      <c r="H107" s="25" t="inlineStr">
        <is>
          <t>UFR des Sciences de Montpellier</t>
        </is>
      </c>
      <c r="I107" s="25" t="inlineStr">
        <is>
          <t>Université de Montpellier</t>
        </is>
      </c>
      <c r="J107" s="25" t="inlineStr">
        <is>
          <t>Site de Montpellier</t>
        </is>
      </c>
      <c r="K107" s="25" t="n"/>
      <c r="L107" s="25" t="inlineStr">
        <is>
          <t>Public university</t>
        </is>
      </c>
      <c r="M107" s="25" t="inlineStr">
        <is>
          <t>English</t>
        </is>
      </c>
      <c r="N107" s="25" t="inlineStr">
        <is>
          <t>General</t>
        </is>
      </c>
      <c r="O107" s="25" t="inlineStr">
        <is>
          <t>Bac +4</t>
        </is>
      </c>
      <c r="P107" s="26" t="inlineStr">
        <is>
          <t>Eligible on level (4-yr BS ≈ Bac+4)</t>
        </is>
      </c>
      <c r="Q107" s="25" t="inlineStr">
        <is>
          <t>1</t>
        </is>
      </c>
      <c r="R107" s="25" t="inlineStr">
        <is>
          <t>12</t>
        </is>
      </c>
      <c r="S107" s="27" t="n">
        <v>3950</v>
      </c>
      <c r="T107" s="27" t="n">
        <v>255</v>
      </c>
      <c r="U107" s="25" t="n">
        <v>2</v>
      </c>
      <c r="V107" s="27">
        <f>IF(S107="","",S107*U107)</f>
        <v/>
      </c>
      <c r="W107" s="26" t="inlineStr">
        <is>
          <t>Not in catalogue. Public national master → 2026-27 differentiated fee €3,950; exemption to ~€254-255 depends on university quota (25% cap in 2027-28).</t>
        </is>
      </c>
      <c r="X107" s="25" t="inlineStr">
        <is>
          <t>Medium</t>
        </is>
      </c>
      <c r="Y107" s="25" t="n"/>
      <c r="Z107" s="26" t="n"/>
      <c r="AA107" s="26" t="inlineStr">
        <is>
          <t>Montpellier 2026-27: new non-EU entrants pay the differentiated fee unless individual exemption (limited).</t>
        </is>
      </c>
      <c r="AB107" s="28" t="inlineStr">
        <is>
          <t>https://www.umontpellier.fr/en/international/etudier-a-letranger/etudiants-internationaux-annee-universitaire-2026-2027/</t>
        </is>
      </c>
      <c r="AC107" s="25" t="inlineStr">
        <is>
          <t>Open</t>
        </is>
      </c>
      <c r="AD107" s="25" t="inlineStr">
        <is>
          <t>2026-10-01</t>
        </is>
      </c>
      <c r="AE107" s="25" t="inlineStr">
        <is>
          <t>2027-03-15</t>
        </is>
      </c>
      <c r="AF107" s="25" t="inlineStr">
        <is>
          <t>No</t>
        </is>
      </c>
      <c r="AG107" s="28" t="inlineStr">
        <is>
          <t>https://idil.edu.umontpellier.fr/</t>
        </is>
      </c>
      <c r="AH107" s="26" t="inlineStr">
        <is>
          <t>Conditions d’accès Diplôme de licence dans la discipline choisie IDIL Niveau d’anglais B2 minimum CV et lettre de motivation 2 lettres de soutien d’un chercheur et/ou professeur (recommandé, mais non obligatoire) Estimat</t>
        </is>
      </c>
      <c r="AI107" s="28" t="inlineStr">
        <is>
          <t>Open in EEF</t>
        </is>
      </c>
    </row>
    <row r="108" ht="32.8" customHeight="1" s="19">
      <c r="A108" s="25" t="n">
        <v>107</v>
      </c>
      <c r="B108" s="25" t="inlineStr">
        <is>
          <t>★★★★☆</t>
        </is>
      </c>
      <c r="C108" s="25" t="inlineStr">
        <is>
          <t>4 – Strong fit (electronics/signal/robotics/IoT/sensors)</t>
        </is>
      </c>
      <c r="D108" s="25" t="inlineStr">
        <is>
          <t>Neuroscience / Neuro-engineering</t>
        </is>
      </c>
      <c r="E108" s="26" t="inlineStr">
        <is>
          <t>Master Sciences, technologies, santé mention Sciences Cognitives (cog-SUP) parcours - Neurosciences cognitives</t>
        </is>
      </c>
      <c r="F108" s="26" t="inlineStr">
        <is>
          <t>Master Science, Technology, Health (STS) – major: Cognitive Science (cog-SUP) – track: - NeuroCognitive Science</t>
        </is>
      </c>
      <c r="G108" s="25" t="inlineStr">
        <is>
          <t>Master indifférencié (recherche et professionnel)</t>
        </is>
      </c>
      <c r="H108" s="25" t="inlineStr">
        <is>
          <t>UFR des Sciences Fondamentales et Biomédicales</t>
        </is>
      </c>
      <c r="I108" s="25" t="inlineStr">
        <is>
          <t>Université Paris Cité</t>
        </is>
      </c>
      <c r="J108" s="25" t="inlineStr">
        <is>
          <t>Site de Paris</t>
        </is>
      </c>
      <c r="K108" s="25" t="inlineStr">
        <is>
          <t>75006 Paris</t>
        </is>
      </c>
      <c r="L108" s="25" t="inlineStr">
        <is>
          <t>Public university</t>
        </is>
      </c>
      <c r="M108" s="25" t="inlineStr">
        <is>
          <t>English</t>
        </is>
      </c>
      <c r="N108" s="25" t="inlineStr">
        <is>
          <t>General</t>
        </is>
      </c>
      <c r="O108" s="25" t="inlineStr">
        <is>
          <t>Bac +4 / Bac +5</t>
        </is>
      </c>
      <c r="P108" s="26" t="inlineStr">
        <is>
          <t>Eligible on level (4-yr BS ≈ Bac+4)</t>
        </is>
      </c>
      <c r="Q108" s="25" t="inlineStr">
        <is>
          <t>1/2</t>
        </is>
      </c>
      <c r="R108" s="25" t="n"/>
      <c r="S108" s="27" t="n">
        <v>3950</v>
      </c>
      <c r="T108" s="27" t="n">
        <v>255</v>
      </c>
      <c r="U108" s="25" t="n">
        <v>2</v>
      </c>
      <c r="V108" s="27">
        <f>IF(S108="","",S108*U108)</f>
        <v/>
      </c>
      <c r="W108" s="26" t="inlineStr">
        <is>
          <t>Not in catalogue. Public national master → 2026-27 differentiated fee €3,950; exemption to ~€254-255 depends on university quota (25% cap in 2027-28).</t>
        </is>
      </c>
      <c r="X108" s="25" t="inlineStr">
        <is>
          <t>Medium</t>
        </is>
      </c>
      <c r="Y108" s="25" t="n"/>
      <c r="Z108" s="26" t="n"/>
      <c r="AA108" s="26" t="inlineStr">
        <is>
          <t>Paris Cité historically exempted non-EU master students (paid EU rate). 2026-27/2027-28 policy not yet published – confirm.</t>
        </is>
      </c>
      <c r="AB108" s="28" t="inlineStr">
        <is>
          <t>https://u-paris.fr/droits-dinscription-tarifs-exonerations/</t>
        </is>
      </c>
      <c r="AC108" s="25" t="inlineStr">
        <is>
          <t>Open</t>
        </is>
      </c>
      <c r="AD108" s="25" t="inlineStr">
        <is>
          <t>2026-10-01</t>
        </is>
      </c>
      <c r="AE108" s="25" t="inlineStr">
        <is>
          <t>2027-03-15</t>
        </is>
      </c>
      <c r="AF108" s="25" t="inlineStr">
        <is>
          <t>Yes</t>
        </is>
      </c>
      <c r="AG108" s="28" t="inlineStr">
        <is>
          <t>https://odf.u-paris.fr/fr/offre-de-formation/master-XB/sciences-technologies-sante-STS/sciences-cognitives-K5CBPO1E.html</t>
        </is>
      </c>
      <c r="AH108" s="26" t="inlineStr">
        <is>
          <t>Attendus : Adéquation de la formation initiale, résultats académiques (mention bien ou plus), culture en sciences cognitives, motivation pour cette discipline. Critères d'examen des candidatures : Adéquation de la format</t>
        </is>
      </c>
      <c r="AI108" s="28" t="inlineStr">
        <is>
          <t>Open in EEF</t>
        </is>
      </c>
    </row>
    <row r="109" ht="22.35" customHeight="1" s="19">
      <c r="A109" s="25" t="n">
        <v>108</v>
      </c>
      <c r="B109" s="25" t="inlineStr">
        <is>
          <t>★★★★☆</t>
        </is>
      </c>
      <c r="C109" s="25" t="inlineStr">
        <is>
          <t>4 – Strong fit (electronics/signal/robotics/IoT/sensors)</t>
        </is>
      </c>
      <c r="D109" s="25" t="inlineStr">
        <is>
          <t>Neuroscience / Neuro-engineering</t>
        </is>
      </c>
      <c r="E109" s="26" t="inlineStr">
        <is>
          <t>Master Sciences, technologies, santé mention Sciences Cognitives (cog-SUP) parcours - Neurosciences cognitives</t>
        </is>
      </c>
      <c r="F109" s="26" t="inlineStr">
        <is>
          <t>Master Science, Technology, Health (STS) – major: Cognitive Science (cog-SUP) – track: - NeuroCognitive Science</t>
        </is>
      </c>
      <c r="G109" s="25" t="inlineStr">
        <is>
          <t>Master indifférencié (recherche et professionnel)</t>
        </is>
      </c>
      <c r="H109" s="25" t="inlineStr">
        <is>
          <t>Sciences et Ingénierie</t>
        </is>
      </c>
      <c r="I109" s="25" t="inlineStr">
        <is>
          <t>Sorbonne Université</t>
        </is>
      </c>
      <c r="J109" s="25" t="inlineStr">
        <is>
          <t>Site de Paris</t>
        </is>
      </c>
      <c r="K109" s="25" t="n"/>
      <c r="L109" s="25" t="inlineStr">
        <is>
          <t>Public university</t>
        </is>
      </c>
      <c r="M109" s="25" t="inlineStr">
        <is>
          <t>English</t>
        </is>
      </c>
      <c r="N109" s="25" t="inlineStr">
        <is>
          <t>General</t>
        </is>
      </c>
      <c r="O109" s="25" t="inlineStr">
        <is>
          <t>Bac +4 / Bac +5</t>
        </is>
      </c>
      <c r="P109" s="26" t="inlineStr">
        <is>
          <t>Eligible on level (4-yr BS ≈ Bac+4)</t>
        </is>
      </c>
      <c r="Q109" s="25" t="inlineStr">
        <is>
          <t>1/2</t>
        </is>
      </c>
      <c r="R109" s="25" t="n"/>
      <c r="S109" s="27" t="n">
        <v>3950</v>
      </c>
      <c r="T109" s="27" t="n">
        <v>255</v>
      </c>
      <c r="U109" s="25" t="n">
        <v>2</v>
      </c>
      <c r="V109" s="27">
        <f>IF(S109="","",S109*U109)</f>
        <v/>
      </c>
      <c r="W109" s="26" t="inlineStr">
        <is>
          <t>Not in catalogue. Public national master → 2026-27 differentiated fee €3,950; exemption to ~€254-255 depends on university quota (25% cap in 2027-28).</t>
        </is>
      </c>
      <c r="X109" s="25" t="inlineStr">
        <is>
          <t>Medium</t>
        </is>
      </c>
      <c r="Y109" s="25" t="n"/>
      <c r="Z109" s="26" t="n"/>
      <c r="AA109" s="26" t="inlineStr">
        <is>
          <t>Board vote 7 Jul 2026: Sorbonne Université says it can exempt all eligible non-EU applicants (pay same as EU, ~€254) for 2026-27.</t>
        </is>
      </c>
      <c r="AB109" s="28" t="inlineStr">
        <is>
          <t>https://www.sorbonne-universite.fr/actualites/le-conseil-dadministration-de-sorbonne-universite-vote-lunanimite-le-7-juillet-2026-sa</t>
        </is>
      </c>
      <c r="AC109" s="25" t="inlineStr">
        <is>
          <t>Open</t>
        </is>
      </c>
      <c r="AD109" s="25" t="inlineStr">
        <is>
          <t>2026-10-01</t>
        </is>
      </c>
      <c r="AE109" s="25" t="inlineStr">
        <is>
          <t>2027-03-15</t>
        </is>
      </c>
      <c r="AF109" s="25" t="inlineStr">
        <is>
          <t>No</t>
        </is>
      </c>
      <c r="AG109" s="28" t="inlineStr">
        <is>
          <t>https://sciences.sorbonne-universite.fr/formation-sciences/offre-de-formation/masters/master-sciences-cognitives</t>
        </is>
      </c>
      <c r="AH109" s="26" t="n"/>
      <c r="AI109" s="28" t="inlineStr">
        <is>
          <t>Open in EEF</t>
        </is>
      </c>
    </row>
    <row r="110" ht="32.8" customHeight="1" s="19">
      <c r="A110" s="25" t="n">
        <v>109</v>
      </c>
      <c r="B110" s="25" t="inlineStr">
        <is>
          <t>★★★★☆</t>
        </is>
      </c>
      <c r="C110" s="25" t="inlineStr">
        <is>
          <t>4 – Strong fit (electronics/signal/robotics/IoT/sensors)</t>
        </is>
      </c>
      <c r="D110" s="25" t="inlineStr">
        <is>
          <t>Neuroscience / Neuro-engineering</t>
        </is>
      </c>
      <c r="E110" s="26" t="inlineStr">
        <is>
          <t>Master Sciences, technologies, santé mention Sciences Cognitives (cog-SUP) parcours - Neurosciences computationnelles et intelligence artificielle</t>
        </is>
      </c>
      <c r="F110" s="26" t="inlineStr">
        <is>
          <t>Master Science, Technology, Health (STS) – major: Cognitive Science (cog-SUP) – track: - Neuroscience Computational &amp; Artificial Intelligence</t>
        </is>
      </c>
      <c r="G110" s="25" t="inlineStr">
        <is>
          <t>Master indifférencié (recherche et professionnel)</t>
        </is>
      </c>
      <c r="H110" s="25" t="inlineStr">
        <is>
          <t>UFR des Sciences Fondamentales et Biomédicales</t>
        </is>
      </c>
      <c r="I110" s="25" t="inlineStr">
        <is>
          <t>Université Paris Cité</t>
        </is>
      </c>
      <c r="J110" s="25" t="inlineStr">
        <is>
          <t>Site de Paris</t>
        </is>
      </c>
      <c r="K110" s="25" t="inlineStr">
        <is>
          <t>75006 Paris</t>
        </is>
      </c>
      <c r="L110" s="25" t="inlineStr">
        <is>
          <t>Public university</t>
        </is>
      </c>
      <c r="M110" s="25" t="inlineStr">
        <is>
          <t>English</t>
        </is>
      </c>
      <c r="N110" s="25" t="inlineStr">
        <is>
          <t>General</t>
        </is>
      </c>
      <c r="O110" s="25" t="inlineStr">
        <is>
          <t>Bac +4 / Bac +5</t>
        </is>
      </c>
      <c r="P110" s="26" t="inlineStr">
        <is>
          <t>Eligible on level (4-yr BS ≈ Bac+4)</t>
        </is>
      </c>
      <c r="Q110" s="25" t="inlineStr">
        <is>
          <t>1/2</t>
        </is>
      </c>
      <c r="R110" s="25" t="n"/>
      <c r="S110" s="27" t="n">
        <v>3950</v>
      </c>
      <c r="T110" s="27" t="n">
        <v>255</v>
      </c>
      <c r="U110" s="25" t="n">
        <v>2</v>
      </c>
      <c r="V110" s="27">
        <f>IF(S110="","",S110*U110)</f>
        <v/>
      </c>
      <c r="W110" s="26" t="inlineStr">
        <is>
          <t>Not in catalogue. Public national master → 2026-27 differentiated fee €3,950; exemption to ~€254-255 depends on university quota (25% cap in 2027-28).</t>
        </is>
      </c>
      <c r="X110" s="25" t="inlineStr">
        <is>
          <t>Medium</t>
        </is>
      </c>
      <c r="Y110" s="25" t="n"/>
      <c r="Z110" s="26" t="n"/>
      <c r="AA110" s="26" t="inlineStr">
        <is>
          <t>Paris Cité historically exempted non-EU master students (paid EU rate). 2026-27/2027-28 policy not yet published – confirm.</t>
        </is>
      </c>
      <c r="AB110" s="28" t="inlineStr">
        <is>
          <t>https://u-paris.fr/droits-dinscription-tarifs-exonerations/</t>
        </is>
      </c>
      <c r="AC110" s="25" t="inlineStr">
        <is>
          <t>Open</t>
        </is>
      </c>
      <c r="AD110" s="25" t="inlineStr">
        <is>
          <t>2026-10-01</t>
        </is>
      </c>
      <c r="AE110" s="25" t="inlineStr">
        <is>
          <t>2027-03-15</t>
        </is>
      </c>
      <c r="AF110" s="25" t="inlineStr">
        <is>
          <t>Yes</t>
        </is>
      </c>
      <c r="AG110" s="28" t="inlineStr">
        <is>
          <t>https://odf.u-paris.fr/fr/offre-de-formation/master-XB/sciences-technologies-sante-STS/sciences-cognitives-K5CBPO1E.html</t>
        </is>
      </c>
      <c r="AH110" s="26" t="inlineStr">
        <is>
          <t>Attendus : Adéquation de la formation initiale, résultats académiques (mention bien ou plus), culture en sciences cognitives, motivation pour cette discipline. Critères d'examen des candidatures : Adéquation de la format</t>
        </is>
      </c>
      <c r="AI110" s="28" t="inlineStr">
        <is>
          <t>Open in EEF</t>
        </is>
      </c>
    </row>
    <row r="111" ht="22.35" customHeight="1" s="19">
      <c r="A111" s="25" t="n">
        <v>110</v>
      </c>
      <c r="B111" s="25" t="inlineStr">
        <is>
          <t>★★★★☆</t>
        </is>
      </c>
      <c r="C111" s="25" t="inlineStr">
        <is>
          <t>4 – Strong fit (electronics/signal/robotics/IoT/sensors)</t>
        </is>
      </c>
      <c r="D111" s="25" t="inlineStr">
        <is>
          <t>Neuroscience / Neuro-engineering</t>
        </is>
      </c>
      <c r="E111" s="26" t="inlineStr">
        <is>
          <t>Master Sciences, technologies, santé mention Sciences Cognitives (cog-SUP) parcours - Neurosciences computationnelles et intelligence artificielle</t>
        </is>
      </c>
      <c r="F111" s="26" t="inlineStr">
        <is>
          <t>Master Science, Technology, Health (STS) – major: Cognitive Science (cog-SUP) – track: - Neuroscience Computational &amp; Artificial Intelligence</t>
        </is>
      </c>
      <c r="G111" s="25" t="inlineStr">
        <is>
          <t>Master indifférencié (recherche et professionnel)</t>
        </is>
      </c>
      <c r="H111" s="25" t="inlineStr">
        <is>
          <t>Sciences et Ingénierie</t>
        </is>
      </c>
      <c r="I111" s="25" t="inlineStr">
        <is>
          <t>Sorbonne Université</t>
        </is>
      </c>
      <c r="J111" s="25" t="inlineStr">
        <is>
          <t>Site de Paris</t>
        </is>
      </c>
      <c r="K111" s="25" t="n"/>
      <c r="L111" s="25" t="inlineStr">
        <is>
          <t>Public university</t>
        </is>
      </c>
      <c r="M111" s="25" t="inlineStr">
        <is>
          <t>English</t>
        </is>
      </c>
      <c r="N111" s="25" t="inlineStr">
        <is>
          <t>General</t>
        </is>
      </c>
      <c r="O111" s="25" t="inlineStr">
        <is>
          <t>Bac +4 / Bac +5</t>
        </is>
      </c>
      <c r="P111" s="26" t="inlineStr">
        <is>
          <t>Eligible on level (4-yr BS ≈ Bac+4)</t>
        </is>
      </c>
      <c r="Q111" s="25" t="inlineStr">
        <is>
          <t>1/2</t>
        </is>
      </c>
      <c r="R111" s="25" t="n"/>
      <c r="S111" s="27" t="n">
        <v>3950</v>
      </c>
      <c r="T111" s="27" t="n">
        <v>255</v>
      </c>
      <c r="U111" s="25" t="n">
        <v>2</v>
      </c>
      <c r="V111" s="27">
        <f>IF(S111="","",S111*U111)</f>
        <v/>
      </c>
      <c r="W111" s="26" t="inlineStr">
        <is>
          <t>Not in catalogue. Public national master → 2026-27 differentiated fee €3,950; exemption to ~€254-255 depends on university quota (25% cap in 2027-28).</t>
        </is>
      </c>
      <c r="X111" s="25" t="inlineStr">
        <is>
          <t>Medium</t>
        </is>
      </c>
      <c r="Y111" s="25" t="n"/>
      <c r="Z111" s="26" t="n"/>
      <c r="AA111" s="26" t="inlineStr">
        <is>
          <t>Board vote 7 Jul 2026: Sorbonne Université says it can exempt all eligible non-EU applicants (pay same as EU, ~€254) for 2026-27.</t>
        </is>
      </c>
      <c r="AB111" s="28" t="inlineStr">
        <is>
          <t>https://www.sorbonne-universite.fr/actualites/le-conseil-dadministration-de-sorbonne-universite-vote-lunanimite-le-7-juillet-2026-sa</t>
        </is>
      </c>
      <c r="AC111" s="25" t="inlineStr">
        <is>
          <t>Open</t>
        </is>
      </c>
      <c r="AD111" s="25" t="inlineStr">
        <is>
          <t>2026-10-01</t>
        </is>
      </c>
      <c r="AE111" s="25" t="inlineStr">
        <is>
          <t>2027-03-15</t>
        </is>
      </c>
      <c r="AF111" s="25" t="inlineStr">
        <is>
          <t>No</t>
        </is>
      </c>
      <c r="AG111" s="28" t="inlineStr">
        <is>
          <t>https://sciences.sorbonne-universite.fr/formation-sciences/offre-de-formation/masters/master-sciences-cognitives</t>
        </is>
      </c>
      <c r="AH111" s="26" t="n"/>
      <c r="AI111" s="28" t="inlineStr">
        <is>
          <t>Open in EEF</t>
        </is>
      </c>
    </row>
    <row r="112" ht="32.8" customHeight="1" s="19">
      <c r="A112" s="25" t="n">
        <v>111</v>
      </c>
      <c r="B112" s="25" t="inlineStr">
        <is>
          <t>★★★★☆</t>
        </is>
      </c>
      <c r="C112" s="25" t="inlineStr">
        <is>
          <t>4 – Strong fit (electronics/signal/robotics/IoT/sensors)</t>
        </is>
      </c>
      <c r="D112" s="25" t="inlineStr">
        <is>
          <t>Sensors / Instrumentation / Micro-Nano / Photonics</t>
        </is>
      </c>
      <c r="E112" s="26" t="inlineStr">
        <is>
          <t>mention Physique parcours Optics &amp; photonics (Europhotonics)</t>
        </is>
      </c>
      <c r="F112" s="26" t="inlineStr">
        <is>
          <t>major: Physics – track: Optics &amp; photonics (Europhotonics)</t>
        </is>
      </c>
      <c r="G112" s="25" t="inlineStr">
        <is>
          <t>Master indifférencié (recherche et professionnel)</t>
        </is>
      </c>
      <c r="H112" s="25" t="inlineStr">
        <is>
          <t>UFR Sciences</t>
        </is>
      </c>
      <c r="I112" s="25" t="inlineStr">
        <is>
          <t>Université d'Aix-Marseille</t>
        </is>
      </c>
      <c r="J112" s="25" t="inlineStr">
        <is>
          <t>Site de Marseille - St Jérôme</t>
        </is>
      </c>
      <c r="K112" s="25" t="n"/>
      <c r="L112" s="25" t="inlineStr">
        <is>
          <t>Public university</t>
        </is>
      </c>
      <c r="M112" s="25" t="inlineStr">
        <is>
          <t>English</t>
        </is>
      </c>
      <c r="N112" s="25" t="inlineStr">
        <is>
          <t>Taught in English</t>
        </is>
      </c>
      <c r="O112" s="25" t="inlineStr">
        <is>
          <t>Bac +4 / Bac +5</t>
        </is>
      </c>
      <c r="P112" s="26" t="inlineStr">
        <is>
          <t>Eligible on level (4-yr BS ≈ Bac+4)</t>
        </is>
      </c>
      <c r="Q112" s="25" t="inlineStr">
        <is>
          <t>1/2</t>
        </is>
      </c>
      <c r="R112" s="25" t="inlineStr">
        <is>
          <t>12</t>
        </is>
      </c>
      <c r="S112" s="27" t="n">
        <v>3950</v>
      </c>
      <c r="T112" s="27" t="n">
        <v>255</v>
      </c>
      <c r="U112" s="25" t="n">
        <v>2</v>
      </c>
      <c r="V112" s="27">
        <f>IF(S112="","",S112*U112)</f>
        <v/>
      </c>
      <c r="W112" s="26" t="inlineStr">
        <is>
          <t>Not in catalogue. Public national master → 2026-27 differentiated fee €3,950; exemption to ~€254-255 depends on university quota (25% cap in 2027-28).</t>
        </is>
      </c>
      <c r="X112" s="25" t="inlineStr">
        <is>
          <t>Medium</t>
        </is>
      </c>
      <c r="Y112" s="25" t="n"/>
      <c r="Z112" s="26" t="n"/>
      <c r="AA112" s="26" t="inlineStr">
        <is>
          <t>AMU 2026-27: limited exemptions (≈1,800 of 5,500 students) – priority to continuing students, conflict zones, excellence scholarships. New master entrants usually pay €3,950.</t>
        </is>
      </c>
      <c r="AB112" s="28" t="inlineStr">
        <is>
          <t>https://www.univ-amu.fr/fr/actualites/aix-marseille-universite-mobilise-pleinement-capacite-dexoneration-continuer-accueillir</t>
        </is>
      </c>
      <c r="AC112" s="25" t="inlineStr">
        <is>
          <t>Open</t>
        </is>
      </c>
      <c r="AD112" s="25" t="inlineStr">
        <is>
          <t>2026-10-01</t>
        </is>
      </c>
      <c r="AE112" s="25" t="inlineStr">
        <is>
          <t>2027-03-15</t>
        </is>
      </c>
      <c r="AF112" s="25" t="inlineStr">
        <is>
          <t>No</t>
        </is>
      </c>
      <c r="AG112" s="28" t="inlineStr">
        <is>
          <t>https://formations.univ-amu.fr/fr/master/5SPF/PRSPF5C4</t>
        </is>
      </c>
      <c r="AH112" s="26" t="inlineStr">
        <is>
          <t>2 important points for your application : - Your application must be complete and validated by the Espace Etudes in France - The faculty will review the applications The level of English required is B2. Access to Master</t>
        </is>
      </c>
      <c r="AI112" s="28" t="inlineStr">
        <is>
          <t>Open in EEF</t>
        </is>
      </c>
    </row>
    <row r="113" ht="32.8" customHeight="1" s="19">
      <c r="A113" s="25" t="n">
        <v>112</v>
      </c>
      <c r="B113" s="25" t="inlineStr">
        <is>
          <t>★★★★☆</t>
        </is>
      </c>
      <c r="C113" s="25" t="inlineStr">
        <is>
          <t>4 – Strong fit (electronics/signal/robotics/IoT/sensors)</t>
        </is>
      </c>
      <c r="D113" s="25" t="inlineStr">
        <is>
          <t>Sensors / Instrumentation / Micro-Nano / Photonics</t>
        </is>
      </c>
      <c r="E113" s="26" t="inlineStr">
        <is>
          <t>Master indifférencié (recherche et professionnel) Sciences, technologies, santé mention Biologie, santé parcours Thérapies et Technologies du vivant (T2V) : Parcours Technologies et instrumentation pour le vivant</t>
        </is>
      </c>
      <c r="F113" s="26" t="inlineStr">
        <is>
          <t>Science, Technology, Health (STS) – major: Biology-Health – track: Thérapies &amp; Technologies of Life (T2V) : – track: Technologies &amp; Instrumentation for the Life</t>
        </is>
      </c>
      <c r="G113" s="25" t="inlineStr">
        <is>
          <t>Master indifférencié (recherche et professionnel)</t>
        </is>
      </c>
      <c r="H113" s="25" t="inlineStr">
        <is>
          <t>UFR de santé médecine biologie humaine - Léonard de Vinci</t>
        </is>
      </c>
      <c r="I113" s="25" t="inlineStr">
        <is>
          <t>Université Sorbonne Paris Nord</t>
        </is>
      </c>
      <c r="J113" s="25" t="inlineStr">
        <is>
          <t>Site de Bobigny</t>
        </is>
      </c>
      <c r="K113" s="25" t="n"/>
      <c r="L113" s="25" t="inlineStr">
        <is>
          <t>Public university</t>
        </is>
      </c>
      <c r="M113" s="25" t="inlineStr">
        <is>
          <t>French &amp; English</t>
        </is>
      </c>
      <c r="N113" s="25" t="inlineStr">
        <is>
          <t>General</t>
        </is>
      </c>
      <c r="O113" s="25" t="inlineStr">
        <is>
          <t>Bac +4 / Bac +5</t>
        </is>
      </c>
      <c r="P113" s="26" t="inlineStr">
        <is>
          <t>Eligible on level (4-yr BS ≈ Bac+4)</t>
        </is>
      </c>
      <c r="Q113" s="25" t="inlineStr">
        <is>
          <t>1/2</t>
        </is>
      </c>
      <c r="R113" s="25" t="n"/>
      <c r="S113" s="27" t="n">
        <v>3950</v>
      </c>
      <c r="T113" s="27" t="n">
        <v>255</v>
      </c>
      <c r="U113" s="25" t="n">
        <v>2</v>
      </c>
      <c r="V113" s="27">
        <f>IF(S113="","",S113*U113)</f>
        <v/>
      </c>
      <c r="W113" s="26" t="inlineStr">
        <is>
          <t>Catalogue: €3,950. = national differentiated master fee (2026-27: €3,950). Exemption to ~€255 possible (university quota).</t>
        </is>
      </c>
      <c r="X113" s="25" t="inlineStr">
        <is>
          <t>High</t>
        </is>
      </c>
      <c r="Y113" s="25" t="inlineStr">
        <is>
          <t>3950</t>
        </is>
      </c>
      <c r="Z113" s="26" t="n"/>
      <c r="AA113" s="26" t="n"/>
      <c r="AB113" s="25" t="n"/>
      <c r="AC113" s="25" t="inlineStr">
        <is>
          <t>Open</t>
        </is>
      </c>
      <c r="AD113" s="25" t="inlineStr">
        <is>
          <t>2026-10-01</t>
        </is>
      </c>
      <c r="AE113" s="25" t="inlineStr">
        <is>
          <t>2027-03-15</t>
        </is>
      </c>
      <c r="AF113" s="25" t="inlineStr">
        <is>
          <t>No</t>
        </is>
      </c>
      <c r="AG113" s="28" t="inlineStr">
        <is>
          <t>https://odf.univ-spn.fr/fr/offre-de-formation/master-lmd-XB/master-mention-biologie-sante-parcours-therapies-et-technologie-du-vivant-BI4TPH_117.html</t>
        </is>
      </c>
      <c r="AH113" s="26" t="inlineStr">
        <is>
          <t>Responsable du Master 1 et 2 : Mme Julie MARIN et Mr Tony PALAMA Master 1 : Année 1 Bac + 4 L’admission se fait sur dossier et après audition par visioconférence. Le M1 est accessible aux t itulaires d'une Licence obtenu</t>
        </is>
      </c>
      <c r="AI113" s="28" t="inlineStr">
        <is>
          <t>Open in EEF</t>
        </is>
      </c>
    </row>
    <row r="114" ht="32.8" customHeight="1" s="19">
      <c r="A114" s="25" t="n">
        <v>113</v>
      </c>
      <c r="B114" s="25" t="inlineStr">
        <is>
          <t>★★★★☆</t>
        </is>
      </c>
      <c r="C114" s="25" t="inlineStr">
        <is>
          <t>4 – Strong fit (electronics/signal/robotics/IoT/sensors)</t>
        </is>
      </c>
      <c r="D114" s="25" t="inlineStr">
        <is>
          <t>Signal / Image / Vision</t>
        </is>
      </c>
      <c r="E114" s="26" t="inlineStr">
        <is>
          <t>Master indifférencié (recherche et professionnel) Sciences, technologies, santé mention Informatique parcours Parcours ISICG Synthèse d'images et conception graphique- Parcours Graduate School “Computer Graphics”</t>
        </is>
      </c>
      <c r="F114" s="26" t="inlineStr">
        <is>
          <t>Science, Technology, Health (STS) – major: Computer Science – track: track: ISICG Synthesis of Images &amp; Design graphique- – track: Graduate School “Computer Graphics”</t>
        </is>
      </c>
      <c r="G114" s="25" t="inlineStr">
        <is>
          <t>Master indifférencié (recherche et professionnel)</t>
        </is>
      </c>
      <c r="H114" s="25" t="inlineStr">
        <is>
          <t>Faculté des Sciences et Techniques</t>
        </is>
      </c>
      <c r="I114" s="25" t="inlineStr">
        <is>
          <t>Université de Limoges</t>
        </is>
      </c>
      <c r="J114" s="25" t="inlineStr">
        <is>
          <t>Campus de la Borie Limoges</t>
        </is>
      </c>
      <c r="K114" s="25" t="n"/>
      <c r="L114" s="25" t="inlineStr">
        <is>
          <t>Public university</t>
        </is>
      </c>
      <c r="M114" s="25" t="inlineStr">
        <is>
          <t>French &amp; English</t>
        </is>
      </c>
      <c r="N114" s="25" t="inlineStr">
        <is>
          <t>General</t>
        </is>
      </c>
      <c r="O114" s="25" t="inlineStr">
        <is>
          <t>Bac +4 / Bac +5</t>
        </is>
      </c>
      <c r="P114" s="26" t="inlineStr">
        <is>
          <t>Eligible on level (4-yr BS ≈ Bac+4)</t>
        </is>
      </c>
      <c r="Q114" s="25" t="inlineStr">
        <is>
          <t>1/2</t>
        </is>
      </c>
      <c r="R114" s="25" t="n"/>
      <c r="S114" s="27" t="n">
        <v>3950</v>
      </c>
      <c r="T114" s="27" t="n">
        <v>255</v>
      </c>
      <c r="U114" s="25" t="n">
        <v>2</v>
      </c>
      <c r="V114" s="27">
        <f>IF(S114="","",S114*U114)</f>
        <v/>
      </c>
      <c r="W114" s="26" t="inlineStr">
        <is>
          <t>Catalogue: €3,950. = national differentiated master fee (2026-27: €3,950). Exemption to ~€255 possible (university quota).</t>
        </is>
      </c>
      <c r="X114" s="25" t="inlineStr">
        <is>
          <t>High</t>
        </is>
      </c>
      <c r="Y114" s="25" t="inlineStr">
        <is>
          <t>3950</t>
        </is>
      </c>
      <c r="Z114" s="26" t="n"/>
      <c r="AA114" s="26" t="n"/>
      <c r="AB114" s="25" t="n"/>
      <c r="AC114" s="25" t="inlineStr">
        <is>
          <t>Open</t>
        </is>
      </c>
      <c r="AD114" s="25" t="inlineStr">
        <is>
          <t>2026-10-01</t>
        </is>
      </c>
      <c r="AE114" s="25" t="inlineStr">
        <is>
          <t>2027-03-15</t>
        </is>
      </c>
      <c r="AF114" s="25" t="inlineStr">
        <is>
          <t>No</t>
        </is>
      </c>
      <c r="AG114" s="28" t="inlineStr">
        <is>
          <t>https://www.unilim.fr/gradschool-ceramics-ict/</t>
        </is>
      </c>
      <c r="AH114" s="26" t="inlineStr">
        <is>
          <t>This is the graduate school side of the ISICG Master. Applicants wanting to later continue with a PhD are encouraged to (also) apply here. 1st year : Applicants need to have a computer science bachelor (or equivalent). T</t>
        </is>
      </c>
      <c r="AI114" s="28" t="inlineStr">
        <is>
          <t>Open in EEF</t>
        </is>
      </c>
    </row>
    <row r="115" ht="43.25" customHeight="1" s="19">
      <c r="A115" s="25" t="n">
        <v>114</v>
      </c>
      <c r="B115" s="25" t="inlineStr">
        <is>
          <t>★★★★☆</t>
        </is>
      </c>
      <c r="C115" s="25" t="inlineStr">
        <is>
          <t>4 – Strong fit (electronics/signal/robotics/IoT/sensors)</t>
        </is>
      </c>
      <c r="D115" s="25" t="inlineStr">
        <is>
          <t>Embedded systems / Electronics</t>
        </is>
      </c>
      <c r="E115" s="26" t="inlineStr">
        <is>
          <t>Master indifférencié (recherche et professionnel) Sciences, technologies, santé mention Physique appliquée et Ingénierie physique parcours Parcours IXEO Hautes technologies électronique et photonique-Parcours Graduate School "High frequency electronics &amp; photonics"</t>
        </is>
      </c>
      <c r="F115" s="26" t="inlineStr">
        <is>
          <t>Science, Technology, Health (STS) – major: Applied Physics &amp; Engineering Physics – track: track: IXEO Hautes Technologies Electronics &amp; photonique-Parcours Graduate School "High frequency electronics &amp; photonics"</t>
        </is>
      </c>
      <c r="G115" s="25" t="inlineStr">
        <is>
          <t>Master indifférencié (recherche et professionnel)</t>
        </is>
      </c>
      <c r="H115" s="25" t="inlineStr">
        <is>
          <t>Faculté des Sciences et Techniques</t>
        </is>
      </c>
      <c r="I115" s="25" t="inlineStr">
        <is>
          <t>Université de Limoges</t>
        </is>
      </c>
      <c r="J115" s="25" t="inlineStr">
        <is>
          <t>Campus de la Borie Limoges</t>
        </is>
      </c>
      <c r="K115" s="25" t="n"/>
      <c r="L115" s="25" t="inlineStr">
        <is>
          <t>Public university</t>
        </is>
      </c>
      <c r="M115" s="25" t="inlineStr">
        <is>
          <t>French &amp; English</t>
        </is>
      </c>
      <c r="N115" s="25" t="inlineStr">
        <is>
          <t>General</t>
        </is>
      </c>
      <c r="O115" s="25" t="inlineStr">
        <is>
          <t>Bac +4 / Bac +5</t>
        </is>
      </c>
      <c r="P115" s="26" t="inlineStr">
        <is>
          <t>Eligible on level (4-yr BS ≈ Bac+4)</t>
        </is>
      </c>
      <c r="Q115" s="25" t="inlineStr">
        <is>
          <t>1/2</t>
        </is>
      </c>
      <c r="R115" s="25" t="inlineStr">
        <is>
          <t>12</t>
        </is>
      </c>
      <c r="S115" s="27" t="n">
        <v>3950</v>
      </c>
      <c r="T115" s="27" t="n">
        <v>255</v>
      </c>
      <c r="U115" s="25" t="n">
        <v>2</v>
      </c>
      <c r="V115" s="27">
        <f>IF(S115="","",S115*U115)</f>
        <v/>
      </c>
      <c r="W115" s="26" t="inlineStr">
        <is>
          <t>Catalogue: €3,950. = national differentiated master fee (2026-27: €3,950). Exemption to ~€255 possible (university quota).</t>
        </is>
      </c>
      <c r="X115" s="25" t="inlineStr">
        <is>
          <t>High</t>
        </is>
      </c>
      <c r="Y115" s="25" t="inlineStr">
        <is>
          <t>3950</t>
        </is>
      </c>
      <c r="Z115" s="26" t="n"/>
      <c r="AA115" s="26" t="n"/>
      <c r="AB115" s="25" t="n"/>
      <c r="AC115" s="25" t="inlineStr">
        <is>
          <t>Open</t>
        </is>
      </c>
      <c r="AD115" s="25" t="inlineStr">
        <is>
          <t>2026-10-01</t>
        </is>
      </c>
      <c r="AE115" s="25" t="inlineStr">
        <is>
          <t>2027-03-15</t>
        </is>
      </c>
      <c r="AF115" s="25" t="inlineStr">
        <is>
          <t>No</t>
        </is>
      </c>
      <c r="AG115" s="28" t="inlineStr">
        <is>
          <t>https://www.unilim.fr/gradschool-ceramics-ict/</t>
        </is>
      </c>
      <c r="AH115" s="26" t="inlineStr">
        <is>
          <t>This is the graduate school side of the IXEO Master. Applicants wanting to later continue with an applied PhD are encouraged to (also) apply here. Lectures are in English and also in French so a B2 level is strongly expe</t>
        </is>
      </c>
      <c r="AI115" s="28" t="inlineStr">
        <is>
          <t>Open in EEF</t>
        </is>
      </c>
    </row>
    <row r="116" ht="32.8" customHeight="1" s="19">
      <c r="A116" s="25" t="n">
        <v>115</v>
      </c>
      <c r="B116" s="25" t="inlineStr">
        <is>
          <t>★★★★☆</t>
        </is>
      </c>
      <c r="C116" s="25" t="inlineStr">
        <is>
          <t>4 – Strong fit (electronics/signal/robotics/IoT/sensors)</t>
        </is>
      </c>
      <c r="D116" s="25" t="inlineStr">
        <is>
          <t>Sensors / Instrumentation / Micro-Nano / Photonics</t>
        </is>
      </c>
      <c r="E116" s="26" t="inlineStr">
        <is>
          <t>Master indifférencié (recherche et professionnel) Sciences, technologies, santé mention Physique fondamentale et applications parcours Nanosciences, nanomatériaux, nanotechnologies</t>
        </is>
      </c>
      <c r="F116" s="26" t="inlineStr">
        <is>
          <t>Science, Technology, Health (STS) – major: Physics Fundamental &amp; Applications – track: Nanosciences, nanomatériaux, Nanotechnologies</t>
        </is>
      </c>
      <c r="G116" s="25" t="inlineStr">
        <is>
          <t>Master indifférencié (recherche et professionnel)</t>
        </is>
      </c>
      <c r="H116" s="25" t="inlineStr">
        <is>
          <t>Campus scientifique de BEAULIEU</t>
        </is>
      </c>
      <c r="I116" s="25" t="inlineStr">
        <is>
          <t>Université de Rennes</t>
        </is>
      </c>
      <c r="J116" s="25" t="inlineStr">
        <is>
          <t>Site de Rennes - FDS Faculté des sciences</t>
        </is>
      </c>
      <c r="K116" s="25" t="n"/>
      <c r="L116" s="25" t="inlineStr">
        <is>
          <t>Public university</t>
        </is>
      </c>
      <c r="M116" s="25" t="inlineStr">
        <is>
          <t>French &amp; English</t>
        </is>
      </c>
      <c r="N116" s="25" t="inlineStr">
        <is>
          <t>General</t>
        </is>
      </c>
      <c r="O116" s="25" t="inlineStr">
        <is>
          <t>Bac +4 / Bac +5</t>
        </is>
      </c>
      <c r="P116" s="26" t="inlineStr">
        <is>
          <t>Eligible on level (4-yr BS ≈ Bac+4)</t>
        </is>
      </c>
      <c r="Q116" s="25" t="inlineStr">
        <is>
          <t>1/2</t>
        </is>
      </c>
      <c r="R116" s="25" t="inlineStr">
        <is>
          <t>12</t>
        </is>
      </c>
      <c r="S116" s="27" t="n">
        <v>3950</v>
      </c>
      <c r="T116" s="27" t="n">
        <v>255</v>
      </c>
      <c r="U116" s="25" t="n">
        <v>2</v>
      </c>
      <c r="V116" s="27">
        <f>IF(S116="","",S116*U116)</f>
        <v/>
      </c>
      <c r="W116" s="26" t="inlineStr">
        <is>
          <t>Catalogue: €3,950. = national differentiated master fee (2026-27: €3,950). Exemption to ~€255 possible (university quota).</t>
        </is>
      </c>
      <c r="X116" s="25" t="inlineStr">
        <is>
          <t>High</t>
        </is>
      </c>
      <c r="Y116" s="25" t="inlineStr">
        <is>
          <t>3950</t>
        </is>
      </c>
      <c r="Z116" s="26" t="inlineStr">
        <is>
          <t>ption, il faudra vous acquitter obligatoirement des frais d'inscription s’élevant à 3 950 Euros</t>
        </is>
      </c>
      <c r="AA116" s="26" t="n"/>
      <c r="AB116" s="25" t="n"/>
      <c r="AC116" s="25" t="inlineStr">
        <is>
          <t>Open</t>
        </is>
      </c>
      <c r="AD116" s="25" t="inlineStr">
        <is>
          <t>2026-10-01</t>
        </is>
      </c>
      <c r="AE116" s="25" t="inlineStr">
        <is>
          <t>2027-03-15</t>
        </is>
      </c>
      <c r="AF116" s="25" t="inlineStr">
        <is>
          <t>No</t>
        </is>
      </c>
      <c r="AG116" s="28" t="inlineStr">
        <is>
          <t>https://formations.univ-rennes.fr/</t>
        </is>
      </c>
      <c r="AH116" s="26" t="inlineStr">
        <is>
          <t>Formations ou matières qu'il faut avoir déjà suivi au cours de son cursus antérieur : Licence de physique ou physique chimie, sciences des matériaux, master 1 en physique, bon socle en mathématiques. Niveau spécifique at</t>
        </is>
      </c>
      <c r="AI116" s="28" t="inlineStr">
        <is>
          <t>Open in EEF</t>
        </is>
      </c>
    </row>
    <row r="117" ht="32.8" customHeight="1" s="19">
      <c r="A117" s="25" t="n">
        <v>116</v>
      </c>
      <c r="B117" s="25" t="inlineStr">
        <is>
          <t>★★★★☆</t>
        </is>
      </c>
      <c r="C117" s="25" t="inlineStr">
        <is>
          <t>4 – Strong fit (electronics/signal/robotics/IoT/sensors)</t>
        </is>
      </c>
      <c r="D117" s="25" t="inlineStr">
        <is>
          <t>Sensors / Instrumentation / Micro-Nano / Photonics</t>
        </is>
      </c>
      <c r="E117" s="26" t="inlineStr">
        <is>
          <t>Master indifférencié (recherche et professionnel) Sciences, technologies, santé mention Physique fondamentale et applications parcours Photonique</t>
        </is>
      </c>
      <c r="F117" s="26" t="inlineStr">
        <is>
          <t>Science, Technology, Health (STS) – major: Physics Fundamental &amp; Applications – track: Photonics</t>
        </is>
      </c>
      <c r="G117" s="25" t="inlineStr">
        <is>
          <t>Master indifférencié (recherche et professionnel)</t>
        </is>
      </c>
      <c r="H117" s="25" t="inlineStr">
        <is>
          <t>Campus scientifique de BEAULIEU</t>
        </is>
      </c>
      <c r="I117" s="25" t="inlineStr">
        <is>
          <t>Université de Rennes</t>
        </is>
      </c>
      <c r="J117" s="25" t="inlineStr">
        <is>
          <t>Site de Rennes - FDS Faculté des sciences</t>
        </is>
      </c>
      <c r="K117" s="25" t="n"/>
      <c r="L117" s="25" t="inlineStr">
        <is>
          <t>Public university</t>
        </is>
      </c>
      <c r="M117" s="25" t="inlineStr">
        <is>
          <t>French &amp; English</t>
        </is>
      </c>
      <c r="N117" s="25" t="inlineStr">
        <is>
          <t>General</t>
        </is>
      </c>
      <c r="O117" s="25" t="inlineStr">
        <is>
          <t>Bac +4 / Bac +5</t>
        </is>
      </c>
      <c r="P117" s="26" t="inlineStr">
        <is>
          <t>Eligible on level (4-yr BS ≈ Bac+4)</t>
        </is>
      </c>
      <c r="Q117" s="25" t="inlineStr">
        <is>
          <t>1/2</t>
        </is>
      </c>
      <c r="R117" s="25" t="inlineStr">
        <is>
          <t>12</t>
        </is>
      </c>
      <c r="S117" s="27" t="n">
        <v>3950</v>
      </c>
      <c r="T117" s="27" t="n">
        <v>255</v>
      </c>
      <c r="U117" s="25" t="n">
        <v>2</v>
      </c>
      <c r="V117" s="27">
        <f>IF(S117="","",S117*U117)</f>
        <v/>
      </c>
      <c r="W117" s="26" t="inlineStr">
        <is>
          <t>Catalogue: €3,950. = national differentiated master fee (2026-27: €3,950). Exemption to ~€255 possible (university quota).</t>
        </is>
      </c>
      <c r="X117" s="25" t="inlineStr">
        <is>
          <t>High</t>
        </is>
      </c>
      <c r="Y117" s="25" t="inlineStr">
        <is>
          <t>3950</t>
        </is>
      </c>
      <c r="Z117" s="26" t="inlineStr">
        <is>
          <t>ption, il faudra vous acquitter obligatoirement des frais d'inscription s’élevant à 3 950 Euros … ption, il faudra vous acquitter obligatoirement des frais d'inscription s’élevant à 3 950 Euros</t>
        </is>
      </c>
      <c r="AA117" s="26" t="n"/>
      <c r="AB117" s="25" t="n"/>
      <c r="AC117" s="25" t="inlineStr">
        <is>
          <t>Open</t>
        </is>
      </c>
      <c r="AD117" s="25" t="inlineStr">
        <is>
          <t>2026-10-01</t>
        </is>
      </c>
      <c r="AE117" s="25" t="inlineStr">
        <is>
          <t>2027-03-15</t>
        </is>
      </c>
      <c r="AF117" s="25" t="inlineStr">
        <is>
          <t>No</t>
        </is>
      </c>
      <c r="AG117" s="28" t="inlineStr">
        <is>
          <t>https://formations.univ-rennes.fr/</t>
        </is>
      </c>
      <c r="AH117" s="26" t="inlineStr">
        <is>
          <t>Formations ou matières qu'il faut avoir déjà suivi au cours de son cursus antérieur : - pour le M1 : Licence de physique ou physique chimie, sciences des matériaux, master 1 en physique, bon socle en mathématiques - pour</t>
        </is>
      </c>
      <c r="AI117" s="28" t="inlineStr">
        <is>
          <t>Open in EEF</t>
        </is>
      </c>
    </row>
    <row r="118" ht="32.8" customHeight="1" s="19">
      <c r="A118" s="25" t="n">
        <v>117</v>
      </c>
      <c r="B118" s="25" t="inlineStr">
        <is>
          <t>★★★★☆</t>
        </is>
      </c>
      <c r="C118" s="25" t="inlineStr">
        <is>
          <t>4 – Strong fit (electronics/signal/robotics/IoT/sensors)</t>
        </is>
      </c>
      <c r="D118" s="25" t="inlineStr">
        <is>
          <t>Neuroscience / Neuro-engineering</t>
        </is>
      </c>
      <c r="E118" s="26" t="inlineStr">
        <is>
          <t>Master indifférencié (recherche et professionnel) Sciences, technologies, santé mention sciences du vivant parcours Neurosciences cognitives</t>
        </is>
      </c>
      <c r="F118" s="26" t="inlineStr">
        <is>
          <t>Science, Technology, Health (STS) – major: Sciences of Life – track: NeuroCognitive Science</t>
        </is>
      </c>
      <c r="G118" s="25" t="inlineStr">
        <is>
          <t>Master indifférencié (recherche et professionnel)</t>
        </is>
      </c>
      <c r="H118" s="25" t="inlineStr">
        <is>
          <t>Faculté des sciences de la vie</t>
        </is>
      </c>
      <c r="I118" s="25" t="inlineStr">
        <is>
          <t>Université de Strasbourg</t>
        </is>
      </c>
      <c r="J118" s="25" t="inlineStr">
        <is>
          <t>Site de Strasbourg</t>
        </is>
      </c>
      <c r="K118" s="25" t="inlineStr">
        <is>
          <t>67000 Strasbourg</t>
        </is>
      </c>
      <c r="L118" s="25" t="inlineStr">
        <is>
          <t>Public university</t>
        </is>
      </c>
      <c r="M118" s="25" t="inlineStr">
        <is>
          <t>French &amp; English</t>
        </is>
      </c>
      <c r="N118" s="25" t="inlineStr">
        <is>
          <t>General</t>
        </is>
      </c>
      <c r="O118" s="25" t="inlineStr">
        <is>
          <t>Bac +4 / Bac +5</t>
        </is>
      </c>
      <c r="P118" s="26" t="inlineStr">
        <is>
          <t>Eligible on level (4-yr BS ≈ Bac+4)</t>
        </is>
      </c>
      <c r="Q118" s="25" t="inlineStr">
        <is>
          <t>1/2</t>
        </is>
      </c>
      <c r="R118" s="25" t="n"/>
      <c r="S118" s="27" t="n">
        <v>3950</v>
      </c>
      <c r="T118" s="27" t="n">
        <v>255</v>
      </c>
      <c r="U118" s="25" t="n">
        <v>2</v>
      </c>
      <c r="V118" s="27">
        <f>IF(S118="","",S118*U118)</f>
        <v/>
      </c>
      <c r="W118" s="26" t="inlineStr">
        <is>
          <t>Catalogue: €3,950. = national differentiated master fee (2026-27: €3,950). Exemption to ~€255 possible (university quota).</t>
        </is>
      </c>
      <c r="X118" s="25" t="inlineStr">
        <is>
          <t>High</t>
        </is>
      </c>
      <c r="Y118" s="25" t="inlineStr">
        <is>
          <t>3950</t>
        </is>
      </c>
      <c r="Z118" s="26" t="n"/>
      <c r="AA118" s="26" t="inlineStr">
        <is>
          <t>Unistra: master entrants who did not do their licence at Unistra pay the differentiated fee (€3,950).</t>
        </is>
      </c>
      <c r="AB118" s="28" t="inlineStr">
        <is>
          <t>https://www.unistra.fr/fr/node/8168</t>
        </is>
      </c>
      <c r="AC118" s="25" t="inlineStr">
        <is>
          <t>Open</t>
        </is>
      </c>
      <c r="AD118" s="25" t="inlineStr">
        <is>
          <t>2026-10-01</t>
        </is>
      </c>
      <c r="AE118" s="25" t="inlineStr">
        <is>
          <t>2027-03-15</t>
        </is>
      </c>
      <c r="AF118" s="25" t="inlineStr">
        <is>
          <t>No</t>
        </is>
      </c>
      <c r="AG118" s="25" t="n"/>
      <c r="AH118" s="26" t="inlineStr">
        <is>
          <t>M1 : Connaissances et compétences acquises à partir de tout parcours équivalent à (1) la Licence Mention Sciences de la Vie, Parcours Biologie Cellulaire et Physiologie des Organismes de l'Université de Strasbourg, consi</t>
        </is>
      </c>
      <c r="AI118" s="28" t="inlineStr">
        <is>
          <t>Open in EEF</t>
        </is>
      </c>
    </row>
    <row r="119" ht="32.8" customHeight="1" s="19">
      <c r="A119" s="25" t="n">
        <v>118</v>
      </c>
      <c r="B119" s="25" t="inlineStr">
        <is>
          <t>★★★★☆</t>
        </is>
      </c>
      <c r="C119" s="25" t="inlineStr">
        <is>
          <t>4 – Strong fit (electronics/signal/robotics/IoT/sensors)</t>
        </is>
      </c>
      <c r="D119" s="25" t="inlineStr">
        <is>
          <t>Neuroscience / Neuro-engineering</t>
        </is>
      </c>
      <c r="E119" s="26" t="inlineStr">
        <is>
          <t>Master indifférencié (recherche et professionnel) Sciences, technologies, santé mention sciences du vivant parcours Neurosciences cellulaires et intégrées</t>
        </is>
      </c>
      <c r="F119" s="26" t="inlineStr">
        <is>
          <t>Science, Technology, Health (STS) – major: Sciences of Life – track: Neuroscience Cellular &amp; Integrated</t>
        </is>
      </c>
      <c r="G119" s="25" t="inlineStr">
        <is>
          <t>Master indifférencié (recherche et professionnel)</t>
        </is>
      </c>
      <c r="H119" s="25" t="inlineStr">
        <is>
          <t>Faculté des sciences de la vie</t>
        </is>
      </c>
      <c r="I119" s="25" t="inlineStr">
        <is>
          <t>Université de Strasbourg</t>
        </is>
      </c>
      <c r="J119" s="25" t="inlineStr">
        <is>
          <t>Site de Strasbourg</t>
        </is>
      </c>
      <c r="K119" s="25" t="inlineStr">
        <is>
          <t>67000 Strasbourg</t>
        </is>
      </c>
      <c r="L119" s="25" t="inlineStr">
        <is>
          <t>Public university</t>
        </is>
      </c>
      <c r="M119" s="25" t="inlineStr">
        <is>
          <t>French &amp; English</t>
        </is>
      </c>
      <c r="N119" s="25" t="inlineStr">
        <is>
          <t>General</t>
        </is>
      </c>
      <c r="O119" s="25" t="inlineStr">
        <is>
          <t>Bac +4 / Bac +5</t>
        </is>
      </c>
      <c r="P119" s="26" t="inlineStr">
        <is>
          <t>Eligible on level (4-yr BS ≈ Bac+4)</t>
        </is>
      </c>
      <c r="Q119" s="25" t="inlineStr">
        <is>
          <t>1/2</t>
        </is>
      </c>
      <c r="R119" s="25" t="n"/>
      <c r="S119" s="27" t="n">
        <v>3950</v>
      </c>
      <c r="T119" s="27" t="n">
        <v>255</v>
      </c>
      <c r="U119" s="25" t="n">
        <v>2</v>
      </c>
      <c r="V119" s="27">
        <f>IF(S119="","",S119*U119)</f>
        <v/>
      </c>
      <c r="W119" s="26" t="inlineStr">
        <is>
          <t>Catalogue: €3,950. = national differentiated master fee (2026-27: €3,950). Exemption to ~€255 possible (university quota).</t>
        </is>
      </c>
      <c r="X119" s="25" t="inlineStr">
        <is>
          <t>High</t>
        </is>
      </c>
      <c r="Y119" s="25" t="inlineStr">
        <is>
          <t>3950</t>
        </is>
      </c>
      <c r="Z119" s="26" t="n"/>
      <c r="AA119" s="26" t="inlineStr">
        <is>
          <t>Unistra: master entrants who did not do their licence at Unistra pay the differentiated fee (€3,950).</t>
        </is>
      </c>
      <c r="AB119" s="28" t="inlineStr">
        <is>
          <t>https://www.unistra.fr/fr/node/8168</t>
        </is>
      </c>
      <c r="AC119" s="25" t="inlineStr">
        <is>
          <t>Open</t>
        </is>
      </c>
      <c r="AD119" s="25" t="inlineStr">
        <is>
          <t>2026-10-01</t>
        </is>
      </c>
      <c r="AE119" s="25" t="inlineStr">
        <is>
          <t>2027-03-15</t>
        </is>
      </c>
      <c r="AF119" s="25" t="inlineStr">
        <is>
          <t>No</t>
        </is>
      </c>
      <c r="AG119" s="28" t="inlineStr">
        <is>
          <t>http://sciencesvie.unistra.fr/</t>
        </is>
      </c>
      <c r="AH119" s="26" t="inlineStr">
        <is>
          <t>M1 : Connaissances et compétences acquises à partir de tout parcours équivalent à (1) la Licence Mention Sciences de la Vie, Parcours Biologie Cellulaire et Physiologie des Organismes de l'Université de Strasbourg, consi</t>
        </is>
      </c>
      <c r="AI119" s="28" t="inlineStr">
        <is>
          <t>Open in EEF</t>
        </is>
      </c>
    </row>
    <row r="120" ht="32.8" customHeight="1" s="19">
      <c r="A120" s="25" t="n">
        <v>119</v>
      </c>
      <c r="B120" s="25" t="inlineStr">
        <is>
          <t>★★★★☆</t>
        </is>
      </c>
      <c r="C120" s="25" t="inlineStr">
        <is>
          <t>4 – Strong fit (electronics/signal/robotics/IoT/sensors)</t>
        </is>
      </c>
      <c r="D120" s="25" t="inlineStr">
        <is>
          <t>Robotics / Automation / Mechatronics</t>
        </is>
      </c>
      <c r="E120" s="26" t="inlineStr">
        <is>
          <t>Master Sciences, technologies, santé, mention Ingénierie des systèmes complexes parcours Automatique, robotique et systèmes intelligents2</t>
        </is>
      </c>
      <c r="F120" s="26" t="inlineStr">
        <is>
          <t>Master Science, Technology, Health (STS), – major: Complex Systems Engineering – track: Automation, Robotics &amp; Systems Intelligent2</t>
        </is>
      </c>
      <c r="G120" s="25" t="inlineStr">
        <is>
          <t>Master indifférencié (recherche et professionnel)</t>
        </is>
      </c>
      <c r="H120" s="25" t="inlineStr">
        <is>
          <t>Université de technologie de Compiègne</t>
        </is>
      </c>
      <c r="I120" s="25" t="n"/>
      <c r="J120" s="25" t="inlineStr">
        <is>
          <t>Site de Compiègne</t>
        </is>
      </c>
      <c r="K120" s="25" t="n"/>
      <c r="L120" s="25" t="inlineStr">
        <is>
          <t>Public university</t>
        </is>
      </c>
      <c r="M120" s="25" t="inlineStr">
        <is>
          <t>French &amp; English</t>
        </is>
      </c>
      <c r="N120" s="25" t="inlineStr">
        <is>
          <t>General</t>
        </is>
      </c>
      <c r="O120" s="25" t="inlineStr">
        <is>
          <t>Bac +4 / Bac +5</t>
        </is>
      </c>
      <c r="P120" s="26" t="inlineStr">
        <is>
          <t>Eligible on level (4-yr BS ≈ Bac+4)</t>
        </is>
      </c>
      <c r="Q120" s="25" t="inlineStr">
        <is>
          <t>1/2</t>
        </is>
      </c>
      <c r="R120" s="25" t="n"/>
      <c r="S120" s="27" t="n">
        <v>3950</v>
      </c>
      <c r="T120" s="27" t="n">
        <v>255</v>
      </c>
      <c r="U120" s="25" t="n">
        <v>2</v>
      </c>
      <c r="V120" s="27">
        <f>IF(S120="","",S120*U120)</f>
        <v/>
      </c>
      <c r="W120" s="26" t="inlineStr">
        <is>
          <t>Catalogue: €3,950. = national differentiated master fee (2026-27: €3,950). Exemption to ~€255 possible (university quota).</t>
        </is>
      </c>
      <c r="X120" s="25" t="inlineStr">
        <is>
          <t>High</t>
        </is>
      </c>
      <c r="Y120" s="25" t="inlineStr">
        <is>
          <t>3950</t>
        </is>
      </c>
      <c r="Z120" s="26" t="n"/>
      <c r="AA120" s="26" t="n"/>
      <c r="AB120" s="25" t="n"/>
      <c r="AC120" s="25" t="inlineStr">
        <is>
          <t>Open</t>
        </is>
      </c>
      <c r="AD120" s="25" t="inlineStr">
        <is>
          <t>2026-10-01</t>
        </is>
      </c>
      <c r="AE120" s="25" t="inlineStr">
        <is>
          <t>2027-03-15</t>
        </is>
      </c>
      <c r="AF120" s="25" t="inlineStr">
        <is>
          <t>No</t>
        </is>
      </c>
      <c r="AG120" s="28" t="inlineStr">
        <is>
          <t>https://www.utc.fr/formations/diplome-de-master/mention-ingenierie-des-systemes-complexes-isc/parcours-automatique-et-robotique-des-systemes-intelligents-ars/</t>
        </is>
      </c>
      <c r="AH120" s="26" t="inlineStr">
        <is>
          <t>Avoir validé le diplôme d'accès avec une moyenne supérieure ou égale à 12/20. Mentions de licences conseillées pour une entrée en M1 : Electronique, énergie électrique, automatique Informatique Mathématiques Physique Sci</t>
        </is>
      </c>
      <c r="AI120" s="28" t="inlineStr">
        <is>
          <t>Open in EEF</t>
        </is>
      </c>
    </row>
    <row r="121" ht="32.8" customHeight="1" s="19">
      <c r="A121" s="25" t="n">
        <v>120</v>
      </c>
      <c r="B121" s="25" t="inlineStr">
        <is>
          <t>★★★★☆</t>
        </is>
      </c>
      <c r="C121" s="25" t="inlineStr">
        <is>
          <t>4 – Strong fit (electronics/signal/robotics/IoT/sensors)</t>
        </is>
      </c>
      <c r="D121" s="25" t="inlineStr">
        <is>
          <t>Robotics / Automation / Mechatronics</t>
        </is>
      </c>
      <c r="E121" s="26" t="inlineStr">
        <is>
          <t>Master Sciences, technologies, santé, mention Ingénierie des systèmes complexes parcours Systèmes mécatroniques2</t>
        </is>
      </c>
      <c r="F121" s="26" t="inlineStr">
        <is>
          <t>Master Science, Technology, Health (STS), – major: Complex Systems Engineering – track: Systems Mechatronic2</t>
        </is>
      </c>
      <c r="G121" s="25" t="inlineStr">
        <is>
          <t>Master indifférencié (recherche et professionnel)</t>
        </is>
      </c>
      <c r="H121" s="25" t="inlineStr">
        <is>
          <t>Université de technologie de Compiègne</t>
        </is>
      </c>
      <c r="I121" s="25" t="n"/>
      <c r="J121" s="25" t="inlineStr">
        <is>
          <t>Site de Compiègne</t>
        </is>
      </c>
      <c r="K121" s="25" t="n"/>
      <c r="L121" s="25" t="inlineStr">
        <is>
          <t>Public university</t>
        </is>
      </c>
      <c r="M121" s="25" t="inlineStr">
        <is>
          <t>French &amp; English</t>
        </is>
      </c>
      <c r="N121" s="25" t="inlineStr">
        <is>
          <t>General</t>
        </is>
      </c>
      <c r="O121" s="25" t="inlineStr">
        <is>
          <t>Bac +4 / Bac +5</t>
        </is>
      </c>
      <c r="P121" s="26" t="inlineStr">
        <is>
          <t>Eligible on level (4-yr BS ≈ Bac+4)</t>
        </is>
      </c>
      <c r="Q121" s="25" t="inlineStr">
        <is>
          <t>1/2</t>
        </is>
      </c>
      <c r="R121" s="25" t="n"/>
      <c r="S121" s="27" t="n">
        <v>3950</v>
      </c>
      <c r="T121" s="27" t="n">
        <v>255</v>
      </c>
      <c r="U121" s="25" t="n">
        <v>2</v>
      </c>
      <c r="V121" s="27">
        <f>IF(S121="","",S121*U121)</f>
        <v/>
      </c>
      <c r="W121" s="26" t="inlineStr">
        <is>
          <t>Catalogue: €3,950. = national differentiated master fee (2026-27: €3,950). Exemption to ~€255 possible (university quota).</t>
        </is>
      </c>
      <c r="X121" s="25" t="inlineStr">
        <is>
          <t>High</t>
        </is>
      </c>
      <c r="Y121" s="25" t="inlineStr">
        <is>
          <t>3950</t>
        </is>
      </c>
      <c r="Z121" s="26" t="n"/>
      <c r="AA121" s="26" t="n"/>
      <c r="AB121" s="25" t="n"/>
      <c r="AC121" s="25" t="inlineStr">
        <is>
          <t>Open</t>
        </is>
      </c>
      <c r="AD121" s="25" t="inlineStr">
        <is>
          <t>2026-10-01</t>
        </is>
      </c>
      <c r="AE121" s="25" t="inlineStr">
        <is>
          <t>2027-03-15</t>
        </is>
      </c>
      <c r="AF121" s="25" t="inlineStr">
        <is>
          <t>No</t>
        </is>
      </c>
      <c r="AG121" s="28" t="inlineStr">
        <is>
          <t>https://www.utc.fr/formations/diplome-de-master/mention-ingenierie-des-systemes-complexes-isc/parcours-systemes-mecatroniques-smt/</t>
        </is>
      </c>
      <c r="AH121" s="26" t="inlineStr">
        <is>
          <t>Avoir validé le diplôme d'accès avec une moyenne supérieure ou égale à 12/20. Mentions de licences conseillées : Electronique, énergie électrique, automatique Mécanique Physique Sciences et technologies Sciences pour l'i</t>
        </is>
      </c>
      <c r="AI121" s="28" t="inlineStr">
        <is>
          <t>Open in EEF</t>
        </is>
      </c>
    </row>
    <row r="122" ht="22.35" customHeight="1" s="19">
      <c r="A122" s="25" t="n">
        <v>121</v>
      </c>
      <c r="B122" s="25" t="inlineStr">
        <is>
          <t>★★★★☆</t>
        </is>
      </c>
      <c r="C122" s="25" t="inlineStr">
        <is>
          <t>4 – Strong fit (electronics/signal/robotics/IoT/sensors)</t>
        </is>
      </c>
      <c r="D122" s="25" t="inlineStr">
        <is>
          <t>Robotics / Automation / Mechatronics</t>
        </is>
      </c>
      <c r="E122" s="26" t="inlineStr">
        <is>
          <t>Master indifférencié (recherche et professionnel) Sciences, technologies, santé mention Automatique, robotique parcours Systèmes Intelligents</t>
        </is>
      </c>
      <c r="F122" s="26" t="inlineStr">
        <is>
          <t>Science, Technology, Health (STS) – major: Automation, Robotics – track: Systems Intelligent</t>
        </is>
      </c>
      <c r="G122" s="25" t="inlineStr">
        <is>
          <t>Master indifférencié (recherche et professionnel)</t>
        </is>
      </c>
      <c r="H122" s="25" t="inlineStr">
        <is>
          <t>Sciences et Ingénierie</t>
        </is>
      </c>
      <c r="I122" s="25" t="inlineStr">
        <is>
          <t>Sorbonne Université</t>
        </is>
      </c>
      <c r="J122" s="25" t="inlineStr">
        <is>
          <t>Site de Paris</t>
        </is>
      </c>
      <c r="K122" s="25" t="n"/>
      <c r="L122" s="25" t="inlineStr">
        <is>
          <t>Public university</t>
        </is>
      </c>
      <c r="M122" s="25" t="inlineStr">
        <is>
          <t>French &amp; English</t>
        </is>
      </c>
      <c r="N122" s="25" t="inlineStr">
        <is>
          <t>General</t>
        </is>
      </c>
      <c r="O122" s="25" t="inlineStr">
        <is>
          <t>Bac +4 / Bac +5</t>
        </is>
      </c>
      <c r="P122" s="26" t="inlineStr">
        <is>
          <t>Eligible on level (4-yr BS ≈ Bac+4)</t>
        </is>
      </c>
      <c r="Q122" s="25" t="inlineStr">
        <is>
          <t>1/2</t>
        </is>
      </c>
      <c r="R122" s="25" t="n"/>
      <c r="S122" s="27" t="n">
        <v>3950</v>
      </c>
      <c r="T122" s="27" t="n">
        <v>255</v>
      </c>
      <c r="U122" s="25" t="n">
        <v>2</v>
      </c>
      <c r="V122" s="27">
        <f>IF(S122="","",S122*U122)</f>
        <v/>
      </c>
      <c r="W122" s="26" t="inlineStr">
        <is>
          <t>Not in catalogue. Public national master → 2026-27 differentiated fee €3,950; exemption to ~€254-255 depends on university quota (25% cap in 2027-28).</t>
        </is>
      </c>
      <c r="X122" s="25" t="inlineStr">
        <is>
          <t>Medium</t>
        </is>
      </c>
      <c r="Y122" s="25" t="n"/>
      <c r="Z122" s="26" t="n"/>
      <c r="AA122" s="26" t="inlineStr">
        <is>
          <t>Board vote 7 Jul 2026: Sorbonne Université says it can exempt all eligible non-EU applicants (pay same as EU, ~€254) for 2026-27.</t>
        </is>
      </c>
      <c r="AB122" s="28" t="inlineStr">
        <is>
          <t>https://www.sorbonne-universite.fr/actualites/le-conseil-dadministration-de-sorbonne-universite-vote-lunanimite-le-7-juillet-2026-sa</t>
        </is>
      </c>
      <c r="AC122" s="25" t="inlineStr">
        <is>
          <t>Open</t>
        </is>
      </c>
      <c r="AD122" s="25" t="inlineStr">
        <is>
          <t>2026-10-01</t>
        </is>
      </c>
      <c r="AE122" s="25" t="inlineStr">
        <is>
          <t>2027-03-15</t>
        </is>
      </c>
      <c r="AF122" s="25" t="inlineStr">
        <is>
          <t>No</t>
        </is>
      </c>
      <c r="AG122" s="28" t="inlineStr">
        <is>
          <t>https://masters-sdi.sorbonne-universite.fr/electronique-energie-electrique-automatique</t>
        </is>
      </c>
      <c r="AH122" s="26" t="n"/>
      <c r="AI122" s="28" t="inlineStr">
        <is>
          <t>Open in EEF</t>
        </is>
      </c>
    </row>
    <row r="123" ht="32.8" customHeight="1" s="19">
      <c r="A123" s="25" t="n">
        <v>122</v>
      </c>
      <c r="B123" s="25" t="inlineStr">
        <is>
          <t>★★★★☆</t>
        </is>
      </c>
      <c r="C123" s="25" t="inlineStr">
        <is>
          <t>4 – Strong fit (electronics/signal/robotics/IoT/sensors)</t>
        </is>
      </c>
      <c r="D123" s="25" t="inlineStr">
        <is>
          <t>Embedded systems / Electronics</t>
        </is>
      </c>
      <c r="E123" s="26" t="inlineStr">
        <is>
          <t>Master indifférencié (recherche et professionnel) Sciences, technologies, santé mention Electronique, énergie électrique, automatique parcours Capteurs, Instrumentation et Mesures</t>
        </is>
      </c>
      <c r="F123" s="26" t="inlineStr">
        <is>
          <t>Science, Technology, Health (STS) – major: Electronics, Electrical Energy &amp; Automation (EEA) – track: Sensors, Instrumentation &amp; Measurements</t>
        </is>
      </c>
      <c r="G123" s="25" t="inlineStr">
        <is>
          <t>Master indifférencié (recherche et professionnel)</t>
        </is>
      </c>
      <c r="H123" s="25" t="inlineStr">
        <is>
          <t>Sciences et Ingénierie</t>
        </is>
      </c>
      <c r="I123" s="25" t="inlineStr">
        <is>
          <t>Sorbonne Université</t>
        </is>
      </c>
      <c r="J123" s="25" t="inlineStr">
        <is>
          <t>Site de Paris</t>
        </is>
      </c>
      <c r="K123" s="25" t="n"/>
      <c r="L123" s="25" t="inlineStr">
        <is>
          <t>Public university</t>
        </is>
      </c>
      <c r="M123" s="25" t="inlineStr">
        <is>
          <t>French &amp; English</t>
        </is>
      </c>
      <c r="N123" s="25" t="inlineStr">
        <is>
          <t>General</t>
        </is>
      </c>
      <c r="O123" s="25" t="inlineStr">
        <is>
          <t>Bac +4 / Bac +5</t>
        </is>
      </c>
      <c r="P123" s="26" t="inlineStr">
        <is>
          <t>Eligible on level (4-yr BS ≈ Bac+4)</t>
        </is>
      </c>
      <c r="Q123" s="25" t="inlineStr">
        <is>
          <t>1/2</t>
        </is>
      </c>
      <c r="R123" s="25" t="n"/>
      <c r="S123" s="27" t="n">
        <v>3950</v>
      </c>
      <c r="T123" s="27" t="n">
        <v>255</v>
      </c>
      <c r="U123" s="25" t="n">
        <v>2</v>
      </c>
      <c r="V123" s="27">
        <f>IF(S123="","",S123*U123)</f>
        <v/>
      </c>
      <c r="W123" s="26" t="inlineStr">
        <is>
          <t>Not in catalogue. Public national master → 2026-27 differentiated fee €3,950; exemption to ~€254-255 depends on university quota (25% cap in 2027-28).</t>
        </is>
      </c>
      <c r="X123" s="25" t="inlineStr">
        <is>
          <t>Medium</t>
        </is>
      </c>
      <c r="Y123" s="25" t="n"/>
      <c r="Z123" s="26" t="n"/>
      <c r="AA123" s="26" t="inlineStr">
        <is>
          <t>Board vote 7 Jul 2026: Sorbonne Université says it can exempt all eligible non-EU applicants (pay same as EU, ~€254) for 2026-27.</t>
        </is>
      </c>
      <c r="AB123" s="28" t="inlineStr">
        <is>
          <t>https://www.sorbonne-universite.fr/actualites/le-conseil-dadministration-de-sorbonne-universite-vote-lunanimite-le-7-juillet-2026-sa</t>
        </is>
      </c>
      <c r="AC123" s="25" t="inlineStr">
        <is>
          <t>Open</t>
        </is>
      </c>
      <c r="AD123" s="25" t="inlineStr">
        <is>
          <t>2026-10-01</t>
        </is>
      </c>
      <c r="AE123" s="25" t="inlineStr">
        <is>
          <t>2027-03-15</t>
        </is>
      </c>
      <c r="AF123" s="25" t="inlineStr">
        <is>
          <t>No</t>
        </is>
      </c>
      <c r="AG123" s="28" t="inlineStr">
        <is>
          <t>https://masters-sdi.sorbonne-universite.fr/electronique-energie-electrique-automatique</t>
        </is>
      </c>
      <c r="AH123" s="26" t="n"/>
      <c r="AI123" s="28" t="inlineStr">
        <is>
          <t>Open in EEF</t>
        </is>
      </c>
    </row>
    <row r="124" ht="43.25" customHeight="1" s="19">
      <c r="A124" s="25" t="n">
        <v>123</v>
      </c>
      <c r="B124" s="25" t="inlineStr">
        <is>
          <t>★★★★☆</t>
        </is>
      </c>
      <c r="C124" s="25" t="inlineStr">
        <is>
          <t>4 – Strong fit (electronics/signal/robotics/IoT/sensors)</t>
        </is>
      </c>
      <c r="D124" s="25" t="inlineStr">
        <is>
          <t>Electrical energy</t>
        </is>
      </c>
      <c r="E124" s="26" t="inlineStr">
        <is>
          <t>Master indifférencié (recherche et professionnel) Sciences, technologies, santé mention énergie parcours Energie Electrique</t>
        </is>
      </c>
      <c r="F124" s="26" t="inlineStr">
        <is>
          <t>Science, Technology, Health (STS) – major: Energy – track: Energy Electrical</t>
        </is>
      </c>
      <c r="G124" s="25" t="inlineStr">
        <is>
          <t>Master indifférencié (recherche et professionnel)</t>
        </is>
      </c>
      <c r="H124" s="25" t="inlineStr">
        <is>
          <t>UFR Sciences, Techniques et Gestion de l'Industrie</t>
        </is>
      </c>
      <c r="I124" s="25" t="inlineStr">
        <is>
          <t>Université Marie et Louis Pasteur</t>
        </is>
      </c>
      <c r="J124" s="25" t="inlineStr">
        <is>
          <t>Site de Belfort</t>
        </is>
      </c>
      <c r="K124" s="25" t="inlineStr">
        <is>
          <t>90000 BELFORT</t>
        </is>
      </c>
      <c r="L124" s="25" t="inlineStr">
        <is>
          <t>Public university</t>
        </is>
      </c>
      <c r="M124" s="25" t="inlineStr">
        <is>
          <t>French &amp; English</t>
        </is>
      </c>
      <c r="N124" s="25" t="inlineStr">
        <is>
          <t>General</t>
        </is>
      </c>
      <c r="O124" s="25" t="inlineStr">
        <is>
          <t>Bac +4 / Bac +5</t>
        </is>
      </c>
      <c r="P124" s="26" t="inlineStr">
        <is>
          <t>Eligible on level (4-yr BS ≈ Bac+4)</t>
        </is>
      </c>
      <c r="Q124" s="25" t="inlineStr">
        <is>
          <t>1/2</t>
        </is>
      </c>
      <c r="R124" s="25" t="inlineStr">
        <is>
          <t>12</t>
        </is>
      </c>
      <c r="S124" s="27" t="n">
        <v>3950</v>
      </c>
      <c r="T124" s="27" t="n">
        <v>255</v>
      </c>
      <c r="U124" s="25" t="n">
        <v>2</v>
      </c>
      <c r="V124" s="27">
        <f>IF(S124="","",S124*U124)</f>
        <v/>
      </c>
      <c r="W124" s="26" t="inlineStr">
        <is>
          <t>Not in catalogue. Public national master → 2026-27 differentiated fee €3,950; exemption to ~€254-255 depends on university quota (25% cap in 2027-28).</t>
        </is>
      </c>
      <c r="X124" s="25" t="inlineStr">
        <is>
          <t>Medium</t>
        </is>
      </c>
      <c r="Y124" s="25" t="n"/>
      <c r="Z124" s="26" t="inlineStr">
        <is>
          <t>(Pour information, le montant de la CVEC, pour la rentrée 2026-2027, était de 105€) … (Pour information, le montant de la CVEC, pour la rentrée 2026-2027, était de 105€)</t>
        </is>
      </c>
      <c r="AA124" s="26" t="inlineStr">
        <is>
          <t>UMLP: individual exemption requests assessed on personal resources.</t>
        </is>
      </c>
      <c r="AB124" s="28" t="inlineStr">
        <is>
          <t>https://www.umlp.fr/sites/default/files/2026-07-02-page-droits-differencies-vf.pdf</t>
        </is>
      </c>
      <c r="AC124" s="25" t="inlineStr">
        <is>
          <t>Open</t>
        </is>
      </c>
      <c r="AD124" s="25" t="inlineStr">
        <is>
          <t>2026-10-01</t>
        </is>
      </c>
      <c r="AE124" s="25" t="inlineStr">
        <is>
          <t>2027-03-15</t>
        </is>
      </c>
      <c r="AF124" s="25" t="inlineStr">
        <is>
          <t>No</t>
        </is>
      </c>
      <c r="AG124" s="28" t="inlineStr">
        <is>
          <t>https://stgi.umlp.fr/</t>
        </is>
      </c>
      <c r="AH124" s="26" t="inlineStr">
        <is>
          <t>Niveau de langue Français C1 MINIMUM . Niveau de langue Anglais B1 MINIMUM. Etudiant classé au MINIMUM dans le PREMIER QUART de sa promotion . Pour l'accès en Master 1 : - étudiant titulaire d'une LICENCE CLASSIQUE du mê</t>
        </is>
      </c>
      <c r="AI124" s="28" t="inlineStr">
        <is>
          <t>Open in EEF</t>
        </is>
      </c>
    </row>
    <row r="125" ht="22.35" customHeight="1" s="19">
      <c r="A125" s="25" t="n">
        <v>124</v>
      </c>
      <c r="B125" s="25" t="inlineStr">
        <is>
          <t>★★★★☆</t>
        </is>
      </c>
      <c r="C125" s="25" t="inlineStr">
        <is>
          <t>4 – Strong fit (electronics/signal/robotics/IoT/sensors)</t>
        </is>
      </c>
      <c r="D125" s="25" t="inlineStr">
        <is>
          <t>Electrical energy</t>
        </is>
      </c>
      <c r="E125" s="26" t="inlineStr">
        <is>
          <t>Master indifférencié (recherche et professionnel) Sciences, technologies, santé mention Energie parcours Master of science - Electrical Energy Systems (EES)</t>
        </is>
      </c>
      <c r="F125" s="26" t="inlineStr">
        <is>
          <t>Science, Technology, Health (STS) – major: Energy – track: Master of Science - Electrical Energy Systems (EES)</t>
        </is>
      </c>
      <c r="G125" s="25" t="inlineStr">
        <is>
          <t>Master indifférencié (recherche et professionnel)</t>
        </is>
      </c>
      <c r="H125" s="25" t="inlineStr">
        <is>
          <t>École nationale supérieure d'électrotechnique, d'électronique, d'informatique, d'hydraulique et des télécommunications</t>
        </is>
      </c>
      <c r="I125" s="25" t="inlineStr">
        <is>
          <t>Institut national polytechnique de Toulouse</t>
        </is>
      </c>
      <c r="J125" s="25" t="inlineStr">
        <is>
          <t>Site de Toulouse</t>
        </is>
      </c>
      <c r="K125" s="25" t="inlineStr">
        <is>
          <t>31071 Toulouse Cedex</t>
        </is>
      </c>
      <c r="L125" s="25" t="inlineStr">
        <is>
          <t>Public school / institute</t>
        </is>
      </c>
      <c r="M125" s="25" t="inlineStr">
        <is>
          <t>French &amp; English</t>
        </is>
      </c>
      <c r="N125" s="25" t="inlineStr">
        <is>
          <t>General</t>
        </is>
      </c>
      <c r="O125" s="25" t="inlineStr">
        <is>
          <t>Bac +4 / Bac +5</t>
        </is>
      </c>
      <c r="P125" s="26" t="inlineStr">
        <is>
          <t>Eligible on level (4-yr BS ≈ Bac+4)</t>
        </is>
      </c>
      <c r="Q125" s="25" t="inlineStr">
        <is>
          <t>1/2</t>
        </is>
      </c>
      <c r="R125" s="25" t="inlineStr">
        <is>
          <t>12</t>
        </is>
      </c>
      <c r="S125" s="27" t="n">
        <v>3950</v>
      </c>
      <c r="T125" s="27" t="n">
        <v>255</v>
      </c>
      <c r="U125" s="25" t="n">
        <v>2</v>
      </c>
      <c r="V125" s="27">
        <f>IF(S125="","",S125*U125)</f>
        <v/>
      </c>
      <c r="W125" s="26" t="inlineStr">
        <is>
          <t>Not in catalogue. Public national master → 2026-27 differentiated fee €3,950; exemption to ~€254-255 depends on university quota (25% cap in 2027-28).</t>
        </is>
      </c>
      <c r="X125" s="25" t="inlineStr">
        <is>
          <t>Medium</t>
        </is>
      </c>
      <c r="Y125" s="25" t="n"/>
      <c r="Z125" s="26" t="n"/>
      <c r="AA125" s="26" t="n"/>
      <c r="AB125" s="25" t="n"/>
      <c r="AC125" s="25" t="inlineStr">
        <is>
          <t>Open</t>
        </is>
      </c>
      <c r="AD125" s="25" t="inlineStr">
        <is>
          <t>2026-10-01</t>
        </is>
      </c>
      <c r="AE125" s="25" t="inlineStr">
        <is>
          <t>2027-03-15</t>
        </is>
      </c>
      <c r="AF125" s="25" t="inlineStr">
        <is>
          <t>Yes</t>
        </is>
      </c>
      <c r="AG125" s="28" t="inlineStr">
        <is>
          <t>http://www.enseeiht.fr/fr/formation/masters-internationaux-masters-of-science/ees-electrical-energy-systems.html</t>
        </is>
      </c>
      <c r="AH125" s="26" t="inlineStr">
        <is>
          <t>Bachelor ou équivalent pour l'année 1. M1 ou équivalent pour l'année 2.</t>
        </is>
      </c>
      <c r="AI125" s="28" t="inlineStr">
        <is>
          <t>Open in EEF</t>
        </is>
      </c>
    </row>
    <row r="126" ht="32.8" customHeight="1" s="19">
      <c r="A126" s="25" t="n">
        <v>125</v>
      </c>
      <c r="B126" s="25" t="inlineStr">
        <is>
          <t>★★★★☆</t>
        </is>
      </c>
      <c r="C126" s="25" t="inlineStr">
        <is>
          <t>4 – Strong fit (electronics/signal/robotics/IoT/sensors)</t>
        </is>
      </c>
      <c r="D126" s="25" t="inlineStr">
        <is>
          <t>Signal / Image / Vision</t>
        </is>
      </c>
      <c r="E126" s="26" t="inlineStr">
        <is>
          <t>Master indifférencié (recherche et professionnel) Sciences, technologies, santé mention informatique parcours IMAges, vision par ordinateur, informatique graphique (IMA)</t>
        </is>
      </c>
      <c r="F126" s="26" t="inlineStr">
        <is>
          <t>Science, Technology, Health (STS) – major: Computer Science – track: Images, Computer Vision, Computer Science graphique (IMA)</t>
        </is>
      </c>
      <c r="G126" s="25" t="inlineStr">
        <is>
          <t>Master indifférencié (recherche et professionnel)</t>
        </is>
      </c>
      <c r="H126" s="25" t="inlineStr">
        <is>
          <t>Sciences et Ingénierie</t>
        </is>
      </c>
      <c r="I126" s="25" t="inlineStr">
        <is>
          <t>Sorbonne Université</t>
        </is>
      </c>
      <c r="J126" s="25" t="inlineStr">
        <is>
          <t>Site de Paris</t>
        </is>
      </c>
      <c r="K126" s="25" t="n"/>
      <c r="L126" s="25" t="inlineStr">
        <is>
          <t>Public university</t>
        </is>
      </c>
      <c r="M126" s="25" t="inlineStr">
        <is>
          <t>French &amp; English</t>
        </is>
      </c>
      <c r="N126" s="25" t="inlineStr">
        <is>
          <t>General</t>
        </is>
      </c>
      <c r="O126" s="25" t="inlineStr">
        <is>
          <t>Bac +4 / Bac +5</t>
        </is>
      </c>
      <c r="P126" s="26" t="inlineStr">
        <is>
          <t>Eligible on level (4-yr BS ≈ Bac+4)</t>
        </is>
      </c>
      <c r="Q126" s="25" t="inlineStr">
        <is>
          <t>1/2</t>
        </is>
      </c>
      <c r="R126" s="25" t="n"/>
      <c r="S126" s="27" t="n">
        <v>3950</v>
      </c>
      <c r="T126" s="27" t="n">
        <v>255</v>
      </c>
      <c r="U126" s="25" t="n">
        <v>2</v>
      </c>
      <c r="V126" s="27">
        <f>IF(S126="","",S126*U126)</f>
        <v/>
      </c>
      <c r="W126" s="26" t="inlineStr">
        <is>
          <t>Not in catalogue. Public national master → 2026-27 differentiated fee €3,950; exemption to ~€254-255 depends on university quota (25% cap in 2027-28).</t>
        </is>
      </c>
      <c r="X126" s="25" t="inlineStr">
        <is>
          <t>Medium</t>
        </is>
      </c>
      <c r="Y126" s="25" t="n"/>
      <c r="Z126" s="26" t="n"/>
      <c r="AA126" s="26" t="inlineStr">
        <is>
          <t>Board vote 7 Jul 2026: Sorbonne Université says it can exempt all eligible non-EU applicants (pay same as EU, ~€254) for 2026-27.</t>
        </is>
      </c>
      <c r="AB126" s="28" t="inlineStr">
        <is>
          <t>https://www.sorbonne-universite.fr/actualites/le-conseil-dadministration-de-sorbonne-universite-vote-lunanimite-le-7-juillet-2026-sa</t>
        </is>
      </c>
      <c r="AC126" s="25" t="inlineStr">
        <is>
          <t>Open</t>
        </is>
      </c>
      <c r="AD126" s="25" t="inlineStr">
        <is>
          <t>2026-10-01</t>
        </is>
      </c>
      <c r="AE126" s="25" t="inlineStr">
        <is>
          <t>2027-03-15</t>
        </is>
      </c>
      <c r="AF126" s="25" t="inlineStr">
        <is>
          <t>No</t>
        </is>
      </c>
      <c r="AG126" s="28" t="inlineStr">
        <is>
          <t>https://sciences.sorbonne-universite.fr/formation-sciences/offre-de-formation/masters/master-informatique/parcours-ima</t>
        </is>
      </c>
      <c r="AH126" s="26" t="inlineStr">
        <is>
          <t>OUI</t>
        </is>
      </c>
      <c r="AI126" s="28" t="inlineStr">
        <is>
          <t>Open in EEF</t>
        </is>
      </c>
    </row>
    <row r="127" ht="32.8" customHeight="1" s="19">
      <c r="A127" s="25" t="n">
        <v>126</v>
      </c>
      <c r="B127" s="25" t="inlineStr">
        <is>
          <t>★★★★☆</t>
        </is>
      </c>
      <c r="C127" s="25" t="inlineStr">
        <is>
          <t>4 – Strong fit (electronics/signal/robotics/IoT/sensors)</t>
        </is>
      </c>
      <c r="D127" s="25" t="inlineStr">
        <is>
          <t>Neuroscience / Neuro-engineering</t>
        </is>
      </c>
      <c r="E127" s="26" t="inlineStr">
        <is>
          <t>Master indifférencié (recherche et professionnel) Sciences, technologies, santé mention Neurosciences parcours Neurosciences</t>
        </is>
      </c>
      <c r="F127" s="26" t="inlineStr">
        <is>
          <t>Science, Technology, Health (STS) – major: Neuroscience – track: Neuroscience</t>
        </is>
      </c>
      <c r="G127" s="25" t="inlineStr">
        <is>
          <t>Master indifférencié (recherche et professionnel)</t>
        </is>
      </c>
      <c r="H127" s="25" t="inlineStr">
        <is>
          <t>UFR des Sciences Fondamentales et Biomédicales</t>
        </is>
      </c>
      <c r="I127" s="25" t="inlineStr">
        <is>
          <t>Université Paris Cité</t>
        </is>
      </c>
      <c r="J127" s="25" t="inlineStr">
        <is>
          <t>Site de Paris</t>
        </is>
      </c>
      <c r="K127" s="25" t="inlineStr">
        <is>
          <t>75006 Paris</t>
        </is>
      </c>
      <c r="L127" s="25" t="inlineStr">
        <is>
          <t>Public university</t>
        </is>
      </c>
      <c r="M127" s="25" t="inlineStr">
        <is>
          <t>French &amp; English</t>
        </is>
      </c>
      <c r="N127" s="25" t="inlineStr">
        <is>
          <t>General</t>
        </is>
      </c>
      <c r="O127" s="25" t="inlineStr">
        <is>
          <t>Bac +4 / Bac +5</t>
        </is>
      </c>
      <c r="P127" s="26" t="inlineStr">
        <is>
          <t>Eligible on level (4-yr BS ≈ Bac+4)</t>
        </is>
      </c>
      <c r="Q127" s="25" t="inlineStr">
        <is>
          <t>1/2</t>
        </is>
      </c>
      <c r="R127" s="25" t="n"/>
      <c r="S127" s="27" t="n">
        <v>3950</v>
      </c>
      <c r="T127" s="27" t="n">
        <v>255</v>
      </c>
      <c r="U127" s="25" t="n">
        <v>2</v>
      </c>
      <c r="V127" s="27">
        <f>IF(S127="","",S127*U127)</f>
        <v/>
      </c>
      <c r="W127" s="26" t="inlineStr">
        <is>
          <t>Not in catalogue. Public national master → 2026-27 differentiated fee €3,950; exemption to ~€254-255 depends on university quota (25% cap in 2027-28).</t>
        </is>
      </c>
      <c r="X127" s="25" t="inlineStr">
        <is>
          <t>Medium</t>
        </is>
      </c>
      <c r="Y127" s="25" t="n"/>
      <c r="Z127" s="26" t="n"/>
      <c r="AA127" s="26" t="inlineStr">
        <is>
          <t>Paris Cité historically exempted non-EU master students (paid EU rate). 2026-27/2027-28 policy not yet published – confirm.</t>
        </is>
      </c>
      <c r="AB127" s="28" t="inlineStr">
        <is>
          <t>https://u-paris.fr/droits-dinscription-tarifs-exonerations/</t>
        </is>
      </c>
      <c r="AC127" s="25" t="inlineStr">
        <is>
          <t>Open</t>
        </is>
      </c>
      <c r="AD127" s="25" t="inlineStr">
        <is>
          <t>2026-10-01</t>
        </is>
      </c>
      <c r="AE127" s="25" t="inlineStr">
        <is>
          <t>2027-03-15</t>
        </is>
      </c>
      <c r="AF127" s="25" t="inlineStr">
        <is>
          <t>Yes</t>
        </is>
      </c>
      <c r="AG127" s="28" t="inlineStr">
        <is>
          <t>https://odf.u-paris.fr/fr/offre-de-formation/master-XB/sciences-technologies-sante-STS/neurosciences-K2NDMRJL.html</t>
        </is>
      </c>
      <c r="AH127" s="26" t="inlineStr">
        <is>
          <t>Attendus : 1) Bonne maîtrise de langue en anglais et en français (expression oral et écrite), 2) Bon niveau académique, 3) Bonne maîtrise des connaissances théoriques et expérimentales en sciences, en particulier les mat</t>
        </is>
      </c>
      <c r="AI127" s="28" t="inlineStr">
        <is>
          <t>Open in EEF</t>
        </is>
      </c>
    </row>
    <row r="128" ht="32.8" customHeight="1" s="19">
      <c r="A128" s="25" t="n">
        <v>127</v>
      </c>
      <c r="B128" s="25" t="inlineStr">
        <is>
          <t>★★★★☆</t>
        </is>
      </c>
      <c r="C128" s="25" t="inlineStr">
        <is>
          <t>4 – Strong fit (electronics/signal/robotics/IoT/sensors)</t>
        </is>
      </c>
      <c r="D128" s="25" t="inlineStr">
        <is>
          <t>Electrical energy</t>
        </is>
      </c>
      <c r="E128" s="26" t="inlineStr">
        <is>
          <t>Master Sciences, technologies, santé mention énergie parcours Electrical engineering</t>
        </is>
      </c>
      <c r="F128" s="26" t="inlineStr">
        <is>
          <t>Master Science, Technology, Health (STS) – major: Energy – track: Electrical engineering</t>
        </is>
      </c>
      <c r="G128" s="25" t="inlineStr">
        <is>
          <t>Master indifférencié (recherche et professionnel)</t>
        </is>
      </c>
      <c r="H128" s="25" t="inlineStr">
        <is>
          <t>UFR Sciences, Techniques et Gestion de l'Industrie</t>
        </is>
      </c>
      <c r="I128" s="25" t="inlineStr">
        <is>
          <t>Université Marie et Louis Pasteur</t>
        </is>
      </c>
      <c r="J128" s="25" t="inlineStr">
        <is>
          <t>Site de Belfort</t>
        </is>
      </c>
      <c r="K128" s="25" t="inlineStr">
        <is>
          <t>90000 BELFORT</t>
        </is>
      </c>
      <c r="L128" s="25" t="inlineStr">
        <is>
          <t>Public university</t>
        </is>
      </c>
      <c r="M128" s="25" t="inlineStr">
        <is>
          <t>French &amp; English</t>
        </is>
      </c>
      <c r="N128" s="25" t="inlineStr">
        <is>
          <t>General</t>
        </is>
      </c>
      <c r="O128" s="25" t="inlineStr">
        <is>
          <t>Bac +4 / Bac +5</t>
        </is>
      </c>
      <c r="P128" s="26" t="inlineStr">
        <is>
          <t>Eligible on level (4-yr BS ≈ Bac+4)</t>
        </is>
      </c>
      <c r="Q128" s="25" t="inlineStr">
        <is>
          <t>1/2</t>
        </is>
      </c>
      <c r="R128" s="25" t="inlineStr">
        <is>
          <t>12</t>
        </is>
      </c>
      <c r="S128" s="27" t="n">
        <v>3950</v>
      </c>
      <c r="T128" s="27" t="n">
        <v>255</v>
      </c>
      <c r="U128" s="25" t="n">
        <v>2</v>
      </c>
      <c r="V128" s="27">
        <f>IF(S128="","",S128*U128)</f>
        <v/>
      </c>
      <c r="W128" s="26" t="inlineStr">
        <is>
          <t>Not in catalogue. Public national master → 2026-27 differentiated fee €3,950; exemption to ~€254-255 depends on university quota (25% cap in 2027-28).</t>
        </is>
      </c>
      <c r="X128" s="25" t="inlineStr">
        <is>
          <t>Medium</t>
        </is>
      </c>
      <c r="Y128" s="25" t="n"/>
      <c r="Z128" s="26" t="inlineStr">
        <is>
          <t>(Pour information, le montant de la CVEC, pour la rentrée 2026-2027, était de 105€) … (Pour information, le montant de la CVEC, pour la rentrée 2026-2027, était de 105€)</t>
        </is>
      </c>
      <c r="AA128" s="26" t="inlineStr">
        <is>
          <t>UMLP: individual exemption requests assessed on personal resources.</t>
        </is>
      </c>
      <c r="AB128" s="28" t="inlineStr">
        <is>
          <t>https://www.umlp.fr/sites/default/files/2026-07-02-page-droits-differencies-vf.pdf</t>
        </is>
      </c>
      <c r="AC128" s="25" t="inlineStr">
        <is>
          <t>Open</t>
        </is>
      </c>
      <c r="AD128" s="25" t="inlineStr">
        <is>
          <t>2026-10-01</t>
        </is>
      </c>
      <c r="AE128" s="25" t="inlineStr">
        <is>
          <t>2027-03-15</t>
        </is>
      </c>
      <c r="AF128" s="25" t="inlineStr">
        <is>
          <t>No</t>
        </is>
      </c>
      <c r="AG128" s="28" t="inlineStr">
        <is>
          <t>https://stgi.umlp.fr/</t>
        </is>
      </c>
      <c r="AH128" s="26" t="inlineStr">
        <is>
          <t>Niveau de langue Anglais B2 Minimum Des notions de langue française seraient appréciées Etudiant classé au minimum dans le 1er Quart de sa promotion Pour l'accès en Master 1 : - étudiant titulaire d'une Licence classique</t>
        </is>
      </c>
      <c r="AI128" s="28" t="inlineStr">
        <is>
          <t>Open in EEF</t>
        </is>
      </c>
    </row>
    <row r="129" ht="32.8" customHeight="1" s="19">
      <c r="A129" s="25" t="n">
        <v>128</v>
      </c>
      <c r="B129" s="25" t="inlineStr">
        <is>
          <t>★★★★☆</t>
        </is>
      </c>
      <c r="C129" s="25" t="inlineStr">
        <is>
          <t>4 – Strong fit (electronics/signal/robotics/IoT/sensors)</t>
        </is>
      </c>
      <c r="D129" s="25" t="inlineStr">
        <is>
          <t>Signal / Image / Vision</t>
        </is>
      </c>
      <c r="E129" s="26" t="inlineStr">
        <is>
          <t>Calcul haute performance, simulation parcours HPC-Image-IA</t>
        </is>
      </c>
      <c r="F129" s="26" t="inlineStr">
        <is>
          <t>Computing High Performance, Simulation – track: HPC-Image-IA</t>
        </is>
      </c>
      <c r="G129" s="25" t="inlineStr">
        <is>
          <t>Master indifférencié (recherche et professionnel)</t>
        </is>
      </c>
      <c r="H129" s="25" t="inlineStr">
        <is>
          <t>UFR Sciences Exactes et Naturelles</t>
        </is>
      </c>
      <c r="I129" s="25" t="inlineStr">
        <is>
          <t>Université de Reims Champagne-Ardenne</t>
        </is>
      </c>
      <c r="J129" s="25" t="inlineStr">
        <is>
          <t>Reims</t>
        </is>
      </c>
      <c r="K129" s="25" t="inlineStr">
        <is>
          <t>51100 REIMS</t>
        </is>
      </c>
      <c r="L129" s="25" t="inlineStr">
        <is>
          <t>Public university</t>
        </is>
      </c>
      <c r="M129" s="25" t="inlineStr">
        <is>
          <t>French</t>
        </is>
      </c>
      <c r="N129" s="25" t="inlineStr">
        <is>
          <t>General</t>
        </is>
      </c>
      <c r="O129" s="25" t="inlineStr">
        <is>
          <t>Bac +4 / Bac +5</t>
        </is>
      </c>
      <c r="P129" s="26" t="inlineStr">
        <is>
          <t>Eligible on level (4-yr BS ≈ Bac+4)</t>
        </is>
      </c>
      <c r="Q129" s="25" t="inlineStr">
        <is>
          <t>1/2</t>
        </is>
      </c>
      <c r="R129" s="25" t="inlineStr">
        <is>
          <t>24/12</t>
        </is>
      </c>
      <c r="S129" s="27" t="n">
        <v>3950</v>
      </c>
      <c r="T129" s="27" t="n">
        <v>255</v>
      </c>
      <c r="U129" s="25" t="n">
        <v>2</v>
      </c>
      <c r="V129" s="27">
        <f>IF(S129="","",S129*U129)</f>
        <v/>
      </c>
      <c r="W129" s="26" t="inlineStr">
        <is>
          <t>Catalogue: €3,950. = national differentiated master fee (2026-27: €3,950). Exemption to ~€255 possible (university quota).</t>
        </is>
      </c>
      <c r="X129" s="25" t="inlineStr">
        <is>
          <t>High</t>
        </is>
      </c>
      <c r="Y129" s="25" t="inlineStr">
        <is>
          <t>3950</t>
        </is>
      </c>
      <c r="Z129" s="26" t="n"/>
      <c r="AA129" s="26" t="n"/>
      <c r="AB129" s="25" t="n"/>
      <c r="AC129" s="25" t="inlineStr">
        <is>
          <t>Open</t>
        </is>
      </c>
      <c r="AD129" s="25" t="inlineStr">
        <is>
          <t>2026-10-01</t>
        </is>
      </c>
      <c r="AE129" s="25" t="inlineStr">
        <is>
          <t>2027-03-15</t>
        </is>
      </c>
      <c r="AF129" s="25" t="inlineStr">
        <is>
          <t>No</t>
        </is>
      </c>
      <c r="AG129" s="28" t="inlineStr">
        <is>
          <t>https://www.univ-reims.fr/ufrsciences</t>
        </is>
      </c>
      <c r="AH129" s="26" t="inlineStr">
        <is>
          <t>Niveau en langue française: * Niveau C1 minimum en langue française exigé (merci de prendre connaissance des profils dispensés d'un test de langue française ( qui est dispensé de test de langue française? ) Tarifs : * No</t>
        </is>
      </c>
      <c r="AI129" s="28" t="inlineStr">
        <is>
          <t>Open in EEF</t>
        </is>
      </c>
    </row>
    <row r="130" ht="22.35" customHeight="1" s="19">
      <c r="A130" s="25" t="n">
        <v>129</v>
      </c>
      <c r="B130" s="25" t="inlineStr">
        <is>
          <t>★★★★☆</t>
        </is>
      </c>
      <c r="C130" s="25" t="inlineStr">
        <is>
          <t>4 – Strong fit (electronics/signal/robotics/IoT/sensors)</t>
        </is>
      </c>
      <c r="D130" s="25" t="inlineStr">
        <is>
          <t>Robotics / Automation / Mechatronics</t>
        </is>
      </c>
      <c r="E130" s="26" t="inlineStr">
        <is>
          <t>Master indifférencié (recherche et professionnel) parcours Ingénierie des Systèmes Complexes - Parcours Flexible Robotics and related Mechatronic</t>
        </is>
      </c>
      <c r="F130" s="26" t="inlineStr">
        <is>
          <t>track: Complex Systems Engineering - – track: Flexible Robotics and related Mechatronic</t>
        </is>
      </c>
      <c r="G130" s="25" t="inlineStr">
        <is>
          <t>Master indifférencié (recherche et professionnel)</t>
        </is>
      </c>
      <c r="H130" s="25" t="inlineStr">
        <is>
          <t>Université de Technologie de Tarbes Occitanie Pyrénées</t>
        </is>
      </c>
      <c r="I130" s="25" t="inlineStr">
        <is>
          <t>Université de Technologie Tarbes Occitanie Pyrénées</t>
        </is>
      </c>
      <c r="J130" s="25" t="inlineStr">
        <is>
          <t>Tarbes</t>
        </is>
      </c>
      <c r="K130" s="25" t="n"/>
      <c r="L130" s="25" t="inlineStr">
        <is>
          <t>Public university</t>
        </is>
      </c>
      <c r="M130" s="25" t="inlineStr">
        <is>
          <t>French</t>
        </is>
      </c>
      <c r="N130" s="25" t="inlineStr">
        <is>
          <t>General</t>
        </is>
      </c>
      <c r="O130" s="25" t="inlineStr">
        <is>
          <t>Bac +4 / Bac +5</t>
        </is>
      </c>
      <c r="P130" s="26" t="inlineStr">
        <is>
          <t>Eligible on level (4-yr BS ≈ Bac+4)</t>
        </is>
      </c>
      <c r="Q130" s="25" t="inlineStr">
        <is>
          <t>1/2</t>
        </is>
      </c>
      <c r="R130" s="25" t="inlineStr">
        <is>
          <t>24</t>
        </is>
      </c>
      <c r="S130" s="27" t="n">
        <v>3950</v>
      </c>
      <c r="T130" s="27" t="n">
        <v>255</v>
      </c>
      <c r="U130" s="25" t="n">
        <v>2</v>
      </c>
      <c r="V130" s="27">
        <f>IF(S130="","",S130*U130)</f>
        <v/>
      </c>
      <c r="W130" s="26" t="inlineStr">
        <is>
          <t>Catalogue: €3,950. = national differentiated master fee (2026-27: €3,950). Exemption to ~€255 possible (university quota).</t>
        </is>
      </c>
      <c r="X130" s="25" t="inlineStr">
        <is>
          <t>High</t>
        </is>
      </c>
      <c r="Y130" s="25" t="inlineStr">
        <is>
          <t>3950</t>
        </is>
      </c>
      <c r="Z130" s="26" t="n"/>
      <c r="AA130" s="26" t="n"/>
      <c r="AB130" s="25" t="n"/>
      <c r="AC130" s="25" t="inlineStr">
        <is>
          <t>Open</t>
        </is>
      </c>
      <c r="AD130" s="25" t="inlineStr">
        <is>
          <t>2026-10-01</t>
        </is>
      </c>
      <c r="AE130" s="25" t="inlineStr">
        <is>
          <t>2027-03-15</t>
        </is>
      </c>
      <c r="AF130" s="25" t="inlineStr">
        <is>
          <t>No</t>
        </is>
      </c>
      <c r="AG130" s="25" t="n"/>
      <c r="AH130" s="26" t="n"/>
      <c r="AI130" s="28" t="inlineStr">
        <is>
          <t>Open in EEF</t>
        </is>
      </c>
    </row>
    <row r="131" ht="43.25" customHeight="1" s="19">
      <c r="A131" s="25" t="n">
        <v>130</v>
      </c>
      <c r="B131" s="25" t="inlineStr">
        <is>
          <t>★★★★☆</t>
        </is>
      </c>
      <c r="C131" s="25" t="inlineStr">
        <is>
          <t>4 – Strong fit (electronics/signal/robotics/IoT/sensors)</t>
        </is>
      </c>
      <c r="D131" s="25" t="inlineStr">
        <is>
          <t>Embedded systems / Electronics</t>
        </is>
      </c>
      <c r="E131" s="26" t="inlineStr">
        <is>
          <t>Master indifférencié (recherche et professionnel) Sciences et technologies mention Electronique, Energie électrique, automatique (EEEA) parcours Signal, Vision, Ondes, Systèmes (SiVOS)</t>
        </is>
      </c>
      <c r="F131" s="26" t="inlineStr">
        <is>
          <t>Science &amp; Technology – major: Electronics, Electrical Energy &amp; Automation (EEA) (EEEA) – track: Signal, Vision, Waves, Systems (SiVOS)</t>
        </is>
      </c>
      <c r="G131" s="25" t="inlineStr">
        <is>
          <t>Master indifférencié (recherche et professionnel)</t>
        </is>
      </c>
      <c r="H131" s="25" t="inlineStr">
        <is>
          <t>Campus scientifique de BEAULIEU</t>
        </is>
      </c>
      <c r="I131" s="25" t="inlineStr">
        <is>
          <t>Université de Rennes</t>
        </is>
      </c>
      <c r="J131" s="25" t="inlineStr">
        <is>
          <t>Site de Rennes - ISTIC</t>
        </is>
      </c>
      <c r="K131" s="25" t="inlineStr">
        <is>
          <t>35042 RENNES Cedex</t>
        </is>
      </c>
      <c r="L131" s="25" t="inlineStr">
        <is>
          <t>Public university</t>
        </is>
      </c>
      <c r="M131" s="25" t="inlineStr">
        <is>
          <t>French</t>
        </is>
      </c>
      <c r="N131" s="25" t="inlineStr">
        <is>
          <t>General</t>
        </is>
      </c>
      <c r="O131" s="25" t="inlineStr">
        <is>
          <t>Bac +4 / Bac +5</t>
        </is>
      </c>
      <c r="P131" s="26" t="inlineStr">
        <is>
          <t>Eligible on level (4-yr BS ≈ Bac+4)</t>
        </is>
      </c>
      <c r="Q131" s="25" t="inlineStr">
        <is>
          <t>1/2</t>
        </is>
      </c>
      <c r="R131" s="25" t="inlineStr">
        <is>
          <t>12</t>
        </is>
      </c>
      <c r="S131" s="27" t="n">
        <v>3950</v>
      </c>
      <c r="T131" s="27" t="n">
        <v>255</v>
      </c>
      <c r="U131" s="25" t="n">
        <v>2</v>
      </c>
      <c r="V131" s="27">
        <f>IF(S131="","",S131*U131)</f>
        <v/>
      </c>
      <c r="W131" s="26" t="inlineStr">
        <is>
          <t>Catalogue: €3,950. = national differentiated master fee (2026-27: €3,950). Exemption to ~€255 possible (university quota).</t>
        </is>
      </c>
      <c r="X131" s="25" t="inlineStr">
        <is>
          <t>High</t>
        </is>
      </c>
      <c r="Y131" s="25" t="inlineStr">
        <is>
          <t>3950</t>
        </is>
      </c>
      <c r="Z131" s="26" t="inlineStr">
        <is>
          <t>ue, il faudra vous acquitter obligatoirement des frais d'inscription d'un montant de 3950 euros pour vous inscrire dans la formation … ue, il faudra vous acquitter obligatoirement des frais d'inscription d'un montant de</t>
        </is>
      </c>
      <c r="AA131" s="26" t="n"/>
      <c r="AB131" s="25" t="n"/>
      <c r="AC131" s="25" t="inlineStr">
        <is>
          <t>Open</t>
        </is>
      </c>
      <c r="AD131" s="25" t="inlineStr">
        <is>
          <t>2026-10-01</t>
        </is>
      </c>
      <c r="AE131" s="25" t="inlineStr">
        <is>
          <t>2027-03-15</t>
        </is>
      </c>
      <c r="AF131" s="25" t="inlineStr">
        <is>
          <t>No</t>
        </is>
      </c>
      <c r="AG131" s="28" t="inlineStr">
        <is>
          <t>https://istic.univ-rennes.fr/master-2-eeea-parcours-signal-vision-ondes-systemes-sivos</t>
        </is>
      </c>
      <c r="AH131" s="26" t="inlineStr">
        <is>
          <t>Afin de suivre une formation scientifique en français à l'Université de Rennes 1, le niveau B2 en français est nécessaire . In order to follow French taught courses in a scientific program , the B2 level in French is req</t>
        </is>
      </c>
      <c r="AI131" s="28" t="inlineStr">
        <is>
          <t>Open in EEF</t>
        </is>
      </c>
    </row>
    <row r="132" ht="32.8" customHeight="1" s="19">
      <c r="A132" s="25" t="n">
        <v>131</v>
      </c>
      <c r="B132" s="25" t="inlineStr">
        <is>
          <t>★★★★☆</t>
        </is>
      </c>
      <c r="C132" s="25" t="inlineStr">
        <is>
          <t>4 – Strong fit (electronics/signal/robotics/IoT/sensors)</t>
        </is>
      </c>
      <c r="D132" s="25" t="inlineStr">
        <is>
          <t>Embedded systems / Electronics</t>
        </is>
      </c>
      <c r="E132" s="26" t="inlineStr">
        <is>
          <t>Master indifférencié (recherche et professionnel) Sciences, technologies, santé mention Electronique, Energie Electrique Automatique parcours Electronique Radiofréquence et Télécommunications</t>
        </is>
      </c>
      <c r="F132" s="26" t="inlineStr">
        <is>
          <t>Science, Technology, Health (STS) – major: Electronics, Electrical Energy &amp; Automation (EEA) – track: Electronics Radiofréquence &amp; Telecommunications</t>
        </is>
      </c>
      <c r="G132" s="25" t="inlineStr">
        <is>
          <t>Master indifférencié (recherche et professionnel)</t>
        </is>
      </c>
      <c r="H132" s="25" t="inlineStr">
        <is>
          <t>UFR sciences et techniques</t>
        </is>
      </c>
      <c r="I132" s="25" t="inlineStr">
        <is>
          <t>Université de Bretagne Occidentale</t>
        </is>
      </c>
      <c r="J132" s="25" t="inlineStr">
        <is>
          <t>Site de Brest</t>
        </is>
      </c>
      <c r="K132" s="25" t="n"/>
      <c r="L132" s="25" t="inlineStr">
        <is>
          <t>Public university</t>
        </is>
      </c>
      <c r="M132" s="25" t="inlineStr">
        <is>
          <t>French</t>
        </is>
      </c>
      <c r="N132" s="25" t="inlineStr">
        <is>
          <t>General</t>
        </is>
      </c>
      <c r="O132" s="25" t="inlineStr">
        <is>
          <t>Bac +4 / Bac +5</t>
        </is>
      </c>
      <c r="P132" s="26" t="inlineStr">
        <is>
          <t>Eligible on level (4-yr BS ≈ Bac+4)</t>
        </is>
      </c>
      <c r="Q132" s="25" t="inlineStr">
        <is>
          <t>1/2</t>
        </is>
      </c>
      <c r="R132" s="25" t="inlineStr">
        <is>
          <t>12</t>
        </is>
      </c>
      <c r="S132" s="27" t="n">
        <v>3950</v>
      </c>
      <c r="T132" s="27" t="n">
        <v>255</v>
      </c>
      <c r="U132" s="25" t="n">
        <v>2</v>
      </c>
      <c r="V132" s="27">
        <f>IF(S132="","",S132*U132)</f>
        <v/>
      </c>
      <c r="W132" s="26" t="inlineStr">
        <is>
          <t>Catalogue: €3,950. = national differentiated master fee (2026-27: €3,950). Exemption to ~€255 possible (university quota).</t>
        </is>
      </c>
      <c r="X132" s="25" t="inlineStr">
        <is>
          <t>High</t>
        </is>
      </c>
      <c r="Y132" s="25" t="inlineStr">
        <is>
          <t>3950</t>
        </is>
      </c>
      <c r="Z132" s="26" t="n"/>
      <c r="AA132" s="26" t="n"/>
      <c r="AB132" s="25" t="n"/>
      <c r="AC132" s="25" t="inlineStr">
        <is>
          <t>Open</t>
        </is>
      </c>
      <c r="AD132" s="25" t="inlineStr">
        <is>
          <t>2026-10-01</t>
        </is>
      </c>
      <c r="AE132" s="25" t="inlineStr">
        <is>
          <t>2027-03-15</t>
        </is>
      </c>
      <c r="AF132" s="25" t="inlineStr">
        <is>
          <t>No</t>
        </is>
      </c>
      <c r="AG132" s="28" t="inlineStr">
        <is>
          <t>http://www.univ-brest.fr/ufr-sciences</t>
        </is>
      </c>
      <c r="AH132" s="26" t="inlineStr">
        <is>
          <t>L'université de Bretagne occidentale demande de présenter un Test de connaissance en français pour tous les candidats dont une des langues officielles n'est pas le français. Pour les pays où le français n'est pas la seul</t>
        </is>
      </c>
      <c r="AI132" s="28" t="inlineStr">
        <is>
          <t>Open in EEF</t>
        </is>
      </c>
    </row>
    <row r="133" ht="32.8" customHeight="1" s="19">
      <c r="A133" s="25" t="n">
        <v>132</v>
      </c>
      <c r="B133" s="25" t="inlineStr">
        <is>
          <t>★★★★☆</t>
        </is>
      </c>
      <c r="C133" s="25" t="inlineStr">
        <is>
          <t>4 – Strong fit (electronics/signal/robotics/IoT/sensors)</t>
        </is>
      </c>
      <c r="D133" s="25" t="inlineStr">
        <is>
          <t>Embedded systems / Electronics</t>
        </is>
      </c>
      <c r="E133" s="26" t="inlineStr">
        <is>
          <t>Master indifférencié (recherche et professionnel) Sciences, technologies, santé mention Electronique, énergie électrique, automatique parcours Ingénierie des Systèmes Humain Machine</t>
        </is>
      </c>
      <c r="F133" s="26" t="inlineStr">
        <is>
          <t>Science, Technology, Health (STS) – major: Electronics, Electrical Energy &amp; Automation (EEA) – track: Engineering of Systems Human Machine</t>
        </is>
      </c>
      <c r="G133" s="25" t="inlineStr">
        <is>
          <t>Master indifférencié (recherche et professionnel)</t>
        </is>
      </c>
      <c r="H133" s="25" t="inlineStr">
        <is>
          <t>UFR Sciences fondamentales et appliquées</t>
        </is>
      </c>
      <c r="I133" s="25" t="inlineStr">
        <is>
          <t>Université de Lorraine</t>
        </is>
      </c>
      <c r="J133" s="25" t="inlineStr">
        <is>
          <t>Site de Metz</t>
        </is>
      </c>
      <c r="K133" s="25" t="n"/>
      <c r="L133" s="25" t="inlineStr">
        <is>
          <t>Public university</t>
        </is>
      </c>
      <c r="M133" s="25" t="inlineStr">
        <is>
          <t>French</t>
        </is>
      </c>
      <c r="N133" s="25" t="inlineStr">
        <is>
          <t>General</t>
        </is>
      </c>
      <c r="O133" s="25" t="inlineStr">
        <is>
          <t>Bac +4 / Bac +5</t>
        </is>
      </c>
      <c r="P133" s="26" t="inlineStr">
        <is>
          <t>Eligible on level (4-yr BS ≈ Bac+4)</t>
        </is>
      </c>
      <c r="Q133" s="25" t="inlineStr">
        <is>
          <t>1/2</t>
        </is>
      </c>
      <c r="R133" s="25" t="n"/>
      <c r="S133" s="27" t="n">
        <v>3950</v>
      </c>
      <c r="T133" s="27" t="n">
        <v>255</v>
      </c>
      <c r="U133" s="25" t="n">
        <v>2</v>
      </c>
      <c r="V133" s="27">
        <f>IF(S133="","",S133*U133)</f>
        <v/>
      </c>
      <c r="W133" s="26" t="inlineStr">
        <is>
          <t>Catalogue: €3,950. = national differentiated master fee (2026-27: €3,950). Exemption to ~€255 possible (university quota).</t>
        </is>
      </c>
      <c r="X133" s="25" t="inlineStr">
        <is>
          <t>High</t>
        </is>
      </c>
      <c r="Y133" s="25" t="inlineStr">
        <is>
          <t>3950</t>
        </is>
      </c>
      <c r="Z133" s="26" t="n"/>
      <c r="AA133" s="26" t="n"/>
      <c r="AB133" s="25" t="n"/>
      <c r="AC133" s="25" t="inlineStr">
        <is>
          <t>Open</t>
        </is>
      </c>
      <c r="AD133" s="25" t="inlineStr">
        <is>
          <t>2026-10-01</t>
        </is>
      </c>
      <c r="AE133" s="25" t="inlineStr">
        <is>
          <t>2027-03-15</t>
        </is>
      </c>
      <c r="AF133" s="25" t="inlineStr">
        <is>
          <t>No</t>
        </is>
      </c>
      <c r="AG133" s="28" t="inlineStr">
        <is>
          <t>http://scifa.univ-lorraine.fr/</t>
        </is>
      </c>
      <c r="AH133" s="26" t="inlineStr">
        <is>
          <t>Niveau de langues exigé : TCF niveau B2 Date limite de transmission des dossiers : date à determiner par l'ambassade. Date limite arrivée dans l'établissement : 30 Septembre 2027 (aucune dérogation ne sera accordée)</t>
        </is>
      </c>
      <c r="AI133" s="28" t="inlineStr">
        <is>
          <t>Open in EEF</t>
        </is>
      </c>
    </row>
    <row r="134" ht="32.8" customHeight="1" s="19">
      <c r="A134" s="25" t="n">
        <v>133</v>
      </c>
      <c r="B134" s="25" t="inlineStr">
        <is>
          <t>★★★★☆</t>
        </is>
      </c>
      <c r="C134" s="25" t="inlineStr">
        <is>
          <t>4 – Strong fit (electronics/signal/robotics/IoT/sensors)</t>
        </is>
      </c>
      <c r="D134" s="25" t="inlineStr">
        <is>
          <t>Embedded systems / Electronics</t>
        </is>
      </c>
      <c r="E134" s="26" t="inlineStr">
        <is>
          <t>Master indifférencié (recherche et professionnel) Sciences, technologies, santé mention Electronique, énergie électrique, automatique parcours Intelligence - Mesure Energétiques pour les Energies Nouvelles</t>
        </is>
      </c>
      <c r="F134" s="26" t="inlineStr">
        <is>
          <t>Science, Technology, Health (STS) – major: Electronics, Electrical Energy &amp; Automation (EEA) – track: Intelligence - Measurement Energétiques for the Energies Nouvelles</t>
        </is>
      </c>
      <c r="G134" s="25" t="inlineStr">
        <is>
          <t>Master indifférencié (recherche et professionnel)</t>
        </is>
      </c>
      <c r="H134" s="25" t="inlineStr">
        <is>
          <t>UFR Sciences fondamentales et appliquées</t>
        </is>
      </c>
      <c r="I134" s="25" t="inlineStr">
        <is>
          <t>Université de Lorraine</t>
        </is>
      </c>
      <c r="J134" s="25" t="inlineStr">
        <is>
          <t>Site de Metz</t>
        </is>
      </c>
      <c r="K134" s="25" t="n"/>
      <c r="L134" s="25" t="inlineStr">
        <is>
          <t>Public university</t>
        </is>
      </c>
      <c r="M134" s="25" t="inlineStr">
        <is>
          <t>French</t>
        </is>
      </c>
      <c r="N134" s="25" t="inlineStr">
        <is>
          <t>General</t>
        </is>
      </c>
      <c r="O134" s="25" t="inlineStr">
        <is>
          <t>Bac +4 / Bac +5</t>
        </is>
      </c>
      <c r="P134" s="26" t="inlineStr">
        <is>
          <t>Eligible on level (4-yr BS ≈ Bac+4)</t>
        </is>
      </c>
      <c r="Q134" s="25" t="inlineStr">
        <is>
          <t>1/2</t>
        </is>
      </c>
      <c r="R134" s="25" t="n"/>
      <c r="S134" s="27" t="n">
        <v>3950</v>
      </c>
      <c r="T134" s="27" t="n">
        <v>255</v>
      </c>
      <c r="U134" s="25" t="n">
        <v>2</v>
      </c>
      <c r="V134" s="27">
        <f>IF(S134="","",S134*U134)</f>
        <v/>
      </c>
      <c r="W134" s="26" t="inlineStr">
        <is>
          <t>Catalogue: €3,950. = national differentiated master fee (2026-27: €3,950). Exemption to ~€255 possible (university quota).</t>
        </is>
      </c>
      <c r="X134" s="25" t="inlineStr">
        <is>
          <t>High</t>
        </is>
      </c>
      <c r="Y134" s="25" t="inlineStr">
        <is>
          <t>3950</t>
        </is>
      </c>
      <c r="Z134" s="26" t="n"/>
      <c r="AA134" s="26" t="n"/>
      <c r="AB134" s="25" t="n"/>
      <c r="AC134" s="25" t="inlineStr">
        <is>
          <t>Open</t>
        </is>
      </c>
      <c r="AD134" s="25" t="inlineStr">
        <is>
          <t>2026-10-01</t>
        </is>
      </c>
      <c r="AE134" s="25" t="inlineStr">
        <is>
          <t>2027-03-15</t>
        </is>
      </c>
      <c r="AF134" s="25" t="inlineStr">
        <is>
          <t>No</t>
        </is>
      </c>
      <c r="AG134" s="28" t="inlineStr">
        <is>
          <t>http://scifa.univ-lorraine.fr/</t>
        </is>
      </c>
      <c r="AH134" s="26" t="inlineStr">
        <is>
          <t>Niveau de langues exigé : TCF niveau B2 Date limite de transmission des dossiers : date à determiner par l'ambassade. Date limite arrivée dans l'établissement : 30 Septembre 2027 (aucune dérogation ne sera accordée)</t>
        </is>
      </c>
      <c r="AI134" s="28" t="inlineStr">
        <is>
          <t>Open in EEF</t>
        </is>
      </c>
    </row>
    <row r="135" ht="32.8" customHeight="1" s="19">
      <c r="A135" s="25" t="n">
        <v>134</v>
      </c>
      <c r="B135" s="25" t="inlineStr">
        <is>
          <t>★★★★☆</t>
        </is>
      </c>
      <c r="C135" s="25" t="inlineStr">
        <is>
          <t>4 – Strong fit (electronics/signal/robotics/IoT/sensors)</t>
        </is>
      </c>
      <c r="D135" s="25" t="inlineStr">
        <is>
          <t>Embedded systems / Electronics</t>
        </is>
      </c>
      <c r="E135" s="26" t="inlineStr">
        <is>
          <t>Master indifférencié (recherche et professionnel) Sciences, technologies, santé mention Electronique, énergie électrique, automatique parcours Mesure et Traitement de l'Information</t>
        </is>
      </c>
      <c r="F135" s="26" t="inlineStr">
        <is>
          <t>Science, Technology, Health (STS) – major: Electronics, Electrical Energy &amp; Automation (EEA) – track: Measurement &amp; Processing of Information</t>
        </is>
      </c>
      <c r="G135" s="25" t="inlineStr">
        <is>
          <t>Master indifférencié (recherche et professionnel)</t>
        </is>
      </c>
      <c r="H135" s="25" t="inlineStr">
        <is>
          <t>UFR Sciences fondamentales et appliquées</t>
        </is>
      </c>
      <c r="I135" s="25" t="inlineStr">
        <is>
          <t>Université de Lorraine</t>
        </is>
      </c>
      <c r="J135" s="25" t="inlineStr">
        <is>
          <t>Site de Metz</t>
        </is>
      </c>
      <c r="K135" s="25" t="n"/>
      <c r="L135" s="25" t="inlineStr">
        <is>
          <t>Public university</t>
        </is>
      </c>
      <c r="M135" s="25" t="inlineStr">
        <is>
          <t>French</t>
        </is>
      </c>
      <c r="N135" s="25" t="inlineStr">
        <is>
          <t>General</t>
        </is>
      </c>
      <c r="O135" s="25" t="inlineStr">
        <is>
          <t>Bac +4 / Bac +5</t>
        </is>
      </c>
      <c r="P135" s="26" t="inlineStr">
        <is>
          <t>Eligible on level (4-yr BS ≈ Bac+4)</t>
        </is>
      </c>
      <c r="Q135" s="25" t="inlineStr">
        <is>
          <t>1/2</t>
        </is>
      </c>
      <c r="R135" s="25" t="n"/>
      <c r="S135" s="27" t="n">
        <v>3950</v>
      </c>
      <c r="T135" s="27" t="n">
        <v>255</v>
      </c>
      <c r="U135" s="25" t="n">
        <v>2</v>
      </c>
      <c r="V135" s="27">
        <f>IF(S135="","",S135*U135)</f>
        <v/>
      </c>
      <c r="W135" s="26" t="inlineStr">
        <is>
          <t>Catalogue: €3,950. = national differentiated master fee (2026-27: €3,950). Exemption to ~€255 possible (university quota).</t>
        </is>
      </c>
      <c r="X135" s="25" t="inlineStr">
        <is>
          <t>High</t>
        </is>
      </c>
      <c r="Y135" s="25" t="inlineStr">
        <is>
          <t>3950</t>
        </is>
      </c>
      <c r="Z135" s="26" t="n"/>
      <c r="AA135" s="26" t="n"/>
      <c r="AB135" s="25" t="n"/>
      <c r="AC135" s="25" t="inlineStr">
        <is>
          <t>Open</t>
        </is>
      </c>
      <c r="AD135" s="25" t="inlineStr">
        <is>
          <t>2026-10-01</t>
        </is>
      </c>
      <c r="AE135" s="25" t="inlineStr">
        <is>
          <t>2027-03-15</t>
        </is>
      </c>
      <c r="AF135" s="25" t="inlineStr">
        <is>
          <t>No</t>
        </is>
      </c>
      <c r="AG135" s="28" t="inlineStr">
        <is>
          <t>http://scifa.univ-lorraine.fr/</t>
        </is>
      </c>
      <c r="AH135" s="26" t="inlineStr">
        <is>
          <t>Niveau de langues exigé : TCF niveau B2 Date limite de transmission des dossiers : date à determiner par l'ambassade. Date limite arrivée dans l'établissement : 30 Septembre 2027 (aucune dérogation ne sera accordée)</t>
        </is>
      </c>
      <c r="AI135" s="28" t="inlineStr">
        <is>
          <t>Open in EEF</t>
        </is>
      </c>
    </row>
    <row r="136" ht="32.8" customHeight="1" s="19">
      <c r="A136" s="25" t="n">
        <v>135</v>
      </c>
      <c r="B136" s="25" t="inlineStr">
        <is>
          <t>★★★★☆</t>
        </is>
      </c>
      <c r="C136" s="25" t="inlineStr">
        <is>
          <t>4 – Strong fit (electronics/signal/robotics/IoT/sensors)</t>
        </is>
      </c>
      <c r="D136" s="25" t="inlineStr">
        <is>
          <t>Embedded systems / Electronics</t>
        </is>
      </c>
      <c r="E136" s="26" t="inlineStr">
        <is>
          <t>Master indifférencié (recherche et professionnel) Sciences, technologies, santé mention Electronique, Energie électrique, Automatique parcours Surete de fonctionnement des systemes industriels (SFSI)</t>
        </is>
      </c>
      <c r="F136" s="26" t="inlineStr">
        <is>
          <t>Science, Technology, Health (STS) – major: Electronics, Electrical Energy &amp; Automation (EEA) – track: Surete of fonctionnement of systemes Industrial (SFSI)</t>
        </is>
      </c>
      <c r="G136" s="25" t="inlineStr">
        <is>
          <t>Master indifférencié (recherche et professionnel)</t>
        </is>
      </c>
      <c r="H136" s="25" t="inlineStr">
        <is>
          <t>UFR des sciences et techniques</t>
        </is>
      </c>
      <c r="I136" s="25" t="inlineStr">
        <is>
          <t>Université du Havre</t>
        </is>
      </c>
      <c r="J136" s="25" t="inlineStr">
        <is>
          <t>Site de Le Havre</t>
        </is>
      </c>
      <c r="K136" s="25" t="n"/>
      <c r="L136" s="25" t="inlineStr">
        <is>
          <t>Public university</t>
        </is>
      </c>
      <c r="M136" s="25" t="inlineStr">
        <is>
          <t>French</t>
        </is>
      </c>
      <c r="N136" s="25" t="inlineStr">
        <is>
          <t>General</t>
        </is>
      </c>
      <c r="O136" s="25" t="inlineStr">
        <is>
          <t>Bac +4 / Bac +5</t>
        </is>
      </c>
      <c r="P136" s="26" t="inlineStr">
        <is>
          <t>Eligible on level (4-yr BS ≈ Bac+4)</t>
        </is>
      </c>
      <c r="Q136" s="25" t="inlineStr">
        <is>
          <t>1/2</t>
        </is>
      </c>
      <c r="R136" s="25" t="n"/>
      <c r="S136" s="27" t="n">
        <v>3950</v>
      </c>
      <c r="T136" s="27" t="n">
        <v>255</v>
      </c>
      <c r="U136" s="25" t="n">
        <v>2</v>
      </c>
      <c r="V136" s="27">
        <f>IF(S136="","",S136*U136)</f>
        <v/>
      </c>
      <c r="W136" s="26" t="inlineStr">
        <is>
          <t>Catalogue: €3,950. = national differentiated master fee (2026-27: €3,950). Exemption to ~€255 possible (university quota).</t>
        </is>
      </c>
      <c r="X136" s="25" t="inlineStr">
        <is>
          <t>High</t>
        </is>
      </c>
      <c r="Y136" s="25" t="inlineStr">
        <is>
          <t>3950</t>
        </is>
      </c>
      <c r="Z136" s="26" t="n"/>
      <c r="AA136" s="26" t="n"/>
      <c r="AB136" s="25" t="n"/>
      <c r="AC136" s="25" t="inlineStr">
        <is>
          <t>Open</t>
        </is>
      </c>
      <c r="AD136" s="25" t="inlineStr">
        <is>
          <t>2026-10-01</t>
        </is>
      </c>
      <c r="AE136" s="25" t="inlineStr">
        <is>
          <t>2027-03-15</t>
        </is>
      </c>
      <c r="AF136" s="25" t="inlineStr">
        <is>
          <t>No</t>
        </is>
      </c>
      <c r="AG136" s="28" t="inlineStr">
        <is>
          <t>https://ufr-st.univ-lehavre.fr</t>
        </is>
      </c>
      <c r="AH136" s="26" t="inlineStr">
        <is>
          <t>La carte des formations de l’UFR ainsi que leurs contacts figurent sur le site web de l'UFR https://ufr-st.univ-lehavre.fr/, notamment sur ce lien https://ufr-st.univ-lehavre.fr/spip.php?article5. Les fiches des formatio</t>
        </is>
      </c>
      <c r="AI136" s="28" t="inlineStr">
        <is>
          <t>Open in EEF</t>
        </is>
      </c>
    </row>
    <row r="137" ht="43.25" customHeight="1" s="19">
      <c r="A137" s="25" t="n">
        <v>136</v>
      </c>
      <c r="B137" s="25" t="inlineStr">
        <is>
          <t>★★★★☆</t>
        </is>
      </c>
      <c r="C137" s="25" t="inlineStr">
        <is>
          <t>4 – Strong fit (electronics/signal/robotics/IoT/sensors)</t>
        </is>
      </c>
      <c r="D137" s="25" t="inlineStr">
        <is>
          <t>Embedded systems / Electronics</t>
        </is>
      </c>
      <c r="E137" s="26" t="inlineStr">
        <is>
          <t>Master indifférencié (recherche et professionnel) Sciences, technologies, santé mention Electronique, Energie électrique, Automatique parcours Traitement de l’Information et Instrumentation pour l’Ingénieur (T3I)</t>
        </is>
      </c>
      <c r="F137" s="26" t="inlineStr">
        <is>
          <t>Science, Technology, Health (STS) – major: Electronics, Electrical Energy &amp; Automation (EEA) – track: Processing of Information &amp; Instrumentation for Engineering (T3I)</t>
        </is>
      </c>
      <c r="G137" s="25" t="inlineStr">
        <is>
          <t>Master indifférencié (recherche et professionnel)</t>
        </is>
      </c>
      <c r="H137" s="25" t="inlineStr">
        <is>
          <t>IUT de Roanne</t>
        </is>
      </c>
      <c r="I137" s="25" t="inlineStr">
        <is>
          <t>Université Jean Monnet Saint-Etienne</t>
        </is>
      </c>
      <c r="J137" s="25" t="inlineStr">
        <is>
          <t>Site de Roanne</t>
        </is>
      </c>
      <c r="K137" s="25" t="n"/>
      <c r="L137" s="25" t="inlineStr">
        <is>
          <t>Public university</t>
        </is>
      </c>
      <c r="M137" s="25" t="inlineStr">
        <is>
          <t>French</t>
        </is>
      </c>
      <c r="N137" s="25" t="inlineStr">
        <is>
          <t>General</t>
        </is>
      </c>
      <c r="O137" s="25" t="inlineStr">
        <is>
          <t>Bac +4 / Bac +5</t>
        </is>
      </c>
      <c r="P137" s="26" t="inlineStr">
        <is>
          <t>Eligible on level (4-yr BS ≈ Bac+4)</t>
        </is>
      </c>
      <c r="Q137" s="25" t="inlineStr">
        <is>
          <t>1/2</t>
        </is>
      </c>
      <c r="R137" s="25" t="n"/>
      <c r="S137" s="27" t="n">
        <v>3950</v>
      </c>
      <c r="T137" s="27" t="n">
        <v>255</v>
      </c>
      <c r="U137" s="25" t="n">
        <v>2</v>
      </c>
      <c r="V137" s="27">
        <f>IF(S137="","",S137*U137)</f>
        <v/>
      </c>
      <c r="W137" s="26" t="inlineStr">
        <is>
          <t>Catalogue: €3,950. = national differentiated master fee (2026-27: €3,950). Exemption to ~€255 possible (university quota).</t>
        </is>
      </c>
      <c r="X137" s="25" t="inlineStr">
        <is>
          <t>High</t>
        </is>
      </c>
      <c r="Y137" s="25" t="inlineStr">
        <is>
          <t>3950</t>
        </is>
      </c>
      <c r="Z137" s="26" t="inlineStr">
        <is>
          <t>Droits différenciés extracommunautaires : Master : 3950 € + le paiement de la CVEC : 105 € (tarif indicatif 2026/2027) … html Droits différenciés extracommunautaires : Master : 3950 € + le paiement de la CVEC : 105 € (ta</t>
        </is>
      </c>
      <c r="AA137" s="26" t="n"/>
      <c r="AB137" s="25" t="n"/>
      <c r="AC137" s="25" t="inlineStr">
        <is>
          <t>Open</t>
        </is>
      </c>
      <c r="AD137" s="25" t="inlineStr">
        <is>
          <t>2026-10-01</t>
        </is>
      </c>
      <c r="AE137" s="25" t="inlineStr">
        <is>
          <t>2027-03-15</t>
        </is>
      </c>
      <c r="AF137" s="25" t="inlineStr">
        <is>
          <t>No</t>
        </is>
      </c>
      <c r="AG137" s="28" t="inlineStr">
        <is>
          <t>https://iut-roanne.univ-st-etienne.fr/fr/formations/master-XB/master-XB/master-electronique-energie-electrique-automatique-parcours-traitement-de-l-information-et-instrumentation-pour-l-ingenieur-5_14_07_0003_FR.html</t>
        </is>
      </c>
      <c r="AH137" s="26" t="inlineStr">
        <is>
          <t>Niveau de connaissance de la langue française exigé: B2 ATTENTION: les cours sont dispensés à ROANNE, distant de 70 km de Saint-Etienne</t>
        </is>
      </c>
      <c r="AI137" s="28" t="inlineStr">
        <is>
          <t>Open in EEF</t>
        </is>
      </c>
    </row>
    <row r="138" ht="32.8" customHeight="1" s="19">
      <c r="A138" s="25" t="n">
        <v>137</v>
      </c>
      <c r="B138" s="25" t="inlineStr">
        <is>
          <t>★★★★☆</t>
        </is>
      </c>
      <c r="C138" s="25" t="inlineStr">
        <is>
          <t>4 – Strong fit (electronics/signal/robotics/IoT/sensors)</t>
        </is>
      </c>
      <c r="D138" s="25" t="inlineStr">
        <is>
          <t>Embedded systems / Electronics</t>
        </is>
      </c>
      <c r="E138" s="26" t="inlineStr">
        <is>
          <t>Master indifférencié (recherche et professionnel) Sciences, technologies, santé mention Electronique, Energie électrique, Automatique parcours Systemes energetiques electriques (SEE)</t>
        </is>
      </c>
      <c r="F138" s="26" t="inlineStr">
        <is>
          <t>Science, Technology, Health (STS) – major: Electronics, Electrical Energy &amp; Automation (EEA) – track: Systemes energetiques electriques (SEE)</t>
        </is>
      </c>
      <c r="G138" s="25" t="inlineStr">
        <is>
          <t>Master indifférencié (recherche et professionnel)</t>
        </is>
      </c>
      <c r="H138" s="25" t="inlineStr">
        <is>
          <t>UFR des sciences et techniques</t>
        </is>
      </c>
      <c r="I138" s="25" t="inlineStr">
        <is>
          <t>Université du Havre</t>
        </is>
      </c>
      <c r="J138" s="25" t="inlineStr">
        <is>
          <t>Site de Le Havre</t>
        </is>
      </c>
      <c r="K138" s="25" t="n"/>
      <c r="L138" s="25" t="inlineStr">
        <is>
          <t>Public university</t>
        </is>
      </c>
      <c r="M138" s="25" t="inlineStr">
        <is>
          <t>French</t>
        </is>
      </c>
      <c r="N138" s="25" t="inlineStr">
        <is>
          <t>General</t>
        </is>
      </c>
      <c r="O138" s="25" t="inlineStr">
        <is>
          <t>Bac +4 / Bac +5</t>
        </is>
      </c>
      <c r="P138" s="26" t="inlineStr">
        <is>
          <t>Eligible on level (4-yr BS ≈ Bac+4)</t>
        </is>
      </c>
      <c r="Q138" s="25" t="inlineStr">
        <is>
          <t>1/2</t>
        </is>
      </c>
      <c r="R138" s="25" t="n"/>
      <c r="S138" s="27" t="n">
        <v>3950</v>
      </c>
      <c r="T138" s="27" t="n">
        <v>255</v>
      </c>
      <c r="U138" s="25" t="n">
        <v>2</v>
      </c>
      <c r="V138" s="27">
        <f>IF(S138="","",S138*U138)</f>
        <v/>
      </c>
      <c r="W138" s="26" t="inlineStr">
        <is>
          <t>Catalogue: €3,950. = national differentiated master fee (2026-27: €3,950). Exemption to ~€255 possible (university quota).</t>
        </is>
      </c>
      <c r="X138" s="25" t="inlineStr">
        <is>
          <t>High</t>
        </is>
      </c>
      <c r="Y138" s="25" t="inlineStr">
        <is>
          <t>3950</t>
        </is>
      </c>
      <c r="Z138" s="26" t="n"/>
      <c r="AA138" s="26" t="n"/>
      <c r="AB138" s="25" t="n"/>
      <c r="AC138" s="25" t="inlineStr">
        <is>
          <t>Open</t>
        </is>
      </c>
      <c r="AD138" s="25" t="inlineStr">
        <is>
          <t>2026-10-01</t>
        </is>
      </c>
      <c r="AE138" s="25" t="inlineStr">
        <is>
          <t>2027-03-15</t>
        </is>
      </c>
      <c r="AF138" s="25" t="inlineStr">
        <is>
          <t>No</t>
        </is>
      </c>
      <c r="AG138" s="28" t="inlineStr">
        <is>
          <t>https://ufr-st.univ-lehavre.fr</t>
        </is>
      </c>
      <c r="AH138" s="26" t="inlineStr">
        <is>
          <t>La carte des formations de l’UFR ainsi que leurs contacts figurent sur le site web de l'UFR https://ufr-st.univ-lehavre.fr/, notamment sur ce lien https://ufr-st.univ-lehavre.fr/spip.php?article5. Les fiches des formatio</t>
        </is>
      </c>
      <c r="AI138" s="28" t="inlineStr">
        <is>
          <t>Open in EEF</t>
        </is>
      </c>
    </row>
    <row r="139" ht="32.8" customHeight="1" s="19">
      <c r="A139" s="25" t="n">
        <v>138</v>
      </c>
      <c r="B139" s="25" t="inlineStr">
        <is>
          <t>★★★★☆</t>
        </is>
      </c>
      <c r="C139" s="25" t="inlineStr">
        <is>
          <t>4 – Strong fit (electronics/signal/robotics/IoT/sensors)</t>
        </is>
      </c>
      <c r="D139" s="25" t="inlineStr">
        <is>
          <t>Embedded systems / Electronics</t>
        </is>
      </c>
      <c r="E139" s="26" t="inlineStr">
        <is>
          <t>Master indifférencié (recherche et professionnel) Sciences, technologies, santé mention Electronique, Energie électrique et Automatique parcours Energie électrique (EE)</t>
        </is>
      </c>
      <c r="F139" s="26" t="inlineStr">
        <is>
          <t>Science, Technology, Health (STS) – major: Electronics, Electrical Energy &amp; Automation (EEA) – track: Energy Electrical (EE)</t>
        </is>
      </c>
      <c r="G139" s="25" t="inlineStr">
        <is>
          <t>Master indifférencié (recherche et professionnel)</t>
        </is>
      </c>
      <c r="H139" s="25" t="inlineStr">
        <is>
          <t>UFR des sciences - Pôle scientifique Saint Leu</t>
        </is>
      </c>
      <c r="I139" s="25" t="inlineStr">
        <is>
          <t>Université Picardie Jules Verne Amiens</t>
        </is>
      </c>
      <c r="J139" s="25" t="inlineStr">
        <is>
          <t>Site de Amiens</t>
        </is>
      </c>
      <c r="K139" s="25" t="inlineStr">
        <is>
          <t>80000 Amiens</t>
        </is>
      </c>
      <c r="L139" s="25" t="inlineStr">
        <is>
          <t>Public university</t>
        </is>
      </c>
      <c r="M139" s="25" t="inlineStr">
        <is>
          <t>French</t>
        </is>
      </c>
      <c r="N139" s="25" t="inlineStr">
        <is>
          <t>General</t>
        </is>
      </c>
      <c r="O139" s="25" t="inlineStr">
        <is>
          <t>Bac +4 / Bac +5</t>
        </is>
      </c>
      <c r="P139" s="26" t="inlineStr">
        <is>
          <t>Eligible on level (4-yr BS ≈ Bac+4)</t>
        </is>
      </c>
      <c r="Q139" s="25" t="inlineStr">
        <is>
          <t>1/2</t>
        </is>
      </c>
      <c r="R139" s="25" t="inlineStr">
        <is>
          <t>12</t>
        </is>
      </c>
      <c r="S139" s="27" t="n">
        <v>3950</v>
      </c>
      <c r="T139" s="27" t="n">
        <v>255</v>
      </c>
      <c r="U139" s="25" t="n">
        <v>2</v>
      </c>
      <c r="V139" s="27">
        <f>IF(S139="","",S139*U139)</f>
        <v/>
      </c>
      <c r="W139" s="26" t="inlineStr">
        <is>
          <t>Catalogue: €3,950. = national differentiated master fee (2026-27: €3,950). Exemption to ~€255 possible (university quota).</t>
        </is>
      </c>
      <c r="X139" s="25" t="inlineStr">
        <is>
          <t>High</t>
        </is>
      </c>
      <c r="Y139" s="25" t="inlineStr">
        <is>
          <t>3950</t>
        </is>
      </c>
      <c r="Z139" s="26" t="n"/>
      <c r="AA139" s="26" t="n"/>
      <c r="AB139" s="25" t="n"/>
      <c r="AC139" s="25" t="inlineStr">
        <is>
          <t>Open</t>
        </is>
      </c>
      <c r="AD139" s="25" t="inlineStr">
        <is>
          <t>2026-10-01</t>
        </is>
      </c>
      <c r="AE139" s="25" t="inlineStr">
        <is>
          <t>2027-03-15</t>
        </is>
      </c>
      <c r="AF139" s="25" t="inlineStr">
        <is>
          <t>No</t>
        </is>
      </c>
      <c r="AG139" s="28" t="inlineStr">
        <is>
          <t>https://sciences.u-picardie.fr/accueil-ufr-sciences</t>
        </is>
      </c>
      <c r="AH139" s="26" t="inlineStr">
        <is>
          <t>Niveau de français requis C1. Le tarif indiqué est celui de l'année universitaire 2026/2027 et, est susceptible d'être modifié pour l'année universitaire 2027/2028.</t>
        </is>
      </c>
      <c r="AI139" s="28" t="inlineStr">
        <is>
          <t>Open in EEF</t>
        </is>
      </c>
    </row>
    <row r="140" ht="32.8" customHeight="1" s="19">
      <c r="A140" s="25" t="n">
        <v>139</v>
      </c>
      <c r="B140" s="25" t="inlineStr">
        <is>
          <t>★★★★☆</t>
        </is>
      </c>
      <c r="C140" s="25" t="inlineStr">
        <is>
          <t>4 – Strong fit (electronics/signal/robotics/IoT/sensors)</t>
        </is>
      </c>
      <c r="D140" s="25" t="inlineStr">
        <is>
          <t>Embedded systems / Electronics</t>
        </is>
      </c>
      <c r="E140" s="26" t="inlineStr">
        <is>
          <t>Master indifférencié (recherche et professionnel) Sciences, technologies, santé mention Electronique, Energie électrique et Automatique parcours Ingénierie de l'automatique dans le transport et l'énergie (IATE)</t>
        </is>
      </c>
      <c r="F140" s="26" t="inlineStr">
        <is>
          <t>Science, Technology, Health (STS) – major: Electronics, Electrical Energy &amp; Automation (EEA) – track: Engineering of Automation dans the transport &amp; Energy (IATE)</t>
        </is>
      </c>
      <c r="G140" s="25" t="inlineStr">
        <is>
          <t>Master indifférencié (recherche et professionnel)</t>
        </is>
      </c>
      <c r="H140" s="25" t="inlineStr">
        <is>
          <t>UFR des sciences - Pôle scientifique Saint Leu</t>
        </is>
      </c>
      <c r="I140" s="25" t="inlineStr">
        <is>
          <t>Université Picardie Jules Verne Amiens</t>
        </is>
      </c>
      <c r="J140" s="25" t="inlineStr">
        <is>
          <t>Site de Amiens</t>
        </is>
      </c>
      <c r="K140" s="25" t="inlineStr">
        <is>
          <t>80000 Amiens</t>
        </is>
      </c>
      <c r="L140" s="25" t="inlineStr">
        <is>
          <t>Public university</t>
        </is>
      </c>
      <c r="M140" s="25" t="inlineStr">
        <is>
          <t>French</t>
        </is>
      </c>
      <c r="N140" s="25" t="inlineStr">
        <is>
          <t>General</t>
        </is>
      </c>
      <c r="O140" s="25" t="inlineStr">
        <is>
          <t>Bac +4 / Bac +5</t>
        </is>
      </c>
      <c r="P140" s="26" t="inlineStr">
        <is>
          <t>Eligible on level (4-yr BS ≈ Bac+4)</t>
        </is>
      </c>
      <c r="Q140" s="25" t="inlineStr">
        <is>
          <t>1/2</t>
        </is>
      </c>
      <c r="R140" s="25" t="inlineStr">
        <is>
          <t>12</t>
        </is>
      </c>
      <c r="S140" s="27" t="n">
        <v>3950</v>
      </c>
      <c r="T140" s="27" t="n">
        <v>255</v>
      </c>
      <c r="U140" s="25" t="n">
        <v>2</v>
      </c>
      <c r="V140" s="27">
        <f>IF(S140="","",S140*U140)</f>
        <v/>
      </c>
      <c r="W140" s="26" t="inlineStr">
        <is>
          <t>Catalogue: €3,950. = national differentiated master fee (2026-27: €3,950). Exemption to ~€255 possible (university quota).</t>
        </is>
      </c>
      <c r="X140" s="25" t="inlineStr">
        <is>
          <t>High</t>
        </is>
      </c>
      <c r="Y140" s="25" t="inlineStr">
        <is>
          <t>3950</t>
        </is>
      </c>
      <c r="Z140" s="26" t="n"/>
      <c r="AA140" s="26" t="n"/>
      <c r="AB140" s="25" t="n"/>
      <c r="AC140" s="25" t="inlineStr">
        <is>
          <t>Open</t>
        </is>
      </c>
      <c r="AD140" s="25" t="inlineStr">
        <is>
          <t>2026-10-01</t>
        </is>
      </c>
      <c r="AE140" s="25" t="inlineStr">
        <is>
          <t>2027-03-15</t>
        </is>
      </c>
      <c r="AF140" s="25" t="inlineStr">
        <is>
          <t>No</t>
        </is>
      </c>
      <c r="AG140" s="28" t="inlineStr">
        <is>
          <t>https://sciences.u-picardie.fr/accueil-ufr-sciences</t>
        </is>
      </c>
      <c r="AH140" s="26" t="inlineStr">
        <is>
          <t>Niveau de français requis C1. Le tarif indiqué est celui de l'année universitaire 2026/2027 et, est susceptible d'être modifié pour l'année universitaire 2027/2028.</t>
        </is>
      </c>
      <c r="AI140" s="28" t="inlineStr">
        <is>
          <t>Open in EEF</t>
        </is>
      </c>
    </row>
    <row r="141" ht="32.8" customHeight="1" s="19">
      <c r="A141" s="25" t="n">
        <v>140</v>
      </c>
      <c r="B141" s="25" t="inlineStr">
        <is>
          <t>★★★★☆</t>
        </is>
      </c>
      <c r="C141" s="25" t="inlineStr">
        <is>
          <t>4 – Strong fit (electronics/signal/robotics/IoT/sensors)</t>
        </is>
      </c>
      <c r="D141" s="25" t="inlineStr">
        <is>
          <t>Embedded systems / Electronics</t>
        </is>
      </c>
      <c r="E141" s="26" t="inlineStr">
        <is>
          <t>Master indifférencié (recherche et professionnel) Sciences, technologies, santé mention Electronique, Energie électrique et Automatique parcours Robotique et vision artificielle (ROVA)</t>
        </is>
      </c>
      <c r="F141" s="26" t="inlineStr">
        <is>
          <t>Science, Technology, Health (STS) – major: Electronics, Electrical Energy &amp; Automation (EEA) – track: Robotics &amp; Vision artificielle (ROVA)</t>
        </is>
      </c>
      <c r="G141" s="25" t="inlineStr">
        <is>
          <t>Master indifférencié (recherche et professionnel)</t>
        </is>
      </c>
      <c r="H141" s="25" t="inlineStr">
        <is>
          <t>UFR des sciences - Pôle scientifique Saint Leu</t>
        </is>
      </c>
      <c r="I141" s="25" t="inlineStr">
        <is>
          <t>Université Picardie Jules Verne Amiens</t>
        </is>
      </c>
      <c r="J141" s="25" t="inlineStr">
        <is>
          <t>Site de Amiens</t>
        </is>
      </c>
      <c r="K141" s="25" t="inlineStr">
        <is>
          <t>80000 Amiens</t>
        </is>
      </c>
      <c r="L141" s="25" t="inlineStr">
        <is>
          <t>Public university</t>
        </is>
      </c>
      <c r="M141" s="25" t="inlineStr">
        <is>
          <t>French</t>
        </is>
      </c>
      <c r="N141" s="25" t="inlineStr">
        <is>
          <t>General</t>
        </is>
      </c>
      <c r="O141" s="25" t="inlineStr">
        <is>
          <t>Bac +4 / Bac +5</t>
        </is>
      </c>
      <c r="P141" s="26" t="inlineStr">
        <is>
          <t>Eligible on level (4-yr BS ≈ Bac+4)</t>
        </is>
      </c>
      <c r="Q141" s="25" t="inlineStr">
        <is>
          <t>1/2</t>
        </is>
      </c>
      <c r="R141" s="25" t="inlineStr">
        <is>
          <t>12</t>
        </is>
      </c>
      <c r="S141" s="27" t="n">
        <v>3950</v>
      </c>
      <c r="T141" s="27" t="n">
        <v>255</v>
      </c>
      <c r="U141" s="25" t="n">
        <v>2</v>
      </c>
      <c r="V141" s="27">
        <f>IF(S141="","",S141*U141)</f>
        <v/>
      </c>
      <c r="W141" s="26" t="inlineStr">
        <is>
          <t>Catalogue: €3,950. = national differentiated master fee (2026-27: €3,950). Exemption to ~€255 possible (university quota).</t>
        </is>
      </c>
      <c r="X141" s="25" t="inlineStr">
        <is>
          <t>High</t>
        </is>
      </c>
      <c r="Y141" s="25" t="inlineStr">
        <is>
          <t>3950</t>
        </is>
      </c>
      <c r="Z141" s="26" t="n"/>
      <c r="AA141" s="26" t="n"/>
      <c r="AB141" s="25" t="n"/>
      <c r="AC141" s="25" t="inlineStr">
        <is>
          <t>Open</t>
        </is>
      </c>
      <c r="AD141" s="25" t="inlineStr">
        <is>
          <t>2026-10-01</t>
        </is>
      </c>
      <c r="AE141" s="25" t="inlineStr">
        <is>
          <t>2027-03-15</t>
        </is>
      </c>
      <c r="AF141" s="25" t="inlineStr">
        <is>
          <t>No</t>
        </is>
      </c>
      <c r="AG141" s="28" t="inlineStr">
        <is>
          <t>https://sciences.u-picardie.fr/accueil-ufr-sciences</t>
        </is>
      </c>
      <c r="AH141" s="26" t="inlineStr">
        <is>
          <t>Niveau de français requis C1. Le tarif indiqué est celui de l'année universitaire 2026/2027 et, est susceptible d'être modifié pour l'année universitaire 2027/2028.</t>
        </is>
      </c>
      <c r="AI141" s="28" t="inlineStr">
        <is>
          <t>Open in EEF</t>
        </is>
      </c>
    </row>
    <row r="142" ht="32.8" customHeight="1" s="19">
      <c r="A142" s="25" t="n">
        <v>141</v>
      </c>
      <c r="B142" s="25" t="inlineStr">
        <is>
          <t>★★★★☆</t>
        </is>
      </c>
      <c r="C142" s="25" t="inlineStr">
        <is>
          <t>4 – Strong fit (electronics/signal/robotics/IoT/sensors)</t>
        </is>
      </c>
      <c r="D142" s="25" t="inlineStr">
        <is>
          <t>Robotics / Automation / Mechatronics</t>
        </is>
      </c>
      <c r="E142" s="26" t="inlineStr">
        <is>
          <t>Master indifférencié (recherche et professionnel) Sciences, technologies, santé mention Energie parcours Automatique et Energie Electrique</t>
        </is>
      </c>
      <c r="F142" s="26" t="inlineStr">
        <is>
          <t>Science, Technology, Health (STS) – major: Energy – track: Automation &amp; Energy Electrical</t>
        </is>
      </c>
      <c r="G142" s="25" t="inlineStr">
        <is>
          <t>Master indifférencié (recherche et professionnel)</t>
        </is>
      </c>
      <c r="H142" s="25" t="inlineStr">
        <is>
          <t>UFR de sciences fondamentales et appliquées - Université de Poitiers</t>
        </is>
      </c>
      <c r="I142" s="25" t="inlineStr">
        <is>
          <t>Université de Poitiers</t>
        </is>
      </c>
      <c r="J142" s="25" t="inlineStr">
        <is>
          <t>Site de Poitiers</t>
        </is>
      </c>
      <c r="K142" s="25" t="n"/>
      <c r="L142" s="25" t="inlineStr">
        <is>
          <t>Public university</t>
        </is>
      </c>
      <c r="M142" s="25" t="inlineStr">
        <is>
          <t>French</t>
        </is>
      </c>
      <c r="N142" s="25" t="inlineStr">
        <is>
          <t>General</t>
        </is>
      </c>
      <c r="O142" s="25" t="inlineStr">
        <is>
          <t>Bac +4 / Bac +5</t>
        </is>
      </c>
      <c r="P142" s="26" t="inlineStr">
        <is>
          <t>Eligible on level (4-yr BS ≈ Bac+4)</t>
        </is>
      </c>
      <c r="Q142" s="25" t="inlineStr">
        <is>
          <t>1/2</t>
        </is>
      </c>
      <c r="R142" s="25" t="n"/>
      <c r="S142" s="27" t="n">
        <v>3950</v>
      </c>
      <c r="T142" s="27" t="n">
        <v>255</v>
      </c>
      <c r="U142" s="25" t="n">
        <v>2</v>
      </c>
      <c r="V142" s="27">
        <f>IF(S142="","",S142*U142)</f>
        <v/>
      </c>
      <c r="W142" s="26" t="inlineStr">
        <is>
          <t>Catalogue: €3,950. = national differentiated master fee (2026-27: €3,950). Exemption to ~€255 possible (university quota).</t>
        </is>
      </c>
      <c r="X142" s="25" t="inlineStr">
        <is>
          <t>High</t>
        </is>
      </c>
      <c r="Y142" s="25" t="inlineStr">
        <is>
          <t>3950</t>
        </is>
      </c>
      <c r="Z142" s="26" t="n"/>
      <c r="AA142" s="26" t="n"/>
      <c r="AB142" s="25" t="n"/>
      <c r="AC142" s="25" t="inlineStr">
        <is>
          <t>Open</t>
        </is>
      </c>
      <c r="AD142" s="25" t="inlineStr">
        <is>
          <t>2026-10-01</t>
        </is>
      </c>
      <c r="AE142" s="25" t="inlineStr">
        <is>
          <t>2027-03-15</t>
        </is>
      </c>
      <c r="AF142" s="25" t="inlineStr">
        <is>
          <t>No</t>
        </is>
      </c>
      <c r="AG142" s="28" t="inlineStr">
        <is>
          <t>https://sfa.univ-poitiers.fr/formation/offre-de-formation-sciences-technologies-sante/</t>
        </is>
      </c>
      <c r="AH142" s="26" t="inlineStr">
        <is>
          <t>Année 1 L'attention de la commission de recrutement sera portée notamment sur les résultats obtenus sur les matières en lien avec la discipline visée et sur l'aptitude du candidat à exposer ses motivations et son projet</t>
        </is>
      </c>
      <c r="AI142" s="28" t="inlineStr">
        <is>
          <t>Open in EEF</t>
        </is>
      </c>
    </row>
    <row r="143" ht="32.8" customHeight="1" s="19">
      <c r="A143" s="25" t="n">
        <v>142</v>
      </c>
      <c r="B143" s="25" t="inlineStr">
        <is>
          <t>★★★★☆</t>
        </is>
      </c>
      <c r="C143" s="25" t="inlineStr">
        <is>
          <t>4 – Strong fit (electronics/signal/robotics/IoT/sensors)</t>
        </is>
      </c>
      <c r="D143" s="25" t="inlineStr">
        <is>
          <t>Signal / Image / Vision</t>
        </is>
      </c>
      <c r="E143" s="26" t="inlineStr">
        <is>
          <t>Master indifférencié (recherche et professionnel) Sciences, technologies, santé mention informatique parcours Image et 3D</t>
        </is>
      </c>
      <c r="F143" s="26" t="inlineStr">
        <is>
          <t>Science, Technology, Health (STS) – major: Computer Science – track: Image &amp; 3D</t>
        </is>
      </c>
      <c r="G143" s="25" t="inlineStr">
        <is>
          <t>Master indifférencié (recherche et professionnel)</t>
        </is>
      </c>
      <c r="H143" s="25" t="inlineStr">
        <is>
          <t>UFR de mathématiques et d'informatique</t>
        </is>
      </c>
      <c r="I143" s="25" t="inlineStr">
        <is>
          <t>Université de Strasbourg</t>
        </is>
      </c>
      <c r="J143" s="25" t="inlineStr">
        <is>
          <t>Site de Strasbourg</t>
        </is>
      </c>
      <c r="K143" s="25" t="inlineStr">
        <is>
          <t>67084 STRASBOURG CEDEX</t>
        </is>
      </c>
      <c r="L143" s="25" t="inlineStr">
        <is>
          <t>Public university</t>
        </is>
      </c>
      <c r="M143" s="25" t="inlineStr">
        <is>
          <t>French</t>
        </is>
      </c>
      <c r="N143" s="25" t="inlineStr">
        <is>
          <t>General</t>
        </is>
      </c>
      <c r="O143" s="25" t="inlineStr">
        <is>
          <t>Bac +4</t>
        </is>
      </c>
      <c r="P143" s="26" t="inlineStr">
        <is>
          <t>Eligible on level (4-yr BS ≈ Bac+4)</t>
        </is>
      </c>
      <c r="Q143" s="25" t="inlineStr">
        <is>
          <t>1</t>
        </is>
      </c>
      <c r="R143" s="25" t="n"/>
      <c r="S143" s="27" t="n">
        <v>3950</v>
      </c>
      <c r="T143" s="27" t="n">
        <v>255</v>
      </c>
      <c r="U143" s="25" t="n">
        <v>2</v>
      </c>
      <c r="V143" s="27">
        <f>IF(S143="","",S143*U143)</f>
        <v/>
      </c>
      <c r="W143" s="26" t="inlineStr">
        <is>
          <t>Catalogue: €3,950. = national differentiated master fee (2026-27: €3,950). Exemption to ~€255 possible (university quota).</t>
        </is>
      </c>
      <c r="X143" s="25" t="inlineStr">
        <is>
          <t>High</t>
        </is>
      </c>
      <c r="Y143" s="25" t="inlineStr">
        <is>
          <t>3950</t>
        </is>
      </c>
      <c r="Z143" s="26" t="n"/>
      <c r="AA143" s="26" t="inlineStr">
        <is>
          <t>Unistra: master entrants who did not do their licence at Unistra pay the differentiated fee (€3,950).</t>
        </is>
      </c>
      <c r="AB143" s="28" t="inlineStr">
        <is>
          <t>https://www.unistra.fr/fr/node/8168</t>
        </is>
      </c>
      <c r="AC143" s="25" t="inlineStr">
        <is>
          <t>Open</t>
        </is>
      </c>
      <c r="AD143" s="25" t="inlineStr">
        <is>
          <t>2026-10-01</t>
        </is>
      </c>
      <c r="AE143" s="25" t="inlineStr">
        <is>
          <t>2027-03-15</t>
        </is>
      </c>
      <c r="AF143" s="25" t="inlineStr">
        <is>
          <t>No</t>
        </is>
      </c>
      <c r="AG143" s="28" t="inlineStr">
        <is>
          <t>http://mathinfo.unistra.fr</t>
        </is>
      </c>
      <c r="AH143" s="26" t="inlineStr">
        <is>
          <t>Formation à forte composante théorique, ne convient pas aux parcours professionnels En raison du très faible nombre de places, veuillez noter que le minimum exigé par la commission pédagogique pour l'admission en 1 ère a</t>
        </is>
      </c>
      <c r="AI143" s="28" t="inlineStr">
        <is>
          <t>Open in EEF</t>
        </is>
      </c>
    </row>
    <row r="144" ht="43.25" customHeight="1" s="19">
      <c r="A144" s="25" t="n">
        <v>143</v>
      </c>
      <c r="B144" s="25" t="inlineStr">
        <is>
          <t>★★★★☆</t>
        </is>
      </c>
      <c r="C144" s="25" t="inlineStr">
        <is>
          <t>4 – Strong fit (electronics/signal/robotics/IoT/sensors)</t>
        </is>
      </c>
      <c r="D144" s="25" t="inlineStr">
        <is>
          <t>Signal / Image / Vision</t>
        </is>
      </c>
      <c r="E144" s="26" t="inlineStr">
        <is>
          <t>Master indifférencié (recherche et professionnel) Sciences, technologies, santé mention Informatique parcours Parcours ISICG Synthèse d’Images et Conception Graphique</t>
        </is>
      </c>
      <c r="F144" s="26" t="inlineStr">
        <is>
          <t>Science, Technology, Health (STS) – major: Computer Science – track: track: ISICG Synthesis of Images &amp; Design Graphique</t>
        </is>
      </c>
      <c r="G144" s="25" t="inlineStr">
        <is>
          <t>Master indifférencié (recherche et professionnel)</t>
        </is>
      </c>
      <c r="H144" s="25" t="inlineStr">
        <is>
          <t>Faculté des Sciences et Techniques</t>
        </is>
      </c>
      <c r="I144" s="25" t="inlineStr">
        <is>
          <t>Université de Limoges</t>
        </is>
      </c>
      <c r="J144" s="25" t="inlineStr">
        <is>
          <t>Campus de la Borie Limoges</t>
        </is>
      </c>
      <c r="K144" s="25" t="n"/>
      <c r="L144" s="25" t="inlineStr">
        <is>
          <t>Public university</t>
        </is>
      </c>
      <c r="M144" s="25" t="inlineStr">
        <is>
          <t>French</t>
        </is>
      </c>
      <c r="N144" s="25" t="inlineStr">
        <is>
          <t>General</t>
        </is>
      </c>
      <c r="O144" s="25" t="inlineStr">
        <is>
          <t>Bac +4 / Bac +5</t>
        </is>
      </c>
      <c r="P144" s="26" t="inlineStr">
        <is>
          <t>Eligible on level (4-yr BS ≈ Bac+4)</t>
        </is>
      </c>
      <c r="Q144" s="25" t="inlineStr">
        <is>
          <t>1/2</t>
        </is>
      </c>
      <c r="R144" s="25" t="inlineStr">
        <is>
          <t>10</t>
        </is>
      </c>
      <c r="S144" s="27" t="n">
        <v>3950</v>
      </c>
      <c r="T144" s="27" t="n">
        <v>255</v>
      </c>
      <c r="U144" s="25" t="n">
        <v>2</v>
      </c>
      <c r="V144" s="27">
        <f>IF(S144="","",S144*U144)</f>
        <v/>
      </c>
      <c r="W144" s="26" t="inlineStr">
        <is>
          <t>Catalogue: €3,950. = national differentiated master fee (2026-27: €3,950). Exemption to ~€255 possible (university quota).</t>
        </is>
      </c>
      <c r="X144" s="25" t="inlineStr">
        <is>
          <t>High</t>
        </is>
      </c>
      <c r="Y144" s="25" t="inlineStr">
        <is>
          <t>3950</t>
        </is>
      </c>
      <c r="Z144" s="26" t="n"/>
      <c r="AA144" s="26" t="n"/>
      <c r="AB144" s="25" t="n"/>
      <c r="AC144" s="25" t="inlineStr">
        <is>
          <t>Open</t>
        </is>
      </c>
      <c r="AD144" s="25" t="inlineStr">
        <is>
          <t>2026-10-01</t>
        </is>
      </c>
      <c r="AE144" s="25" t="inlineStr">
        <is>
          <t>2027-03-15</t>
        </is>
      </c>
      <c r="AF144" s="25" t="inlineStr">
        <is>
          <t>No</t>
        </is>
      </c>
      <c r="AG144" s="28" t="inlineStr">
        <is>
          <t>http://www.sciences.unilim.fr/</t>
        </is>
      </c>
      <c r="AH144" s="26" t="inlineStr">
        <is>
          <t>Cette formation est associée à un programme du type Etablissement Universitaire de Recherche, les candidat.e.s à la formation désireux de poursuivre en thèse sont donc invité.e.s à postuler pour le parcours "Graduate Sch</t>
        </is>
      </c>
      <c r="AI144" s="28" t="inlineStr">
        <is>
          <t>Open in EEF</t>
        </is>
      </c>
    </row>
    <row r="145" ht="32.8" customHeight="1" s="19">
      <c r="A145" s="25" t="n">
        <v>144</v>
      </c>
      <c r="B145" s="25" t="inlineStr">
        <is>
          <t>★★★★☆</t>
        </is>
      </c>
      <c r="C145" s="25" t="inlineStr">
        <is>
          <t>4 – Strong fit (electronics/signal/robotics/IoT/sensors)</t>
        </is>
      </c>
      <c r="D145" s="25" t="inlineStr">
        <is>
          <t>Signal / Image / Vision</t>
        </is>
      </c>
      <c r="E145" s="26" t="inlineStr">
        <is>
          <t>Master indifférencié (recherche et professionnel) Sciences, technologies, santé mention Ingénierie de l'image et ingénierie du son parcours Image et son</t>
        </is>
      </c>
      <c r="F145" s="26" t="inlineStr">
        <is>
          <t>Science, Technology, Health (STS) – major: Engineering of Image &amp; Engineering of Sound – track: Image &amp; Sound</t>
        </is>
      </c>
      <c r="G145" s="25" t="inlineStr">
        <is>
          <t>Master indifférencié (recherche et professionnel)</t>
        </is>
      </c>
      <c r="H145" s="25" t="inlineStr">
        <is>
          <t>UFR sciences et techniques</t>
        </is>
      </c>
      <c r="I145" s="25" t="inlineStr">
        <is>
          <t>Université de Bretagne Occidentale</t>
        </is>
      </c>
      <c r="J145" s="25" t="inlineStr">
        <is>
          <t>Site de Brest</t>
        </is>
      </c>
      <c r="K145" s="25" t="n"/>
      <c r="L145" s="25" t="inlineStr">
        <is>
          <t>Public university</t>
        </is>
      </c>
      <c r="M145" s="25" t="inlineStr">
        <is>
          <t>French</t>
        </is>
      </c>
      <c r="N145" s="25" t="inlineStr">
        <is>
          <t>General</t>
        </is>
      </c>
      <c r="O145" s="25" t="inlineStr">
        <is>
          <t>Bac +4 / Bac +5</t>
        </is>
      </c>
      <c r="P145" s="26" t="inlineStr">
        <is>
          <t>Eligible on level (4-yr BS ≈ Bac+4)</t>
        </is>
      </c>
      <c r="Q145" s="25" t="inlineStr">
        <is>
          <t>1/2</t>
        </is>
      </c>
      <c r="R145" s="25" t="n"/>
      <c r="S145" s="27" t="n">
        <v>3950</v>
      </c>
      <c r="T145" s="27" t="n">
        <v>255</v>
      </c>
      <c r="U145" s="25" t="n">
        <v>2</v>
      </c>
      <c r="V145" s="27">
        <f>IF(S145="","",S145*U145)</f>
        <v/>
      </c>
      <c r="W145" s="26" t="inlineStr">
        <is>
          <t>Catalogue: €3,950. = national differentiated master fee (2026-27: €3,950). Exemption to ~€255 possible (university quota).</t>
        </is>
      </c>
      <c r="X145" s="25" t="inlineStr">
        <is>
          <t>High</t>
        </is>
      </c>
      <c r="Y145" s="25" t="inlineStr">
        <is>
          <t>3950</t>
        </is>
      </c>
      <c r="Z145" s="26" t="n"/>
      <c r="AA145" s="26" t="n"/>
      <c r="AB145" s="25" t="n"/>
      <c r="AC145" s="25" t="inlineStr">
        <is>
          <t>Open</t>
        </is>
      </c>
      <c r="AD145" s="25" t="inlineStr">
        <is>
          <t>2026-10-01</t>
        </is>
      </c>
      <c r="AE145" s="25" t="inlineStr">
        <is>
          <t>2027-03-15</t>
        </is>
      </c>
      <c r="AF145" s="25" t="inlineStr">
        <is>
          <t>No</t>
        </is>
      </c>
      <c r="AG145" s="28" t="inlineStr">
        <is>
          <t>http://www.univ-brest.fr/ufr-sciences</t>
        </is>
      </c>
      <c r="AH145" s="26" t="inlineStr">
        <is>
          <t>L'université de Bretagne occidentale demande de présenter un Test de connaissance en français pour tous les candidats dont une des langues officielles n'est pas le français. Pour les pays où le français n'est pas la seul</t>
        </is>
      </c>
      <c r="AI145" s="28" t="inlineStr">
        <is>
          <t>Open in EEF</t>
        </is>
      </c>
    </row>
    <row r="146" ht="32.8" customHeight="1" s="19">
      <c r="A146" s="25" t="n">
        <v>145</v>
      </c>
      <c r="B146" s="25" t="inlineStr">
        <is>
          <t>★★★★☆</t>
        </is>
      </c>
      <c r="C146" s="25" t="inlineStr">
        <is>
          <t>4 – Strong fit (electronics/signal/robotics/IoT/sensors)</t>
        </is>
      </c>
      <c r="D146" s="25" t="inlineStr">
        <is>
          <t>Signal / Image / Vision</t>
        </is>
      </c>
      <c r="E146" s="26" t="inlineStr">
        <is>
          <t>Master indifférencié (recherche et professionnel) Sciences, technologies, santé mention Ingénierie des systèmes complexes parcours Vision, signal, trajectographie et automatique</t>
        </is>
      </c>
      <c r="F146" s="26" t="inlineStr">
        <is>
          <t>Science, Technology, Health (STS) – major: Complex Systems Engineering – track: Vision, signal, trajectographie &amp; Automation</t>
        </is>
      </c>
      <c r="G146" s="25" t="inlineStr">
        <is>
          <t>Master indifférencié (recherche et professionnel)</t>
        </is>
      </c>
      <c r="H146" s="25" t="inlineStr">
        <is>
          <t>UFR de sciences et techniques</t>
        </is>
      </c>
      <c r="I146" s="25" t="inlineStr">
        <is>
          <t>Université de Toulon</t>
        </is>
      </c>
      <c r="J146" s="25" t="inlineStr">
        <is>
          <t>Site de La Garde</t>
        </is>
      </c>
      <c r="K146" s="25" t="inlineStr">
        <is>
          <t>83130 La Garde UFR SCIENCES ET TECH</t>
        </is>
      </c>
      <c r="L146" s="25" t="inlineStr">
        <is>
          <t>Public university</t>
        </is>
      </c>
      <c r="M146" s="25" t="inlineStr">
        <is>
          <t>French</t>
        </is>
      </c>
      <c r="N146" s="25" t="inlineStr">
        <is>
          <t>General</t>
        </is>
      </c>
      <c r="O146" s="25" t="inlineStr">
        <is>
          <t>Bac +4</t>
        </is>
      </c>
      <c r="P146" s="26" t="inlineStr">
        <is>
          <t>Eligible on level (4-yr BS ≈ Bac+4)</t>
        </is>
      </c>
      <c r="Q146" s="25" t="inlineStr">
        <is>
          <t>1</t>
        </is>
      </c>
      <c r="R146" s="25" t="inlineStr">
        <is>
          <t>12</t>
        </is>
      </c>
      <c r="S146" s="27" t="n">
        <v>3950</v>
      </c>
      <c r="T146" s="27" t="n">
        <v>255</v>
      </c>
      <c r="U146" s="25" t="n">
        <v>2</v>
      </c>
      <c r="V146" s="27">
        <f>IF(S146="","",S146*U146)</f>
        <v/>
      </c>
      <c r="W146" s="26" t="inlineStr">
        <is>
          <t>Catalogue: €3,950. = national differentiated master fee (2026-27: €3,950). Exemption to ~€255 possible (university quota).</t>
        </is>
      </c>
      <c r="X146" s="25" t="inlineStr">
        <is>
          <t>High</t>
        </is>
      </c>
      <c r="Y146" s="25" t="inlineStr">
        <is>
          <t>3950</t>
        </is>
      </c>
      <c r="Z146" s="26" t="n"/>
      <c r="AA146" s="26" t="n"/>
      <c r="AB146" s="25" t="n"/>
      <c r="AC146" s="25" t="inlineStr">
        <is>
          <t>Open</t>
        </is>
      </c>
      <c r="AD146" s="25" t="inlineStr">
        <is>
          <t>2026-10-01</t>
        </is>
      </c>
      <c r="AE146" s="25" t="inlineStr">
        <is>
          <t>2027-03-15</t>
        </is>
      </c>
      <c r="AF146" s="25" t="inlineStr">
        <is>
          <t>No</t>
        </is>
      </c>
      <c r="AG146" s="28" t="inlineStr">
        <is>
          <t>https://formations.univ-tln.fr/fr/offre-de-formation/master-XB/master-ingenierie-des-systemes-complexes-LO8RGPP1/master-ingenierie-des-systemes-complexes-parcours-vision-signal-trajectographie-et-automatique-LPZS1DK9.html</t>
        </is>
      </c>
      <c r="AH146" s="26" t="inlineStr">
        <is>
          <t>Attendus administratifs : Niveau B2 de langue française exigé Attendus pédagogiques : solides connaissances en maths-physiques, probablités, traitement du signal, notions de programmation. Licences conseillées pour le M1</t>
        </is>
      </c>
      <c r="AI146" s="28" t="inlineStr">
        <is>
          <t>Open in EEF</t>
        </is>
      </c>
    </row>
    <row r="147" ht="32.8" customHeight="1" s="19">
      <c r="A147" s="25" t="n">
        <v>146</v>
      </c>
      <c r="B147" s="25" t="inlineStr">
        <is>
          <t>★★★★☆</t>
        </is>
      </c>
      <c r="C147" s="25" t="inlineStr">
        <is>
          <t>4 – Strong fit (electronics/signal/robotics/IoT/sensors)</t>
        </is>
      </c>
      <c r="D147" s="25" t="inlineStr">
        <is>
          <t>IoT / Telecom / Networks</t>
        </is>
      </c>
      <c r="E147" s="26" t="inlineStr">
        <is>
          <t>Master indifférencié (recherche et professionnel) Sciences, technologies, santé mention ingénierie de systèmes complexes parcours RESET : REseaux, Signaux, Eco-Tic</t>
        </is>
      </c>
      <c r="F147" s="26" t="inlineStr">
        <is>
          <t>Science, Technology, Health (STS) – major: Engineering of Systems Complex – track: RESET : Networks, Signaux, Eco-Tic</t>
        </is>
      </c>
      <c r="G147" s="25" t="inlineStr">
        <is>
          <t>Master indifférencié (recherche et professionnel)</t>
        </is>
      </c>
      <c r="H147" s="25" t="inlineStr">
        <is>
          <t>Faculté des Sciences et Technologies</t>
        </is>
      </c>
      <c r="I147" s="25" t="inlineStr">
        <is>
          <t>Université de Lorraine</t>
        </is>
      </c>
      <c r="J147" s="25" t="inlineStr">
        <is>
          <t>Site de Vandoeuvre-lès-Nancy</t>
        </is>
      </c>
      <c r="K147" s="25" t="n"/>
      <c r="L147" s="25" t="inlineStr">
        <is>
          <t>Public university</t>
        </is>
      </c>
      <c r="M147" s="25" t="inlineStr">
        <is>
          <t>French</t>
        </is>
      </c>
      <c r="N147" s="25" t="inlineStr">
        <is>
          <t>General</t>
        </is>
      </c>
      <c r="O147" s="25" t="inlineStr">
        <is>
          <t>Bac +4</t>
        </is>
      </c>
      <c r="P147" s="26" t="inlineStr">
        <is>
          <t>Eligible on level (4-yr BS ≈ Bac+4)</t>
        </is>
      </c>
      <c r="Q147" s="25" t="inlineStr">
        <is>
          <t>1</t>
        </is>
      </c>
      <c r="R147" s="25" t="n"/>
      <c r="S147" s="27" t="n">
        <v>3950</v>
      </c>
      <c r="T147" s="27" t="n">
        <v>255</v>
      </c>
      <c r="U147" s="25" t="n">
        <v>2</v>
      </c>
      <c r="V147" s="27">
        <f>IF(S147="","",S147*U147)</f>
        <v/>
      </c>
      <c r="W147" s="26" t="inlineStr">
        <is>
          <t>Catalogue: €3,950. = national differentiated master fee (2026-27: €3,950). Exemption to ~€255 possible (university quota).</t>
        </is>
      </c>
      <c r="X147" s="25" t="inlineStr">
        <is>
          <t>High</t>
        </is>
      </c>
      <c r="Y147" s="25" t="inlineStr">
        <is>
          <t>3950</t>
        </is>
      </c>
      <c r="Z147" s="26" t="n"/>
      <c r="AA147" s="26" t="n"/>
      <c r="AB147" s="25" t="n"/>
      <c r="AC147" s="25" t="inlineStr">
        <is>
          <t>Open</t>
        </is>
      </c>
      <c r="AD147" s="25" t="inlineStr">
        <is>
          <t>2026-10-01</t>
        </is>
      </c>
      <c r="AE147" s="25" t="inlineStr">
        <is>
          <t>2027-03-15</t>
        </is>
      </c>
      <c r="AF147" s="25" t="inlineStr">
        <is>
          <t>No</t>
        </is>
      </c>
      <c r="AG147" s="28" t="inlineStr">
        <is>
          <t>https://fst.univ-lorraine.fr/formations/</t>
        </is>
      </c>
      <c r="AH147" s="26" t="inlineStr">
        <is>
          <t>Niveau B2 en langue française exigé. Aucun dossier transmis en dehors de la campagne d'ouverture de Campus France ne sera accepté. Un ordinateur et une connexion internet sont nécessaires pour suivre la formation. AUCUNE</t>
        </is>
      </c>
      <c r="AI147" s="28" t="inlineStr">
        <is>
          <t>Open in EEF</t>
        </is>
      </c>
    </row>
    <row r="148" ht="32.8" customHeight="1" s="19">
      <c r="A148" s="25" t="n">
        <v>147</v>
      </c>
      <c r="B148" s="25" t="inlineStr">
        <is>
          <t>★★★★☆</t>
        </is>
      </c>
      <c r="C148" s="25" t="inlineStr">
        <is>
          <t>4 – Strong fit (electronics/signal/robotics/IoT/sensors)</t>
        </is>
      </c>
      <c r="D148" s="25" t="inlineStr">
        <is>
          <t>IoT / Telecom / Networks</t>
        </is>
      </c>
      <c r="E148" s="26" t="inlineStr">
        <is>
          <t>Master indifférencié (recherche et professionnel) Sciences, technologies, santé mention ingénierie et innovation en images et réseaux parcours Ingénierie et Innovation en image et réseaux parcours Réseaux</t>
        </is>
      </c>
      <c r="F148" s="26" t="inlineStr">
        <is>
          <t>Science, Technology, Health (STS) – major: Engineering &amp; innovation in Images &amp; Networks – track: Engineering &amp; Innovation in Image &amp; Networks – track: Networks</t>
        </is>
      </c>
      <c r="G148" s="25" t="inlineStr">
        <is>
          <t>Master indifférencié (recherche et professionnel)</t>
        </is>
      </c>
      <c r="H148" s="25" t="inlineStr">
        <is>
          <t>Institut Galilée</t>
        </is>
      </c>
      <c r="I148" s="25" t="inlineStr">
        <is>
          <t>Université Sorbonne Paris Nord</t>
        </is>
      </c>
      <c r="J148" s="25" t="inlineStr">
        <is>
          <t>Site de Villetaneuse</t>
        </is>
      </c>
      <c r="K148" s="25" t="n"/>
      <c r="L148" s="25" t="inlineStr">
        <is>
          <t>Public school / institute</t>
        </is>
      </c>
      <c r="M148" s="25" t="inlineStr">
        <is>
          <t>French</t>
        </is>
      </c>
      <c r="N148" s="25" t="inlineStr">
        <is>
          <t>General</t>
        </is>
      </c>
      <c r="O148" s="25" t="inlineStr">
        <is>
          <t>Bac +4 / Bac +5</t>
        </is>
      </c>
      <c r="P148" s="26" t="inlineStr">
        <is>
          <t>Eligible on level (4-yr BS ≈ Bac+4)</t>
        </is>
      </c>
      <c r="Q148" s="25" t="inlineStr">
        <is>
          <t>1/2</t>
        </is>
      </c>
      <c r="R148" s="25" t="inlineStr">
        <is>
          <t>12</t>
        </is>
      </c>
      <c r="S148" s="27" t="n">
        <v>3950</v>
      </c>
      <c r="T148" s="27" t="n">
        <v>255</v>
      </c>
      <c r="U148" s="25" t="n">
        <v>2</v>
      </c>
      <c r="V148" s="27">
        <f>IF(S148="","",S148*U148)</f>
        <v/>
      </c>
      <c r="W148" s="26" t="inlineStr">
        <is>
          <t>Catalogue: €3,950. = national differentiated master fee (2026-27: €3,950). Exemption to ~€255 possible (university quota).</t>
        </is>
      </c>
      <c r="X148" s="25" t="inlineStr">
        <is>
          <t>High</t>
        </is>
      </c>
      <c r="Y148" s="25" t="inlineStr">
        <is>
          <t>3950</t>
        </is>
      </c>
      <c r="Z148" s="26" t="n"/>
      <c r="AA148" s="26" t="n"/>
      <c r="AB148" s="25" t="n"/>
      <c r="AC148" s="25" t="inlineStr">
        <is>
          <t>Open</t>
        </is>
      </c>
      <c r="AD148" s="25" t="inlineStr">
        <is>
          <t>2026-10-01</t>
        </is>
      </c>
      <c r="AE148" s="25" t="inlineStr">
        <is>
          <t>2027-03-15</t>
        </is>
      </c>
      <c r="AF148" s="25" t="inlineStr">
        <is>
          <t>No</t>
        </is>
      </c>
      <c r="AG148" s="25" t="n"/>
      <c r="AH148" s="26" t="inlineStr">
        <is>
          <t>Niveau TCF Minimun B2 Etre titulaire d'un Master Sciences pour l’ingénieur ou Informatique ou Electronique ou énergie électrique ou automatique ou Mathématiques (avec des cours optionnels sur le traitement de signal et l</t>
        </is>
      </c>
      <c r="AI148" s="28" t="inlineStr">
        <is>
          <t>Open in EEF</t>
        </is>
      </c>
    </row>
    <row r="149" ht="43.25" customHeight="1" s="19">
      <c r="A149" s="25" t="n">
        <v>148</v>
      </c>
      <c r="B149" s="25" t="inlineStr">
        <is>
          <t>★★★★☆</t>
        </is>
      </c>
      <c r="C149" s="25" t="inlineStr">
        <is>
          <t>4 – Strong fit (electronics/signal/robotics/IoT/sensors)</t>
        </is>
      </c>
      <c r="D149" s="25" t="inlineStr">
        <is>
          <t>IoT / Telecom / Networks</t>
        </is>
      </c>
      <c r="E149" s="26" t="inlineStr">
        <is>
          <t>Master indifférencié (recherche et professionnel) Sciences, technologies, santé mention ingénierie et innovation en images et réseaux parcours Ingénierie et innovation en images et réseaux parcours Systèmes intelligents et Vision par ordinateur (SIVO)</t>
        </is>
      </c>
      <c r="F149" s="26" t="inlineStr">
        <is>
          <t>Science, Technology, Health (STS) – major: Engineering &amp; innovation in Images &amp; Networks – track: Engineering &amp; innovation in Images &amp; Networks – track: Systems Intelligent &amp; Computer Vision (SIVO)</t>
        </is>
      </c>
      <c r="G149" s="25" t="inlineStr">
        <is>
          <t>Master indifférencié (recherche et professionnel)</t>
        </is>
      </c>
      <c r="H149" s="25" t="inlineStr">
        <is>
          <t>Institut Galilée</t>
        </is>
      </c>
      <c r="I149" s="25" t="inlineStr">
        <is>
          <t>Université Sorbonne Paris Nord</t>
        </is>
      </c>
      <c r="J149" s="25" t="inlineStr">
        <is>
          <t>Site de Villetaneuse</t>
        </is>
      </c>
      <c r="K149" s="25" t="n"/>
      <c r="L149" s="25" t="inlineStr">
        <is>
          <t>Public school / institute</t>
        </is>
      </c>
      <c r="M149" s="25" t="inlineStr">
        <is>
          <t>French</t>
        </is>
      </c>
      <c r="N149" s="25" t="inlineStr">
        <is>
          <t>General</t>
        </is>
      </c>
      <c r="O149" s="25" t="inlineStr">
        <is>
          <t>Bac +4 / Bac +5</t>
        </is>
      </c>
      <c r="P149" s="26" t="inlineStr">
        <is>
          <t>Eligible on level (4-yr BS ≈ Bac+4)</t>
        </is>
      </c>
      <c r="Q149" s="25" t="inlineStr">
        <is>
          <t>1/2</t>
        </is>
      </c>
      <c r="R149" s="25" t="inlineStr">
        <is>
          <t>12</t>
        </is>
      </c>
      <c r="S149" s="27" t="n">
        <v>3950</v>
      </c>
      <c r="T149" s="27" t="n">
        <v>255</v>
      </c>
      <c r="U149" s="25" t="n">
        <v>2</v>
      </c>
      <c r="V149" s="27">
        <f>IF(S149="","",S149*U149)</f>
        <v/>
      </c>
      <c r="W149" s="26" t="inlineStr">
        <is>
          <t>Catalogue: €3,950. = national differentiated master fee (2026-27: €3,950). Exemption to ~€255 possible (university quota).</t>
        </is>
      </c>
      <c r="X149" s="25" t="inlineStr">
        <is>
          <t>High</t>
        </is>
      </c>
      <c r="Y149" s="25" t="inlineStr">
        <is>
          <t>3950</t>
        </is>
      </c>
      <c r="Z149" s="26" t="n"/>
      <c r="AA149" s="26" t="n"/>
      <c r="AB149" s="25" t="n"/>
      <c r="AC149" s="25" t="inlineStr">
        <is>
          <t>Open</t>
        </is>
      </c>
      <c r="AD149" s="25" t="inlineStr">
        <is>
          <t>2026-10-01</t>
        </is>
      </c>
      <c r="AE149" s="25" t="inlineStr">
        <is>
          <t>2027-03-15</t>
        </is>
      </c>
      <c r="AF149" s="25" t="inlineStr">
        <is>
          <t>No</t>
        </is>
      </c>
      <c r="AG149" s="28" t="inlineStr">
        <is>
          <t>http://www-galilee.univ-paris13.fr/</t>
        </is>
      </c>
      <c r="AH149" s="26" t="inlineStr">
        <is>
          <t>Niveau TCF Minimun B2 Etre titulaire d'un Master Sciences pour l’ingénieur ou Informatique ou Electronique ou énergie électrique ou automatique ou Mathématiques (avec des cours optionnels sur le traitement de signal et l</t>
        </is>
      </c>
      <c r="AI149" s="28" t="inlineStr">
        <is>
          <t>Open in EEF</t>
        </is>
      </c>
    </row>
    <row r="150" ht="32.8" customHeight="1" s="19">
      <c r="A150" s="25" t="n">
        <v>149</v>
      </c>
      <c r="B150" s="25" t="inlineStr">
        <is>
          <t>★★★★☆</t>
        </is>
      </c>
      <c r="C150" s="25" t="inlineStr">
        <is>
          <t>4 – Strong fit (electronics/signal/robotics/IoT/sensors)</t>
        </is>
      </c>
      <c r="D150" s="25" t="inlineStr">
        <is>
          <t>Robotics / Automation / Mechatronics</t>
        </is>
      </c>
      <c r="E150" s="26" t="inlineStr">
        <is>
          <t>Master indifférencié (recherche et professionnel) Sciences, technologies, santé mention Intelligence artificielle et ingénierie des systèmes parcours Automatique avancée pour la gestion des énergies</t>
        </is>
      </c>
      <c r="F150" s="26" t="inlineStr">
        <is>
          <t>Science, Technology, Health (STS) – major: Artificial Intelligence &amp; Engineering of Systems – track: Automation Advanced for the Management of Energies</t>
        </is>
      </c>
      <c r="G150" s="25" t="inlineStr">
        <is>
          <t>Master indifférencié (recherche et professionnel)</t>
        </is>
      </c>
      <c r="H150" s="25" t="inlineStr">
        <is>
          <t>UFR des Sciences Exactes et Expérimentales (SEE)</t>
        </is>
      </c>
      <c r="I150" s="25" t="inlineStr">
        <is>
          <t>Université de Perpignan Via Domitia</t>
        </is>
      </c>
      <c r="J150" s="25" t="inlineStr">
        <is>
          <t>Site de Perpignan</t>
        </is>
      </c>
      <c r="K150" s="25" t="n"/>
      <c r="L150" s="25" t="inlineStr">
        <is>
          <t>Public university</t>
        </is>
      </c>
      <c r="M150" s="25" t="inlineStr">
        <is>
          <t>French</t>
        </is>
      </c>
      <c r="N150" s="25" t="inlineStr">
        <is>
          <t>General</t>
        </is>
      </c>
      <c r="O150" s="25" t="inlineStr">
        <is>
          <t>Bac +4 / Bac +5</t>
        </is>
      </c>
      <c r="P150" s="26" t="inlineStr">
        <is>
          <t>Eligible on level (4-yr BS ≈ Bac+4)</t>
        </is>
      </c>
      <c r="Q150" s="25" t="inlineStr">
        <is>
          <t>1/2</t>
        </is>
      </c>
      <c r="R150" s="25" t="n"/>
      <c r="S150" s="27" t="n">
        <v>3950</v>
      </c>
      <c r="T150" s="27" t="n">
        <v>255</v>
      </c>
      <c r="U150" s="25" t="n">
        <v>2</v>
      </c>
      <c r="V150" s="27">
        <f>IF(S150="","",S150*U150)</f>
        <v/>
      </c>
      <c r="W150" s="26" t="inlineStr">
        <is>
          <t>Catalogue: €3,950. = national differentiated master fee (2026-27: €3,950). Exemption to ~€255 possible (university quota).</t>
        </is>
      </c>
      <c r="X150" s="25" t="inlineStr">
        <is>
          <t>High</t>
        </is>
      </c>
      <c r="Y150" s="25" t="inlineStr">
        <is>
          <t>3950</t>
        </is>
      </c>
      <c r="Z150" s="26" t="n"/>
      <c r="AA150" s="26" t="n"/>
      <c r="AB150" s="25" t="n"/>
      <c r="AC150" s="25" t="inlineStr">
        <is>
          <t>Open</t>
        </is>
      </c>
      <c r="AD150" s="25" t="inlineStr">
        <is>
          <t>2026-10-01</t>
        </is>
      </c>
      <c r="AE150" s="25" t="inlineStr">
        <is>
          <t>2027-03-15</t>
        </is>
      </c>
      <c r="AF150" s="25" t="inlineStr">
        <is>
          <t>No</t>
        </is>
      </c>
      <c r="AG150" s="25" t="n"/>
      <c r="AH150" s="26" t="inlineStr">
        <is>
          <t>- Mention bien (moyenne supérieure à 14/20) en licence 3 (ou équivalent). - Avoir validé en 1ère session les années de L1, L2 et le premier semestre de L3 (ou équivalent). - Avoir validé avec une moyenne supérieure ou ég</t>
        </is>
      </c>
      <c r="AI150" s="28" t="inlineStr">
        <is>
          <t>Open in EEF</t>
        </is>
      </c>
    </row>
    <row r="151" ht="32.8" customHeight="1" s="19">
      <c r="A151" s="25" t="n">
        <v>150</v>
      </c>
      <c r="B151" s="25" t="inlineStr">
        <is>
          <t>★★★★☆</t>
        </is>
      </c>
      <c r="C151" s="25" t="inlineStr">
        <is>
          <t>4 – Strong fit (electronics/signal/robotics/IoT/sensors)</t>
        </is>
      </c>
      <c r="D151" s="25" t="inlineStr">
        <is>
          <t>Robotics / Automation / Mechatronics</t>
        </is>
      </c>
      <c r="E151" s="26" t="inlineStr">
        <is>
          <t>Master indifférencié (recherche et professionnel) Sciences, technologies, santé mention Physique appliquée et Ingénierie physique parcours Mécatronique, énergie et systèmes intelligents</t>
        </is>
      </c>
      <c r="F151" s="26" t="inlineStr">
        <is>
          <t>Science, Technology, Health (STS) – major: Applied Physics &amp; Engineering Physics – track: Mechatronics, Energy &amp; Systems Intelligent</t>
        </is>
      </c>
      <c r="G151" s="25" t="inlineStr">
        <is>
          <t>Master indifférencié (recherche et professionnel)</t>
        </is>
      </c>
      <c r="H151" s="25" t="inlineStr">
        <is>
          <t>Faculté de physique et ingénierie</t>
        </is>
      </c>
      <c r="I151" s="25" t="inlineStr">
        <is>
          <t>Université de Strasbourg</t>
        </is>
      </c>
      <c r="J151" s="25" t="inlineStr">
        <is>
          <t>Site de Strasbourg</t>
        </is>
      </c>
      <c r="K151" s="25" t="n"/>
      <c r="L151" s="25" t="inlineStr">
        <is>
          <t>Public university</t>
        </is>
      </c>
      <c r="M151" s="25" t="inlineStr">
        <is>
          <t>French</t>
        </is>
      </c>
      <c r="N151" s="25" t="inlineStr">
        <is>
          <t>General</t>
        </is>
      </c>
      <c r="O151" s="25" t="inlineStr">
        <is>
          <t>Bac +4 / Bac +5</t>
        </is>
      </c>
      <c r="P151" s="26" t="inlineStr">
        <is>
          <t>Eligible on level (4-yr BS ≈ Bac+4)</t>
        </is>
      </c>
      <c r="Q151" s="25" t="inlineStr">
        <is>
          <t>1/2</t>
        </is>
      </c>
      <c r="R151" s="25" t="n"/>
      <c r="S151" s="27" t="n">
        <v>3950</v>
      </c>
      <c r="T151" s="27" t="n">
        <v>255</v>
      </c>
      <c r="U151" s="25" t="n">
        <v>2</v>
      </c>
      <c r="V151" s="27">
        <f>IF(S151="","",S151*U151)</f>
        <v/>
      </c>
      <c r="W151" s="26" t="inlineStr">
        <is>
          <t>Catalogue: €3,950. = national differentiated master fee (2026-27: €3,950). Exemption to ~€255 possible (university quota).</t>
        </is>
      </c>
      <c r="X151" s="25" t="inlineStr">
        <is>
          <t>High</t>
        </is>
      </c>
      <c r="Y151" s="25" t="inlineStr">
        <is>
          <t>3950</t>
        </is>
      </c>
      <c r="Z151" s="26" t="n"/>
      <c r="AA151" s="26" t="inlineStr">
        <is>
          <t>Unistra: master entrants who did not do their licence at Unistra pay the differentiated fee (€3,950).</t>
        </is>
      </c>
      <c r="AB151" s="28" t="inlineStr">
        <is>
          <t>https://www.unistra.fr/fr/node/8168</t>
        </is>
      </c>
      <c r="AC151" s="25" t="inlineStr">
        <is>
          <t>Open</t>
        </is>
      </c>
      <c r="AD151" s="25" t="inlineStr">
        <is>
          <t>2026-10-01</t>
        </is>
      </c>
      <c r="AE151" s="25" t="inlineStr">
        <is>
          <t>2027-03-15</t>
        </is>
      </c>
      <c r="AF151" s="25" t="inlineStr">
        <is>
          <t>No</t>
        </is>
      </c>
      <c r="AG151" s="28" t="inlineStr">
        <is>
          <t>http://www.physique-ingenierie.unistra.fr/</t>
        </is>
      </c>
      <c r="AH151" s="26" t="inlineStr">
        <is>
          <t>- Niveau d’entrée en MESI1 : Licence ou Bachelor. - Disciplines : Sciences pour l’ingénieur (domaines de l’Electronique/ Electrotechnique/ Automatique (EEA), de la mécatronique, de la mécanique, de l’informatique, du gén</t>
        </is>
      </c>
      <c r="AI151" s="28" t="inlineStr">
        <is>
          <t>Open in EEF</t>
        </is>
      </c>
    </row>
    <row r="152" ht="32.8" customHeight="1" s="19">
      <c r="A152" s="25" t="n">
        <v>151</v>
      </c>
      <c r="B152" s="25" t="inlineStr">
        <is>
          <t>★★★★☆</t>
        </is>
      </c>
      <c r="C152" s="25" t="inlineStr">
        <is>
          <t>4 – Strong fit (electronics/signal/robotics/IoT/sensors)</t>
        </is>
      </c>
      <c r="D152" s="25" t="inlineStr">
        <is>
          <t>Sensors / Instrumentation / Micro-Nano / Photonics</t>
        </is>
      </c>
      <c r="E152" s="26" t="inlineStr">
        <is>
          <t>Master indifférencié (recherche et professionnel) Sciences, technologies, santé mention Physique appliquée et Ingénierie physique parcours Instrumentation, contrôle et management des systèmes</t>
        </is>
      </c>
      <c r="F152" s="26" t="inlineStr">
        <is>
          <t>Science, Technology, Health (STS) – major: Applied Physics &amp; Engineering Physics – track: Instrumentation, Control &amp; management of Systems</t>
        </is>
      </c>
      <c r="G152" s="25" t="inlineStr">
        <is>
          <t>Master indifférencié (recherche et professionnel)</t>
        </is>
      </c>
      <c r="H152" s="25" t="inlineStr">
        <is>
          <t>UFR sciences et techniques</t>
        </is>
      </c>
      <c r="I152" s="25" t="inlineStr">
        <is>
          <t>Université d'Orléans</t>
        </is>
      </c>
      <c r="J152" s="25" t="inlineStr">
        <is>
          <t>Site de Orléans</t>
        </is>
      </c>
      <c r="K152" s="25" t="n"/>
      <c r="L152" s="25" t="inlineStr">
        <is>
          <t>Public university</t>
        </is>
      </c>
      <c r="M152" s="25" t="inlineStr">
        <is>
          <t>French</t>
        </is>
      </c>
      <c r="N152" s="25" t="inlineStr">
        <is>
          <t>General</t>
        </is>
      </c>
      <c r="O152" s="25" t="inlineStr">
        <is>
          <t>Bac +4 / Bac +5</t>
        </is>
      </c>
      <c r="P152" s="26" t="inlineStr">
        <is>
          <t>Eligible on level (4-yr BS ≈ Bac+4)</t>
        </is>
      </c>
      <c r="Q152" s="25" t="inlineStr">
        <is>
          <t>1/2</t>
        </is>
      </c>
      <c r="R152" s="25" t="inlineStr">
        <is>
          <t>12</t>
        </is>
      </c>
      <c r="S152" s="27" t="n">
        <v>3950</v>
      </c>
      <c r="T152" s="27" t="n">
        <v>255</v>
      </c>
      <c r="U152" s="25" t="n">
        <v>2</v>
      </c>
      <c r="V152" s="27">
        <f>IF(S152="","",S152*U152)</f>
        <v/>
      </c>
      <c r="W152" s="26" t="inlineStr">
        <is>
          <t>Catalogue: €3,950. = national differentiated master fee (2026-27: €3,950). Exemption to ~€255 possible (university quota).</t>
        </is>
      </c>
      <c r="X152" s="25" t="inlineStr">
        <is>
          <t>High</t>
        </is>
      </c>
      <c r="Y152" s="25" t="inlineStr">
        <is>
          <t>3950</t>
        </is>
      </c>
      <c r="Z152" s="26" t="n"/>
      <c r="AA152" s="26" t="n"/>
      <c r="AB152" s="25" t="n"/>
      <c r="AC152" s="25" t="inlineStr">
        <is>
          <t>Open</t>
        </is>
      </c>
      <c r="AD152" s="25" t="inlineStr">
        <is>
          <t>2026-10-01</t>
        </is>
      </c>
      <c r="AE152" s="25" t="inlineStr">
        <is>
          <t>2027-03-15</t>
        </is>
      </c>
      <c r="AF152" s="25" t="inlineStr">
        <is>
          <t>No</t>
        </is>
      </c>
      <c r="AG152" s="28" t="inlineStr">
        <is>
          <t>https://www.univ-orleans.fr/fr/sciences-techniques/formation/physique</t>
        </is>
      </c>
      <c r="AH152" s="26" t="inlineStr">
        <is>
          <t>Candidature en M1 : Avoir un bon niveau en math et en physique ou sciences de l'ingénieur. Avoir obtenu de bons résultats ou avoir de l'expérience en situation professionnelle (stage). Candidature en M2 : Avoir obtenu un</t>
        </is>
      </c>
      <c r="AI152" s="28" t="inlineStr">
        <is>
          <t>Open in EEF</t>
        </is>
      </c>
    </row>
    <row r="153" ht="32.8" customHeight="1" s="19">
      <c r="A153" s="25" t="n">
        <v>152</v>
      </c>
      <c r="B153" s="25" t="inlineStr">
        <is>
          <t>★★★★☆</t>
        </is>
      </c>
      <c r="C153" s="25" t="inlineStr">
        <is>
          <t>4 – Strong fit (electronics/signal/robotics/IoT/sensors)</t>
        </is>
      </c>
      <c r="D153" s="25" t="inlineStr">
        <is>
          <t>Signal / Image / Vision</t>
        </is>
      </c>
      <c r="E153" s="26" t="inlineStr">
        <is>
          <t>Master indifférencié (recherche et professionnel) Sciences, technologies, santé mention Physique appliquée et Ingénierie physique parcours Photonique Signal Imagerie</t>
        </is>
      </c>
      <c r="F153" s="26" t="inlineStr">
        <is>
          <t>Science, Technology, Health (STS) – major: Applied Physics &amp; Engineering Physics – track: Photonics Signal Imaging</t>
        </is>
      </c>
      <c r="G153" s="25" t="inlineStr">
        <is>
          <t>Master indifférencié (recherche et professionnel)</t>
        </is>
      </c>
      <c r="H153" s="25" t="inlineStr">
        <is>
          <t>UFR de sciences</t>
        </is>
      </c>
      <c r="I153" s="25" t="inlineStr">
        <is>
          <t>Université d'Angers</t>
        </is>
      </c>
      <c r="J153" s="25" t="inlineStr">
        <is>
          <t>Site de Angers</t>
        </is>
      </c>
      <c r="K153" s="25" t="n"/>
      <c r="L153" s="25" t="inlineStr">
        <is>
          <t>Public university</t>
        </is>
      </c>
      <c r="M153" s="25" t="inlineStr">
        <is>
          <t>French</t>
        </is>
      </c>
      <c r="N153" s="25" t="inlineStr">
        <is>
          <t>General</t>
        </is>
      </c>
      <c r="O153" s="25" t="inlineStr">
        <is>
          <t>Bac +4 / Bac +5</t>
        </is>
      </c>
      <c r="P153" s="26" t="inlineStr">
        <is>
          <t>Eligible on level (4-yr BS ≈ Bac+4)</t>
        </is>
      </c>
      <c r="Q153" s="25" t="inlineStr">
        <is>
          <t>1/2</t>
        </is>
      </c>
      <c r="R153" s="25" t="n"/>
      <c r="S153" s="27" t="n">
        <v>3950</v>
      </c>
      <c r="T153" s="27" t="n">
        <v>255</v>
      </c>
      <c r="U153" s="25" t="n">
        <v>2</v>
      </c>
      <c r="V153" s="27">
        <f>IF(S153="","",S153*U153)</f>
        <v/>
      </c>
      <c r="W153" s="26" t="inlineStr">
        <is>
          <t>Catalogue: €3,950. = national differentiated master fee (2026-27: €3,950). Exemption to ~€255 possible (university quota).</t>
        </is>
      </c>
      <c r="X153" s="25" t="inlineStr">
        <is>
          <t>High</t>
        </is>
      </c>
      <c r="Y153" s="25" t="inlineStr">
        <is>
          <t>3950</t>
        </is>
      </c>
      <c r="Z153" s="26" t="n"/>
      <c r="AA153" s="26" t="n"/>
      <c r="AB153" s="25" t="n"/>
      <c r="AC153" s="25" t="inlineStr">
        <is>
          <t>Open</t>
        </is>
      </c>
      <c r="AD153" s="25" t="inlineStr">
        <is>
          <t>2026-10-01</t>
        </is>
      </c>
      <c r="AE153" s="25" t="inlineStr">
        <is>
          <t>2027-03-15</t>
        </is>
      </c>
      <c r="AF153" s="25" t="inlineStr">
        <is>
          <t>No</t>
        </is>
      </c>
      <c r="AG153" s="28" t="inlineStr">
        <is>
          <t>https://www.univ-angers.fr/fr/acces-directs/facultes-et-instituts/faculte-des-sciences.html</t>
        </is>
      </c>
      <c r="AH153" s="26" t="inlineStr">
        <is>
          <t>Etre au moins titulaire d'un diplôme niveau Bac+3. Avoir au moins obtenu le niveau B2 en langue française pour les pays non francophones.</t>
        </is>
      </c>
      <c r="AI153" s="28" t="inlineStr">
        <is>
          <t>Open in EEF</t>
        </is>
      </c>
    </row>
    <row r="154" ht="32.8" customHeight="1" s="19">
      <c r="A154" s="25" t="n">
        <v>153</v>
      </c>
      <c r="B154" s="25" t="inlineStr">
        <is>
          <t>★★★★☆</t>
        </is>
      </c>
      <c r="C154" s="25" t="inlineStr">
        <is>
          <t>4 – Strong fit (electronics/signal/robotics/IoT/sensors)</t>
        </is>
      </c>
      <c r="D154" s="25" t="inlineStr">
        <is>
          <t>Embedded systems / Electronics</t>
        </is>
      </c>
      <c r="E154" s="26" t="inlineStr">
        <is>
          <t>Master indifférencié (recherche et professionnel) Sciences, technologies, santé mention Physique appliquée et Ingénierie physique parcours Systèmes électroniques et microélectroniques</t>
        </is>
      </c>
      <c r="F154" s="26" t="inlineStr">
        <is>
          <t>Science, Technology, Health (STS) – major: Applied Physics &amp; Engineering Physics – track: Systems Electronic &amp; microélectroniques</t>
        </is>
      </c>
      <c r="G154" s="25" t="inlineStr">
        <is>
          <t>Master indifférencié (recherche et professionnel)</t>
        </is>
      </c>
      <c r="H154" s="25" t="inlineStr">
        <is>
          <t>Faculté de physique et ingénierie</t>
        </is>
      </c>
      <c r="I154" s="25" t="inlineStr">
        <is>
          <t>Université de Strasbourg</t>
        </is>
      </c>
      <c r="J154" s="25" t="inlineStr">
        <is>
          <t>Site de Strasbourg</t>
        </is>
      </c>
      <c r="K154" s="25" t="n"/>
      <c r="L154" s="25" t="inlineStr">
        <is>
          <t>Public university</t>
        </is>
      </c>
      <c r="M154" s="25" t="inlineStr">
        <is>
          <t>French</t>
        </is>
      </c>
      <c r="N154" s="25" t="inlineStr">
        <is>
          <t>General</t>
        </is>
      </c>
      <c r="O154" s="25" t="inlineStr">
        <is>
          <t>Bac +4 / Bac +5</t>
        </is>
      </c>
      <c r="P154" s="26" t="inlineStr">
        <is>
          <t>Eligible on level (4-yr BS ≈ Bac+4)</t>
        </is>
      </c>
      <c r="Q154" s="25" t="inlineStr">
        <is>
          <t>1/2</t>
        </is>
      </c>
      <c r="R154" s="25" t="n"/>
      <c r="S154" s="27" t="n">
        <v>3950</v>
      </c>
      <c r="T154" s="27" t="n">
        <v>255</v>
      </c>
      <c r="U154" s="25" t="n">
        <v>2</v>
      </c>
      <c r="V154" s="27">
        <f>IF(S154="","",S154*U154)</f>
        <v/>
      </c>
      <c r="W154" s="26" t="inlineStr">
        <is>
          <t>Catalogue: €3,950. = national differentiated master fee (2026-27: €3,950). Exemption to ~€255 possible (university quota).</t>
        </is>
      </c>
      <c r="X154" s="25" t="inlineStr">
        <is>
          <t>High</t>
        </is>
      </c>
      <c r="Y154" s="25" t="inlineStr">
        <is>
          <t>3950</t>
        </is>
      </c>
      <c r="Z154" s="26" t="n"/>
      <c r="AA154" s="26" t="inlineStr">
        <is>
          <t>Unistra: master entrants who did not do their licence at Unistra pay the differentiated fee (€3,950).</t>
        </is>
      </c>
      <c r="AB154" s="28" t="inlineStr">
        <is>
          <t>https://www.unistra.fr/fr/node/8168</t>
        </is>
      </c>
      <c r="AC154" s="25" t="inlineStr">
        <is>
          <t>Open</t>
        </is>
      </c>
      <c r="AD154" s="25" t="inlineStr">
        <is>
          <t>2026-10-01</t>
        </is>
      </c>
      <c r="AE154" s="25" t="inlineStr">
        <is>
          <t>2027-03-15</t>
        </is>
      </c>
      <c r="AF154" s="25" t="inlineStr">
        <is>
          <t>No</t>
        </is>
      </c>
      <c r="AG154" s="28" t="inlineStr">
        <is>
          <t>http://www.physique-ingenierie.unistra.fr/</t>
        </is>
      </c>
      <c r="AH154" s="26" t="inlineStr">
        <is>
          <t>Les exigences de la formation et les expériences passées en matière de recrutement nous conduisent à n'étudier que les candidatures pour lesquelles les années post-baccalauréat ont été validées en première session et ave</t>
        </is>
      </c>
      <c r="AI154" s="28" t="inlineStr">
        <is>
          <t>Open in EEF</t>
        </is>
      </c>
    </row>
    <row r="155" ht="32.8" customHeight="1" s="19">
      <c r="A155" s="25" t="n">
        <v>154</v>
      </c>
      <c r="B155" s="25" t="inlineStr">
        <is>
          <t>★★★★☆</t>
        </is>
      </c>
      <c r="C155" s="25" t="inlineStr">
        <is>
          <t>4 – Strong fit (electronics/signal/robotics/IoT/sensors)</t>
        </is>
      </c>
      <c r="D155" s="25" t="inlineStr">
        <is>
          <t>IoT / Telecom / Networks</t>
        </is>
      </c>
      <c r="E155" s="26" t="inlineStr">
        <is>
          <t>Master indifférencié (recherche et professionnel) Sciences, technologies, santé mention RESEAUX ET TELECOMMUNICATION parcours Cyberdéfense et Sécurité de l'Information (CDSI)</t>
        </is>
      </c>
      <c r="F155" s="26" t="inlineStr">
        <is>
          <t>Science, Technology, Health (STS) – major: Networks &amp; TELECOMMUNICATION – track: Cyberdéfense &amp; Security of Information (CDSI)</t>
        </is>
      </c>
      <c r="G155" s="25" t="inlineStr">
        <is>
          <t>Master indifférencié (recherche et professionnel)</t>
        </is>
      </c>
      <c r="H155" s="25" t="inlineStr">
        <is>
          <t>INSA HAUTS-DE-FRANCE</t>
        </is>
      </c>
      <c r="I155" s="25" t="inlineStr">
        <is>
          <t>Université polytechnique Hauts-de-France (UPHF)</t>
        </is>
      </c>
      <c r="J155" s="25" t="inlineStr">
        <is>
          <t>Site de Valenciennes</t>
        </is>
      </c>
      <c r="K155" s="25" t="n"/>
      <c r="L155" s="25" t="inlineStr">
        <is>
          <t>Public school / institute</t>
        </is>
      </c>
      <c r="M155" s="25" t="inlineStr">
        <is>
          <t>French</t>
        </is>
      </c>
      <c r="N155" s="25" t="inlineStr">
        <is>
          <t>General</t>
        </is>
      </c>
      <c r="O155" s="25" t="inlineStr">
        <is>
          <t>Bac +4 / Bac +5</t>
        </is>
      </c>
      <c r="P155" s="26" t="inlineStr">
        <is>
          <t>Eligible on level (4-yr BS ≈ Bac+4)</t>
        </is>
      </c>
      <c r="Q155" s="25" t="inlineStr">
        <is>
          <t>1/2</t>
        </is>
      </c>
      <c r="R155" s="25" t="inlineStr">
        <is>
          <t>12/10</t>
        </is>
      </c>
      <c r="S155" s="27" t="n">
        <v>3950</v>
      </c>
      <c r="T155" s="27" t="n">
        <v>255</v>
      </c>
      <c r="U155" s="25" t="n">
        <v>2</v>
      </c>
      <c r="V155" s="27">
        <f>IF(S155="","",S155*U155)</f>
        <v/>
      </c>
      <c r="W155" s="26" t="inlineStr">
        <is>
          <t>Catalogue: €3,879. = national differentiated master fee (2026-27: €3,950). Exemption to ~€255 possible (university quota).</t>
        </is>
      </c>
      <c r="X155" s="25" t="inlineStr">
        <is>
          <t>High</t>
        </is>
      </c>
      <c r="Y155" s="25" t="inlineStr">
        <is>
          <t>3879</t>
        </is>
      </c>
      <c r="Z155" s="26" t="n"/>
      <c r="AA155" s="26" t="n"/>
      <c r="AB155" s="25" t="n"/>
      <c r="AC155" s="25" t="inlineStr">
        <is>
          <t>Open</t>
        </is>
      </c>
      <c r="AD155" s="25" t="inlineStr">
        <is>
          <t>2026-10-01</t>
        </is>
      </c>
      <c r="AE155" s="25" t="inlineStr">
        <is>
          <t>2027-03-15</t>
        </is>
      </c>
      <c r="AF155" s="25" t="inlineStr">
        <is>
          <t>No</t>
        </is>
      </c>
      <c r="AG155" s="28" t="inlineStr">
        <is>
          <t>https://www.insa-hautsdefrance.fr/sites/default/files/media/2024-10/master_cdsi.pdf</t>
        </is>
      </c>
      <c r="AH155" s="26" t="inlineStr">
        <is>
          <t>Le niveau en Langue Française (TCF) exigé est le niveau B2. Message destiné aux Personnes acceptées : Merci de bien vouloir vous présenter dès votre arrivée à l'Université de Valenciennes à la Direction des Etudes et de</t>
        </is>
      </c>
      <c r="AI155" s="28" t="inlineStr">
        <is>
          <t>Open in EEF</t>
        </is>
      </c>
    </row>
    <row r="156" ht="32.8" customHeight="1" s="19">
      <c r="A156" s="25" t="n">
        <v>155</v>
      </c>
      <c r="B156" s="25" t="inlineStr">
        <is>
          <t>★★★★☆</t>
        </is>
      </c>
      <c r="C156" s="25" t="inlineStr">
        <is>
          <t>4 – Strong fit (electronics/signal/robotics/IoT/sensors)</t>
        </is>
      </c>
      <c r="D156" s="25" t="inlineStr">
        <is>
          <t>IoT / Telecom / Networks</t>
        </is>
      </c>
      <c r="E156" s="26" t="inlineStr">
        <is>
          <t>Master indifférencié (recherche et professionnel) Sciences, technologies, santé mention Réseaux et télécommunications parcours Télécommunications, Réseaux et Cybersécurité</t>
        </is>
      </c>
      <c r="F156" s="26" t="inlineStr">
        <is>
          <t>Science, Technology, Health (STS) – major: Networks &amp; Telecommunications – track: Telecommunications, Networks &amp; Cybersecurity</t>
        </is>
      </c>
      <c r="G156" s="25" t="inlineStr">
        <is>
          <t>Master indifférencié (recherche et professionnel)</t>
        </is>
      </c>
      <c r="H156" s="25" t="inlineStr">
        <is>
          <t>UFR sciences et techniques</t>
        </is>
      </c>
      <c r="I156" s="25" t="inlineStr">
        <is>
          <t>Université de Bretagne Occidentale</t>
        </is>
      </c>
      <c r="J156" s="25" t="inlineStr">
        <is>
          <t>Site de Brest</t>
        </is>
      </c>
      <c r="K156" s="25" t="n"/>
      <c r="L156" s="25" t="inlineStr">
        <is>
          <t>Public university</t>
        </is>
      </c>
      <c r="M156" s="25" t="inlineStr">
        <is>
          <t>French</t>
        </is>
      </c>
      <c r="N156" s="25" t="inlineStr">
        <is>
          <t>General</t>
        </is>
      </c>
      <c r="O156" s="25" t="inlineStr">
        <is>
          <t>Bac +4 / Bac +5</t>
        </is>
      </c>
      <c r="P156" s="26" t="inlineStr">
        <is>
          <t>Eligible on level (4-yr BS ≈ Bac+4)</t>
        </is>
      </c>
      <c r="Q156" s="25" t="inlineStr">
        <is>
          <t>1/2</t>
        </is>
      </c>
      <c r="R156" s="25" t="n"/>
      <c r="S156" s="27" t="n">
        <v>3950</v>
      </c>
      <c r="T156" s="27" t="n">
        <v>255</v>
      </c>
      <c r="U156" s="25" t="n">
        <v>2</v>
      </c>
      <c r="V156" s="27">
        <f>IF(S156="","",S156*U156)</f>
        <v/>
      </c>
      <c r="W156" s="26" t="inlineStr">
        <is>
          <t>Catalogue: €3,950. = national differentiated master fee (2026-27: €3,950). Exemption to ~€255 possible (university quota).</t>
        </is>
      </c>
      <c r="X156" s="25" t="inlineStr">
        <is>
          <t>High</t>
        </is>
      </c>
      <c r="Y156" s="25" t="inlineStr">
        <is>
          <t>3950</t>
        </is>
      </c>
      <c r="Z156" s="26" t="n"/>
      <c r="AA156" s="26" t="n"/>
      <c r="AB156" s="25" t="n"/>
      <c r="AC156" s="25" t="inlineStr">
        <is>
          <t>Open</t>
        </is>
      </c>
      <c r="AD156" s="25" t="inlineStr">
        <is>
          <t>2026-10-01</t>
        </is>
      </c>
      <c r="AE156" s="25" t="inlineStr">
        <is>
          <t>2027-03-15</t>
        </is>
      </c>
      <c r="AF156" s="25" t="inlineStr">
        <is>
          <t>No</t>
        </is>
      </c>
      <c r="AG156" s="28" t="inlineStr">
        <is>
          <t>http://www.univ-brest.fr/ufr-sciences</t>
        </is>
      </c>
      <c r="AH156" s="26" t="inlineStr">
        <is>
          <t>L'université de Bretagne occidentale demande de présenter un Test de connaissance en français pour tous les candidats dont une des langues officielles n'est pas le français. Pour les pays où le français n'est pas la seul</t>
        </is>
      </c>
      <c r="AI156" s="28" t="inlineStr">
        <is>
          <t>Open in EEF</t>
        </is>
      </c>
    </row>
    <row r="157" ht="32.8" customHeight="1" s="19">
      <c r="A157" s="25" t="n">
        <v>156</v>
      </c>
      <c r="B157" s="25" t="inlineStr">
        <is>
          <t>★★★★☆</t>
        </is>
      </c>
      <c r="C157" s="25" t="inlineStr">
        <is>
          <t>4 – Strong fit (electronics/signal/robotics/IoT/sensors)</t>
        </is>
      </c>
      <c r="D157" s="25" t="inlineStr">
        <is>
          <t>Embedded systems / Electronics</t>
        </is>
      </c>
      <c r="E157" s="26" t="inlineStr">
        <is>
          <t>Master indifférencié Sciences, technologies, santé mention Electronique, énergie électrique, automatique parcours Electronique, Energie Electrique, Automatique</t>
        </is>
      </c>
      <c r="F157" s="26" t="inlineStr">
        <is>
          <t>Master indifférencié Science, Technology, Health (STS) – major: Electronics, Electrical Energy &amp; Automation (EEA) – track: Electronics, Electrical Energy &amp; Automation (EEA)</t>
        </is>
      </c>
      <c r="G157" s="25" t="inlineStr">
        <is>
          <t>Master indifférencié (recherche et professionnel)</t>
        </is>
      </c>
      <c r="H157" s="25" t="inlineStr">
        <is>
          <t>UFR de sciences et techniques</t>
        </is>
      </c>
      <c r="I157" s="25" t="inlineStr">
        <is>
          <t>Nantes Université</t>
        </is>
      </c>
      <c r="J157" s="25" t="inlineStr">
        <is>
          <t>Site de Nantes</t>
        </is>
      </c>
      <c r="K157" s="25" t="n"/>
      <c r="L157" s="25" t="inlineStr">
        <is>
          <t>Public university</t>
        </is>
      </c>
      <c r="M157" s="25" t="inlineStr">
        <is>
          <t>French</t>
        </is>
      </c>
      <c r="N157" s="25" t="inlineStr">
        <is>
          <t>General</t>
        </is>
      </c>
      <c r="O157" s="25" t="inlineStr">
        <is>
          <t>Bac +4</t>
        </is>
      </c>
      <c r="P157" s="26" t="inlineStr">
        <is>
          <t>Eligible on level (4-yr BS ≈ Bac+4)</t>
        </is>
      </c>
      <c r="Q157" s="25" t="inlineStr">
        <is>
          <t>1</t>
        </is>
      </c>
      <c r="R157" s="25" t="n"/>
      <c r="S157" s="27" t="n">
        <v>3950</v>
      </c>
      <c r="T157" s="27" t="n">
        <v>255</v>
      </c>
      <c r="U157" s="25" t="n">
        <v>2</v>
      </c>
      <c r="V157" s="27">
        <f>IF(S157="","",S157*U157)</f>
        <v/>
      </c>
      <c r="W157" s="26" t="inlineStr">
        <is>
          <t>Catalogue: €3,950. = national differentiated master fee (2026-27: €3,950). Exemption to ~€255 possible (university quota).</t>
        </is>
      </c>
      <c r="X157" s="25" t="inlineStr">
        <is>
          <t>High</t>
        </is>
      </c>
      <c r="Y157" s="25" t="inlineStr">
        <is>
          <t>3950</t>
        </is>
      </c>
      <c r="Z157" s="26" t="n"/>
      <c r="AA157" s="26" t="n"/>
      <c r="AB157" s="25" t="n"/>
      <c r="AC157" s="25" t="inlineStr">
        <is>
          <t>Open</t>
        </is>
      </c>
      <c r="AD157" s="25" t="inlineStr">
        <is>
          <t>2026-10-01</t>
        </is>
      </c>
      <c r="AE157" s="25" t="inlineStr">
        <is>
          <t>2027-03-15</t>
        </is>
      </c>
      <c r="AF157" s="25" t="inlineStr">
        <is>
          <t>No</t>
        </is>
      </c>
      <c r="AG157" s="28" t="inlineStr">
        <is>
          <t>https://sciences-techniques.univ-nantes.fr/</t>
        </is>
      </c>
      <c r="AH157" s="26" t="inlineStr">
        <is>
          <t>Prérequis linguistiques : Niveau de français minimum : Pour le TCF, niveau B2 avec minimum 14/20 au test écrit - Attention : l’épreuve d’expression écrite ne fait pas partie du test standard du TCF. Il s’agit d’une épreu</t>
        </is>
      </c>
      <c r="AI157" s="28" t="inlineStr">
        <is>
          <t>Open in EEF</t>
        </is>
      </c>
    </row>
    <row r="158" ht="32.8" customHeight="1" s="19">
      <c r="A158" s="25" t="n">
        <v>157</v>
      </c>
      <c r="B158" s="25" t="inlineStr">
        <is>
          <t>★★★★☆</t>
        </is>
      </c>
      <c r="C158" s="25" t="inlineStr">
        <is>
          <t>4 – Strong fit (electronics/signal/robotics/IoT/sensors)</t>
        </is>
      </c>
      <c r="D158" s="25" t="inlineStr">
        <is>
          <t>Embedded systems / Electronics</t>
        </is>
      </c>
      <c r="E158" s="26" t="inlineStr">
        <is>
          <t>Master mention Electronique, énergie électrique, automatique parcours Automatique et Robotique de Service</t>
        </is>
      </c>
      <c r="F158" s="26" t="inlineStr">
        <is>
          <t>Master – major: Electronics, Electrical Energy &amp; Automation (EEA) – track: Automation &amp; Robotics of Service</t>
        </is>
      </c>
      <c r="G158" s="25" t="inlineStr">
        <is>
          <t>Master indifférencié (recherche et professionnel)</t>
        </is>
      </c>
      <c r="H158" s="25" t="inlineStr">
        <is>
          <t>École d'Ingénieurs en Sciences Industrielles et Numérique</t>
        </is>
      </c>
      <c r="I158" s="25" t="inlineStr">
        <is>
          <t>Université de Reims Champagne-Ardenne</t>
        </is>
      </c>
      <c r="J158" s="25" t="inlineStr">
        <is>
          <t>Reims</t>
        </is>
      </c>
      <c r="K158" s="25" t="inlineStr">
        <is>
          <t>51100 REIMS</t>
        </is>
      </c>
      <c r="L158" s="25" t="inlineStr">
        <is>
          <t>Public school / institute</t>
        </is>
      </c>
      <c r="M158" s="25" t="inlineStr">
        <is>
          <t>French</t>
        </is>
      </c>
      <c r="N158" s="25" t="inlineStr">
        <is>
          <t>General</t>
        </is>
      </c>
      <c r="O158" s="25" t="inlineStr">
        <is>
          <t>Bac +4</t>
        </is>
      </c>
      <c r="P158" s="26" t="inlineStr">
        <is>
          <t>Eligible on level (4-yr BS ≈ Bac+4)</t>
        </is>
      </c>
      <c r="Q158" s="25" t="inlineStr">
        <is>
          <t>1</t>
        </is>
      </c>
      <c r="R158" s="25" t="inlineStr">
        <is>
          <t>24</t>
        </is>
      </c>
      <c r="S158" s="27" t="n">
        <v>3950</v>
      </c>
      <c r="T158" s="27" t="n">
        <v>255</v>
      </c>
      <c r="U158" s="25" t="n">
        <v>2</v>
      </c>
      <c r="V158" s="27">
        <f>IF(S158="","",S158*U158)</f>
        <v/>
      </c>
      <c r="W158" s="26" t="inlineStr">
        <is>
          <t>Catalogue: €3,950. = national differentiated master fee (2026-27: €3,950). Exemption to ~€255 possible (university quota).</t>
        </is>
      </c>
      <c r="X158" s="25" t="inlineStr">
        <is>
          <t>High</t>
        </is>
      </c>
      <c r="Y158" s="25" t="inlineStr">
        <is>
          <t>3950</t>
        </is>
      </c>
      <c r="Z158" s="26" t="n"/>
      <c r="AA158" s="26" t="n"/>
      <c r="AB158" s="25" t="n"/>
      <c r="AC158" s="25" t="inlineStr">
        <is>
          <t>Open</t>
        </is>
      </c>
      <c r="AD158" s="25" t="inlineStr">
        <is>
          <t>2026-10-01</t>
        </is>
      </c>
      <c r="AE158" s="25" t="inlineStr">
        <is>
          <t>2027-03-15</t>
        </is>
      </c>
      <c r="AF158" s="25" t="inlineStr">
        <is>
          <t>No</t>
        </is>
      </c>
      <c r="AG158" s="28" t="inlineStr">
        <is>
          <t>https://www.univ-reims.fr/eisine/</t>
        </is>
      </c>
      <c r="AH158" s="26" t="inlineStr">
        <is>
          <t>Niveau en langue française: * Niveau B2 minimum en langue française exigé (merci de prendre connaissance des profils dispensés d'un test de langue française ( qui est dispensé de test de langue française? ) Tarifs : * No</t>
        </is>
      </c>
      <c r="AI158" s="28" t="inlineStr">
        <is>
          <t>Open in EEF</t>
        </is>
      </c>
    </row>
    <row r="159" ht="22.35" customHeight="1" s="19">
      <c r="A159" s="25" t="n">
        <v>158</v>
      </c>
      <c r="B159" s="25" t="inlineStr">
        <is>
          <t>★★★★☆</t>
        </is>
      </c>
      <c r="C159" s="25" t="inlineStr">
        <is>
          <t>4 – Strong fit (electronics/signal/robotics/IoT/sensors)</t>
        </is>
      </c>
      <c r="D159" s="25" t="inlineStr">
        <is>
          <t>Neuroscience / Neuro-engineering</t>
        </is>
      </c>
      <c r="E159" s="26" t="inlineStr">
        <is>
          <t>Master Neurosciences moléculaires, cellulaires et intégrées</t>
        </is>
      </c>
      <c r="F159" s="26" t="inlineStr">
        <is>
          <t>Master Neuroscience moléculaires, Cellular &amp; Integrated</t>
        </is>
      </c>
      <c r="G159" s="25" t="inlineStr">
        <is>
          <t>Master indifférencié (recherche et professionnel)</t>
        </is>
      </c>
      <c r="H159" s="25" t="inlineStr">
        <is>
          <t>UFR Sciences et Techniques</t>
        </is>
      </c>
      <c r="I159" s="25" t="inlineStr">
        <is>
          <t>Université de Rouen</t>
        </is>
      </c>
      <c r="J159" s="25" t="inlineStr">
        <is>
          <t>Site de Mont-Saint-Aignan</t>
        </is>
      </c>
      <c r="K159" s="25" t="n"/>
      <c r="L159" s="25" t="inlineStr">
        <is>
          <t>Public university</t>
        </is>
      </c>
      <c r="M159" s="25" t="inlineStr">
        <is>
          <t>French</t>
        </is>
      </c>
      <c r="N159" s="25" t="inlineStr">
        <is>
          <t>General</t>
        </is>
      </c>
      <c r="O159" s="25" t="inlineStr">
        <is>
          <t>Bac +4 / Bac +5</t>
        </is>
      </c>
      <c r="P159" s="26" t="inlineStr">
        <is>
          <t>Eligible on level (4-yr BS ≈ Bac+4)</t>
        </is>
      </c>
      <c r="Q159" s="25" t="inlineStr">
        <is>
          <t>1/2</t>
        </is>
      </c>
      <c r="R159" s="25" t="inlineStr">
        <is>
          <t>10</t>
        </is>
      </c>
      <c r="S159" s="27" t="n">
        <v>3950</v>
      </c>
      <c r="T159" s="27" t="n">
        <v>255</v>
      </c>
      <c r="U159" s="25" t="n">
        <v>2</v>
      </c>
      <c r="V159" s="27">
        <f>IF(S159="","",S159*U159)</f>
        <v/>
      </c>
      <c r="W159" s="26" t="inlineStr">
        <is>
          <t>Catalogue: €3,950. = national differentiated master fee (2026-27: €3,950). Exemption to ~€255 possible (university quota).</t>
        </is>
      </c>
      <c r="X159" s="25" t="inlineStr">
        <is>
          <t>High</t>
        </is>
      </c>
      <c r="Y159" s="25" t="inlineStr">
        <is>
          <t>3950</t>
        </is>
      </c>
      <c r="Z159" s="26" t="n"/>
      <c r="AA159" s="26" t="inlineStr">
        <is>
          <t>Rouen: individual exemptions up to 30% quota, priority to social/economic hardship.</t>
        </is>
      </c>
      <c r="AB159" s="28" t="inlineStr">
        <is>
          <t>https://www.univ-rouen.fr/actualites/application-des-droits-dinscription-differencies-a-luniversite-de-rouen-normandie-a-compter-de-la-rentree-universitaire-2026-2027/</t>
        </is>
      </c>
      <c r="AC159" s="25" t="inlineStr">
        <is>
          <t>Open</t>
        </is>
      </c>
      <c r="AD159" s="25" t="inlineStr">
        <is>
          <t>2026-10-01</t>
        </is>
      </c>
      <c r="AE159" s="25" t="inlineStr">
        <is>
          <t>2027-03-15</t>
        </is>
      </c>
      <c r="AF159" s="25" t="inlineStr">
        <is>
          <t>No</t>
        </is>
      </c>
      <c r="AG159" s="28" t="inlineStr">
        <is>
          <t>https://sciences-techniques.univ-rouen.fr/</t>
        </is>
      </c>
      <c r="AH159" s="26" t="inlineStr">
        <is>
          <t>Niveau B2 en français et BAC+4 du domaine exigés. Cette formation est proposée en 1re année du master Neurosciences</t>
        </is>
      </c>
      <c r="AI159" s="28" t="inlineStr">
        <is>
          <t>Open in EEF</t>
        </is>
      </c>
    </row>
    <row r="160" ht="32.8" customHeight="1" s="19">
      <c r="A160" s="25" t="n">
        <v>159</v>
      </c>
      <c r="B160" s="25" t="inlineStr">
        <is>
          <t>★★★★☆</t>
        </is>
      </c>
      <c r="C160" s="25" t="inlineStr">
        <is>
          <t>4 – Strong fit (electronics/signal/robotics/IoT/sensors)</t>
        </is>
      </c>
      <c r="D160" s="25" t="inlineStr">
        <is>
          <t>Robotics / Automation / Mechatronics</t>
        </is>
      </c>
      <c r="E160" s="26" t="inlineStr">
        <is>
          <t>Master mention Traitement automatique des langues</t>
        </is>
      </c>
      <c r="F160" s="26" t="inlineStr">
        <is>
          <t>Master – major: Processing Automation of Languages</t>
        </is>
      </c>
      <c r="G160" s="25" t="inlineStr">
        <is>
          <t>Master indifférencié (recherche et professionnel)</t>
        </is>
      </c>
      <c r="H160" s="25" t="inlineStr">
        <is>
          <t>UFR de philosophie, information-communication, langages, littératures et arts du spectacle</t>
        </is>
      </c>
      <c r="I160" s="25" t="inlineStr">
        <is>
          <t>Université Paris Nanterre</t>
        </is>
      </c>
      <c r="J160" s="25" t="inlineStr">
        <is>
          <t>Site de Nanterre</t>
        </is>
      </c>
      <c r="K160" s="25" t="n"/>
      <c r="L160" s="25" t="inlineStr">
        <is>
          <t>Public university</t>
        </is>
      </c>
      <c r="M160" s="25" t="inlineStr">
        <is>
          <t>French</t>
        </is>
      </c>
      <c r="N160" s="25" t="inlineStr">
        <is>
          <t>General</t>
        </is>
      </c>
      <c r="O160" s="25" t="inlineStr">
        <is>
          <t>Bac +4 / Bac +5</t>
        </is>
      </c>
      <c r="P160" s="26" t="inlineStr">
        <is>
          <t>Eligible on level (4-yr BS ≈ Bac+4)</t>
        </is>
      </c>
      <c r="Q160" s="25" t="inlineStr">
        <is>
          <t>1/2</t>
        </is>
      </c>
      <c r="R160" s="25" t="n"/>
      <c r="S160" s="27" t="n">
        <v>3950</v>
      </c>
      <c r="T160" s="27" t="n">
        <v>255</v>
      </c>
      <c r="U160" s="25" t="n">
        <v>2</v>
      </c>
      <c r="V160" s="27">
        <f>IF(S160="","",S160*U160)</f>
        <v/>
      </c>
      <c r="W160" s="26" t="inlineStr">
        <is>
          <t>Catalogue: €3,950. = national differentiated master fee (2026-27: €3,950). Exemption to ~€255 possible (university quota).</t>
        </is>
      </c>
      <c r="X160" s="25" t="inlineStr">
        <is>
          <t>High</t>
        </is>
      </c>
      <c r="Y160" s="25" t="inlineStr">
        <is>
          <t>3950</t>
        </is>
      </c>
      <c r="Z160" s="26" t="n"/>
      <c r="AA160" s="26" t="n"/>
      <c r="AB160" s="25" t="n"/>
      <c r="AC160" s="25" t="inlineStr">
        <is>
          <t>Open</t>
        </is>
      </c>
      <c r="AD160" s="25" t="inlineStr">
        <is>
          <t>2026-10-01</t>
        </is>
      </c>
      <c r="AE160" s="25" t="inlineStr">
        <is>
          <t>2027-03-15</t>
        </is>
      </c>
      <c r="AF160" s="25" t="inlineStr">
        <is>
          <t>No</t>
        </is>
      </c>
      <c r="AG160" s="28" t="inlineStr">
        <is>
          <t>http://ufr-phillia.parisnanterre.fr</t>
        </is>
      </c>
      <c r="AH160" s="26" t="inlineStr">
        <is>
          <t>Les candidats non francophones ou ressortissant d'un pays ou le français n'est pas langue officielle doivent impérativement justifier de leur niveau de français en produisant dans leur dossier le TCF niveau C1 ou le DALF</t>
        </is>
      </c>
      <c r="AI160" s="28" t="inlineStr">
        <is>
          <t>Open in EEF</t>
        </is>
      </c>
    </row>
    <row r="161" ht="22.35" customHeight="1" s="19">
      <c r="A161" s="25" t="n">
        <v>160</v>
      </c>
      <c r="B161" s="25" t="inlineStr">
        <is>
          <t>★★★★☆</t>
        </is>
      </c>
      <c r="C161" s="25" t="inlineStr">
        <is>
          <t>4 – Strong fit (electronics/signal/robotics/IoT/sensors)</t>
        </is>
      </c>
      <c r="D161" s="25" t="inlineStr">
        <is>
          <t>Robotics / Automation / Mechatronics</t>
        </is>
      </c>
      <c r="E161" s="26" t="inlineStr">
        <is>
          <t>Master Sciences, technologies, santé mention automatique et systèmes électriques parcours Automatique et systèmes électriques</t>
        </is>
      </c>
      <c r="F161" s="26" t="inlineStr">
        <is>
          <t>Master Science, Technology, Health (STS) – major: Automation &amp; Systems Electrical – track: Automation &amp; Systems Electrical</t>
        </is>
      </c>
      <c r="G161" s="25" t="inlineStr">
        <is>
          <t>Master indifférencié (recherche et professionnel)</t>
        </is>
      </c>
      <c r="H161" s="25" t="inlineStr">
        <is>
          <t>Faculté des sciences et technologies</t>
        </is>
      </c>
      <c r="I161" s="25" t="inlineStr">
        <is>
          <t>Université de Lille</t>
        </is>
      </c>
      <c r="J161" s="25" t="inlineStr">
        <is>
          <t>Département Electronique, électrotechnique et automatique</t>
        </is>
      </c>
      <c r="K161" s="25" t="n"/>
      <c r="L161" s="25" t="inlineStr">
        <is>
          <t>Public university</t>
        </is>
      </c>
      <c r="M161" s="25" t="inlineStr">
        <is>
          <t>French</t>
        </is>
      </c>
      <c r="N161" s="25" t="inlineStr">
        <is>
          <t>General</t>
        </is>
      </c>
      <c r="O161" s="25" t="inlineStr">
        <is>
          <t>Bac +4</t>
        </is>
      </c>
      <c r="P161" s="26" t="inlineStr">
        <is>
          <t>Eligible on level (4-yr BS ≈ Bac+4)</t>
        </is>
      </c>
      <c r="Q161" s="25" t="inlineStr">
        <is>
          <t>1</t>
        </is>
      </c>
      <c r="R161" s="25" t="inlineStr">
        <is>
          <t>12</t>
        </is>
      </c>
      <c r="S161" s="27" t="n">
        <v>3950</v>
      </c>
      <c r="T161" s="27" t="n">
        <v>255</v>
      </c>
      <c r="U161" s="25" t="n">
        <v>2</v>
      </c>
      <c r="V161" s="27">
        <f>IF(S161="","",S161*U161)</f>
        <v/>
      </c>
      <c r="W161" s="26" t="inlineStr">
        <is>
          <t>Catalogue: €3,950. = national differentiated master fee (2026-27: €3,950). Exemption to ~€255 possible (university quota).</t>
        </is>
      </c>
      <c r="X161" s="25" t="inlineStr">
        <is>
          <t>High</t>
        </is>
      </c>
      <c r="Y161" s="25" t="inlineStr">
        <is>
          <t>3950</t>
        </is>
      </c>
      <c r="Z161" s="26" t="n"/>
      <c r="AA161" s="26" t="inlineStr">
        <is>
          <t>Lille opposed the decree; continues exemptions for part of non-EU students (master €254 if exempted). Apply for exemption early.</t>
        </is>
      </c>
      <c r="AB161" s="28" t="inlineStr">
        <is>
          <t>https://observalgerie.com/2026/06/13/misc/frais-dinscription-en-france-lille-maintient-un-avantage-pour-les-etudiants-etrangers/</t>
        </is>
      </c>
      <c r="AC161" s="25" t="inlineStr">
        <is>
          <t>Open</t>
        </is>
      </c>
      <c r="AD161" s="25" t="inlineStr">
        <is>
          <t>2026-10-01</t>
        </is>
      </c>
      <c r="AE161" s="25" t="inlineStr">
        <is>
          <t>2027-03-15</t>
        </is>
      </c>
      <c r="AF161" s="25" t="inlineStr">
        <is>
          <t>No</t>
        </is>
      </c>
      <c r="AG161" s="28" t="inlineStr">
        <is>
          <t>https://formation.univ-lille.fr/fr/offre-de-formation/master-lmd-XB/master-automatique-et-systemes-electriques-MG001978/automatique-et-systemes-electriques-m1-tronc-commun-MX002023.html</t>
        </is>
      </c>
      <c r="AH161" s="26" t="inlineStr">
        <is>
          <t>Mentions de licences ou masters EEA (Électronique, Énergie électrique, Automatique, ) ou équivalents Niveau de français C1 exigé</t>
        </is>
      </c>
      <c r="AI161" s="28" t="inlineStr">
        <is>
          <t>Open in EEF</t>
        </is>
      </c>
    </row>
    <row r="162" ht="32.8" customHeight="1" s="19">
      <c r="A162" s="25" t="n">
        <v>161</v>
      </c>
      <c r="B162" s="25" t="inlineStr">
        <is>
          <t>★★★★☆</t>
        </is>
      </c>
      <c r="C162" s="25" t="inlineStr">
        <is>
          <t>4 – Strong fit (electronics/signal/robotics/IoT/sensors)</t>
        </is>
      </c>
      <c r="D162" s="25" t="inlineStr">
        <is>
          <t>Robotics / Automation / Mechatronics</t>
        </is>
      </c>
      <c r="E162" s="26" t="inlineStr">
        <is>
          <t>Master Sciences, technologies, santé mention Automatique, robotique</t>
        </is>
      </c>
      <c r="F162" s="26" t="inlineStr">
        <is>
          <t>Master Science, Technology, Health (STS) – major: Automation, Robotics</t>
        </is>
      </c>
      <c r="G162" s="25" t="inlineStr">
        <is>
          <t>Master indifférencié (recherche et professionnel)</t>
        </is>
      </c>
      <c r="H162" s="25" t="inlineStr">
        <is>
          <t>Département-composante Mécanique</t>
        </is>
      </c>
      <c r="I162" s="25" t="inlineStr">
        <is>
          <t>Université Claude Bernard - Lyon 1</t>
        </is>
      </c>
      <c r="J162" s="25" t="inlineStr">
        <is>
          <t>Site de Villeurbanne</t>
        </is>
      </c>
      <c r="K162" s="25" t="n"/>
      <c r="L162" s="25" t="inlineStr">
        <is>
          <t>Public university</t>
        </is>
      </c>
      <c r="M162" s="25" t="inlineStr">
        <is>
          <t>French</t>
        </is>
      </c>
      <c r="N162" s="25" t="inlineStr">
        <is>
          <t>General</t>
        </is>
      </c>
      <c r="O162" s="25" t="inlineStr">
        <is>
          <t>Bac +4</t>
        </is>
      </c>
      <c r="P162" s="26" t="inlineStr">
        <is>
          <t>Eligible on level (4-yr BS ≈ Bac+4)</t>
        </is>
      </c>
      <c r="Q162" s="25" t="inlineStr">
        <is>
          <t>1</t>
        </is>
      </c>
      <c r="R162" s="25" t="n"/>
      <c r="S162" s="27" t="n">
        <v>3950</v>
      </c>
      <c r="T162" s="27" t="n">
        <v>255</v>
      </c>
      <c r="U162" s="25" t="n">
        <v>2</v>
      </c>
      <c r="V162" s="27">
        <f>IF(S162="","",S162*U162)</f>
        <v/>
      </c>
      <c r="W162" s="26" t="inlineStr">
        <is>
          <t>Catalogue: €3,950. = national differentiated master fee (2026-27: €3,950). Exemption to ~€255 possible (university quota).</t>
        </is>
      </c>
      <c r="X162" s="25" t="inlineStr">
        <is>
          <t>High</t>
        </is>
      </c>
      <c r="Y162" s="25" t="inlineStr">
        <is>
          <t>3950</t>
        </is>
      </c>
      <c r="Z162" s="26" t="n"/>
      <c r="AA162" s="26" t="inlineStr">
        <is>
          <t>Lyon 1: individual exemptions within the 30% quota (2026-27), apply via eCandidat.</t>
        </is>
      </c>
      <c r="AB162" s="28" t="inlineStr">
        <is>
          <t>https://www.univ-lyon1.fr/formation/inscription-et-scolarite/etudiantes-et-etudiants-internationaux-droits-dinscription-differencies-et-exonerations</t>
        </is>
      </c>
      <c r="AC162" s="25" t="inlineStr">
        <is>
          <t>Open</t>
        </is>
      </c>
      <c r="AD162" s="25" t="inlineStr">
        <is>
          <t>2026-10-01</t>
        </is>
      </c>
      <c r="AE162" s="25" t="inlineStr">
        <is>
          <t>2027-03-15</t>
        </is>
      </c>
      <c r="AF162" s="25" t="inlineStr">
        <is>
          <t>No</t>
        </is>
      </c>
      <c r="AG162" s="28" t="inlineStr">
        <is>
          <t>http://fst-meca.univ-lyon1.fr/</t>
        </is>
      </c>
      <c r="AH162" s="26" t="inlineStr">
        <is>
          <t>Critères de sélection: Qualité académique du dossier Niveau de langue française requis (obligatoire mais non suffisant pour l'accès à l'Université) L'Université Claude Bernard Lyon 1 exige le justificatif du niveau de la</t>
        </is>
      </c>
      <c r="AI162" s="28" t="inlineStr">
        <is>
          <t>Open in EEF</t>
        </is>
      </c>
    </row>
    <row r="163" ht="32.8" customHeight="1" s="19">
      <c r="A163" s="25" t="n">
        <v>162</v>
      </c>
      <c r="B163" s="25" t="inlineStr">
        <is>
          <t>★★★★☆</t>
        </is>
      </c>
      <c r="C163" s="25" t="inlineStr">
        <is>
          <t>4 – Strong fit (electronics/signal/robotics/IoT/sensors)</t>
        </is>
      </c>
      <c r="D163" s="25" t="inlineStr">
        <is>
          <t>Robotics / Automation / Mechatronics</t>
        </is>
      </c>
      <c r="E163" s="26" t="inlineStr">
        <is>
          <t>Master Sciences, technologies, santé mention Automatique, robotique (MARS)</t>
        </is>
      </c>
      <c r="F163" s="26" t="inlineStr">
        <is>
          <t>Master Science, Technology, Health (STS) – major: Automation, Robotics (MARS)</t>
        </is>
      </c>
      <c r="G163" s="25" t="inlineStr">
        <is>
          <t>Master indifférencié (recherche et professionnel)</t>
        </is>
      </c>
      <c r="H163" s="25" t="inlineStr">
        <is>
          <t>Polytech</t>
        </is>
      </c>
      <c r="I163" s="25" t="inlineStr">
        <is>
          <t>Université d'Orléans</t>
        </is>
      </c>
      <c r="J163" s="25" t="inlineStr">
        <is>
          <t>Site de Orléans</t>
        </is>
      </c>
      <c r="K163" s="25" t="inlineStr">
        <is>
          <t>45072 Orléans cedex</t>
        </is>
      </c>
      <c r="L163" s="25" t="inlineStr">
        <is>
          <t>Public school / institute</t>
        </is>
      </c>
      <c r="M163" s="25" t="inlineStr">
        <is>
          <t>French</t>
        </is>
      </c>
      <c r="N163" s="25" t="inlineStr">
        <is>
          <t>General</t>
        </is>
      </c>
      <c r="O163" s="25" t="inlineStr">
        <is>
          <t>Bac +4</t>
        </is>
      </c>
      <c r="P163" s="26" t="inlineStr">
        <is>
          <t>Eligible on level (4-yr BS ≈ Bac+4)</t>
        </is>
      </c>
      <c r="Q163" s="25" t="inlineStr">
        <is>
          <t>1</t>
        </is>
      </c>
      <c r="R163" s="25" t="inlineStr">
        <is>
          <t>12</t>
        </is>
      </c>
      <c r="S163" s="27" t="n">
        <v>3950</v>
      </c>
      <c r="T163" s="27" t="n">
        <v>255</v>
      </c>
      <c r="U163" s="25" t="n">
        <v>2</v>
      </c>
      <c r="V163" s="27">
        <f>IF(S163="","",S163*U163)</f>
        <v/>
      </c>
      <c r="W163" s="26" t="inlineStr">
        <is>
          <t>Catalogue: €3,950. = national differentiated master fee (2026-27: €3,950). Exemption to ~€255 possible (university quota).</t>
        </is>
      </c>
      <c r="X163" s="25" t="inlineStr">
        <is>
          <t>High</t>
        </is>
      </c>
      <c r="Y163" s="25" t="inlineStr">
        <is>
          <t>3950</t>
        </is>
      </c>
      <c r="Z163" s="26" t="n"/>
      <c r="AA163" s="26" t="n"/>
      <c r="AB163" s="25" t="n"/>
      <c r="AC163" s="25" t="inlineStr">
        <is>
          <t>Open</t>
        </is>
      </c>
      <c r="AD163" s="25" t="inlineStr">
        <is>
          <t>2026-10-01</t>
        </is>
      </c>
      <c r="AE163" s="25" t="inlineStr">
        <is>
          <t>2027-03-15</t>
        </is>
      </c>
      <c r="AF163" s="25" t="inlineStr">
        <is>
          <t>No</t>
        </is>
      </c>
      <c r="AG163" s="28" t="inlineStr">
        <is>
          <t>https://www.univ-orleans.fr/fr/polytech/formations/les-autres-formations-de-lecole/master-mars</t>
        </is>
      </c>
      <c r="AH163" s="26" t="inlineStr">
        <is>
          <t>Mathématiques, physique, mécanique de niveau licence générale; Excellent niveau dans les thématiques des sciences pour l'ingenieur (EEA, Robotique, Mécanique, informatique, Automatique) et expérience prof. est un plus, b</t>
        </is>
      </c>
      <c r="AI163" s="28" t="inlineStr">
        <is>
          <t>Open in EEF</t>
        </is>
      </c>
    </row>
    <row r="164" ht="43.25" customHeight="1" s="19">
      <c r="A164" s="25" t="n">
        <v>163</v>
      </c>
      <c r="B164" s="25" t="inlineStr">
        <is>
          <t>★★★★☆</t>
        </is>
      </c>
      <c r="C164" s="25" t="inlineStr">
        <is>
          <t>4 – Strong fit (electronics/signal/robotics/IoT/sensors)</t>
        </is>
      </c>
      <c r="D164" s="25" t="inlineStr">
        <is>
          <t>Embedded systems / Electronics</t>
        </is>
      </c>
      <c r="E164" s="26" t="inlineStr">
        <is>
          <t>Master Sciences, technologies, santé, mention Electronique, énergie électrique, automatique</t>
        </is>
      </c>
      <c r="F164" s="26" t="inlineStr">
        <is>
          <t>Master Science, Technology, Health (STS), – major: Electronics, Electrical Energy &amp; Automation (EEA)</t>
        </is>
      </c>
      <c r="G164" s="25" t="inlineStr">
        <is>
          <t>Master indifférencié (recherche et professionnel)</t>
        </is>
      </c>
      <c r="H164" s="25" t="inlineStr">
        <is>
          <t>FSA - Faculté des sciences appliquées</t>
        </is>
      </c>
      <c r="I164" s="25" t="inlineStr">
        <is>
          <t>Université d'Artois</t>
        </is>
      </c>
      <c r="J164" s="25" t="inlineStr">
        <is>
          <t>Site de Béthune</t>
        </is>
      </c>
      <c r="K164" s="25" t="n"/>
      <c r="L164" s="25" t="inlineStr">
        <is>
          <t>Public university</t>
        </is>
      </c>
      <c r="M164" s="25" t="inlineStr">
        <is>
          <t>French</t>
        </is>
      </c>
      <c r="N164" s="25" t="inlineStr">
        <is>
          <t>General</t>
        </is>
      </c>
      <c r="O164" s="25" t="inlineStr">
        <is>
          <t>Bac +4</t>
        </is>
      </c>
      <c r="P164" s="26" t="inlineStr">
        <is>
          <t>Eligible on level (4-yr BS ≈ Bac+4)</t>
        </is>
      </c>
      <c r="Q164" s="25" t="inlineStr">
        <is>
          <t>1</t>
        </is>
      </c>
      <c r="R164" s="25" t="n"/>
      <c r="S164" s="27" t="n">
        <v>3950</v>
      </c>
      <c r="T164" s="27" t="n">
        <v>255</v>
      </c>
      <c r="U164" s="25" t="n">
        <v>2</v>
      </c>
      <c r="V164" s="27">
        <f>IF(S164="","",S164*U164)</f>
        <v/>
      </c>
      <c r="W164" s="26" t="inlineStr">
        <is>
          <t>Catalogue: €3,950. = national differentiated master fee (2026-27: €3,950). Exemption to ~€255 possible (university quota).</t>
        </is>
      </c>
      <c r="X164" s="25" t="inlineStr">
        <is>
          <t>High</t>
        </is>
      </c>
      <c r="Y164" s="25" t="inlineStr">
        <is>
          <t>3950</t>
        </is>
      </c>
      <c r="Z164" s="26" t="n"/>
      <c r="AA164" s="26" t="n"/>
      <c r="AB164" s="25" t="n"/>
      <c r="AC164" s="25" t="inlineStr">
        <is>
          <t>Open</t>
        </is>
      </c>
      <c r="AD164" s="25" t="inlineStr">
        <is>
          <t>2026-10-01</t>
        </is>
      </c>
      <c r="AE164" s="25" t="inlineStr">
        <is>
          <t>2027-03-15</t>
        </is>
      </c>
      <c r="AF164" s="25" t="inlineStr">
        <is>
          <t>No</t>
        </is>
      </c>
      <c r="AG164" s="28" t="inlineStr">
        <is>
          <t>http://www.fsa.univ-artois.fr/les-fiches-formations</t>
        </is>
      </c>
      <c r="AH164" s="26" t="inlineStr">
        <is>
          <t>Niveau de connaissance de la langue française : TCF : niveau B2 dans TOUTES les épreuves obligatoires et un minimum de 12 en épreuve écrite facultative DELF : 16/25 minimum dans TOUTES les disciplines Il est fortement re</t>
        </is>
      </c>
      <c r="AI164" s="28" t="inlineStr">
        <is>
          <t>Open in EEF</t>
        </is>
      </c>
    </row>
    <row r="165" ht="43.25" customHeight="1" s="19">
      <c r="A165" s="25" t="n">
        <v>164</v>
      </c>
      <c r="B165" s="25" t="inlineStr">
        <is>
          <t>★★★★☆</t>
        </is>
      </c>
      <c r="C165" s="25" t="inlineStr">
        <is>
          <t>4 – Strong fit (electronics/signal/robotics/IoT/sensors)</t>
        </is>
      </c>
      <c r="D165" s="25" t="inlineStr">
        <is>
          <t>Embedded systems / Electronics</t>
        </is>
      </c>
      <c r="E165" s="26" t="inlineStr">
        <is>
          <t>Master Sciences, technologies, santé, mention Electronique, énergie électrique, automatique Orientations EE (Énergie électrique) et CEE (Contrôle de l'efficacité énergétique)</t>
        </is>
      </c>
      <c r="F165" s="26" t="inlineStr">
        <is>
          <t>Master Science, Technology, Health (STS), – major: Electronics, Electrical Energy &amp; Automation (EEA) Orientations EE (Energy Electrical) &amp; CEE (Control of Efficiency Energy)</t>
        </is>
      </c>
      <c r="G165" s="25" t="inlineStr">
        <is>
          <t>Master indifférencié (recherche et professionnel)</t>
        </is>
      </c>
      <c r="H165" s="25" t="inlineStr">
        <is>
          <t>Faculté des Sciences et Technologies</t>
        </is>
      </c>
      <c r="I165" s="25" t="inlineStr">
        <is>
          <t>Université de Lorraine</t>
        </is>
      </c>
      <c r="J165" s="25" t="inlineStr">
        <is>
          <t>Site de Vandoeuvre-lès-Nancy</t>
        </is>
      </c>
      <c r="K165" s="25" t="n"/>
      <c r="L165" s="25" t="inlineStr">
        <is>
          <t>Public university</t>
        </is>
      </c>
      <c r="M165" s="25" t="inlineStr">
        <is>
          <t>French</t>
        </is>
      </c>
      <c r="N165" s="25" t="inlineStr">
        <is>
          <t>General</t>
        </is>
      </c>
      <c r="O165" s="25" t="inlineStr">
        <is>
          <t>Bac +4</t>
        </is>
      </c>
      <c r="P165" s="26" t="inlineStr">
        <is>
          <t>Eligible on level (4-yr BS ≈ Bac+4)</t>
        </is>
      </c>
      <c r="Q165" s="25" t="inlineStr">
        <is>
          <t>1</t>
        </is>
      </c>
      <c r="R165" s="25" t="n"/>
      <c r="S165" s="27" t="n">
        <v>3950</v>
      </c>
      <c r="T165" s="27" t="n">
        <v>255</v>
      </c>
      <c r="U165" s="25" t="n">
        <v>2</v>
      </c>
      <c r="V165" s="27">
        <f>IF(S165="","",S165*U165)</f>
        <v/>
      </c>
      <c r="W165" s="26" t="inlineStr">
        <is>
          <t>Catalogue: €3,950. = national differentiated master fee (2026-27: €3,950). Exemption to ~€255 possible (university quota).</t>
        </is>
      </c>
      <c r="X165" s="25" t="inlineStr">
        <is>
          <t>High</t>
        </is>
      </c>
      <c r="Y165" s="25" t="inlineStr">
        <is>
          <t>3950</t>
        </is>
      </c>
      <c r="Z165" s="26" t="n"/>
      <c r="AA165" s="26" t="n"/>
      <c r="AB165" s="25" t="n"/>
      <c r="AC165" s="25" t="inlineStr">
        <is>
          <t>Open</t>
        </is>
      </c>
      <c r="AD165" s="25" t="inlineStr">
        <is>
          <t>2026-10-01</t>
        </is>
      </c>
      <c r="AE165" s="25" t="inlineStr">
        <is>
          <t>2027-03-15</t>
        </is>
      </c>
      <c r="AF165" s="25" t="inlineStr">
        <is>
          <t>No</t>
        </is>
      </c>
      <c r="AG165" s="28" t="inlineStr">
        <is>
          <t>https://fst.univ-lorraine.fr/formations/</t>
        </is>
      </c>
      <c r="AH165" s="26" t="inlineStr">
        <is>
          <t>Pour le Master 1 : Niveau licence en électronique, électrotechnique, Automatique, Informatique industrielle exigé Niveau B2 en langue française exigé. Aucun dossier transmis en dehors de la campagne d'ouverture de Campus</t>
        </is>
      </c>
      <c r="AI165" s="28" t="inlineStr">
        <is>
          <t>Open in EEF</t>
        </is>
      </c>
    </row>
    <row r="166" ht="32.8" customHeight="1" s="19">
      <c r="A166" s="25" t="n">
        <v>165</v>
      </c>
      <c r="B166" s="25" t="inlineStr">
        <is>
          <t>★★★★☆</t>
        </is>
      </c>
      <c r="C166" s="25" t="inlineStr">
        <is>
          <t>4 – Strong fit (electronics/signal/robotics/IoT/sensors)</t>
        </is>
      </c>
      <c r="D166" s="25" t="inlineStr">
        <is>
          <t>Embedded systems / Electronics</t>
        </is>
      </c>
      <c r="E166" s="26" t="inlineStr">
        <is>
          <t>Master Sciences, technologies, santé mention Electronique, Energie Electrique Automatique parcours Signal et Télécommunications</t>
        </is>
      </c>
      <c r="F166" s="26" t="inlineStr">
        <is>
          <t>Master Science, Technology, Health (STS) – major: Electronics, Electrical Energy &amp; Automation (EEA) – track: Signal &amp; Telecommunications</t>
        </is>
      </c>
      <c r="G166" s="25" t="inlineStr">
        <is>
          <t>Master indifférencié (recherche et professionnel)</t>
        </is>
      </c>
      <c r="H166" s="25" t="inlineStr">
        <is>
          <t>UFR sciences et techniques</t>
        </is>
      </c>
      <c r="I166" s="25" t="inlineStr">
        <is>
          <t>Université de Bretagne Occidentale</t>
        </is>
      </c>
      <c r="J166" s="25" t="inlineStr">
        <is>
          <t>Site de Brest</t>
        </is>
      </c>
      <c r="K166" s="25" t="n"/>
      <c r="L166" s="25" t="inlineStr">
        <is>
          <t>Public university</t>
        </is>
      </c>
      <c r="M166" s="25" t="inlineStr">
        <is>
          <t>French</t>
        </is>
      </c>
      <c r="N166" s="25" t="inlineStr">
        <is>
          <t>General</t>
        </is>
      </c>
      <c r="O166" s="25" t="inlineStr">
        <is>
          <t>Bac +4 / Bac +5</t>
        </is>
      </c>
      <c r="P166" s="26" t="inlineStr">
        <is>
          <t>Eligible on level (4-yr BS ≈ Bac+4)</t>
        </is>
      </c>
      <c r="Q166" s="25" t="inlineStr">
        <is>
          <t>1/2</t>
        </is>
      </c>
      <c r="R166" s="25" t="inlineStr">
        <is>
          <t>12</t>
        </is>
      </c>
      <c r="S166" s="27" t="n">
        <v>3950</v>
      </c>
      <c r="T166" s="27" t="n">
        <v>255</v>
      </c>
      <c r="U166" s="25" t="n">
        <v>2</v>
      </c>
      <c r="V166" s="27">
        <f>IF(S166="","",S166*U166)</f>
        <v/>
      </c>
      <c r="W166" s="26" t="inlineStr">
        <is>
          <t>Catalogue: €3,950. = national differentiated master fee (2026-27: €3,950). Exemption to ~€255 possible (university quota).</t>
        </is>
      </c>
      <c r="X166" s="25" t="inlineStr">
        <is>
          <t>High</t>
        </is>
      </c>
      <c r="Y166" s="25" t="inlineStr">
        <is>
          <t>3950</t>
        </is>
      </c>
      <c r="Z166" s="26" t="n"/>
      <c r="AA166" s="26" t="n"/>
      <c r="AB166" s="25" t="n"/>
      <c r="AC166" s="25" t="inlineStr">
        <is>
          <t>Open</t>
        </is>
      </c>
      <c r="AD166" s="25" t="inlineStr">
        <is>
          <t>2026-10-01</t>
        </is>
      </c>
      <c r="AE166" s="25" t="inlineStr">
        <is>
          <t>2027-03-15</t>
        </is>
      </c>
      <c r="AF166" s="25" t="inlineStr">
        <is>
          <t>No</t>
        </is>
      </c>
      <c r="AG166" s="28" t="inlineStr">
        <is>
          <t>http://www.univ-brest.fr/ufr-sciences</t>
        </is>
      </c>
      <c r="AH166" s="26" t="inlineStr">
        <is>
          <t>L'université de Bretagne occidentale demande de présenter un Test de connaissance en français pour tous les candidats dont une des langues officielles n'est pas le français. Pour les pays où le français n'est pas la seul</t>
        </is>
      </c>
      <c r="AI166" s="28" t="inlineStr">
        <is>
          <t>Open in EEF</t>
        </is>
      </c>
    </row>
    <row r="167" ht="32.8" customHeight="1" s="19">
      <c r="A167" s="25" t="n">
        <v>166</v>
      </c>
      <c r="B167" s="25" t="inlineStr">
        <is>
          <t>★★★★☆</t>
        </is>
      </c>
      <c r="C167" s="25" t="inlineStr">
        <is>
          <t>4 – Strong fit (electronics/signal/robotics/IoT/sensors)</t>
        </is>
      </c>
      <c r="D167" s="25" t="inlineStr">
        <is>
          <t>Robotics / Automation / Mechatronics</t>
        </is>
      </c>
      <c r="E167" s="26" t="inlineStr">
        <is>
          <t>Master Sciences, technologies, santé mention génie industriel parcours Industrie Numérique et Robotique</t>
        </is>
      </c>
      <c r="F167" s="26" t="inlineStr">
        <is>
          <t>Master Science, Technology, Health (STS) – major: Industrial Engineering – track: Industrie Digital &amp; Robotics</t>
        </is>
      </c>
      <c r="G167" s="25" t="inlineStr">
        <is>
          <t>Master indifférencié (recherche et professionnel)</t>
        </is>
      </c>
      <c r="H167" s="25" t="inlineStr">
        <is>
          <t>Institut supérieur des sciences et techniques</t>
        </is>
      </c>
      <c r="I167" s="25" t="inlineStr">
        <is>
          <t>Université Picardie Jules Verne Amiens</t>
        </is>
      </c>
      <c r="J167" s="25" t="inlineStr">
        <is>
          <t>Site de Saint-Quentin</t>
        </is>
      </c>
      <c r="K167" s="25" t="inlineStr">
        <is>
          <t>02315 Saint Quentin cedex</t>
        </is>
      </c>
      <c r="L167" s="25" t="inlineStr">
        <is>
          <t>Public school / institute</t>
        </is>
      </c>
      <c r="M167" s="25" t="inlineStr">
        <is>
          <t>French</t>
        </is>
      </c>
      <c r="N167" s="25" t="inlineStr">
        <is>
          <t>General</t>
        </is>
      </c>
      <c r="O167" s="25" t="inlineStr">
        <is>
          <t>Bac +4</t>
        </is>
      </c>
      <c r="P167" s="26" t="inlineStr">
        <is>
          <t>Eligible on level (4-yr BS ≈ Bac+4)</t>
        </is>
      </c>
      <c r="Q167" s="25" t="inlineStr">
        <is>
          <t>1</t>
        </is>
      </c>
      <c r="R167" s="25" t="inlineStr">
        <is>
          <t>12</t>
        </is>
      </c>
      <c r="S167" s="27" t="n">
        <v>3950</v>
      </c>
      <c r="T167" s="27" t="n">
        <v>255</v>
      </c>
      <c r="U167" s="25" t="n">
        <v>2</v>
      </c>
      <c r="V167" s="27">
        <f>IF(S167="","",S167*U167)</f>
        <v/>
      </c>
      <c r="W167" s="26" t="inlineStr">
        <is>
          <t>Catalogue: €3,950. = national differentiated master fee (2026-27: €3,950). Exemption to ~€255 possible (university quota).</t>
        </is>
      </c>
      <c r="X167" s="25" t="inlineStr">
        <is>
          <t>High</t>
        </is>
      </c>
      <c r="Y167" s="25" t="inlineStr">
        <is>
          <t>3950</t>
        </is>
      </c>
      <c r="Z167" s="26" t="n"/>
      <c r="AA167" s="26" t="n"/>
      <c r="AB167" s="25" t="n"/>
      <c r="AC167" s="25" t="inlineStr">
        <is>
          <t>Open</t>
        </is>
      </c>
      <c r="AD167" s="25" t="inlineStr">
        <is>
          <t>2026-10-01</t>
        </is>
      </c>
      <c r="AE167" s="25" t="inlineStr">
        <is>
          <t>2027-03-15</t>
        </is>
      </c>
      <c r="AF167" s="25" t="inlineStr">
        <is>
          <t>No</t>
        </is>
      </c>
      <c r="AG167" s="28" t="inlineStr">
        <is>
          <t>https://www.insset.u-picardie.fr/</t>
        </is>
      </c>
      <c r="AH167" s="26" t="inlineStr">
        <is>
          <t>Niveau de test de compétence en Francais requis B2 Le tarif indiqué est celui de l'année universitaire 2026/2027 et, est susceptible d'etre modifié pour la rentrée 2027/2028 Pré-requis nécessaires en programmation inform</t>
        </is>
      </c>
      <c r="AI167" s="28" t="inlineStr">
        <is>
          <t>Open in EEF</t>
        </is>
      </c>
    </row>
    <row r="168" ht="43.25" customHeight="1" s="19">
      <c r="A168" s="25" t="n">
        <v>167</v>
      </c>
      <c r="B168" s="25" t="inlineStr">
        <is>
          <t>★★★★☆</t>
        </is>
      </c>
      <c r="C168" s="25" t="inlineStr">
        <is>
          <t>4 – Strong fit (electronics/signal/robotics/IoT/sensors)</t>
        </is>
      </c>
      <c r="D168" s="25" t="inlineStr">
        <is>
          <t>Robotics / Automation / Mechatronics</t>
        </is>
      </c>
      <c r="E168" s="26" t="inlineStr">
        <is>
          <t>Master Sciences, technologies, santé, mention Ingénierie des systèmes complexes parcours Robotique et Systèmes Autonomes</t>
        </is>
      </c>
      <c r="F168" s="26" t="inlineStr">
        <is>
          <t>Master Science, Technology, Health (STS), – major: Complex Systems Engineering – track: Robotics &amp; Systems Autonomous</t>
        </is>
      </c>
      <c r="G168" s="25" t="inlineStr">
        <is>
          <t>Master indifférencié (recherche et professionnel)</t>
        </is>
      </c>
      <c r="H168" s="25" t="inlineStr">
        <is>
          <t>Université de technologie de Belfort-Montbéliard</t>
        </is>
      </c>
      <c r="I168" s="25" t="n"/>
      <c r="J168" s="25" t="inlineStr">
        <is>
          <t>Site de Belfort</t>
        </is>
      </c>
      <c r="K168" s="25" t="n"/>
      <c r="L168" s="25" t="inlineStr">
        <is>
          <t>Public university</t>
        </is>
      </c>
      <c r="M168" s="25" t="inlineStr">
        <is>
          <t>French</t>
        </is>
      </c>
      <c r="N168" s="25" t="inlineStr">
        <is>
          <t>General</t>
        </is>
      </c>
      <c r="O168" s="25" t="inlineStr">
        <is>
          <t>Bac +4 / Bac +5</t>
        </is>
      </c>
      <c r="P168" s="26" t="inlineStr">
        <is>
          <t>Eligible on level (4-yr BS ≈ Bac+4)</t>
        </is>
      </c>
      <c r="Q168" s="25" t="inlineStr">
        <is>
          <t>1/2</t>
        </is>
      </c>
      <c r="R168" s="25" t="inlineStr">
        <is>
          <t>12</t>
        </is>
      </c>
      <c r="S168" s="27" t="n">
        <v>3950</v>
      </c>
      <c r="T168" s="27" t="n">
        <v>255</v>
      </c>
      <c r="U168" s="25" t="n">
        <v>2</v>
      </c>
      <c r="V168" s="27">
        <f>IF(S168="","",S168*U168)</f>
        <v/>
      </c>
      <c r="W168" s="26" t="inlineStr">
        <is>
          <t>Catalogue: €3,950. = national differentiated master fee (2026-27: €3,950). Exemption to ~€255 possible (university quota).</t>
        </is>
      </c>
      <c r="X168" s="25" t="inlineStr">
        <is>
          <t>High</t>
        </is>
      </c>
      <c r="Y168" s="25" t="inlineStr">
        <is>
          <t>3950</t>
        </is>
      </c>
      <c r="Z168" s="26" t="inlineStr">
        <is>
          <t>ifférenciés, pour une année, appliqués à un étudiant extracommunautaire, s'élèvent à 3950 € pour une entrée en cycle master (2026/2027) Les d … ifférenciés, pour une année, appliqués à un étudiant extracommunautaire, s'é</t>
        </is>
      </c>
      <c r="AA168" s="26" t="n"/>
      <c r="AB168" s="25" t="n"/>
      <c r="AC168" s="25" t="inlineStr">
        <is>
          <t>Open</t>
        </is>
      </c>
      <c r="AD168" s="25" t="inlineStr">
        <is>
          <t>2026-10-01</t>
        </is>
      </c>
      <c r="AE168" s="25" t="inlineStr">
        <is>
          <t>2027-03-15</t>
        </is>
      </c>
      <c r="AF168" s="25" t="inlineStr">
        <is>
          <t>No</t>
        </is>
      </c>
      <c r="AG168" s="28" t="inlineStr">
        <is>
          <t>https://www.utbm.fr/formations/masters</t>
        </is>
      </c>
      <c r="AH168" s="26" t="inlineStr">
        <is>
          <t>Maîtrise de votre domaine technique liée à la formation précédente (informatique, production, mécanique et Energie), travail en autonomie, Travail en équipe, ouverture d’esprit, sens de l’organisation, faire preuve de cu</t>
        </is>
      </c>
      <c r="AI168" s="28" t="inlineStr">
        <is>
          <t>Open in EEF</t>
        </is>
      </c>
    </row>
    <row r="169" ht="32.8" customHeight="1" s="19">
      <c r="A169" s="25" t="n">
        <v>168</v>
      </c>
      <c r="B169" s="25" t="inlineStr">
        <is>
          <t>★★★★☆</t>
        </is>
      </c>
      <c r="C169" s="25" t="inlineStr">
        <is>
          <t>4 – Strong fit (electronics/signal/robotics/IoT/sensors)</t>
        </is>
      </c>
      <c r="D169" s="25" t="inlineStr">
        <is>
          <t>IoT / Telecom / Networks</t>
        </is>
      </c>
      <c r="E169" s="26" t="inlineStr">
        <is>
          <t>Master Sciences, technologies, santé mention ingénierie et innovation en images et réseaux</t>
        </is>
      </c>
      <c r="F169" s="26" t="inlineStr">
        <is>
          <t>Master Science, Technology, Health (STS) – major: Engineering &amp; innovation in Images &amp; Networks</t>
        </is>
      </c>
      <c r="G169" s="25" t="inlineStr">
        <is>
          <t>Master indifférencié (recherche et professionnel)</t>
        </is>
      </c>
      <c r="H169" s="25" t="inlineStr">
        <is>
          <t>Institut Galilée</t>
        </is>
      </c>
      <c r="I169" s="25" t="inlineStr">
        <is>
          <t>Université Sorbonne Paris Nord</t>
        </is>
      </c>
      <c r="J169" s="25" t="inlineStr">
        <is>
          <t>Site de Villetaneuse</t>
        </is>
      </c>
      <c r="K169" s="25" t="n"/>
      <c r="L169" s="25" t="inlineStr">
        <is>
          <t>Public school / institute</t>
        </is>
      </c>
      <c r="M169" s="25" t="inlineStr">
        <is>
          <t>French</t>
        </is>
      </c>
      <c r="N169" s="25" t="inlineStr">
        <is>
          <t>General</t>
        </is>
      </c>
      <c r="O169" s="25" t="inlineStr">
        <is>
          <t>Bac +4</t>
        </is>
      </c>
      <c r="P169" s="26" t="inlineStr">
        <is>
          <t>Eligible on level (4-yr BS ≈ Bac+4)</t>
        </is>
      </c>
      <c r="Q169" s="25" t="inlineStr">
        <is>
          <t>1</t>
        </is>
      </c>
      <c r="R169" s="25" t="inlineStr">
        <is>
          <t>12</t>
        </is>
      </c>
      <c r="S169" s="27" t="n">
        <v>3950</v>
      </c>
      <c r="T169" s="27" t="n">
        <v>255</v>
      </c>
      <c r="U169" s="25" t="n">
        <v>2</v>
      </c>
      <c r="V169" s="27">
        <f>IF(S169="","",S169*U169)</f>
        <v/>
      </c>
      <c r="W169" s="26" t="inlineStr">
        <is>
          <t>Catalogue: €3,950. = national differentiated master fee (2026-27: €3,950). Exemption to ~€255 possible (university quota).</t>
        </is>
      </c>
      <c r="X169" s="25" t="inlineStr">
        <is>
          <t>High</t>
        </is>
      </c>
      <c r="Y169" s="25" t="inlineStr">
        <is>
          <t>3950</t>
        </is>
      </c>
      <c r="Z169" s="26" t="n"/>
      <c r="AA169" s="26" t="n"/>
      <c r="AB169" s="25" t="n"/>
      <c r="AC169" s="25" t="inlineStr">
        <is>
          <t>Open</t>
        </is>
      </c>
      <c r="AD169" s="25" t="inlineStr">
        <is>
          <t>2026-10-01</t>
        </is>
      </c>
      <c r="AE169" s="25" t="inlineStr">
        <is>
          <t>2027-03-15</t>
        </is>
      </c>
      <c r="AF169" s="25" t="inlineStr">
        <is>
          <t>No</t>
        </is>
      </c>
      <c r="AG169" s="28" t="inlineStr">
        <is>
          <t>https://galilee.univ-paris13.fr/master/master-ingenierie-innovation-images-reseaux-m3ir/</t>
        </is>
      </c>
      <c r="AH169" s="26" t="inlineStr">
        <is>
          <t>Niveau TCF Minimun B2 Excellent niveau de L3 Sciences pour l’ingénieur ou Informatique ou Electronique ou énergie électrique ou automatique ou Mathématiques (avec des cours optionnels sur le traitement de signal et l'inf</t>
        </is>
      </c>
      <c r="AI169" s="28" t="inlineStr">
        <is>
          <t>Open in EEF</t>
        </is>
      </c>
    </row>
    <row r="170" ht="32.8" customHeight="1" s="19">
      <c r="A170" s="25" t="n">
        <v>169</v>
      </c>
      <c r="B170" s="25" t="inlineStr">
        <is>
          <t>★★★★☆</t>
        </is>
      </c>
      <c r="C170" s="25" t="inlineStr">
        <is>
          <t>4 – Strong fit (electronics/signal/robotics/IoT/sensors)</t>
        </is>
      </c>
      <c r="D170" s="25" t="inlineStr">
        <is>
          <t>Signal / Image / Vision</t>
        </is>
      </c>
      <c r="E170" s="26" t="inlineStr">
        <is>
          <t>Master Sciences, technologies, santé mention Optique, image, vision, multimédia parcours Photonique, Informatique, Signal et Automatique (PISA)</t>
        </is>
      </c>
      <c r="F170" s="26" t="inlineStr">
        <is>
          <t>Master Science, Technology, Health (STS) – major: Optics, Image, Vision, Multimedia – track: Photonics, Computer Science, Signal &amp; Automation (PISA)</t>
        </is>
      </c>
      <c r="G170" s="25" t="inlineStr">
        <is>
          <t>Master indifférencié (recherche et professionnel)</t>
        </is>
      </c>
      <c r="H170" s="25" t="inlineStr">
        <is>
          <t>Télécom Physique Strasbourg</t>
        </is>
      </c>
      <c r="I170" s="25" t="inlineStr">
        <is>
          <t>Université de Strasbourg</t>
        </is>
      </c>
      <c r="J170" s="25" t="inlineStr">
        <is>
          <t>Site de Illkirch-Graffenstaden</t>
        </is>
      </c>
      <c r="K170" s="25" t="n"/>
      <c r="L170" s="25" t="inlineStr">
        <is>
          <t>Public university</t>
        </is>
      </c>
      <c r="M170" s="25" t="inlineStr">
        <is>
          <t>French</t>
        </is>
      </c>
      <c r="N170" s="25" t="inlineStr">
        <is>
          <t>General</t>
        </is>
      </c>
      <c r="O170" s="25" t="inlineStr">
        <is>
          <t>Bac +4</t>
        </is>
      </c>
      <c r="P170" s="26" t="inlineStr">
        <is>
          <t>Eligible on level (4-yr BS ≈ Bac+4)</t>
        </is>
      </c>
      <c r="Q170" s="25" t="inlineStr">
        <is>
          <t>1</t>
        </is>
      </c>
      <c r="R170" s="25" t="n"/>
      <c r="S170" s="27" t="n">
        <v>3950</v>
      </c>
      <c r="T170" s="27" t="n">
        <v>255</v>
      </c>
      <c r="U170" s="25" t="n">
        <v>2</v>
      </c>
      <c r="V170" s="27">
        <f>IF(S170="","",S170*U170)</f>
        <v/>
      </c>
      <c r="W170" s="26" t="inlineStr">
        <is>
          <t>Catalogue: €3,950. = national differentiated master fee (2026-27: €3,950). Exemption to ~€255 possible (university quota).</t>
        </is>
      </c>
      <c r="X170" s="25" t="inlineStr">
        <is>
          <t>High</t>
        </is>
      </c>
      <c r="Y170" s="25" t="inlineStr">
        <is>
          <t>3950</t>
        </is>
      </c>
      <c r="Z170" s="26" t="n"/>
      <c r="AA170" s="26" t="inlineStr">
        <is>
          <t>Unistra: master entrants who did not do their licence at Unistra pay the differentiated fee (€3,950).</t>
        </is>
      </c>
      <c r="AB170" s="28" t="inlineStr">
        <is>
          <t>https://www.unistra.fr/fr/node/8168</t>
        </is>
      </c>
      <c r="AC170" s="25" t="inlineStr">
        <is>
          <t>Open</t>
        </is>
      </c>
      <c r="AD170" s="25" t="inlineStr">
        <is>
          <t>2026-10-01</t>
        </is>
      </c>
      <c r="AE170" s="25" t="inlineStr">
        <is>
          <t>2027-03-15</t>
        </is>
      </c>
      <c r="AF170" s="25" t="inlineStr">
        <is>
          <t>No</t>
        </is>
      </c>
      <c r="AG170" s="28" t="inlineStr">
        <is>
          <t>https://www.master-iriv.fr</t>
        </is>
      </c>
      <c r="AH170" s="26" t="inlineStr">
        <is>
          <t>Elèves-ingénieurs dans le domaine des TIC (Télécom Physique Strasbourg, INSA, etc.), licences de physique, EEA/ESA IMPORTANT Le calendrier complet ainsi que les pièces à joindre pour la constitution du dossier dématérial</t>
        </is>
      </c>
      <c r="AI170" s="28" t="inlineStr">
        <is>
          <t>Open in EEF</t>
        </is>
      </c>
    </row>
    <row r="171" ht="32.8" customHeight="1" s="19">
      <c r="A171" s="25" t="n">
        <v>170</v>
      </c>
      <c r="B171" s="25" t="inlineStr">
        <is>
          <t>★★★★☆</t>
        </is>
      </c>
      <c r="C171" s="25" t="inlineStr">
        <is>
          <t>4 – Strong fit (electronics/signal/robotics/IoT/sensors)</t>
        </is>
      </c>
      <c r="D171" s="25" t="inlineStr">
        <is>
          <t>Signal / Image / Vision</t>
        </is>
      </c>
      <c r="E171" s="26" t="inlineStr">
        <is>
          <t>Master Sciences, technologies, santé, Optique, image, vision, mutlimédia parcours M1 OIVM Systèmes Distribués et Technologies de la data science</t>
        </is>
      </c>
      <c r="F171" s="26" t="inlineStr">
        <is>
          <t>Master Science, Technology, Health (STS), Optics, Image, Vision, Multimedia – track: M1 OIVM Systems Distributed &amp; Technologies of the data Science</t>
        </is>
      </c>
      <c r="G171" s="25" t="inlineStr">
        <is>
          <t>Master indifférencié (recherche et professionnel)</t>
        </is>
      </c>
      <c r="H171" s="25" t="inlineStr">
        <is>
          <t>UFR des sciences et technologie</t>
        </is>
      </c>
      <c r="I171" s="25" t="inlineStr">
        <is>
          <t>Université Paris-Est Créteil Val-de-Marne</t>
        </is>
      </c>
      <c r="J171" s="25" t="inlineStr">
        <is>
          <t>Site de Créteil</t>
        </is>
      </c>
      <c r="K171" s="25" t="n"/>
      <c r="L171" s="25" t="inlineStr">
        <is>
          <t>Public university</t>
        </is>
      </c>
      <c r="M171" s="25" t="inlineStr">
        <is>
          <t>French</t>
        </is>
      </c>
      <c r="N171" s="25" t="inlineStr">
        <is>
          <t>General</t>
        </is>
      </c>
      <c r="O171" s="25" t="inlineStr">
        <is>
          <t>Bac +4 / Bac +5</t>
        </is>
      </c>
      <c r="P171" s="26" t="inlineStr">
        <is>
          <t>Eligible on level (4-yr BS ≈ Bac+4)</t>
        </is>
      </c>
      <c r="Q171" s="25" t="inlineStr">
        <is>
          <t>1/2</t>
        </is>
      </c>
      <c r="R171" s="25" t="n"/>
      <c r="S171" s="27" t="n">
        <v>3950</v>
      </c>
      <c r="T171" s="27" t="n">
        <v>255</v>
      </c>
      <c r="U171" s="25" t="n">
        <v>2</v>
      </c>
      <c r="V171" s="27">
        <f>IF(S171="","",S171*U171)</f>
        <v/>
      </c>
      <c r="W171" s="26" t="inlineStr">
        <is>
          <t>Catalogue: €3,950. = national differentiated master fee (2026-27: €3,950). Exemption to ~€255 possible (university quota).</t>
        </is>
      </c>
      <c r="X171" s="25" t="inlineStr">
        <is>
          <t>High</t>
        </is>
      </c>
      <c r="Y171" s="25" t="inlineStr">
        <is>
          <t>3950</t>
        </is>
      </c>
      <c r="Z171" s="26" t="n"/>
      <c r="AA171" s="26" t="n"/>
      <c r="AB171" s="25" t="n"/>
      <c r="AC171" s="25" t="inlineStr">
        <is>
          <t>Open</t>
        </is>
      </c>
      <c r="AD171" s="25" t="inlineStr">
        <is>
          <t>2026-10-01</t>
        </is>
      </c>
      <c r="AE171" s="25" t="inlineStr">
        <is>
          <t>2027-03-15</t>
        </is>
      </c>
      <c r="AF171" s="25" t="inlineStr">
        <is>
          <t>No</t>
        </is>
      </c>
      <c r="AG171" s="25" t="n"/>
      <c r="AH171" s="26" t="n"/>
      <c r="AI171" s="28" t="inlineStr">
        <is>
          <t>Open in EEF</t>
        </is>
      </c>
    </row>
    <row r="172" ht="32.8" customHeight="1" s="19">
      <c r="A172" s="25" t="n">
        <v>171</v>
      </c>
      <c r="B172" s="25" t="inlineStr">
        <is>
          <t>★★★★☆</t>
        </is>
      </c>
      <c r="C172" s="25" t="inlineStr">
        <is>
          <t>4 – Strong fit (electronics/signal/robotics/IoT/sensors)</t>
        </is>
      </c>
      <c r="D172" s="25" t="inlineStr">
        <is>
          <t>Signal / Image / Vision</t>
        </is>
      </c>
      <c r="E172" s="26" t="inlineStr">
        <is>
          <t>Master Sciences, technologies, santé, Traitement du signal et des images</t>
        </is>
      </c>
      <c r="F172" s="26" t="inlineStr">
        <is>
          <t>Master Science, Technology, Health (STS), Signal &amp; Image Processing</t>
        </is>
      </c>
      <c r="G172" s="25" t="inlineStr">
        <is>
          <t>Master indifférencié (recherche et professionnel)</t>
        </is>
      </c>
      <c r="H172" s="25" t="inlineStr">
        <is>
          <t>Centre de gestion universitaire de la Mi-Voix</t>
        </is>
      </c>
      <c r="I172" s="25" t="inlineStr">
        <is>
          <t>Université du Littoral Côte d'Opale</t>
        </is>
      </c>
      <c r="J172" s="25" t="inlineStr">
        <is>
          <t>Site de Calais</t>
        </is>
      </c>
      <c r="K172" s="25" t="n"/>
      <c r="L172" s="25" t="inlineStr">
        <is>
          <t>Public university</t>
        </is>
      </c>
      <c r="M172" s="25" t="inlineStr">
        <is>
          <t>French</t>
        </is>
      </c>
      <c r="N172" s="25" t="inlineStr">
        <is>
          <t>General</t>
        </is>
      </c>
      <c r="O172" s="25" t="inlineStr">
        <is>
          <t>Bac +4 / Bac +5</t>
        </is>
      </c>
      <c r="P172" s="26" t="inlineStr">
        <is>
          <t>Eligible on level (4-yr BS ≈ Bac+4)</t>
        </is>
      </c>
      <c r="Q172" s="25" t="inlineStr">
        <is>
          <t>1/2</t>
        </is>
      </c>
      <c r="R172" s="25" t="n"/>
      <c r="S172" s="27" t="n">
        <v>3950</v>
      </c>
      <c r="T172" s="27" t="n">
        <v>255</v>
      </c>
      <c r="U172" s="25" t="n">
        <v>2</v>
      </c>
      <c r="V172" s="27">
        <f>IF(S172="","",S172*U172)</f>
        <v/>
      </c>
      <c r="W172" s="26" t="inlineStr">
        <is>
          <t>Catalogue: €3,950. = national differentiated master fee (2026-27: €3,950). Exemption to ~€255 possible (university quota).</t>
        </is>
      </c>
      <c r="X172" s="25" t="inlineStr">
        <is>
          <t>High</t>
        </is>
      </c>
      <c r="Y172" s="25" t="inlineStr">
        <is>
          <t>3950</t>
        </is>
      </c>
      <c r="Z172" s="26" t="n"/>
      <c r="AA172" s="26" t="n"/>
      <c r="AB172" s="25" t="n"/>
      <c r="AC172" s="25" t="inlineStr">
        <is>
          <t>Open</t>
        </is>
      </c>
      <c r="AD172" s="25" t="inlineStr">
        <is>
          <t>2026-10-01</t>
        </is>
      </c>
      <c r="AE172" s="25" t="inlineStr">
        <is>
          <t>2027-03-15</t>
        </is>
      </c>
      <c r="AF172" s="25" t="inlineStr">
        <is>
          <t>No</t>
        </is>
      </c>
      <c r="AG172" s="28" t="inlineStr">
        <is>
          <t>https://www.univ-littoral.fr/</t>
        </is>
      </c>
      <c r="AH172" s="26" t="inlineStr">
        <is>
          <t>Pour les étudiants étrangers originaires d’un pays où le français n’est pas la langue officielle (hors Espace Economique Européen) : exigence du DELF (niveau B2), du DALF, du TCF (niveau B2) ou TEF (niveau B2). Cette att</t>
        </is>
      </c>
      <c r="AI172" s="28" t="inlineStr">
        <is>
          <t>Open in EEF</t>
        </is>
      </c>
    </row>
    <row r="173" ht="32.8" customHeight="1" s="19">
      <c r="A173" s="25" t="n">
        <v>172</v>
      </c>
      <c r="B173" s="25" t="inlineStr">
        <is>
          <t>★★★★☆</t>
        </is>
      </c>
      <c r="C173" s="25" t="inlineStr">
        <is>
          <t>4 – Strong fit (electronics/signal/robotics/IoT/sensors)</t>
        </is>
      </c>
      <c r="D173" s="25" t="inlineStr">
        <is>
          <t>Robotics / Automation / Mechatronics</t>
        </is>
      </c>
      <c r="E173" s="26" t="inlineStr">
        <is>
          <t>Master professionnel mention Traitement automatique des langues</t>
        </is>
      </c>
      <c r="F173" s="26" t="inlineStr">
        <is>
          <t>Professional Master – major: Processing Automation of Languages</t>
        </is>
      </c>
      <c r="G173" s="25" t="inlineStr">
        <is>
          <t>Master professionnel</t>
        </is>
      </c>
      <c r="H173" s="25" t="inlineStr">
        <is>
          <t>Filière Traitement automatique des langues</t>
        </is>
      </c>
      <c r="I173" s="25" t="inlineStr">
        <is>
          <t>Institut national des langues et civilisations orientales</t>
        </is>
      </c>
      <c r="J173" s="25" t="inlineStr">
        <is>
          <t>Site par défaut</t>
        </is>
      </c>
      <c r="K173" s="25" t="n"/>
      <c r="L173" s="25" t="inlineStr">
        <is>
          <t>Public school / institute</t>
        </is>
      </c>
      <c r="M173" s="25" t="inlineStr">
        <is>
          <t>French</t>
        </is>
      </c>
      <c r="N173" s="25" t="inlineStr">
        <is>
          <t>General</t>
        </is>
      </c>
      <c r="O173" s="25" t="inlineStr">
        <is>
          <t>Bac +4</t>
        </is>
      </c>
      <c r="P173" s="26" t="inlineStr">
        <is>
          <t>Eligible on level (4-yr BS ≈ Bac+4)</t>
        </is>
      </c>
      <c r="Q173" s="25" t="inlineStr">
        <is>
          <t>1</t>
        </is>
      </c>
      <c r="R173" s="25" t="inlineStr">
        <is>
          <t>12</t>
        </is>
      </c>
      <c r="S173" s="27" t="n">
        <v>3950</v>
      </c>
      <c r="T173" s="27" t="n">
        <v>255</v>
      </c>
      <c r="U173" s="25" t="n">
        <v>1</v>
      </c>
      <c r="V173" s="27">
        <f>IF(S173="","",S173*U173)</f>
        <v/>
      </c>
      <c r="W173" s="26" t="inlineStr">
        <is>
          <t>Catalogue: €3,941. = national differentiated master fee (2026-27: €3,950). Exemption to ~€255 possible (university quota).</t>
        </is>
      </c>
      <c r="X173" s="25" t="inlineStr">
        <is>
          <t>High</t>
        </is>
      </c>
      <c r="Y173" s="25" t="inlineStr">
        <is>
          <t>3941</t>
        </is>
      </c>
      <c r="Z173" s="26" t="n"/>
      <c r="AA173" s="26" t="n"/>
      <c r="AB173" s="25" t="n"/>
      <c r="AC173" s="25" t="inlineStr">
        <is>
          <t>Open</t>
        </is>
      </c>
      <c r="AD173" s="25" t="inlineStr">
        <is>
          <t>2026-10-01</t>
        </is>
      </c>
      <c r="AE173" s="25" t="inlineStr">
        <is>
          <t>2027-03-15</t>
        </is>
      </c>
      <c r="AF173" s="25" t="inlineStr">
        <is>
          <t>No</t>
        </is>
      </c>
      <c r="AG173" s="28" t="inlineStr">
        <is>
          <t>https://www.inalco.fr/</t>
        </is>
      </c>
      <c r="AH173" s="26" t="inlineStr">
        <is>
          <t>Les documents justificatifs demandés pour le dépôt d'une candidature sont les suivants : - Pièce d'identité (passeport) - Attestation de langue française, niveau C1 du cadre européen de référence pour les langues (CECRL)</t>
        </is>
      </c>
      <c r="AI173" s="28" t="inlineStr">
        <is>
          <t>Open in EEF</t>
        </is>
      </c>
    </row>
    <row r="174" ht="32.8" customHeight="1" s="19">
      <c r="A174" s="25" t="n">
        <v>173</v>
      </c>
      <c r="B174" s="25" t="inlineStr">
        <is>
          <t>★★★★☆</t>
        </is>
      </c>
      <c r="C174" s="25" t="inlineStr">
        <is>
          <t>4 – Strong fit (electronics/signal/robotics/IoT/sensors)</t>
        </is>
      </c>
      <c r="D174" s="25" t="inlineStr">
        <is>
          <t>Embedded systems / Electronics</t>
        </is>
      </c>
      <c r="E174" s="26" t="inlineStr">
        <is>
          <t>Master professionnel Sciences, technologies, santé mention Electronique, énergie électrique, automatique parcours EEA/TSI : Electronique, Signal et Image</t>
        </is>
      </c>
      <c r="F174" s="26" t="inlineStr">
        <is>
          <t>Professional Master Science, Technology, Health (STS) – major: Electronics, Electrical Energy &amp; Automation (EEA) – track: EEA/TSI : Electronics, Signal &amp; Image</t>
        </is>
      </c>
      <c r="G174" s="25" t="inlineStr">
        <is>
          <t>Master professionnel</t>
        </is>
      </c>
      <c r="H174" s="25" t="inlineStr">
        <is>
          <t>UFR de Sciences et techniques</t>
        </is>
      </c>
      <c r="I174" s="25" t="inlineStr">
        <is>
          <t>Université Bourgogne Europe</t>
        </is>
      </c>
      <c r="J174" s="25" t="inlineStr">
        <is>
          <t>Site de Dijon</t>
        </is>
      </c>
      <c r="K174" s="25" t="n"/>
      <c r="L174" s="25" t="inlineStr">
        <is>
          <t>Public university</t>
        </is>
      </c>
      <c r="M174" s="25" t="inlineStr">
        <is>
          <t>French</t>
        </is>
      </c>
      <c r="N174" s="25" t="inlineStr">
        <is>
          <t>General</t>
        </is>
      </c>
      <c r="O174" s="25" t="inlineStr">
        <is>
          <t>Bac +4</t>
        </is>
      </c>
      <c r="P174" s="26" t="inlineStr">
        <is>
          <t>Eligible on level (4-yr BS ≈ Bac+4)</t>
        </is>
      </c>
      <c r="Q174" s="25" t="inlineStr">
        <is>
          <t>1</t>
        </is>
      </c>
      <c r="R174" s="25" t="inlineStr">
        <is>
          <t>12</t>
        </is>
      </c>
      <c r="S174" s="27" t="n">
        <v>3950</v>
      </c>
      <c r="T174" s="27" t="n">
        <v>255</v>
      </c>
      <c r="U174" s="25" t="n">
        <v>1</v>
      </c>
      <c r="V174" s="27">
        <f>IF(S174="","",S174*U174)</f>
        <v/>
      </c>
      <c r="W174" s="26" t="inlineStr">
        <is>
          <t>Catalogue: €3,950. = national differentiated master fee (2026-27: €3,950). Exemption to ~€255 possible (university quota).</t>
        </is>
      </c>
      <c r="X174" s="25" t="inlineStr">
        <is>
          <t>High</t>
        </is>
      </c>
      <c r="Y174" s="25" t="inlineStr">
        <is>
          <t>3950</t>
        </is>
      </c>
      <c r="Z174" s="26" t="n"/>
      <c r="AA174" s="26" t="n"/>
      <c r="AB174" s="25" t="n"/>
      <c r="AC174" s="25" t="inlineStr">
        <is>
          <t>Open</t>
        </is>
      </c>
      <c r="AD174" s="25" t="inlineStr">
        <is>
          <t>2026-10-01</t>
        </is>
      </c>
      <c r="AE174" s="25" t="inlineStr">
        <is>
          <t>2027-03-15</t>
        </is>
      </c>
      <c r="AF174" s="25" t="inlineStr">
        <is>
          <t>No</t>
        </is>
      </c>
      <c r="AG174" s="28" t="inlineStr">
        <is>
          <t>http://sciences-techniques.u-bourgogne.fr</t>
        </is>
      </c>
      <c r="AH174" s="26" t="inlineStr">
        <is>
          <t>Etudiants issus de licence 3ème année, Master1 ou Master M2 en électronique, télécommunication, systèmes embarqués, informatique industrielle, automatique, traitement du signal et des images. Le test de connaissance du f</t>
        </is>
      </c>
      <c r="AI174" s="28" t="inlineStr">
        <is>
          <t>Open in EEF</t>
        </is>
      </c>
    </row>
    <row r="175" ht="32.8" customHeight="1" s="19">
      <c r="A175" s="25" t="n">
        <v>174</v>
      </c>
      <c r="B175" s="25" t="inlineStr">
        <is>
          <t>★★★★☆</t>
        </is>
      </c>
      <c r="C175" s="25" t="inlineStr">
        <is>
          <t>4 – Strong fit (electronics/signal/robotics/IoT/sensors)</t>
        </is>
      </c>
      <c r="D175" s="25" t="inlineStr">
        <is>
          <t>Signal / Image / Vision</t>
        </is>
      </c>
      <c r="E175" s="26" t="inlineStr">
        <is>
          <t>Master indifférencié (recherche et professionnel) mention Biologie Santé* parcours Signalisation cellulaire et moléculaire (SCM)</t>
        </is>
      </c>
      <c r="F175" s="26" t="inlineStr">
        <is>
          <t>major: Biology-Health* – track: Signalling Cellular &amp; Molecular (SCM)</t>
        </is>
      </c>
      <c r="G175" s="25" t="inlineStr">
        <is>
          <t>Master indifférencié (recherche et professionnel)</t>
        </is>
      </c>
      <c r="H175" s="25" t="inlineStr">
        <is>
          <t>UFR Sciences et Techniques</t>
        </is>
      </c>
      <c r="I175" s="25" t="inlineStr">
        <is>
          <t>Université Marie et Louis Pasteur</t>
        </is>
      </c>
      <c r="J175" s="25" t="inlineStr">
        <is>
          <t>Site de Besançon</t>
        </is>
      </c>
      <c r="K175" s="25" t="inlineStr">
        <is>
          <t>25030 BESANCON CEDEX</t>
        </is>
      </c>
      <c r="L175" s="25" t="inlineStr">
        <is>
          <t>Public university</t>
        </is>
      </c>
      <c r="M175" s="25" t="inlineStr">
        <is>
          <t>French</t>
        </is>
      </c>
      <c r="N175" s="25" t="inlineStr">
        <is>
          <t>General</t>
        </is>
      </c>
      <c r="O175" s="25" t="inlineStr">
        <is>
          <t>Bac +4</t>
        </is>
      </c>
      <c r="P175" s="26" t="inlineStr">
        <is>
          <t>Eligible on level (4-yr BS ≈ Bac+4)</t>
        </is>
      </c>
      <c r="Q175" s="25" t="inlineStr">
        <is>
          <t>1</t>
        </is>
      </c>
      <c r="R175" s="25" t="n"/>
      <c r="S175" s="27" t="n">
        <v>3950</v>
      </c>
      <c r="T175" s="27" t="n">
        <v>255</v>
      </c>
      <c r="U175" s="25" t="n">
        <v>2</v>
      </c>
      <c r="V175" s="27">
        <f>IF(S175="","",S175*U175)</f>
        <v/>
      </c>
      <c r="W175" s="26" t="inlineStr">
        <is>
          <t>Not in catalogue. Public national master → 2026-27 differentiated fee €3,950; exemption to ~€254-255 depends on university quota (25% cap in 2027-28).</t>
        </is>
      </c>
      <c r="X175" s="25" t="inlineStr">
        <is>
          <t>Medium</t>
        </is>
      </c>
      <c r="Y175" s="25" t="n"/>
      <c r="Z175" s="26" t="n"/>
      <c r="AA175" s="26" t="inlineStr">
        <is>
          <t>UMLP: individual exemption requests assessed on personal resources.</t>
        </is>
      </c>
      <c r="AB175" s="28" t="inlineStr">
        <is>
          <t>https://www.umlp.fr/sites/default/files/2026-07-02-page-droits-differencies-vf.pdf</t>
        </is>
      </c>
      <c r="AC175" s="25" t="inlineStr">
        <is>
          <t>Open</t>
        </is>
      </c>
      <c r="AD175" s="25" t="inlineStr">
        <is>
          <t>2026-10-01</t>
        </is>
      </c>
      <c r="AE175" s="25" t="inlineStr">
        <is>
          <t>2027-03-15</t>
        </is>
      </c>
      <c r="AF175" s="25" t="inlineStr">
        <is>
          <t>No</t>
        </is>
      </c>
      <c r="AG175" s="28" t="inlineStr">
        <is>
          <t>https://formations.univ-fcomte.fr/fr/index/formations/feuilleter-le-catalogue/master-lmd-XB/master-biologie-sante-M3PNGH7Y/master-biologie-sante-signalisation-cellulaire-et-moleculaire-M3PNHB5T.html</t>
        </is>
      </c>
      <c r="AH175" s="26" t="inlineStr">
        <is>
          <t>Posséder de solides connaissances en biochimie, génétique moléculaire, biologie cellulaire et génétique Être particulièrement intéressé par le fonctionnement et les mécanismes moléculaires de la cellule normale et pathol</t>
        </is>
      </c>
      <c r="AI175" s="28" t="inlineStr">
        <is>
          <t>Open in EEF</t>
        </is>
      </c>
    </row>
    <row r="176" ht="32.8" customHeight="1" s="19">
      <c r="A176" s="25" t="n">
        <v>175</v>
      </c>
      <c r="B176" s="25" t="inlineStr">
        <is>
          <t>★★★★☆</t>
        </is>
      </c>
      <c r="C176" s="25" t="inlineStr">
        <is>
          <t>4 – Strong fit (electronics/signal/robotics/IoT/sensors)</t>
        </is>
      </c>
      <c r="D176" s="25" t="inlineStr">
        <is>
          <t>Embedded systems / Electronics</t>
        </is>
      </c>
      <c r="E176" s="26" t="inlineStr">
        <is>
          <t>Master indifférencié (recherche et professionnel) Sciences et technologies mention Electronique, énergie électrique, automatique parcours Réseaux Electriques Bâtiments Industries Intelligents</t>
        </is>
      </c>
      <c r="F176" s="26" t="inlineStr">
        <is>
          <t>Science &amp; Technology – major: Electronics, Electrical Energy &amp; Automation (EEA) – track: Networks Electriques Bâtiments Industries Intelligent</t>
        </is>
      </c>
      <c r="G176" s="25" t="inlineStr">
        <is>
          <t>Master indifférencié (recherche et professionnel)</t>
        </is>
      </c>
      <c r="H176" s="25" t="inlineStr">
        <is>
          <t>UFR Sciences</t>
        </is>
      </c>
      <c r="I176" s="25" t="inlineStr">
        <is>
          <t>Université d'Aix-Marseille</t>
        </is>
      </c>
      <c r="J176" s="25" t="inlineStr">
        <is>
          <t>Site de Marseille - St Jérôme</t>
        </is>
      </c>
      <c r="K176" s="25" t="n"/>
      <c r="L176" s="25" t="inlineStr">
        <is>
          <t>Public university</t>
        </is>
      </c>
      <c r="M176" s="25" t="inlineStr">
        <is>
          <t>French</t>
        </is>
      </c>
      <c r="N176" s="25" t="inlineStr">
        <is>
          <t>General</t>
        </is>
      </c>
      <c r="O176" s="25" t="inlineStr">
        <is>
          <t>Bac +4 / Bac +5</t>
        </is>
      </c>
      <c r="P176" s="26" t="inlineStr">
        <is>
          <t>Eligible on level (4-yr BS ≈ Bac+4)</t>
        </is>
      </c>
      <c r="Q176" s="25" t="inlineStr">
        <is>
          <t>1/2</t>
        </is>
      </c>
      <c r="R176" s="25" t="inlineStr">
        <is>
          <t>12</t>
        </is>
      </c>
      <c r="S176" s="27" t="n">
        <v>3950</v>
      </c>
      <c r="T176" s="27" t="n">
        <v>255</v>
      </c>
      <c r="U176" s="25" t="n">
        <v>2</v>
      </c>
      <c r="V176" s="27">
        <f>IF(S176="","",S176*U176)</f>
        <v/>
      </c>
      <c r="W176" s="26" t="inlineStr">
        <is>
          <t>Not in catalogue. Public national master → 2026-27 differentiated fee €3,950; exemption to ~€254-255 depends on university quota (25% cap in 2027-28).</t>
        </is>
      </c>
      <c r="X176" s="25" t="inlineStr">
        <is>
          <t>Medium</t>
        </is>
      </c>
      <c r="Y176" s="25" t="n"/>
      <c r="Z176" s="26" t="n"/>
      <c r="AA176" s="26" t="inlineStr">
        <is>
          <t>AMU 2026-27: limited exemptions (≈1,800 of 5,500 students) – priority to continuing students, conflict zones, excellence scholarships. New master entrants usually pay €3,950.</t>
        </is>
      </c>
      <c r="AB176" s="28" t="inlineStr">
        <is>
          <t>https://www.univ-amu.fr/fr/actualites/aix-marseille-universite-mobilise-pleinement-capacite-dexoneration-continuer-accueillir</t>
        </is>
      </c>
      <c r="AC176" s="25" t="inlineStr">
        <is>
          <t>Open</t>
        </is>
      </c>
      <c r="AD176" s="25" t="inlineStr">
        <is>
          <t>2026-10-01</t>
        </is>
      </c>
      <c r="AE176" s="25" t="inlineStr">
        <is>
          <t>2027-03-15</t>
        </is>
      </c>
      <c r="AF176" s="25" t="inlineStr">
        <is>
          <t>No</t>
        </is>
      </c>
      <c r="AG176" s="28" t="inlineStr">
        <is>
          <t>https://formations.univ-amu.fr/fr/master/5SEA/PRSEA5C1</t>
        </is>
      </c>
      <c r="AH176" s="26" t="inlineStr">
        <is>
          <t>3 points importants pour votre candidature : Parcours exclusivement en alternance . Obligation de fournir une promesse de contrat d’apprentissage lors de la candidature . Sans ce document votre dossier sera refusé. Votre</t>
        </is>
      </c>
      <c r="AI176" s="28" t="inlineStr">
        <is>
          <t>Open in EEF</t>
        </is>
      </c>
    </row>
    <row r="177" ht="32.8" customHeight="1" s="19">
      <c r="A177" s="25" t="n">
        <v>176</v>
      </c>
      <c r="B177" s="25" t="inlineStr">
        <is>
          <t>★★★★☆</t>
        </is>
      </c>
      <c r="C177" s="25" t="inlineStr">
        <is>
          <t>4 – Strong fit (electronics/signal/robotics/IoT/sensors)</t>
        </is>
      </c>
      <c r="D177" s="25" t="inlineStr">
        <is>
          <t>Robotics / Automation / Mechatronics</t>
        </is>
      </c>
      <c r="E177" s="26" t="inlineStr">
        <is>
          <t>Master indifférencié (recherche et professionnel) Sciences, technologies, santé mention Automatique, robotique parcours I-SMART (ingénierie 4.0 - Systèmes mécatroniques, IA et robotique</t>
        </is>
      </c>
      <c r="F177" s="26" t="inlineStr">
        <is>
          <t>Science, Technology, Health (STS) – major: Automation, Robotics – track: I-SMART (Engineering 4.0 - Systems Mechatronic, IA &amp; Robotics</t>
        </is>
      </c>
      <c r="G177" s="25" t="inlineStr">
        <is>
          <t>Master indifférencié (recherche et professionnel)</t>
        </is>
      </c>
      <c r="H177" s="25" t="inlineStr">
        <is>
          <t>Ecole Universitaire de Physique et d'Ingénierie</t>
        </is>
      </c>
      <c r="I177" s="25" t="inlineStr">
        <is>
          <t>Université Clermont Auvergne</t>
        </is>
      </c>
      <c r="J177" s="25" t="inlineStr">
        <is>
          <t>Site de Aubière</t>
        </is>
      </c>
      <c r="K177" s="25" t="n"/>
      <c r="L177" s="25" t="inlineStr">
        <is>
          <t>Public school / institute</t>
        </is>
      </c>
      <c r="M177" s="25" t="inlineStr">
        <is>
          <t>French</t>
        </is>
      </c>
      <c r="N177" s="25" t="inlineStr">
        <is>
          <t>General</t>
        </is>
      </c>
      <c r="O177" s="25" t="inlineStr">
        <is>
          <t>Bac +4 / Bac +5</t>
        </is>
      </c>
      <c r="P177" s="26" t="inlineStr">
        <is>
          <t>Eligible on level (4-yr BS ≈ Bac+4)</t>
        </is>
      </c>
      <c r="Q177" s="25" t="inlineStr">
        <is>
          <t>1/2</t>
        </is>
      </c>
      <c r="R177" s="25" t="inlineStr">
        <is>
          <t>10</t>
        </is>
      </c>
      <c r="S177" s="27" t="n">
        <v>3950</v>
      </c>
      <c r="T177" s="27" t="n">
        <v>255</v>
      </c>
      <c r="U177" s="25" t="n">
        <v>2</v>
      </c>
      <c r="V177" s="27">
        <f>IF(S177="","",S177*U177)</f>
        <v/>
      </c>
      <c r="W177" s="26" t="inlineStr">
        <is>
          <t>Not in catalogue. Public national master → 2026-27 differentiated fee €3,950; exemption to ~€254-255 depends on university quota (25% cap in 2027-28).</t>
        </is>
      </c>
      <c r="X177" s="25" t="inlineStr">
        <is>
          <t>Medium</t>
        </is>
      </c>
      <c r="Y177" s="25" t="n"/>
      <c r="Z177" s="26" t="n"/>
      <c r="AA177" s="26" t="inlineStr">
        <is>
          <t>UCA board (Dec 2025) kept its partial-exemption framework for 2026-27 (pre-decree; re-check).</t>
        </is>
      </c>
      <c r="AB177" s="28" t="inlineStr">
        <is>
          <t>https://www.uca.fr/medias/fichier/delib-ca-20251205-15-tarifs-differencies_1765204050111-pdf</t>
        </is>
      </c>
      <c r="AC177" s="25" t="inlineStr">
        <is>
          <t>Open</t>
        </is>
      </c>
      <c r="AD177" s="25" t="inlineStr">
        <is>
          <t>2026-10-01</t>
        </is>
      </c>
      <c r="AE177" s="25" t="inlineStr">
        <is>
          <t>2027-03-15</t>
        </is>
      </c>
      <c r="AF177" s="25" t="inlineStr">
        <is>
          <t>No</t>
        </is>
      </c>
      <c r="AG177" s="28" t="inlineStr">
        <is>
          <t>https://eupi.uca.fr/</t>
        </is>
      </c>
      <c r="AH177" s="26" t="inlineStr">
        <is>
          <t>Le parcours I-SMART est à orientation industrielle, il prépare les étudiants à prendre en main et à animer des projets de développement de systèmes automatisés qui sont toujours pluridisciplinaires (systèmes mécatronique</t>
        </is>
      </c>
      <c r="AI177" s="28" t="inlineStr">
        <is>
          <t>Open in EEF</t>
        </is>
      </c>
    </row>
    <row r="178" ht="32.8" customHeight="1" s="19">
      <c r="A178" s="25" t="n">
        <v>177</v>
      </c>
      <c r="B178" s="25" t="inlineStr">
        <is>
          <t>★★★★☆</t>
        </is>
      </c>
      <c r="C178" s="25" t="inlineStr">
        <is>
          <t>4 – Strong fit (electronics/signal/robotics/IoT/sensors)</t>
        </is>
      </c>
      <c r="D178" s="25" t="inlineStr">
        <is>
          <t>Robotics / Automation / Mechatronics</t>
        </is>
      </c>
      <c r="E178" s="26" t="inlineStr">
        <is>
          <t>Master indifférencié (recherche et professionnel) Sciences, technologies, santé mention Automatique, robotique parcours "Perception artificielle et robotique"</t>
        </is>
      </c>
      <c r="F178" s="26" t="inlineStr">
        <is>
          <t>Science, Technology, Health (STS) – major: Automation, Robotics – track: "Perception artificielle &amp; Robotics"</t>
        </is>
      </c>
      <c r="G178" s="25" t="inlineStr">
        <is>
          <t>Master indifférencié (recherche et professionnel)</t>
        </is>
      </c>
      <c r="H178" s="25" t="inlineStr">
        <is>
          <t>Ecole Universitaire de Physique et d'Ingénierie</t>
        </is>
      </c>
      <c r="I178" s="25" t="inlineStr">
        <is>
          <t>Université Clermont Auvergne</t>
        </is>
      </c>
      <c r="J178" s="25" t="inlineStr">
        <is>
          <t>Site de Aubière</t>
        </is>
      </c>
      <c r="K178" s="25" t="n"/>
      <c r="L178" s="25" t="inlineStr">
        <is>
          <t>Public school / institute</t>
        </is>
      </c>
      <c r="M178" s="25" t="inlineStr">
        <is>
          <t>French</t>
        </is>
      </c>
      <c r="N178" s="25" t="inlineStr">
        <is>
          <t>General</t>
        </is>
      </c>
      <c r="O178" s="25" t="inlineStr">
        <is>
          <t>Bac +4 / Bac +5</t>
        </is>
      </c>
      <c r="P178" s="26" t="inlineStr">
        <is>
          <t>Eligible on level (4-yr BS ≈ Bac+4)</t>
        </is>
      </c>
      <c r="Q178" s="25" t="inlineStr">
        <is>
          <t>1/2</t>
        </is>
      </c>
      <c r="R178" s="25" t="inlineStr">
        <is>
          <t>10</t>
        </is>
      </c>
      <c r="S178" s="27" t="n">
        <v>3950</v>
      </c>
      <c r="T178" s="27" t="n">
        <v>255</v>
      </c>
      <c r="U178" s="25" t="n">
        <v>2</v>
      </c>
      <c r="V178" s="27">
        <f>IF(S178="","",S178*U178)</f>
        <v/>
      </c>
      <c r="W178" s="26" t="inlineStr">
        <is>
          <t>Not in catalogue. Public national master → 2026-27 differentiated fee €3,950; exemption to ~€254-255 depends on university quota (25% cap in 2027-28).</t>
        </is>
      </c>
      <c r="X178" s="25" t="inlineStr">
        <is>
          <t>Medium</t>
        </is>
      </c>
      <c r="Y178" s="25" t="n"/>
      <c r="Z178" s="26" t="n"/>
      <c r="AA178" s="26" t="inlineStr">
        <is>
          <t>UCA board (Dec 2025) kept its partial-exemption framework for 2026-27 (pre-decree; re-check).</t>
        </is>
      </c>
      <c r="AB178" s="28" t="inlineStr">
        <is>
          <t>https://www.uca.fr/medias/fichier/delib-ca-20251205-15-tarifs-differencies_1765204050111-pdf</t>
        </is>
      </c>
      <c r="AC178" s="25" t="inlineStr">
        <is>
          <t>Open</t>
        </is>
      </c>
      <c r="AD178" s="25" t="inlineStr">
        <is>
          <t>2026-10-01</t>
        </is>
      </c>
      <c r="AE178" s="25" t="inlineStr">
        <is>
          <t>2027-03-15</t>
        </is>
      </c>
      <c r="AF178" s="25" t="inlineStr">
        <is>
          <t>No</t>
        </is>
      </c>
      <c r="AG178" s="28" t="inlineStr">
        <is>
          <t>https://eupi.uca.fr/</t>
        </is>
      </c>
      <c r="AH178" s="26" t="inlineStr">
        <is>
          <t>Langue française : niveau B2 exigé Connaissances pluridisciplinaires sur les 4 domaines : - Mécanique - Automatique/Signal - Informatique industrielle - Electronique le parcours " Perception artificielle et Robotique " e</t>
        </is>
      </c>
      <c r="AI178" s="28" t="inlineStr">
        <is>
          <t>Open in EEF</t>
        </is>
      </c>
    </row>
    <row r="179" ht="32.8" customHeight="1" s="19">
      <c r="A179" s="25" t="n">
        <v>178</v>
      </c>
      <c r="B179" s="25" t="inlineStr">
        <is>
          <t>★★★★☆</t>
        </is>
      </c>
      <c r="C179" s="25" t="inlineStr">
        <is>
          <t>4 – Strong fit (electronics/signal/robotics/IoT/sensors)</t>
        </is>
      </c>
      <c r="D179" s="25" t="inlineStr">
        <is>
          <t>Signal / Image / Vision</t>
        </is>
      </c>
      <c r="E179" s="26" t="inlineStr">
        <is>
          <t>Master indifférencié (recherche et professionnel) Sciences, technologies, santé mention Biologie-santé parcours Biologie et imagerie multimodale</t>
        </is>
      </c>
      <c r="F179" s="26" t="inlineStr">
        <is>
          <t>Science, Technology, Health (STS) – major: Biology-Health – track: Biology &amp; Imaging Multimodal</t>
        </is>
      </c>
      <c r="G179" s="25" t="inlineStr">
        <is>
          <t>Master indifférencié (recherche et professionnel)</t>
        </is>
      </c>
      <c r="H179" s="25" t="inlineStr">
        <is>
          <t>UFR de Sciences et techniques</t>
        </is>
      </c>
      <c r="I179" s="25" t="inlineStr">
        <is>
          <t>Université de Tours</t>
        </is>
      </c>
      <c r="J179" s="25" t="inlineStr">
        <is>
          <t>Site de Tours</t>
        </is>
      </c>
      <c r="K179" s="25" t="n"/>
      <c r="L179" s="25" t="inlineStr">
        <is>
          <t>Public university</t>
        </is>
      </c>
      <c r="M179" s="25" t="inlineStr">
        <is>
          <t>French</t>
        </is>
      </c>
      <c r="N179" s="25" t="inlineStr">
        <is>
          <t>General</t>
        </is>
      </c>
      <c r="O179" s="25" t="inlineStr">
        <is>
          <t>Bac +4</t>
        </is>
      </c>
      <c r="P179" s="26" t="inlineStr">
        <is>
          <t>Eligible on level (4-yr BS ≈ Bac+4)</t>
        </is>
      </c>
      <c r="Q179" s="25" t="inlineStr">
        <is>
          <t>1</t>
        </is>
      </c>
      <c r="R179" s="25" t="n"/>
      <c r="S179" s="27" t="n">
        <v>3950</v>
      </c>
      <c r="T179" s="27" t="n">
        <v>255</v>
      </c>
      <c r="U179" s="25" t="n">
        <v>2</v>
      </c>
      <c r="V179" s="27">
        <f>IF(S179="","",S179*U179)</f>
        <v/>
      </c>
      <c r="W179" s="26" t="inlineStr">
        <is>
          <t>Not in catalogue. Public national master → 2026-27 differentiated fee €3,950; exemption to ~€254-255 depends on university quota (25% cap in 2027-28).</t>
        </is>
      </c>
      <c r="X179" s="25" t="inlineStr">
        <is>
          <t>Medium</t>
        </is>
      </c>
      <c r="Y179" s="25" t="n"/>
      <c r="Z179" s="26" t="n"/>
      <c r="AA179" s="26" t="inlineStr">
        <is>
          <t>Tours: exemptions capped at 30% of non-EU students (2026-27); exempted students pay €255.</t>
        </is>
      </c>
      <c r="AB179" s="28" t="inlineStr">
        <is>
          <t>https://www.univ-tours.fr/international/etudes-stages-a-tours/droits-dinscription-differencies-pour-les-etudiants-extra-communautaires-2026-2027</t>
        </is>
      </c>
      <c r="AC179" s="25" t="inlineStr">
        <is>
          <t>Open</t>
        </is>
      </c>
      <c r="AD179" s="25" t="inlineStr">
        <is>
          <t>2026-10-01</t>
        </is>
      </c>
      <c r="AE179" s="25" t="inlineStr">
        <is>
          <t>2027-03-15</t>
        </is>
      </c>
      <c r="AF179" s="25" t="inlineStr">
        <is>
          <t>No</t>
        </is>
      </c>
      <c r="AG179" s="25" t="n"/>
      <c r="AH179" s="26" t="inlineStr">
        <is>
          <t>ATTENTION ! Le TCF Tout Public est composé de 3 épreuves obligatoires : compréhension orale, maîtrise des structures de la langue et compréhension écrite). Avec ces 3 épreuves, l’université de Tours exige à tous les cand</t>
        </is>
      </c>
      <c r="AI179" s="28" t="inlineStr">
        <is>
          <t>Open in EEF</t>
        </is>
      </c>
    </row>
    <row r="180" ht="22.35" customHeight="1" s="19">
      <c r="A180" s="25" t="n">
        <v>179</v>
      </c>
      <c r="B180" s="25" t="inlineStr">
        <is>
          <t>★★★★☆</t>
        </is>
      </c>
      <c r="C180" s="25" t="inlineStr">
        <is>
          <t>4 – Strong fit (electronics/signal/robotics/IoT/sensors)</t>
        </is>
      </c>
      <c r="D180" s="25" t="inlineStr">
        <is>
          <t>Neuroscience / Neuro-engineering</t>
        </is>
      </c>
      <c r="E180" s="26" t="inlineStr">
        <is>
          <t>Master indifférencié (recherche et professionnel) Sciences, technologies, santé mention biologie, santé parcours Neuro-prothèses sensorielles et motrices</t>
        </is>
      </c>
      <c r="F180" s="26" t="inlineStr">
        <is>
          <t>Science, Technology, Health (STS) – major: Biology-Health – track: Neuroprostheses Sensory &amp; Motor</t>
        </is>
      </c>
      <c r="G180" s="25" t="inlineStr">
        <is>
          <t>Master indifférencié (recherche et professionnel)</t>
        </is>
      </c>
      <c r="H180" s="25" t="inlineStr">
        <is>
          <t>UFR des Sciences pharmaceutiques et biologiques</t>
        </is>
      </c>
      <c r="I180" s="25" t="inlineStr">
        <is>
          <t>Université de Montpellier</t>
        </is>
      </c>
      <c r="J180" s="25" t="inlineStr">
        <is>
          <t>Site de Montpellier</t>
        </is>
      </c>
      <c r="K180" s="25" t="inlineStr">
        <is>
          <t>34090 Montpellier</t>
        </is>
      </c>
      <c r="L180" s="25" t="inlineStr">
        <is>
          <t>Public university</t>
        </is>
      </c>
      <c r="M180" s="25" t="inlineStr">
        <is>
          <t>French</t>
        </is>
      </c>
      <c r="N180" s="25" t="inlineStr">
        <is>
          <t>General</t>
        </is>
      </c>
      <c r="O180" s="25" t="inlineStr">
        <is>
          <t>Bac +4</t>
        </is>
      </c>
      <c r="P180" s="26" t="inlineStr">
        <is>
          <t>Eligible on level (4-yr BS ≈ Bac+4)</t>
        </is>
      </c>
      <c r="Q180" s="25" t="inlineStr">
        <is>
          <t>1</t>
        </is>
      </c>
      <c r="R180" s="25" t="n"/>
      <c r="S180" s="27" t="n">
        <v>3950</v>
      </c>
      <c r="T180" s="27" t="n">
        <v>255</v>
      </c>
      <c r="U180" s="25" t="n">
        <v>2</v>
      </c>
      <c r="V180" s="27">
        <f>IF(S180="","",S180*U180)</f>
        <v/>
      </c>
      <c r="W180" s="26" t="inlineStr">
        <is>
          <t>Not in catalogue. Public national master → 2026-27 differentiated fee €3,950; exemption to ~€254-255 depends on university quota (25% cap in 2027-28).</t>
        </is>
      </c>
      <c r="X180" s="25" t="inlineStr">
        <is>
          <t>Medium</t>
        </is>
      </c>
      <c r="Y180" s="25" t="n"/>
      <c r="Z180" s="26" t="n"/>
      <c r="AA180" s="26" t="inlineStr">
        <is>
          <t>Montpellier 2026-27: new non-EU entrants pay the differentiated fee unless individual exemption (limited).</t>
        </is>
      </c>
      <c r="AB180" s="28" t="inlineStr">
        <is>
          <t>https://www.umontpellier.fr/en/international/etudier-a-letranger/etudiants-internationaux-annee-universitaire-2026-2027/</t>
        </is>
      </c>
      <c r="AC180" s="25" t="inlineStr">
        <is>
          <t>Open</t>
        </is>
      </c>
      <c r="AD180" s="25" t="inlineStr">
        <is>
          <t>2026-10-01</t>
        </is>
      </c>
      <c r="AE180" s="25" t="inlineStr">
        <is>
          <t>2027-03-15</t>
        </is>
      </c>
      <c r="AF180" s="25" t="inlineStr">
        <is>
          <t>No</t>
        </is>
      </c>
      <c r="AG180" s="28" t="inlineStr">
        <is>
          <t>https://formations.umontpellier.fr/fr/formations/master-XB/master-biologie-sante-KJMN3CNB/neuroprotheses-sensorielles-et-motrices-KJMOP5GH.html</t>
        </is>
      </c>
      <c r="AH180" s="26" t="inlineStr">
        <is>
          <t>- Etre titulaire d'un diplôme d'audioprothésiste ou d'un diplôme d'orthophoniste ou d'un diplôme de médecine. - Niveau B2 au TCF / DELF - Minimum exigé</t>
        </is>
      </c>
      <c r="AI180" s="28" t="inlineStr">
        <is>
          <t>Open in EEF</t>
        </is>
      </c>
    </row>
    <row r="181" ht="32.8" customHeight="1" s="19">
      <c r="A181" s="25" t="n">
        <v>180</v>
      </c>
      <c r="B181" s="25" t="inlineStr">
        <is>
          <t>★★★★☆</t>
        </is>
      </c>
      <c r="C181" s="25" t="inlineStr">
        <is>
          <t>4 – Strong fit (electronics/signal/robotics/IoT/sensors)</t>
        </is>
      </c>
      <c r="D181" s="25" t="inlineStr">
        <is>
          <t>Embedded systems / Electronics</t>
        </is>
      </c>
      <c r="E181" s="26" t="inlineStr">
        <is>
          <t>Master indifférencié (recherche et professionnel) Sciences, technologies, santé mention Electronique, Energie électrique, Automatique parcours Compatibilité électromagnétique pour la fiabilité des systèmes électriques durables</t>
        </is>
      </c>
      <c r="F181" s="26" t="inlineStr">
        <is>
          <t>Science, Technology, Health (STS) – major: Electronics, Electrical Energy &amp; Automation (EEA) – track: Compatibilité électromagnétique for the Reliability of Systems Electrical durables</t>
        </is>
      </c>
      <c r="G181" s="25" t="inlineStr">
        <is>
          <t>Master indifférencié (recherche et professionnel)</t>
        </is>
      </c>
      <c r="H181" s="25" t="inlineStr">
        <is>
          <t>Ecole Universitaire de Physique et d'Ingénierie</t>
        </is>
      </c>
      <c r="I181" s="25" t="inlineStr">
        <is>
          <t>Université Clermont Auvergne</t>
        </is>
      </c>
      <c r="J181" s="25" t="inlineStr">
        <is>
          <t>Site de Aubière</t>
        </is>
      </c>
      <c r="K181" s="25" t="n"/>
      <c r="L181" s="25" t="inlineStr">
        <is>
          <t>Public school / institute</t>
        </is>
      </c>
      <c r="M181" s="25" t="inlineStr">
        <is>
          <t>French</t>
        </is>
      </c>
      <c r="N181" s="25" t="inlineStr">
        <is>
          <t>General</t>
        </is>
      </c>
      <c r="O181" s="25" t="inlineStr">
        <is>
          <t>Bac +4 / Bac +5</t>
        </is>
      </c>
      <c r="P181" s="26" t="inlineStr">
        <is>
          <t>Eligible on level (4-yr BS ≈ Bac+4)</t>
        </is>
      </c>
      <c r="Q181" s="25" t="inlineStr">
        <is>
          <t>1/2</t>
        </is>
      </c>
      <c r="R181" s="25" t="inlineStr">
        <is>
          <t>10</t>
        </is>
      </c>
      <c r="S181" s="27" t="n">
        <v>3950</v>
      </c>
      <c r="T181" s="27" t="n">
        <v>255</v>
      </c>
      <c r="U181" s="25" t="n">
        <v>2</v>
      </c>
      <c r="V181" s="27">
        <f>IF(S181="","",S181*U181)</f>
        <v/>
      </c>
      <c r="W181" s="26" t="inlineStr">
        <is>
          <t>Not in catalogue. Public national master → 2026-27 differentiated fee €3,950; exemption to ~€254-255 depends on university quota (25% cap in 2027-28).</t>
        </is>
      </c>
      <c r="X181" s="25" t="inlineStr">
        <is>
          <t>Medium</t>
        </is>
      </c>
      <c r="Y181" s="25" t="n"/>
      <c r="Z181" s="26" t="n"/>
      <c r="AA181" s="26" t="inlineStr">
        <is>
          <t>UCA board (Dec 2025) kept its partial-exemption framework for 2026-27 (pre-decree; re-check).</t>
        </is>
      </c>
      <c r="AB181" s="28" t="inlineStr">
        <is>
          <t>https://www.uca.fr/medias/fichier/delib-ca-20251205-15-tarifs-differencies_1765204050111-pdf</t>
        </is>
      </c>
      <c r="AC181" s="25" t="inlineStr">
        <is>
          <t>Open</t>
        </is>
      </c>
      <c r="AD181" s="25" t="inlineStr">
        <is>
          <t>2026-10-01</t>
        </is>
      </c>
      <c r="AE181" s="25" t="inlineStr">
        <is>
          <t>2027-03-15</t>
        </is>
      </c>
      <c r="AF181" s="25" t="inlineStr">
        <is>
          <t>No</t>
        </is>
      </c>
      <c r="AG181" s="28" t="inlineStr">
        <is>
          <t>https://eupi.uca.fr/</t>
        </is>
      </c>
      <c r="AH181" s="26" t="inlineStr">
        <is>
          <t>M1 : Etudiants titulaires d'une licence de Physique Appliquées et Ingénieries, d'une licence EEA ou d'un diplôme équivalent. M2 : *Etudiants titulaires - d'un master 1 de Physique Appliquée et Ingénieries, - d'un master</t>
        </is>
      </c>
      <c r="AI181" s="28" t="inlineStr">
        <is>
          <t>Open in EEF</t>
        </is>
      </c>
    </row>
    <row r="182" ht="32.8" customHeight="1" s="19">
      <c r="A182" s="25" t="n">
        <v>181</v>
      </c>
      <c r="B182" s="25" t="inlineStr">
        <is>
          <t>★★★★☆</t>
        </is>
      </c>
      <c r="C182" s="25" t="inlineStr">
        <is>
          <t>4 – Strong fit (electronics/signal/robotics/IoT/sensors)</t>
        </is>
      </c>
      <c r="D182" s="25" t="inlineStr">
        <is>
          <t>Embedded systems / Electronics</t>
        </is>
      </c>
      <c r="E182" s="26" t="inlineStr">
        <is>
          <t>Master indifférencié (recherche et professionnel) Sciences, technologies, santé mention Electronique, énergie électrique automatique parcours Conception des Systèmes d’Énergie Électrique (EEA CSEE)</t>
        </is>
      </c>
      <c r="F182" s="26" t="inlineStr">
        <is>
          <t>Science, Technology, Health (STS) – major: Electronics, Electrical Energy &amp; Automation (EEA) – track: Design of Systems of Energy Electrical (EEA CSEE)</t>
        </is>
      </c>
      <c r="G182" s="25" t="inlineStr">
        <is>
          <t>Master indifférencié (recherche et professionnel)</t>
        </is>
      </c>
      <c r="H182" s="25" t="inlineStr">
        <is>
          <t>UFR de Physique, ingénierie, terre, environnement, mécanique</t>
        </is>
      </c>
      <c r="I182" s="25" t="inlineStr">
        <is>
          <t>Université de Grenoble Alpes</t>
        </is>
      </c>
      <c r="J182" s="25" t="inlineStr">
        <is>
          <t>Site de Grenoble - Polygone scientifique - GreEn-ER</t>
        </is>
      </c>
      <c r="K182" s="25" t="n"/>
      <c r="L182" s="25" t="inlineStr">
        <is>
          <t>Public university</t>
        </is>
      </c>
      <c r="M182" s="25" t="inlineStr">
        <is>
          <t>French</t>
        </is>
      </c>
      <c r="N182" s="25" t="inlineStr">
        <is>
          <t>General</t>
        </is>
      </c>
      <c r="O182" s="25" t="inlineStr">
        <is>
          <t>Bac +4 / Bac +5</t>
        </is>
      </c>
      <c r="P182" s="26" t="inlineStr">
        <is>
          <t>Eligible on level (4-yr BS ≈ Bac+4)</t>
        </is>
      </c>
      <c r="Q182" s="25" t="inlineStr">
        <is>
          <t>1/2</t>
        </is>
      </c>
      <c r="R182" s="25" t="n"/>
      <c r="S182" s="27" t="n">
        <v>3950</v>
      </c>
      <c r="T182" s="27" t="n">
        <v>255</v>
      </c>
      <c r="U182" s="25" t="n">
        <v>2</v>
      </c>
      <c r="V182" s="27">
        <f>IF(S182="","",S182*U182)</f>
        <v/>
      </c>
      <c r="W182" s="26" t="inlineStr">
        <is>
          <t>Not in catalogue. Public national master → 2026-27 differentiated fee €3,950; exemption to ~€254-255 depends on university quota (25% cap in 2027-28).</t>
        </is>
      </c>
      <c r="X182" s="25" t="inlineStr">
        <is>
          <t>Medium</t>
        </is>
      </c>
      <c r="Y182" s="25" t="n"/>
      <c r="Z182" s="26" t="n"/>
      <c r="AA182" s="26" t="inlineStr">
        <is>
          <t>UGA (incl. Grenoble INP masters): 2026-27 broad exemptions on request (pay national €254). From 2027-28 the decree caps apply; exemptions based on resources.</t>
        </is>
      </c>
      <c r="AB182" s="28" t="inlineStr">
        <is>
          <t>https://www.univ-grenoble-alpes.fr/actualites/a-la-une/actualites-universite/etudiants-internationaux-ce-que-change-le-nouveau-decret-sur-les-droits-d-inscription-a-l-uga-1775870.kjsp</t>
        </is>
      </c>
      <c r="AC182" s="25" t="inlineStr">
        <is>
          <t>Open</t>
        </is>
      </c>
      <c r="AD182" s="25" t="inlineStr">
        <is>
          <t>2026-10-01</t>
        </is>
      </c>
      <c r="AE182" s="25" t="inlineStr">
        <is>
          <t>2027-03-15</t>
        </is>
      </c>
      <c r="AF182" s="25" t="inlineStr">
        <is>
          <t>No</t>
        </is>
      </c>
      <c r="AG182" s="28" t="inlineStr">
        <is>
          <t>https://formations.univ-grenoble-alpes.fr/fr/catalogue-2021/master-XB/master-electronique-energie-electrique-automatique-IFZ3DRB9/parcours-conception-des-systemes-d-energie-electrique-csee-1re-et-2e-annees-IFZ42B5H.html</t>
        </is>
      </c>
      <c r="AH182" s="26" t="inlineStr">
        <is>
          <t>Master 1 : - Niveau B2 français obligatoire - Prérequis : Structures d'électronique de puissance, modélisation des réseaux et machines électriques, automatique continue, mathématiques et physique pour l’ingénieur, Inform</t>
        </is>
      </c>
      <c r="AI182" s="28" t="inlineStr">
        <is>
          <t>Open in EEF</t>
        </is>
      </c>
    </row>
    <row r="183" ht="32.8" customHeight="1" s="19">
      <c r="A183" s="25" t="n">
        <v>182</v>
      </c>
      <c r="B183" s="25" t="inlineStr">
        <is>
          <t>★★★★☆</t>
        </is>
      </c>
      <c r="C183" s="25" t="inlineStr">
        <is>
          <t>4 – Strong fit (electronics/signal/robotics/IoT/sensors)</t>
        </is>
      </c>
      <c r="D183" s="25" t="inlineStr">
        <is>
          <t>Embedded systems / Electronics</t>
        </is>
      </c>
      <c r="E183" s="26" t="inlineStr">
        <is>
          <t>Master indifférencié (recherche et professionnel) Sciences, technologies, santé mention Electronique, Energie électrique, Automatique parcours Energie Electrique, Environnement et Fiabilités des Systèmes - 3EFS</t>
        </is>
      </c>
      <c r="F183" s="26" t="inlineStr">
        <is>
          <t>Science, Technology, Health (STS) – major: Electronics, Electrical Energy &amp; Automation (EEA) – track: Energy Electrical, Environnement &amp; Fiabilités of Systems - 3EFS</t>
        </is>
      </c>
      <c r="G183" s="25" t="inlineStr">
        <is>
          <t>Master indifférencié (recherche et professionnel)</t>
        </is>
      </c>
      <c r="H183" s="25" t="inlineStr">
        <is>
          <t>UFR des Sciences de Montpellier</t>
        </is>
      </c>
      <c r="I183" s="25" t="inlineStr">
        <is>
          <t>Université de Montpellier</t>
        </is>
      </c>
      <c r="J183" s="25" t="inlineStr">
        <is>
          <t>Site de Montpellier</t>
        </is>
      </c>
      <c r="K183" s="25" t="n"/>
      <c r="L183" s="25" t="inlineStr">
        <is>
          <t>Public university</t>
        </is>
      </c>
      <c r="M183" s="25" t="inlineStr">
        <is>
          <t>French</t>
        </is>
      </c>
      <c r="N183" s="25" t="inlineStr">
        <is>
          <t>General</t>
        </is>
      </c>
      <c r="O183" s="25" t="inlineStr">
        <is>
          <t>Bac +4 / Bac +5</t>
        </is>
      </c>
      <c r="P183" s="26" t="inlineStr">
        <is>
          <t>Eligible on level (4-yr BS ≈ Bac+4)</t>
        </is>
      </c>
      <c r="Q183" s="25" t="inlineStr">
        <is>
          <t>1/2</t>
        </is>
      </c>
      <c r="R183" s="25" t="n"/>
      <c r="S183" s="27" t="n">
        <v>3950</v>
      </c>
      <c r="T183" s="27" t="n">
        <v>255</v>
      </c>
      <c r="U183" s="25" t="n">
        <v>2</v>
      </c>
      <c r="V183" s="27">
        <f>IF(S183="","",S183*U183)</f>
        <v/>
      </c>
      <c r="W183" s="26" t="inlineStr">
        <is>
          <t>Not in catalogue. Public national master → 2026-27 differentiated fee €3,950; exemption to ~€254-255 depends on university quota (25% cap in 2027-28).</t>
        </is>
      </c>
      <c r="X183" s="25" t="inlineStr">
        <is>
          <t>Medium</t>
        </is>
      </c>
      <c r="Y183" s="25" t="n"/>
      <c r="Z183" s="26" t="n"/>
      <c r="AA183" s="26" t="inlineStr">
        <is>
          <t>Montpellier 2026-27: new non-EU entrants pay the differentiated fee unless individual exemption (limited).</t>
        </is>
      </c>
      <c r="AB183" s="28" t="inlineStr">
        <is>
          <t>https://www.umontpellier.fr/en/international/etudier-a-letranger/etudiants-internationaux-annee-universitaire-2026-2027/</t>
        </is>
      </c>
      <c r="AC183" s="25" t="inlineStr">
        <is>
          <t>Open</t>
        </is>
      </c>
      <c r="AD183" s="25" t="inlineStr">
        <is>
          <t>2026-10-01</t>
        </is>
      </c>
      <c r="AE183" s="25" t="inlineStr">
        <is>
          <t>2027-03-15</t>
        </is>
      </c>
      <c r="AF183" s="25" t="inlineStr">
        <is>
          <t>No</t>
        </is>
      </c>
      <c r="AG183" s="28" t="inlineStr">
        <is>
          <t>http://sciences.edu.umontpellier.fr/</t>
        </is>
      </c>
      <c r="AH183" s="26" t="inlineStr">
        <is>
          <t>Niveau de Français B2 au minimum, exigé. 12/20 min les années précédentes</t>
        </is>
      </c>
      <c r="AI183" s="28" t="inlineStr">
        <is>
          <t>Open in EEF</t>
        </is>
      </c>
    </row>
    <row r="184" ht="32.8" customHeight="1" s="19">
      <c r="A184" s="25" t="n">
        <v>183</v>
      </c>
      <c r="B184" s="25" t="inlineStr">
        <is>
          <t>★★★★☆</t>
        </is>
      </c>
      <c r="C184" s="25" t="inlineStr">
        <is>
          <t>4 – Strong fit (electronics/signal/robotics/IoT/sensors)</t>
        </is>
      </c>
      <c r="D184" s="25" t="inlineStr">
        <is>
          <t>Embedded systems / Electronics</t>
        </is>
      </c>
      <c r="E184" s="26" t="inlineStr">
        <is>
          <t>Master indifférencié (recherche et professionnel) Sciences, technologies, santé mention Electronique, Energie électrique, Automatique parcours Photonique, Hyperfréquences et Systèmes de Communications - PHyS</t>
        </is>
      </c>
      <c r="F184" s="26" t="inlineStr">
        <is>
          <t>Science, Technology, Health (STS) – major: Electronics, Electrical Energy &amp; Automation (EEA) – track: Photonics, Hyperfréquences &amp; Systems of Communications - PHyS</t>
        </is>
      </c>
      <c r="G184" s="25" t="inlineStr">
        <is>
          <t>Master indifférencié (recherche et professionnel)</t>
        </is>
      </c>
      <c r="H184" s="25" t="inlineStr">
        <is>
          <t>UFR des Sciences de Montpellier</t>
        </is>
      </c>
      <c r="I184" s="25" t="inlineStr">
        <is>
          <t>Université de Montpellier</t>
        </is>
      </c>
      <c r="J184" s="25" t="inlineStr">
        <is>
          <t>Site de Montpellier</t>
        </is>
      </c>
      <c r="K184" s="25" t="n"/>
      <c r="L184" s="25" t="inlineStr">
        <is>
          <t>Public university</t>
        </is>
      </c>
      <c r="M184" s="25" t="inlineStr">
        <is>
          <t>French</t>
        </is>
      </c>
      <c r="N184" s="25" t="inlineStr">
        <is>
          <t>General</t>
        </is>
      </c>
      <c r="O184" s="25" t="inlineStr">
        <is>
          <t>Bac +4 / Bac +5</t>
        </is>
      </c>
      <c r="P184" s="26" t="inlineStr">
        <is>
          <t>Eligible on level (4-yr BS ≈ Bac+4)</t>
        </is>
      </c>
      <c r="Q184" s="25" t="inlineStr">
        <is>
          <t>1/2</t>
        </is>
      </c>
      <c r="R184" s="25" t="n"/>
      <c r="S184" s="27" t="n">
        <v>3950</v>
      </c>
      <c r="T184" s="27" t="n">
        <v>255</v>
      </c>
      <c r="U184" s="25" t="n">
        <v>2</v>
      </c>
      <c r="V184" s="27">
        <f>IF(S184="","",S184*U184)</f>
        <v/>
      </c>
      <c r="W184" s="26" t="inlineStr">
        <is>
          <t>Not in catalogue. Public national master → 2026-27 differentiated fee €3,950; exemption to ~€254-255 depends on university quota (25% cap in 2027-28).</t>
        </is>
      </c>
      <c r="X184" s="25" t="inlineStr">
        <is>
          <t>Medium</t>
        </is>
      </c>
      <c r="Y184" s="25" t="n"/>
      <c r="Z184" s="26" t="n"/>
      <c r="AA184" s="26" t="inlineStr">
        <is>
          <t>Montpellier 2026-27: new non-EU entrants pay the differentiated fee unless individual exemption (limited).</t>
        </is>
      </c>
      <c r="AB184" s="28" t="inlineStr">
        <is>
          <t>https://www.umontpellier.fr/en/international/etudier-a-letranger/etudiants-internationaux-annee-universitaire-2026-2027/</t>
        </is>
      </c>
      <c r="AC184" s="25" t="inlineStr">
        <is>
          <t>Open</t>
        </is>
      </c>
      <c r="AD184" s="25" t="inlineStr">
        <is>
          <t>2026-10-01</t>
        </is>
      </c>
      <c r="AE184" s="25" t="inlineStr">
        <is>
          <t>2027-03-15</t>
        </is>
      </c>
      <c r="AF184" s="25" t="inlineStr">
        <is>
          <t>No</t>
        </is>
      </c>
      <c r="AG184" s="28" t="inlineStr">
        <is>
          <t>https://hermes.edu.umontpellier.fr/enseignement/</t>
        </is>
      </c>
      <c r="AH184" s="26" t="inlineStr">
        <is>
          <t>Niveau de Français B2 au minimum, exigé. 12/20 min les années précédentes</t>
        </is>
      </c>
      <c r="AI184" s="28" t="inlineStr">
        <is>
          <t>Open in EEF</t>
        </is>
      </c>
    </row>
    <row r="185" ht="43.25" customHeight="1" s="19">
      <c r="A185" s="25" t="n">
        <v>184</v>
      </c>
      <c r="B185" s="25" t="inlineStr">
        <is>
          <t>★★★★☆</t>
        </is>
      </c>
      <c r="C185" s="25" t="inlineStr">
        <is>
          <t>4 – Strong fit (electronics/signal/robotics/IoT/sensors)</t>
        </is>
      </c>
      <c r="D185" s="25" t="inlineStr">
        <is>
          <t>Embedded systems / Electronics</t>
        </is>
      </c>
      <c r="E185" s="26" t="inlineStr">
        <is>
          <t>Master indifférencié (recherche et professionnel) Sciences, technologies, santé mention Electronique, Energie électrique et Automatique parcours Electronique et systèmes de télécommunications (ESTEL)</t>
        </is>
      </c>
      <c r="F185" s="26" t="inlineStr">
        <is>
          <t>Science, Technology, Health (STS) – major: Electronics, Electrical Energy &amp; Automation (EEA) – track: Electronics &amp; Systems of Telecommunications (ESTEL)</t>
        </is>
      </c>
      <c r="G185" s="25" t="inlineStr">
        <is>
          <t>Master indifférencié (recherche et professionnel)</t>
        </is>
      </c>
      <c r="H185" s="25" t="inlineStr">
        <is>
          <t>Sciences</t>
        </is>
      </c>
      <c r="I185" s="25" t="inlineStr">
        <is>
          <t>Université Côte d'Azur</t>
        </is>
      </c>
      <c r="J185" s="25" t="inlineStr">
        <is>
          <t>Site de Nice</t>
        </is>
      </c>
      <c r="K185" s="25" t="n"/>
      <c r="L185" s="25" t="inlineStr">
        <is>
          <t>Public university</t>
        </is>
      </c>
      <c r="M185" s="25" t="inlineStr">
        <is>
          <t>French</t>
        </is>
      </c>
      <c r="N185" s="25" t="inlineStr">
        <is>
          <t>General</t>
        </is>
      </c>
      <c r="O185" s="25" t="inlineStr">
        <is>
          <t>Bac +4 / Bac +5</t>
        </is>
      </c>
      <c r="P185" s="26" t="inlineStr">
        <is>
          <t>Eligible on level (4-yr BS ≈ Bac+4)</t>
        </is>
      </c>
      <c r="Q185" s="25" t="inlineStr">
        <is>
          <t>1/2</t>
        </is>
      </c>
      <c r="R185" s="25" t="n"/>
      <c r="S185" s="27" t="n">
        <v>3950</v>
      </c>
      <c r="T185" s="27" t="n">
        <v>255</v>
      </c>
      <c r="U185" s="25" t="n">
        <v>2</v>
      </c>
      <c r="V185" s="27">
        <f>IF(S185="","",S185*U185)</f>
        <v/>
      </c>
      <c r="W185" s="26" t="inlineStr">
        <is>
          <t>Not in catalogue. Public national master → 2026-27 differentiated fee €3,950; exemption to ~€254-255 depends on university quota (25% cap in 2027-28).</t>
        </is>
      </c>
      <c r="X185" s="25" t="inlineStr">
        <is>
          <t>Medium</t>
        </is>
      </c>
      <c r="Y185" s="25" t="n"/>
      <c r="Z185" s="26" t="inlineStr">
        <is>
          <t>Les tarifs pour l'année 2026-27 sont : en Licence: 2 902€ / en Master: 3 950€ (à titre indicatif) Voici un lien utile : https:/ … Les tarifs pour l'année 2026-27 sont : en Licence: 2 902€ / en Master: 3 950€ (à titre i</t>
        </is>
      </c>
      <c r="AA185" s="26" t="n"/>
      <c r="AB185" s="25" t="n"/>
      <c r="AC185" s="25" t="inlineStr">
        <is>
          <t>Open</t>
        </is>
      </c>
      <c r="AD185" s="25" t="inlineStr">
        <is>
          <t>2026-10-01</t>
        </is>
      </c>
      <c r="AE185" s="25" t="inlineStr">
        <is>
          <t>2027-03-15</t>
        </is>
      </c>
      <c r="AF185" s="25" t="inlineStr">
        <is>
          <t>No</t>
        </is>
      </c>
      <c r="AG185" s="28" t="inlineStr">
        <is>
          <t>https://univ-cotedazur.fr/formation/offre-de-formation/master-electronique-energie-electrique-automatique</t>
        </is>
      </c>
      <c r="AH185" s="26" t="inlineStr">
        <is>
          <t>Français: Niveau CECRL B2; Etre classé dans les 20% premiers de la promo; Matières examinées : Electronique, Electromagnétisme, traitement du signal, mathématique, physique appliqué, informatique industrielle Matières fo</t>
        </is>
      </c>
      <c r="AI185" s="28" t="inlineStr">
        <is>
          <t>Open in EEF</t>
        </is>
      </c>
    </row>
    <row r="186" ht="32.8" customHeight="1" s="19">
      <c r="A186" s="25" t="n">
        <v>185</v>
      </c>
      <c r="B186" s="25" t="inlineStr">
        <is>
          <t>★★★★☆</t>
        </is>
      </c>
      <c r="C186" s="25" t="inlineStr">
        <is>
          <t>4 – Strong fit (electronics/signal/robotics/IoT/sensors)</t>
        </is>
      </c>
      <c r="D186" s="25" t="inlineStr">
        <is>
          <t>Embedded systems / Electronics</t>
        </is>
      </c>
      <c r="E186" s="26" t="inlineStr">
        <is>
          <t>Master indifférencié (recherche et professionnel) Sciences, technologies, santé mention Electronique, Energie électrique et Automatique parcours Energie Electrique : Conversion, Matériaux, Développement durable</t>
        </is>
      </c>
      <c r="F186" s="26" t="inlineStr">
        <is>
          <t>Science, Technology, Health (STS) – major: Electronics, Electrical Energy &amp; Automation (EEA) – track: Energy Electrical : Conversion, Materials, Development Sustainable</t>
        </is>
      </c>
      <c r="G186" s="25" t="inlineStr">
        <is>
          <t>Master indifférencié (recherche et professionnel)</t>
        </is>
      </c>
      <c r="H186" s="25" t="inlineStr">
        <is>
          <t>Faculté des Sciences et d'Ingénierie</t>
        </is>
      </c>
      <c r="I186" s="25" t="inlineStr">
        <is>
          <t>Université de Toulouse</t>
        </is>
      </c>
      <c r="J186" s="25" t="inlineStr">
        <is>
          <t>Site de Toulouse</t>
        </is>
      </c>
      <c r="K186" s="25" t="n"/>
      <c r="L186" s="25" t="inlineStr">
        <is>
          <t>Public university</t>
        </is>
      </c>
      <c r="M186" s="25" t="inlineStr">
        <is>
          <t>French</t>
        </is>
      </c>
      <c r="N186" s="25" t="inlineStr">
        <is>
          <t>General</t>
        </is>
      </c>
      <c r="O186" s="25" t="inlineStr">
        <is>
          <t>Bac +4 / Bac +5</t>
        </is>
      </c>
      <c r="P186" s="26" t="inlineStr">
        <is>
          <t>Eligible on level (4-yr BS ≈ Bac+4)</t>
        </is>
      </c>
      <c r="Q186" s="25" t="inlineStr">
        <is>
          <t>1/2</t>
        </is>
      </c>
      <c r="R186" s="25" t="n"/>
      <c r="S186" s="27" t="n">
        <v>3950</v>
      </c>
      <c r="T186" s="27" t="n">
        <v>255</v>
      </c>
      <c r="U186" s="25" t="n">
        <v>2</v>
      </c>
      <c r="V186" s="27">
        <f>IF(S186="","",S186*U186)</f>
        <v/>
      </c>
      <c r="W186" s="26" t="inlineStr">
        <is>
          <t>Not in catalogue. Public national master → 2026-27 differentiated fee €3,950; exemption to ~€254-255 depends on university quota (25% cap in 2027-28).</t>
        </is>
      </c>
      <c r="X186" s="25" t="inlineStr">
        <is>
          <t>Medium</t>
        </is>
      </c>
      <c r="Y186" s="25" t="n"/>
      <c r="Z186" s="26" t="n"/>
      <c r="AA186" s="26" t="inlineStr">
        <is>
          <t>Board decision (Feb 2026, pre-decree): partial exemption for ALL non-EU students subject to differentiated fees, until end of cycle. Re-check for 2027-28.</t>
        </is>
      </c>
      <c r="AB186" s="28" t="inlineStr">
        <is>
          <t>https://www.utoulouse.fr/medias/fichier/2026-02-ca-075_1774430647495-pdf</t>
        </is>
      </c>
      <c r="AC186" s="25" t="inlineStr">
        <is>
          <t>Open</t>
        </is>
      </c>
      <c r="AD186" s="25" t="inlineStr">
        <is>
          <t>2026-10-01</t>
        </is>
      </c>
      <c r="AE186" s="25" t="inlineStr">
        <is>
          <t>2027-03-15</t>
        </is>
      </c>
      <c r="AF186" s="25" t="inlineStr">
        <is>
          <t>No</t>
        </is>
      </c>
      <c r="AG186" s="28" t="inlineStr">
        <is>
          <t>http://www.univ-tlse3.fr/</t>
        </is>
      </c>
      <c r="AH186" s="26" t="inlineStr">
        <is>
          <t>https://www.utoulouse.fr/decouvrir-nos-diplomes/les-mentions-de-masters Si vous ne maîtrisez pas encore le français au niveau exigé pour intégrer une formation en France, le DU FUSEE (Diplôme Universitaire de Français po</t>
        </is>
      </c>
      <c r="AI186" s="28" t="inlineStr">
        <is>
          <t>Open in EEF</t>
        </is>
      </c>
    </row>
    <row r="187" ht="32.8" customHeight="1" s="19">
      <c r="A187" s="25" t="n">
        <v>186</v>
      </c>
      <c r="B187" s="25" t="inlineStr">
        <is>
          <t>★★★★☆</t>
        </is>
      </c>
      <c r="C187" s="25" t="inlineStr">
        <is>
          <t>4 – Strong fit (electronics/signal/robotics/IoT/sensors)</t>
        </is>
      </c>
      <c r="D187" s="25" t="inlineStr">
        <is>
          <t>Embedded systems / Electronics</t>
        </is>
      </c>
      <c r="E187" s="26" t="inlineStr">
        <is>
          <t>Master indifférencié (recherche et professionnel) Sciences, technologies, santé mention Electronique, Energie électrique et Automatique parcours Ingénierie des systèmes temps réel</t>
        </is>
      </c>
      <c r="F187" s="26" t="inlineStr">
        <is>
          <t>Science, Technology, Health (STS) – major: Electronics, Electrical Energy &amp; Automation (EEA) – track: Engineering of Systems Real-Time</t>
        </is>
      </c>
      <c r="G187" s="25" t="inlineStr">
        <is>
          <t>Master indifférencié (recherche et professionnel)</t>
        </is>
      </c>
      <c r="H187" s="25" t="inlineStr">
        <is>
          <t>Faculté des Sciences et d'Ingénierie</t>
        </is>
      </c>
      <c r="I187" s="25" t="inlineStr">
        <is>
          <t>Université de Toulouse</t>
        </is>
      </c>
      <c r="J187" s="25" t="inlineStr">
        <is>
          <t>Site de Toulouse</t>
        </is>
      </c>
      <c r="K187" s="25" t="n"/>
      <c r="L187" s="25" t="inlineStr">
        <is>
          <t>Public university</t>
        </is>
      </c>
      <c r="M187" s="25" t="inlineStr">
        <is>
          <t>French</t>
        </is>
      </c>
      <c r="N187" s="25" t="inlineStr">
        <is>
          <t>General</t>
        </is>
      </c>
      <c r="O187" s="25" t="inlineStr">
        <is>
          <t>Bac +4 / Bac +5</t>
        </is>
      </c>
      <c r="P187" s="26" t="inlineStr">
        <is>
          <t>Eligible on level (4-yr BS ≈ Bac+4)</t>
        </is>
      </c>
      <c r="Q187" s="25" t="inlineStr">
        <is>
          <t>1/2</t>
        </is>
      </c>
      <c r="R187" s="25" t="n"/>
      <c r="S187" s="27" t="n">
        <v>3950</v>
      </c>
      <c r="T187" s="27" t="n">
        <v>255</v>
      </c>
      <c r="U187" s="25" t="n">
        <v>2</v>
      </c>
      <c r="V187" s="27">
        <f>IF(S187="","",S187*U187)</f>
        <v/>
      </c>
      <c r="W187" s="26" t="inlineStr">
        <is>
          <t>Not in catalogue. Public national master → 2026-27 differentiated fee €3,950; exemption to ~€254-255 depends on university quota (25% cap in 2027-28).</t>
        </is>
      </c>
      <c r="X187" s="25" t="inlineStr">
        <is>
          <t>Medium</t>
        </is>
      </c>
      <c r="Y187" s="25" t="n"/>
      <c r="Z187" s="26" t="n"/>
      <c r="AA187" s="26" t="inlineStr">
        <is>
          <t>Board decision (Feb 2026, pre-decree): partial exemption for ALL non-EU students subject to differentiated fees, until end of cycle. Re-check for 2027-28.</t>
        </is>
      </c>
      <c r="AB187" s="28" t="inlineStr">
        <is>
          <t>https://www.utoulouse.fr/medias/fichier/2026-02-ca-075_1774430647495-pdf</t>
        </is>
      </c>
      <c r="AC187" s="25" t="inlineStr">
        <is>
          <t>Open</t>
        </is>
      </c>
      <c r="AD187" s="25" t="inlineStr">
        <is>
          <t>2026-10-01</t>
        </is>
      </c>
      <c r="AE187" s="25" t="inlineStr">
        <is>
          <t>2027-03-15</t>
        </is>
      </c>
      <c r="AF187" s="25" t="inlineStr">
        <is>
          <t>No</t>
        </is>
      </c>
      <c r="AG187" s="28" t="inlineStr">
        <is>
          <t>http://www.univ-tlse3.fr/</t>
        </is>
      </c>
      <c r="AH187" s="26" t="inlineStr">
        <is>
          <t>https://www.utoulouse.fr/decouvrir-nos-diplomes/les-mentions-de-masters Si vous ne maîtrisez pas encore le français au niveau exigé pour intégrer une formation en France, le DU FUSEE (Diplôme Universitaire de Français po</t>
        </is>
      </c>
      <c r="AI187" s="28" t="inlineStr">
        <is>
          <t>Open in EEF</t>
        </is>
      </c>
    </row>
    <row r="188" ht="32.8" customHeight="1" s="19">
      <c r="A188" s="25" t="n">
        <v>187</v>
      </c>
      <c r="B188" s="25" t="inlineStr">
        <is>
          <t>★★★★☆</t>
        </is>
      </c>
      <c r="C188" s="25" t="inlineStr">
        <is>
          <t>4 – Strong fit (electronics/signal/robotics/IoT/sensors)</t>
        </is>
      </c>
      <c r="D188" s="25" t="inlineStr">
        <is>
          <t>IoT / Telecom / Networks</t>
        </is>
      </c>
      <c r="E188" s="26" t="inlineStr">
        <is>
          <t>Master indifférencié (recherche et professionnel) Sciences, technologies, santé mention informatique parcours RESeaux : Internet, Cybersécurité, Cloud et Automatisation (RES)</t>
        </is>
      </c>
      <c r="F188" s="26" t="inlineStr">
        <is>
          <t>Science, Technology, Health (STS) – major: Computer Science – track: Networks : Internet, Cybersecurity, Cloud &amp; Automation (RES)</t>
        </is>
      </c>
      <c r="G188" s="25" t="inlineStr">
        <is>
          <t>Master indifférencié (recherche et professionnel)</t>
        </is>
      </c>
      <c r="H188" s="25" t="inlineStr">
        <is>
          <t>Sciences et Ingénierie</t>
        </is>
      </c>
      <c r="I188" s="25" t="inlineStr">
        <is>
          <t>Sorbonne Université</t>
        </is>
      </c>
      <c r="J188" s="25" t="inlineStr">
        <is>
          <t>Site de Paris</t>
        </is>
      </c>
      <c r="K188" s="25" t="n"/>
      <c r="L188" s="25" t="inlineStr">
        <is>
          <t>Public university</t>
        </is>
      </c>
      <c r="M188" s="25" t="inlineStr">
        <is>
          <t>French</t>
        </is>
      </c>
      <c r="N188" s="25" t="inlineStr">
        <is>
          <t>General</t>
        </is>
      </c>
      <c r="O188" s="25" t="inlineStr">
        <is>
          <t>Bac +4 / Bac +5</t>
        </is>
      </c>
      <c r="P188" s="26" t="inlineStr">
        <is>
          <t>Eligible on level (4-yr BS ≈ Bac+4)</t>
        </is>
      </c>
      <c r="Q188" s="25" t="inlineStr">
        <is>
          <t>1/2</t>
        </is>
      </c>
      <c r="R188" s="25" t="n"/>
      <c r="S188" s="27" t="n">
        <v>3950</v>
      </c>
      <c r="T188" s="27" t="n">
        <v>255</v>
      </c>
      <c r="U188" s="25" t="n">
        <v>2</v>
      </c>
      <c r="V188" s="27">
        <f>IF(S188="","",S188*U188)</f>
        <v/>
      </c>
      <c r="W188" s="26" t="inlineStr">
        <is>
          <t>Not in catalogue. Public national master → 2026-27 differentiated fee €3,950; exemption to ~€254-255 depends on university quota (25% cap in 2027-28).</t>
        </is>
      </c>
      <c r="X188" s="25" t="inlineStr">
        <is>
          <t>Medium</t>
        </is>
      </c>
      <c r="Y188" s="25" t="n"/>
      <c r="Z188" s="26" t="n"/>
      <c r="AA188" s="26" t="inlineStr">
        <is>
          <t>Board vote 7 Jul 2026: Sorbonne Université says it can exempt all eligible non-EU applicants (pay same as EU, ~€254) for 2026-27.</t>
        </is>
      </c>
      <c r="AB188" s="28" t="inlineStr">
        <is>
          <t>https://www.sorbonne-universite.fr/actualites/le-conseil-dadministration-de-sorbonne-universite-vote-lunanimite-le-7-juillet-2026-sa</t>
        </is>
      </c>
      <c r="AC188" s="25" t="inlineStr">
        <is>
          <t>Open</t>
        </is>
      </c>
      <c r="AD188" s="25" t="inlineStr">
        <is>
          <t>2026-10-01</t>
        </is>
      </c>
      <c r="AE188" s="25" t="inlineStr">
        <is>
          <t>2027-03-15</t>
        </is>
      </c>
      <c r="AF188" s="25" t="inlineStr">
        <is>
          <t>No</t>
        </is>
      </c>
      <c r="AG188" s="28" t="inlineStr">
        <is>
          <t>https://sciences.sorbonne-universite.fr/formation-sciences/offre-de-formation/masters/master-informatique/parcours-res</t>
        </is>
      </c>
      <c r="AH188" s="26" t="inlineStr">
        <is>
          <t>OUI</t>
        </is>
      </c>
      <c r="AI188" s="28" t="inlineStr">
        <is>
          <t>Open in EEF</t>
        </is>
      </c>
    </row>
    <row r="189" ht="32.8" customHeight="1" s="19">
      <c r="A189" s="25" t="n">
        <v>188</v>
      </c>
      <c r="B189" s="25" t="inlineStr">
        <is>
          <t>★★★★☆</t>
        </is>
      </c>
      <c r="C189" s="25" t="inlineStr">
        <is>
          <t>4 – Strong fit (electronics/signal/robotics/IoT/sensors)</t>
        </is>
      </c>
      <c r="D189" s="25" t="inlineStr">
        <is>
          <t>Embedded systems / Electronics</t>
        </is>
      </c>
      <c r="E189" s="26" t="inlineStr">
        <is>
          <t>Master indifférencié (recherche et professionnel) Sciences, technologies, santé mention informatique parcours Systèmes électroniques, systèmes informatiques (SESI)</t>
        </is>
      </c>
      <c r="F189" s="26" t="inlineStr">
        <is>
          <t>Science, Technology, Health (STS) – major: Computer Science – track: Systems Electronic, Systems informatiques (SESI)</t>
        </is>
      </c>
      <c r="G189" s="25" t="inlineStr">
        <is>
          <t>Master indifférencié (recherche et professionnel)</t>
        </is>
      </c>
      <c r="H189" s="25" t="inlineStr">
        <is>
          <t>Sciences et Ingénierie</t>
        </is>
      </c>
      <c r="I189" s="25" t="inlineStr">
        <is>
          <t>Sorbonne Université</t>
        </is>
      </c>
      <c r="J189" s="25" t="inlineStr">
        <is>
          <t>Site de Paris</t>
        </is>
      </c>
      <c r="K189" s="25" t="n"/>
      <c r="L189" s="25" t="inlineStr">
        <is>
          <t>Public university</t>
        </is>
      </c>
      <c r="M189" s="25" t="inlineStr">
        <is>
          <t>French</t>
        </is>
      </c>
      <c r="N189" s="25" t="inlineStr">
        <is>
          <t>General</t>
        </is>
      </c>
      <c r="O189" s="25" t="inlineStr">
        <is>
          <t>Bac +4 / Bac +5</t>
        </is>
      </c>
      <c r="P189" s="26" t="inlineStr">
        <is>
          <t>Eligible on level (4-yr BS ≈ Bac+4)</t>
        </is>
      </c>
      <c r="Q189" s="25" t="inlineStr">
        <is>
          <t>1/2</t>
        </is>
      </c>
      <c r="R189" s="25" t="n"/>
      <c r="S189" s="27" t="n">
        <v>3950</v>
      </c>
      <c r="T189" s="27" t="n">
        <v>255</v>
      </c>
      <c r="U189" s="25" t="n">
        <v>2</v>
      </c>
      <c r="V189" s="27">
        <f>IF(S189="","",S189*U189)</f>
        <v/>
      </c>
      <c r="W189" s="26" t="inlineStr">
        <is>
          <t>Not in catalogue. Public national master → 2026-27 differentiated fee €3,950; exemption to ~€254-255 depends on university quota (25% cap in 2027-28).</t>
        </is>
      </c>
      <c r="X189" s="25" t="inlineStr">
        <is>
          <t>Medium</t>
        </is>
      </c>
      <c r="Y189" s="25" t="n"/>
      <c r="Z189" s="26" t="n"/>
      <c r="AA189" s="26" t="inlineStr">
        <is>
          <t>Board vote 7 Jul 2026: Sorbonne Université says it can exempt all eligible non-EU applicants (pay same as EU, ~€254) for 2026-27.</t>
        </is>
      </c>
      <c r="AB189" s="28" t="inlineStr">
        <is>
          <t>https://www.sorbonne-universite.fr/actualites/le-conseil-dadministration-de-sorbonne-universite-vote-lunanimite-le-7-juillet-2026-sa</t>
        </is>
      </c>
      <c r="AC189" s="25" t="inlineStr">
        <is>
          <t>Open</t>
        </is>
      </c>
      <c r="AD189" s="25" t="inlineStr">
        <is>
          <t>2026-10-01</t>
        </is>
      </c>
      <c r="AE189" s="25" t="inlineStr">
        <is>
          <t>2027-03-15</t>
        </is>
      </c>
      <c r="AF189" s="25" t="inlineStr">
        <is>
          <t>No</t>
        </is>
      </c>
      <c r="AG189" s="28" t="inlineStr">
        <is>
          <t>https://sciences.sorbonne-universite.fr/formation-sciences/masters/master-informatique/parcours-sesi</t>
        </is>
      </c>
      <c r="AH189" s="26" t="inlineStr">
        <is>
          <t>OUI</t>
        </is>
      </c>
      <c r="AI189" s="28" t="inlineStr">
        <is>
          <t>Open in EEF</t>
        </is>
      </c>
    </row>
    <row r="190" ht="32.8" customHeight="1" s="19">
      <c r="A190" s="25" t="n">
        <v>189</v>
      </c>
      <c r="B190" s="25" t="inlineStr">
        <is>
          <t>★★★★☆</t>
        </is>
      </c>
      <c r="C190" s="25" t="inlineStr">
        <is>
          <t>4 – Strong fit (electronics/signal/robotics/IoT/sensors)</t>
        </is>
      </c>
      <c r="D190" s="25" t="inlineStr">
        <is>
          <t>Sensors / Instrumentation / Micro-Nano / Photonics</t>
        </is>
      </c>
      <c r="E190" s="26" t="inlineStr">
        <is>
          <t>Master indifférencié (recherche et professionnel) Sciences, technologies, santé mention Mécanique parcours Simulation et Instrumentation en Mécanique (SIM)</t>
        </is>
      </c>
      <c r="F190" s="26" t="inlineStr">
        <is>
          <t>Science, Technology, Health (STS) – major: Mechanics – track: Simulation &amp; Instrumentation in Mechanics (SIM)</t>
        </is>
      </c>
      <c r="G190" s="25" t="inlineStr">
        <is>
          <t>Master indifférencié (recherche et professionnel)</t>
        </is>
      </c>
      <c r="H190" s="25" t="inlineStr">
        <is>
          <t>UFR de Physique, ingénierie, terre, environnement, mécanique</t>
        </is>
      </c>
      <c r="I190" s="25" t="inlineStr">
        <is>
          <t>Université de Grenoble Alpes</t>
        </is>
      </c>
      <c r="J190" s="25" t="inlineStr">
        <is>
          <t>Site de Grenoble - Campus de Saint Martin d'Hères</t>
        </is>
      </c>
      <c r="K190" s="25" t="n"/>
      <c r="L190" s="25" t="inlineStr">
        <is>
          <t>Public university</t>
        </is>
      </c>
      <c r="M190" s="25" t="inlineStr">
        <is>
          <t>French</t>
        </is>
      </c>
      <c r="N190" s="25" t="inlineStr">
        <is>
          <t>General</t>
        </is>
      </c>
      <c r="O190" s="25" t="inlineStr">
        <is>
          <t>Bac +4</t>
        </is>
      </c>
      <c r="P190" s="26" t="inlineStr">
        <is>
          <t>Eligible on level (4-yr BS ≈ Bac+4)</t>
        </is>
      </c>
      <c r="Q190" s="25" t="inlineStr">
        <is>
          <t>1</t>
        </is>
      </c>
      <c r="R190" s="25" t="n"/>
      <c r="S190" s="27" t="n">
        <v>3950</v>
      </c>
      <c r="T190" s="27" t="n">
        <v>255</v>
      </c>
      <c r="U190" s="25" t="n">
        <v>2</v>
      </c>
      <c r="V190" s="27">
        <f>IF(S190="","",S190*U190)</f>
        <v/>
      </c>
      <c r="W190" s="26" t="inlineStr">
        <is>
          <t>Not in catalogue. Public national master → 2026-27 differentiated fee €3,950; exemption to ~€254-255 depends on university quota (25% cap in 2027-28).</t>
        </is>
      </c>
      <c r="X190" s="25" t="inlineStr">
        <is>
          <t>Medium</t>
        </is>
      </c>
      <c r="Y190" s="25" t="n"/>
      <c r="Z190" s="26" t="n"/>
      <c r="AA190" s="26" t="inlineStr">
        <is>
          <t>UGA (incl. Grenoble INP masters): 2026-27 broad exemptions on request (pay national €254). From 2027-28 the decree caps apply; exemptions based on resources.</t>
        </is>
      </c>
      <c r="AB190" s="28" t="inlineStr">
        <is>
          <t>https://www.univ-grenoble-alpes.fr/actualites/a-la-une/actualites-universite/etudiants-internationaux-ce-que-change-le-nouveau-decret-sur-les-droits-d-inscription-a-l-uga-1775870.kjsp</t>
        </is>
      </c>
      <c r="AC190" s="25" t="inlineStr">
        <is>
          <t>Open</t>
        </is>
      </c>
      <c r="AD190" s="25" t="inlineStr">
        <is>
          <t>2026-10-01</t>
        </is>
      </c>
      <c r="AE190" s="25" t="inlineStr">
        <is>
          <t>2027-03-15</t>
        </is>
      </c>
      <c r="AF190" s="25" t="inlineStr">
        <is>
          <t>No</t>
        </is>
      </c>
      <c r="AG190" s="28" t="inlineStr">
        <is>
          <t>https://formations.univ-grenoble-alpes.fr/fr/catalogue-2021/master-XB/master-mecanique-IAQK579W/parcours-simulation-et-instrumentation-en-mecanique-1re-et-2e-annees-IAS8R70F.html</t>
        </is>
      </c>
      <c r="AH190" s="26" t="inlineStr">
        <is>
          <t>"Enseigné en partie en anglais - niveau B1 minimum en Anglais. L'objectif de ce parcours est de former des cadres de très haut niveau d'expertise en simulation et instrumentation appliquées à la Mécanique des Fluides et</t>
        </is>
      </c>
      <c r="AI190" s="28" t="inlineStr">
        <is>
          <t>Open in EEF</t>
        </is>
      </c>
    </row>
    <row r="191" ht="32.8" customHeight="1" s="19">
      <c r="A191" s="25" t="n">
        <v>190</v>
      </c>
      <c r="B191" s="25" t="inlineStr">
        <is>
          <t>★★★★☆</t>
        </is>
      </c>
      <c r="C191" s="25" t="inlineStr">
        <is>
          <t>4 – Strong fit (electronics/signal/robotics/IoT/sensors)</t>
        </is>
      </c>
      <c r="D191" s="25" t="inlineStr">
        <is>
          <t>Embedded systems / Electronics</t>
        </is>
      </c>
      <c r="E191" s="26" t="inlineStr">
        <is>
          <t>Master indifférencié (recherche et professionnel) Sciences, technologies, santé mention Physique fondamentale et applications parcours Physique et Ingénierie des Matériaux pour Microélectronique et les Nanotechnologies (PHYMATEC)</t>
        </is>
      </c>
      <c r="F191" s="26" t="inlineStr">
        <is>
          <t>Science, Technology, Health (STS) – major: Physics Fundamental &amp; Applications – track: Physics &amp; Engineering of Materials for Microelectronics &amp; the Nanotechnologies (PHYMATEC)</t>
        </is>
      </c>
      <c r="G191" s="25" t="inlineStr">
        <is>
          <t>Master indifférencié (recherche et professionnel)</t>
        </is>
      </c>
      <c r="H191" s="25" t="inlineStr">
        <is>
          <t>UFR des Sciences de Montpellier</t>
        </is>
      </c>
      <c r="I191" s="25" t="inlineStr">
        <is>
          <t>Université de Montpellier</t>
        </is>
      </c>
      <c r="J191" s="25" t="inlineStr">
        <is>
          <t>Site de Montpellier</t>
        </is>
      </c>
      <c r="K191" s="25" t="n"/>
      <c r="L191" s="25" t="inlineStr">
        <is>
          <t>Public university</t>
        </is>
      </c>
      <c r="M191" s="25" t="inlineStr">
        <is>
          <t>French</t>
        </is>
      </c>
      <c r="N191" s="25" t="inlineStr">
        <is>
          <t>General</t>
        </is>
      </c>
      <c r="O191" s="25" t="inlineStr">
        <is>
          <t>Bac +4</t>
        </is>
      </c>
      <c r="P191" s="26" t="inlineStr">
        <is>
          <t>Eligible on level (4-yr BS ≈ Bac+4)</t>
        </is>
      </c>
      <c r="Q191" s="25" t="inlineStr">
        <is>
          <t>1</t>
        </is>
      </c>
      <c r="R191" s="25" t="n"/>
      <c r="S191" s="27" t="n">
        <v>3950</v>
      </c>
      <c r="T191" s="27" t="n">
        <v>255</v>
      </c>
      <c r="U191" s="25" t="n">
        <v>2</v>
      </c>
      <c r="V191" s="27">
        <f>IF(S191="","",S191*U191)</f>
        <v/>
      </c>
      <c r="W191" s="26" t="inlineStr">
        <is>
          <t>Not in catalogue. Public national master → 2026-27 differentiated fee €3,950; exemption to ~€254-255 depends on university quota (25% cap in 2027-28).</t>
        </is>
      </c>
      <c r="X191" s="25" t="inlineStr">
        <is>
          <t>Medium</t>
        </is>
      </c>
      <c r="Y191" s="25" t="n"/>
      <c r="Z191" s="26" t="n"/>
      <c r="AA191" s="26" t="inlineStr">
        <is>
          <t>Montpellier 2026-27: new non-EU entrants pay the differentiated fee unless individual exemption (limited).</t>
        </is>
      </c>
      <c r="AB191" s="28" t="inlineStr">
        <is>
          <t>https://www.umontpellier.fr/en/international/etudier-a-letranger/etudiants-internationaux-annee-universitaire-2026-2027/</t>
        </is>
      </c>
      <c r="AC191" s="25" t="inlineStr">
        <is>
          <t>Open</t>
        </is>
      </c>
      <c r="AD191" s="25" t="inlineStr">
        <is>
          <t>2026-10-01</t>
        </is>
      </c>
      <c r="AE191" s="25" t="inlineStr">
        <is>
          <t>2027-03-15</t>
        </is>
      </c>
      <c r="AF191" s="25" t="inlineStr">
        <is>
          <t>No</t>
        </is>
      </c>
      <c r="AG191" s="28" t="inlineStr">
        <is>
          <t>http://www.fdsweb.univ-montp2.fr/etudier-a-la-fds/catalogue-de-formation-675</t>
        </is>
      </c>
      <c r="AH191" s="26" t="n"/>
      <c r="AI191" s="28" t="inlineStr">
        <is>
          <t>Open in EEF</t>
        </is>
      </c>
    </row>
    <row r="192" ht="32.8" customHeight="1" s="19">
      <c r="A192" s="25" t="n">
        <v>191</v>
      </c>
      <c r="B192" s="25" t="inlineStr">
        <is>
          <t>★★★★☆</t>
        </is>
      </c>
      <c r="C192" s="25" t="inlineStr">
        <is>
          <t>4 – Strong fit (electronics/signal/robotics/IoT/sensors)</t>
        </is>
      </c>
      <c r="D192" s="25" t="inlineStr">
        <is>
          <t>Embedded systems / Electronics</t>
        </is>
      </c>
      <c r="E192" s="26" t="inlineStr">
        <is>
          <t>Master Sciences et technologies mention Electronique, énergie électrique, automatique</t>
        </is>
      </c>
      <c r="F192" s="26" t="inlineStr">
        <is>
          <t>Master Science &amp; Technology – major: Electronics, Electrical Energy &amp; Automation (EEA)</t>
        </is>
      </c>
      <c r="G192" s="25" t="inlineStr">
        <is>
          <t>Master indifférencié (recherche et professionnel)</t>
        </is>
      </c>
      <c r="H192" s="25" t="inlineStr">
        <is>
          <t>UFR Sciences</t>
        </is>
      </c>
      <c r="I192" s="25" t="inlineStr">
        <is>
          <t>Université d'Aix-Marseille</t>
        </is>
      </c>
      <c r="J192" s="25" t="inlineStr">
        <is>
          <t>Site de Marseille - St Jérôme</t>
        </is>
      </c>
      <c r="K192" s="25" t="n"/>
      <c r="L192" s="25" t="inlineStr">
        <is>
          <t>Public university</t>
        </is>
      </c>
      <c r="M192" s="25" t="inlineStr">
        <is>
          <t>French</t>
        </is>
      </c>
      <c r="N192" s="25" t="inlineStr">
        <is>
          <t>General</t>
        </is>
      </c>
      <c r="O192" s="25" t="inlineStr">
        <is>
          <t>Bac +4</t>
        </is>
      </c>
      <c r="P192" s="26" t="inlineStr">
        <is>
          <t>Eligible on level (4-yr BS ≈ Bac+4)</t>
        </is>
      </c>
      <c r="Q192" s="25" t="inlineStr">
        <is>
          <t>1</t>
        </is>
      </c>
      <c r="R192" s="25" t="inlineStr">
        <is>
          <t>12</t>
        </is>
      </c>
      <c r="S192" s="27" t="n">
        <v>3950</v>
      </c>
      <c r="T192" s="27" t="n">
        <v>255</v>
      </c>
      <c r="U192" s="25" t="n">
        <v>2</v>
      </c>
      <c r="V192" s="27">
        <f>IF(S192="","",S192*U192)</f>
        <v/>
      </c>
      <c r="W192" s="26" t="inlineStr">
        <is>
          <t>Not in catalogue. Public national master → 2026-27 differentiated fee €3,950; exemption to ~€254-255 depends on university quota (25% cap in 2027-28).</t>
        </is>
      </c>
      <c r="X192" s="25" t="inlineStr">
        <is>
          <t>Medium</t>
        </is>
      </c>
      <c r="Y192" s="25" t="n"/>
      <c r="Z192" s="26" t="n"/>
      <c r="AA192" s="26" t="inlineStr">
        <is>
          <t>AMU 2026-27: limited exemptions (≈1,800 of 5,500 students) – priority to continuing students, conflict zones, excellence scholarships. New master entrants usually pay €3,950.</t>
        </is>
      </c>
      <c r="AB192" s="28" t="inlineStr">
        <is>
          <t>https://www.univ-amu.fr/fr/actualites/aix-marseille-universite-mobilise-pleinement-capacite-dexoneration-continuer-accueillir</t>
        </is>
      </c>
      <c r="AC192" s="25" t="inlineStr">
        <is>
          <t>Open</t>
        </is>
      </c>
      <c r="AD192" s="25" t="inlineStr">
        <is>
          <t>2026-10-01</t>
        </is>
      </c>
      <c r="AE192" s="25" t="inlineStr">
        <is>
          <t>2027-03-15</t>
        </is>
      </c>
      <c r="AF192" s="25" t="inlineStr">
        <is>
          <t>No</t>
        </is>
      </c>
      <c r="AG192" s="28" t="inlineStr">
        <is>
          <t>https://formations.univ-amu.fr/fr/master/5SEA</t>
        </is>
      </c>
      <c r="AH192" s="26" t="inlineStr">
        <is>
          <t>Nous attirons votre attention sur 2 points importants pour votre candidature : Votre dossier doit être complet et validé par l’Espace Etudes en France La faculté des sciences examinera les dossiers de candidature en cohé</t>
        </is>
      </c>
      <c r="AI192" s="28" t="inlineStr">
        <is>
          <t>Open in EEF</t>
        </is>
      </c>
    </row>
    <row r="193" ht="32.8" customHeight="1" s="19">
      <c r="A193" s="25" t="n">
        <v>192</v>
      </c>
      <c r="B193" s="25" t="inlineStr">
        <is>
          <t>★★★★☆</t>
        </is>
      </c>
      <c r="C193" s="25" t="inlineStr">
        <is>
          <t>4 – Strong fit (electronics/signal/robotics/IoT/sensors)</t>
        </is>
      </c>
      <c r="D193" s="25" t="inlineStr">
        <is>
          <t>Sensors / Instrumentation / Micro-Nano / Photonics</t>
        </is>
      </c>
      <c r="E193" s="26" t="inlineStr">
        <is>
          <t>Master Sciences et technologies mention Instrumentation, mesure, métrologie</t>
        </is>
      </c>
      <c r="F193" s="26" t="inlineStr">
        <is>
          <t>Master Science &amp; Technology – major: Instrumentation, Measurement, Metrology</t>
        </is>
      </c>
      <c r="G193" s="25" t="inlineStr">
        <is>
          <t>Master indifférencié (recherche et professionnel)</t>
        </is>
      </c>
      <c r="H193" s="25" t="inlineStr">
        <is>
          <t>UFR Sciences</t>
        </is>
      </c>
      <c r="I193" s="25" t="inlineStr">
        <is>
          <t>Université d'Aix-Marseille</t>
        </is>
      </c>
      <c r="J193" s="25" t="inlineStr">
        <is>
          <t>Site de Marseille - St Jérôme</t>
        </is>
      </c>
      <c r="K193" s="25" t="n"/>
      <c r="L193" s="25" t="inlineStr">
        <is>
          <t>Public university</t>
        </is>
      </c>
      <c r="M193" s="25" t="inlineStr">
        <is>
          <t>French</t>
        </is>
      </c>
      <c r="N193" s="25" t="inlineStr">
        <is>
          <t>General</t>
        </is>
      </c>
      <c r="O193" s="25" t="inlineStr">
        <is>
          <t>Bac +4</t>
        </is>
      </c>
      <c r="P193" s="26" t="inlineStr">
        <is>
          <t>Eligible on level (4-yr BS ≈ Bac+4)</t>
        </is>
      </c>
      <c r="Q193" s="25" t="inlineStr">
        <is>
          <t>1</t>
        </is>
      </c>
      <c r="R193" s="25" t="inlineStr">
        <is>
          <t>12</t>
        </is>
      </c>
      <c r="S193" s="27" t="n">
        <v>3950</v>
      </c>
      <c r="T193" s="27" t="n">
        <v>255</v>
      </c>
      <c r="U193" s="25" t="n">
        <v>2</v>
      </c>
      <c r="V193" s="27">
        <f>IF(S193="","",S193*U193)</f>
        <v/>
      </c>
      <c r="W193" s="26" t="inlineStr">
        <is>
          <t>Not in catalogue. Public national master → 2026-27 differentiated fee €3,950; exemption to ~€254-255 depends on university quota (25% cap in 2027-28).</t>
        </is>
      </c>
      <c r="X193" s="25" t="inlineStr">
        <is>
          <t>Medium</t>
        </is>
      </c>
      <c r="Y193" s="25" t="n"/>
      <c r="Z193" s="26" t="n"/>
      <c r="AA193" s="26" t="inlineStr">
        <is>
          <t>AMU 2026-27: limited exemptions (≈1,800 of 5,500 students) – priority to continuing students, conflict zones, excellence scholarships. New master entrants usually pay €3,950.</t>
        </is>
      </c>
      <c r="AB193" s="28" t="inlineStr">
        <is>
          <t>https://www.univ-amu.fr/fr/actualites/aix-marseille-universite-mobilise-pleinement-capacite-dexoneration-continuer-accueillir</t>
        </is>
      </c>
      <c r="AC193" s="25" t="inlineStr">
        <is>
          <t>Open</t>
        </is>
      </c>
      <c r="AD193" s="25" t="inlineStr">
        <is>
          <t>2026-10-01</t>
        </is>
      </c>
      <c r="AE193" s="25" t="inlineStr">
        <is>
          <t>2027-03-15</t>
        </is>
      </c>
      <c r="AF193" s="25" t="inlineStr">
        <is>
          <t>No</t>
        </is>
      </c>
      <c r="AG193" s="28" t="inlineStr">
        <is>
          <t>https://formations.univ-amu.fr/fr/master/5SMI</t>
        </is>
      </c>
      <c r="AH193" s="26" t="inlineStr">
        <is>
          <t>Nous attirons votre attention sur 2 points importants pour votre candidature : Votre dossier doit être complet et validé par l’Espace Etudes en France La faculté des sciences examinera les dossiers de candidature en cohé</t>
        </is>
      </c>
      <c r="AI193" s="28" t="inlineStr">
        <is>
          <t>Open in EEF</t>
        </is>
      </c>
    </row>
    <row r="194" ht="32.8" customHeight="1" s="19">
      <c r="A194" s="25" t="n">
        <v>193</v>
      </c>
      <c r="B194" s="25" t="inlineStr">
        <is>
          <t>★★★★☆</t>
        </is>
      </c>
      <c r="C194" s="25" t="inlineStr">
        <is>
          <t>4 – Strong fit (electronics/signal/robotics/IoT/sensors)</t>
        </is>
      </c>
      <c r="D194" s="25" t="inlineStr">
        <is>
          <t>Sensors / Instrumentation / Micro-Nano / Photonics</t>
        </is>
      </c>
      <c r="E194" s="26" t="inlineStr">
        <is>
          <t>Master Sciences et technologies mention Nanosciences et nanotechnologies parcours Ingénierie des matériaux et nanotechnologies</t>
        </is>
      </c>
      <c r="F194" s="26" t="inlineStr">
        <is>
          <t>Master Science &amp; Technology – major: Nanosciences &amp; Nanotechnologies – track: Engineering of Materials &amp; Nanotechnologies</t>
        </is>
      </c>
      <c r="G194" s="25" t="inlineStr">
        <is>
          <t>Master indifférencié (recherche et professionnel)</t>
        </is>
      </c>
      <c r="H194" s="25" t="inlineStr">
        <is>
          <t>UFR Sciences</t>
        </is>
      </c>
      <c r="I194" s="25" t="inlineStr">
        <is>
          <t>Université d'Aix-Marseille</t>
        </is>
      </c>
      <c r="J194" s="25" t="inlineStr">
        <is>
          <t>Site de Marseille - St Jérôme</t>
        </is>
      </c>
      <c r="K194" s="25" t="n"/>
      <c r="L194" s="25" t="inlineStr">
        <is>
          <t>Public university</t>
        </is>
      </c>
      <c r="M194" s="25" t="inlineStr">
        <is>
          <t>French</t>
        </is>
      </c>
      <c r="N194" s="25" t="inlineStr">
        <is>
          <t>General</t>
        </is>
      </c>
      <c r="O194" s="25" t="inlineStr">
        <is>
          <t>Bac +4 / Bac +5</t>
        </is>
      </c>
      <c r="P194" s="26" t="inlineStr">
        <is>
          <t>Eligible on level (4-yr BS ≈ Bac+4)</t>
        </is>
      </c>
      <c r="Q194" s="25" t="inlineStr">
        <is>
          <t>1/2</t>
        </is>
      </c>
      <c r="R194" s="25" t="inlineStr">
        <is>
          <t>12</t>
        </is>
      </c>
      <c r="S194" s="27" t="n">
        <v>3950</v>
      </c>
      <c r="T194" s="27" t="n">
        <v>255</v>
      </c>
      <c r="U194" s="25" t="n">
        <v>2</v>
      </c>
      <c r="V194" s="27">
        <f>IF(S194="","",S194*U194)</f>
        <v/>
      </c>
      <c r="W194" s="26" t="inlineStr">
        <is>
          <t>Not in catalogue. Public national master → 2026-27 differentiated fee €3,950; exemption to ~€254-255 depends on university quota (25% cap in 2027-28).</t>
        </is>
      </c>
      <c r="X194" s="25" t="inlineStr">
        <is>
          <t>Medium</t>
        </is>
      </c>
      <c r="Y194" s="25" t="n"/>
      <c r="Z194" s="26" t="n"/>
      <c r="AA194" s="26" t="inlineStr">
        <is>
          <t>AMU 2026-27: limited exemptions (≈1,800 of 5,500 students) – priority to continuing students, conflict zones, excellence scholarships. New master entrants usually pay €3,950.</t>
        </is>
      </c>
      <c r="AB194" s="28" t="inlineStr">
        <is>
          <t>https://www.univ-amu.fr/fr/actualites/aix-marseille-universite-mobilise-pleinement-capacite-dexoneration-continuer-accueillir</t>
        </is>
      </c>
      <c r="AC194" s="25" t="inlineStr">
        <is>
          <t>Open</t>
        </is>
      </c>
      <c r="AD194" s="25" t="inlineStr">
        <is>
          <t>2026-10-01</t>
        </is>
      </c>
      <c r="AE194" s="25" t="inlineStr">
        <is>
          <t>2027-03-15</t>
        </is>
      </c>
      <c r="AF194" s="25" t="inlineStr">
        <is>
          <t>No</t>
        </is>
      </c>
      <c r="AG194" s="28" t="inlineStr">
        <is>
          <t>https://formations.univ-amu.fr/fr/master/5SNN/PRSNN5C2</t>
        </is>
      </c>
      <c r="AH194" s="26" t="inlineStr">
        <is>
          <t>Nous attirons votre attention sur 2 points importants pour votre candidature : Votre dossier doit être complet et validé par l’Espace Etudes en France La faculté des sciences examinera les dossiers de candidature en cohé</t>
        </is>
      </c>
      <c r="AI194" s="28" t="inlineStr">
        <is>
          <t>Open in EEF</t>
        </is>
      </c>
    </row>
    <row r="195" ht="32.8" customHeight="1" s="19">
      <c r="A195" s="25" t="n">
        <v>194</v>
      </c>
      <c r="B195" s="25" t="inlineStr">
        <is>
          <t>★★★★☆</t>
        </is>
      </c>
      <c r="C195" s="25" t="inlineStr">
        <is>
          <t>4 – Strong fit (electronics/signal/robotics/IoT/sensors)</t>
        </is>
      </c>
      <c r="D195" s="25" t="inlineStr">
        <is>
          <t>IoT / Telecom / Networks</t>
        </is>
      </c>
      <c r="E195" s="26" t="inlineStr">
        <is>
          <t>Master Sciences et technologies mention Réseaux et télécommunication</t>
        </is>
      </c>
      <c r="F195" s="26" t="inlineStr">
        <is>
          <t>Master Science &amp; Technology – major: Networks &amp; Telecommunication</t>
        </is>
      </c>
      <c r="G195" s="25" t="inlineStr">
        <is>
          <t>Master indifférencié (recherche et professionnel)</t>
        </is>
      </c>
      <c r="H195" s="25" t="inlineStr">
        <is>
          <t>UFR Sciences</t>
        </is>
      </c>
      <c r="I195" s="25" t="inlineStr">
        <is>
          <t>Université d'Aix-Marseille</t>
        </is>
      </c>
      <c r="J195" s="25" t="inlineStr">
        <is>
          <t>Site de Marseille - Luminy</t>
        </is>
      </c>
      <c r="K195" s="25" t="n"/>
      <c r="L195" s="25" t="inlineStr">
        <is>
          <t>Public university</t>
        </is>
      </c>
      <c r="M195" s="25" t="inlineStr">
        <is>
          <t>French</t>
        </is>
      </c>
      <c r="N195" s="25" t="inlineStr">
        <is>
          <t>General</t>
        </is>
      </c>
      <c r="O195" s="25" t="inlineStr">
        <is>
          <t>Bac +4</t>
        </is>
      </c>
      <c r="P195" s="26" t="inlineStr">
        <is>
          <t>Eligible on level (4-yr BS ≈ Bac+4)</t>
        </is>
      </c>
      <c r="Q195" s="25" t="inlineStr">
        <is>
          <t>1</t>
        </is>
      </c>
      <c r="R195" s="25" t="inlineStr">
        <is>
          <t>12</t>
        </is>
      </c>
      <c r="S195" s="27" t="n">
        <v>3950</v>
      </c>
      <c r="T195" s="27" t="n">
        <v>255</v>
      </c>
      <c r="U195" s="25" t="n">
        <v>2</v>
      </c>
      <c r="V195" s="27">
        <f>IF(S195="","",S195*U195)</f>
        <v/>
      </c>
      <c r="W195" s="26" t="inlineStr">
        <is>
          <t>Not in catalogue. Public national master → 2026-27 differentiated fee €3,950; exemption to ~€254-255 depends on university quota (25% cap in 2027-28).</t>
        </is>
      </c>
      <c r="X195" s="25" t="inlineStr">
        <is>
          <t>Medium</t>
        </is>
      </c>
      <c r="Y195" s="25" t="n"/>
      <c r="Z195" s="26" t="n"/>
      <c r="AA195" s="26" t="inlineStr">
        <is>
          <t>AMU 2026-27: limited exemptions (≈1,800 of 5,500 students) – priority to continuing students, conflict zones, excellence scholarships. New master entrants usually pay €3,950.</t>
        </is>
      </c>
      <c r="AB195" s="28" t="inlineStr">
        <is>
          <t>https://www.univ-amu.fr/fr/actualites/aix-marseille-universite-mobilise-pleinement-capacite-dexoneration-continuer-accueillir</t>
        </is>
      </c>
      <c r="AC195" s="25" t="inlineStr">
        <is>
          <t>Open</t>
        </is>
      </c>
      <c r="AD195" s="25" t="inlineStr">
        <is>
          <t>2026-10-01</t>
        </is>
      </c>
      <c r="AE195" s="25" t="inlineStr">
        <is>
          <t>2027-03-15</t>
        </is>
      </c>
      <c r="AF195" s="25" t="inlineStr">
        <is>
          <t>No</t>
        </is>
      </c>
      <c r="AG195" s="28" t="inlineStr">
        <is>
          <t>https://formations.univ-amu.fr/fr/master/5SRT</t>
        </is>
      </c>
      <c r="AH195" s="26" t="inlineStr">
        <is>
          <t>Nous attirons votre attention sur 6 points importants pour votre candidature : Votre dossier doit être complet et validé par l’Espace Etudes en France La faculté des sciences examinera les dossiers de candidature en cohé</t>
        </is>
      </c>
      <c r="AI195" s="28" t="inlineStr">
        <is>
          <t>Open in EEF</t>
        </is>
      </c>
    </row>
    <row r="196" ht="32.8" customHeight="1" s="19">
      <c r="A196" s="25" t="n">
        <v>195</v>
      </c>
      <c r="B196" s="25" t="inlineStr">
        <is>
          <t>★★★★☆</t>
        </is>
      </c>
      <c r="C196" s="25" t="inlineStr">
        <is>
          <t>4 – Strong fit (electronics/signal/robotics/IoT/sensors)</t>
        </is>
      </c>
      <c r="D196" s="25" t="inlineStr">
        <is>
          <t>Signal / Image / Vision</t>
        </is>
      </c>
      <c r="E196" s="26" t="inlineStr">
        <is>
          <t>Master Sciences et technologies mention Traitement du signal et des images</t>
        </is>
      </c>
      <c r="F196" s="26" t="inlineStr">
        <is>
          <t>Master Science &amp; Technology – major: Signal &amp; Image Processing</t>
        </is>
      </c>
      <c r="G196" s="25" t="inlineStr">
        <is>
          <t>Master indifférencié (recherche et professionnel)</t>
        </is>
      </c>
      <c r="H196" s="25" t="inlineStr">
        <is>
          <t>UFR Sciences</t>
        </is>
      </c>
      <c r="I196" s="25" t="inlineStr">
        <is>
          <t>Université d'Aix-Marseille</t>
        </is>
      </c>
      <c r="J196" s="25" t="inlineStr">
        <is>
          <t>Site de Marseille - St Jérôme</t>
        </is>
      </c>
      <c r="K196" s="25" t="n"/>
      <c r="L196" s="25" t="inlineStr">
        <is>
          <t>Public university</t>
        </is>
      </c>
      <c r="M196" s="25" t="inlineStr">
        <is>
          <t>French</t>
        </is>
      </c>
      <c r="N196" s="25" t="inlineStr">
        <is>
          <t>General</t>
        </is>
      </c>
      <c r="O196" s="25" t="inlineStr">
        <is>
          <t>Bac +4 / Bac +5</t>
        </is>
      </c>
      <c r="P196" s="26" t="inlineStr">
        <is>
          <t>Eligible on level (4-yr BS ≈ Bac+4)</t>
        </is>
      </c>
      <c r="Q196" s="25" t="inlineStr">
        <is>
          <t>1/2</t>
        </is>
      </c>
      <c r="R196" s="25" t="inlineStr">
        <is>
          <t>12</t>
        </is>
      </c>
      <c r="S196" s="27" t="n">
        <v>3950</v>
      </c>
      <c r="T196" s="27" t="n">
        <v>255</v>
      </c>
      <c r="U196" s="25" t="n">
        <v>2</v>
      </c>
      <c r="V196" s="27">
        <f>IF(S196="","",S196*U196)</f>
        <v/>
      </c>
      <c r="W196" s="26" t="inlineStr">
        <is>
          <t>Not in catalogue. Public national master → 2026-27 differentiated fee €3,950; exemption to ~€254-255 depends on university quota (25% cap in 2027-28).</t>
        </is>
      </c>
      <c r="X196" s="25" t="inlineStr">
        <is>
          <t>Medium</t>
        </is>
      </c>
      <c r="Y196" s="25" t="n"/>
      <c r="Z196" s="26" t="n"/>
      <c r="AA196" s="26" t="inlineStr">
        <is>
          <t>AMU 2026-27: limited exemptions (≈1,800 of 5,500 students) – priority to continuing students, conflict zones, excellence scholarships. New master entrants usually pay €3,950.</t>
        </is>
      </c>
      <c r="AB196" s="28" t="inlineStr">
        <is>
          <t>https://www.univ-amu.fr/fr/actualites/aix-marseille-universite-mobilise-pleinement-capacite-dexoneration-continuer-accueillir</t>
        </is>
      </c>
      <c r="AC196" s="25" t="inlineStr">
        <is>
          <t>Open</t>
        </is>
      </c>
      <c r="AD196" s="25" t="inlineStr">
        <is>
          <t>2026-10-01</t>
        </is>
      </c>
      <c r="AE196" s="25" t="inlineStr">
        <is>
          <t>2027-03-15</t>
        </is>
      </c>
      <c r="AF196" s="25" t="inlineStr">
        <is>
          <t>No</t>
        </is>
      </c>
      <c r="AG196" s="28" t="inlineStr">
        <is>
          <t>https://formations.univ-amu.fr/fr/master/5STS</t>
        </is>
      </c>
      <c r="AH196" s="26" t="inlineStr">
        <is>
          <t>Nous attirons votre attention sur 2 points importants pour votre candidature : Votre dossier doit être complet et validé par l’Espace Etudes en France La faculté des sciences examinera les dossiers de candidature en cohé</t>
        </is>
      </c>
      <c r="AI196" s="28" t="inlineStr">
        <is>
          <t>Open in EEF</t>
        </is>
      </c>
    </row>
    <row r="197" ht="22.35" customHeight="1" s="19">
      <c r="A197" s="25" t="n">
        <v>196</v>
      </c>
      <c r="B197" s="25" t="inlineStr">
        <is>
          <t>★★★★☆</t>
        </is>
      </c>
      <c r="C197" s="25" t="inlineStr">
        <is>
          <t>4 – Strong fit (electronics/signal/robotics/IoT/sensors)</t>
        </is>
      </c>
      <c r="D197" s="25" t="inlineStr">
        <is>
          <t>Biomedical / Health tech</t>
        </is>
      </c>
      <c r="E197" s="26" t="inlineStr">
        <is>
          <t>Master Sciences, technologies, santé mention Automatique, robotique parcours Mechatronic Design for Health</t>
        </is>
      </c>
      <c r="F197" s="26" t="inlineStr">
        <is>
          <t>Master Science, Technology, Health (STS) – major: Automation, Robotics – track: Mechatronic Design for Health</t>
        </is>
      </c>
      <c r="G197" s="25" t="inlineStr">
        <is>
          <t>Master indifférencié (recherche et professionnel)</t>
        </is>
      </c>
      <c r="H197" s="25" t="inlineStr">
        <is>
          <t>Sciences et Ingénierie</t>
        </is>
      </c>
      <c r="I197" s="25" t="inlineStr">
        <is>
          <t>Sorbonne Université</t>
        </is>
      </c>
      <c r="J197" s="25" t="inlineStr">
        <is>
          <t>Site de Paris</t>
        </is>
      </c>
      <c r="K197" s="25" t="n"/>
      <c r="L197" s="25" t="inlineStr">
        <is>
          <t>Public university</t>
        </is>
      </c>
      <c r="M197" s="25" t="inlineStr">
        <is>
          <t>French</t>
        </is>
      </c>
      <c r="N197" s="25" t="inlineStr">
        <is>
          <t>General</t>
        </is>
      </c>
      <c r="O197" s="25" t="inlineStr">
        <is>
          <t>Bac +4</t>
        </is>
      </c>
      <c r="P197" s="26" t="inlineStr">
        <is>
          <t>Eligible on level (4-yr BS ≈ Bac+4)</t>
        </is>
      </c>
      <c r="Q197" s="25" t="inlineStr">
        <is>
          <t>1</t>
        </is>
      </c>
      <c r="R197" s="25" t="n"/>
      <c r="S197" s="27" t="n">
        <v>3950</v>
      </c>
      <c r="T197" s="27" t="n">
        <v>255</v>
      </c>
      <c r="U197" s="25" t="n">
        <v>2</v>
      </c>
      <c r="V197" s="27">
        <f>IF(S197="","",S197*U197)</f>
        <v/>
      </c>
      <c r="W197" s="26" t="inlineStr">
        <is>
          <t>Not in catalogue. Public national master → 2026-27 differentiated fee €3,950; exemption to ~€254-255 depends on university quota (25% cap in 2027-28).</t>
        </is>
      </c>
      <c r="X197" s="25" t="inlineStr">
        <is>
          <t>Medium</t>
        </is>
      </c>
      <c r="Y197" s="25" t="n"/>
      <c r="Z197" s="26" t="n"/>
      <c r="AA197" s="26" t="inlineStr">
        <is>
          <t>Board vote 7 Jul 2026: Sorbonne Université says it can exempt all eligible non-EU applicants (pay same as EU, ~€254) for 2026-27.</t>
        </is>
      </c>
      <c r="AB197" s="28" t="inlineStr">
        <is>
          <t>https://www.sorbonne-universite.fr/actualites/le-conseil-dadministration-de-sorbonne-universite-vote-lunanimite-le-7-juillet-2026-sa</t>
        </is>
      </c>
      <c r="AC197" s="25" t="inlineStr">
        <is>
          <t>Open</t>
        </is>
      </c>
      <c r="AD197" s="25" t="inlineStr">
        <is>
          <t>2026-10-01</t>
        </is>
      </c>
      <c r="AE197" s="25" t="inlineStr">
        <is>
          <t>2027-03-15</t>
        </is>
      </c>
      <c r="AF197" s="25" t="inlineStr">
        <is>
          <t>No</t>
        </is>
      </c>
      <c r="AG197" s="28" t="inlineStr">
        <is>
          <t>https://masters-sdi.sorbonne-universite.fr/automatique-robotique</t>
        </is>
      </c>
      <c r="AH197" s="26" t="n"/>
      <c r="AI197" s="28" t="inlineStr">
        <is>
          <t>Open in EEF</t>
        </is>
      </c>
    </row>
    <row r="198" ht="22.35" customHeight="1" s="19">
      <c r="A198" s="25" t="n">
        <v>197</v>
      </c>
      <c r="B198" s="25" t="inlineStr">
        <is>
          <t>★★★★☆</t>
        </is>
      </c>
      <c r="C198" s="25" t="inlineStr">
        <is>
          <t>4 – Strong fit (electronics/signal/robotics/IoT/sensors)</t>
        </is>
      </c>
      <c r="D198" s="25" t="inlineStr">
        <is>
          <t>Embedded systems / Electronics</t>
        </is>
      </c>
      <c r="E198" s="26" t="inlineStr">
        <is>
          <t>Master Sciences, technologies, santé, mention Electronique, Energie électrique, Automatique</t>
        </is>
      </c>
      <c r="F198" s="26" t="inlineStr">
        <is>
          <t>Master Science, Technology, Health (STS), – major: Electronics, Electrical Energy &amp; Automation (EEA)</t>
        </is>
      </c>
      <c r="G198" s="25" t="inlineStr">
        <is>
          <t>Master indifférencié (recherche et professionnel)</t>
        </is>
      </c>
      <c r="H198" s="25" t="inlineStr">
        <is>
          <t>Ecole Universitaire de Physique et d'Ingénierie</t>
        </is>
      </c>
      <c r="I198" s="25" t="inlineStr">
        <is>
          <t>Université Clermont Auvergne</t>
        </is>
      </c>
      <c r="J198" s="25" t="inlineStr">
        <is>
          <t>Site de Aubière</t>
        </is>
      </c>
      <c r="K198" s="25" t="n"/>
      <c r="L198" s="25" t="inlineStr">
        <is>
          <t>Public school / institute</t>
        </is>
      </c>
      <c r="M198" s="25" t="inlineStr">
        <is>
          <t>French</t>
        </is>
      </c>
      <c r="N198" s="25" t="inlineStr">
        <is>
          <t>General</t>
        </is>
      </c>
      <c r="O198" s="25" t="inlineStr">
        <is>
          <t>Bac +4 / Bac +5</t>
        </is>
      </c>
      <c r="P198" s="26" t="inlineStr">
        <is>
          <t>Eligible on level (4-yr BS ≈ Bac+4)</t>
        </is>
      </c>
      <c r="Q198" s="25" t="inlineStr">
        <is>
          <t>1/2</t>
        </is>
      </c>
      <c r="R198" s="25" t="n"/>
      <c r="S198" s="27" t="n">
        <v>3950</v>
      </c>
      <c r="T198" s="27" t="n">
        <v>255</v>
      </c>
      <c r="U198" s="25" t="n">
        <v>2</v>
      </c>
      <c r="V198" s="27">
        <f>IF(S198="","",S198*U198)</f>
        <v/>
      </c>
      <c r="W198" s="26" t="inlineStr">
        <is>
          <t>Not in catalogue. Public national master → 2026-27 differentiated fee €3,950; exemption to ~€254-255 depends on university quota (25% cap in 2027-28).</t>
        </is>
      </c>
      <c r="X198" s="25" t="inlineStr">
        <is>
          <t>Medium</t>
        </is>
      </c>
      <c r="Y198" s="25" t="n"/>
      <c r="Z198" s="26" t="n"/>
      <c r="AA198" s="26" t="inlineStr">
        <is>
          <t>UCA board (Dec 2025) kept its partial-exemption framework for 2026-27 (pre-decree; re-check).</t>
        </is>
      </c>
      <c r="AB198" s="28" t="inlineStr">
        <is>
          <t>https://www.uca.fr/medias/fichier/delib-ca-20251205-15-tarifs-differencies_1765204050111-pdf</t>
        </is>
      </c>
      <c r="AC198" s="25" t="inlineStr">
        <is>
          <t>Open</t>
        </is>
      </c>
      <c r="AD198" s="25" t="inlineStr">
        <is>
          <t>2026-10-01</t>
        </is>
      </c>
      <c r="AE198" s="25" t="inlineStr">
        <is>
          <t>2027-03-15</t>
        </is>
      </c>
      <c r="AF198" s="25" t="inlineStr">
        <is>
          <t>No</t>
        </is>
      </c>
      <c r="AG198" s="28" t="inlineStr">
        <is>
          <t>https://eupi.uca.fr/</t>
        </is>
      </c>
      <c r="AH198" s="26" t="n"/>
      <c r="AI198" s="28" t="inlineStr">
        <is>
          <t>Open in EEF</t>
        </is>
      </c>
    </row>
    <row r="199" ht="32.8" customHeight="1" s="19">
      <c r="A199" s="25" t="n">
        <v>198</v>
      </c>
      <c r="B199" s="25" t="inlineStr">
        <is>
          <t>★★★★☆</t>
        </is>
      </c>
      <c r="C199" s="25" t="inlineStr">
        <is>
          <t>4 – Strong fit (electronics/signal/robotics/IoT/sensors)</t>
        </is>
      </c>
      <c r="D199" s="25" t="inlineStr">
        <is>
          <t>Embedded systems / Electronics</t>
        </is>
      </c>
      <c r="E199" s="26" t="inlineStr">
        <is>
          <t>Master Sciences, technologies, santé, mention Electronique, énergie électrique, automatique conception de systèmes électroniques et communicants</t>
        </is>
      </c>
      <c r="F199" s="26" t="inlineStr">
        <is>
          <t>Master Science, Technology, Health (STS), – major: Electronics, Electrical Energy &amp; Automation (EEA) Design of Systems Electronic &amp; Communicating</t>
        </is>
      </c>
      <c r="G199" s="25" t="inlineStr">
        <is>
          <t>Master indifférencié (recherche et professionnel)</t>
        </is>
      </c>
      <c r="H199" s="25" t="inlineStr">
        <is>
          <t>UFR Sciences fondamentales et appliquées</t>
        </is>
      </c>
      <c r="I199" s="25" t="inlineStr">
        <is>
          <t>Université de Lorraine</t>
        </is>
      </c>
      <c r="J199" s="25" t="inlineStr">
        <is>
          <t>Site de Metz</t>
        </is>
      </c>
      <c r="K199" s="25" t="n"/>
      <c r="L199" s="25" t="inlineStr">
        <is>
          <t>Public university</t>
        </is>
      </c>
      <c r="M199" s="25" t="inlineStr">
        <is>
          <t>French</t>
        </is>
      </c>
      <c r="N199" s="25" t="inlineStr">
        <is>
          <t>General</t>
        </is>
      </c>
      <c r="O199" s="25" t="inlineStr">
        <is>
          <t>Bac +4 / Bac +5</t>
        </is>
      </c>
      <c r="P199" s="26" t="inlineStr">
        <is>
          <t>Eligible on level (4-yr BS ≈ Bac+4)</t>
        </is>
      </c>
      <c r="Q199" s="25" t="inlineStr">
        <is>
          <t>1/2</t>
        </is>
      </c>
      <c r="R199" s="25" t="n"/>
      <c r="S199" s="27" t="n">
        <v>3950</v>
      </c>
      <c r="T199" s="27" t="n">
        <v>255</v>
      </c>
      <c r="U199" s="25" t="n">
        <v>2</v>
      </c>
      <c r="V199" s="27">
        <f>IF(S199="","",S199*U199)</f>
        <v/>
      </c>
      <c r="W199" s="26" t="inlineStr">
        <is>
          <t>Not in catalogue. Public national master → 2026-27 differentiated fee €3,950; exemption to ~€254-255 depends on university quota (25% cap in 2027-28).</t>
        </is>
      </c>
      <c r="X199" s="25" t="inlineStr">
        <is>
          <t>Medium</t>
        </is>
      </c>
      <c r="Y199" s="25" t="n"/>
      <c r="Z199" s="26" t="n"/>
      <c r="AA199" s="26" t="n"/>
      <c r="AB199" s="25" t="n"/>
      <c r="AC199" s="25" t="inlineStr">
        <is>
          <t>Open</t>
        </is>
      </c>
      <c r="AD199" s="25" t="inlineStr">
        <is>
          <t>2026-10-01</t>
        </is>
      </c>
      <c r="AE199" s="25" t="inlineStr">
        <is>
          <t>2027-03-15</t>
        </is>
      </c>
      <c r="AF199" s="25" t="inlineStr">
        <is>
          <t>No</t>
        </is>
      </c>
      <c r="AG199" s="25" t="n"/>
      <c r="AH199" s="26" t="inlineStr">
        <is>
          <t>Niveau de langues exigé : TCF niveau B2 Date limite de transmission des dossiers : date à determiner par l'ambassade. Date limite arrivée dans l'établissement : 30 Septembre 2027 (aucune dérogation ne sera accordée)</t>
        </is>
      </c>
      <c r="AI199" s="28" t="inlineStr">
        <is>
          <t>Open in EEF</t>
        </is>
      </c>
    </row>
    <row r="200" ht="22.35" customHeight="1" s="19">
      <c r="A200" s="25" t="n">
        <v>199</v>
      </c>
      <c r="B200" s="25" t="inlineStr">
        <is>
          <t>★★★★☆</t>
        </is>
      </c>
      <c r="C200" s="25" t="inlineStr">
        <is>
          <t>4 – Strong fit (electronics/signal/robotics/IoT/sensors)</t>
        </is>
      </c>
      <c r="D200" s="25" t="inlineStr">
        <is>
          <t>Embedded systems / Electronics</t>
        </is>
      </c>
      <c r="E200" s="26" t="inlineStr">
        <is>
          <t>Master Sciences, technologies, santé, mention Electronique, Energie électrique et Automatique</t>
        </is>
      </c>
      <c r="F200" s="26" t="inlineStr">
        <is>
          <t>Master Science, Technology, Health (STS), – major: Electronics, Electrical Energy &amp; Automation (EEA)</t>
        </is>
      </c>
      <c r="G200" s="25" t="inlineStr">
        <is>
          <t>Master indifférencié (recherche et professionnel)</t>
        </is>
      </c>
      <c r="H200" s="25" t="inlineStr">
        <is>
          <t>Institut d'électronique et d'informatique Gaspard Monge</t>
        </is>
      </c>
      <c r="I200" s="25" t="inlineStr">
        <is>
          <t>Université Gustave Eiffel</t>
        </is>
      </c>
      <c r="J200" s="25" t="inlineStr">
        <is>
          <t>Site de Champs-sur-Marne</t>
        </is>
      </c>
      <c r="K200" s="25" t="n"/>
      <c r="L200" s="25" t="inlineStr">
        <is>
          <t>Public school / institute</t>
        </is>
      </c>
      <c r="M200" s="25" t="inlineStr">
        <is>
          <t>French</t>
        </is>
      </c>
      <c r="N200" s="25" t="inlineStr">
        <is>
          <t>General</t>
        </is>
      </c>
      <c r="O200" s="25" t="inlineStr">
        <is>
          <t>Bac +4</t>
        </is>
      </c>
      <c r="P200" s="26" t="inlineStr">
        <is>
          <t>Eligible on level (4-yr BS ≈ Bac+4)</t>
        </is>
      </c>
      <c r="Q200" s="25" t="inlineStr">
        <is>
          <t>1</t>
        </is>
      </c>
      <c r="R200" s="25" t="n"/>
      <c r="S200" s="27" t="n">
        <v>3950</v>
      </c>
      <c r="T200" s="27" t="n">
        <v>255</v>
      </c>
      <c r="U200" s="25" t="n">
        <v>2</v>
      </c>
      <c r="V200" s="27">
        <f>IF(S200="","",S200*U200)</f>
        <v/>
      </c>
      <c r="W200" s="26" t="inlineStr">
        <is>
          <t>Not in catalogue. Public national master → 2026-27 differentiated fee €3,950; exemption to ~€254-255 depends on university quota (25% cap in 2027-28).</t>
        </is>
      </c>
      <c r="X200" s="25" t="inlineStr">
        <is>
          <t>Medium</t>
        </is>
      </c>
      <c r="Y200" s="25" t="n"/>
      <c r="Z200" s="26" t="n"/>
      <c r="AA200" s="26" t="n"/>
      <c r="AB200" s="25" t="n"/>
      <c r="AC200" s="25" t="inlineStr">
        <is>
          <t>Open</t>
        </is>
      </c>
      <c r="AD200" s="25" t="inlineStr">
        <is>
          <t>2026-10-01</t>
        </is>
      </c>
      <c r="AE200" s="25" t="inlineStr">
        <is>
          <t>2027-03-15</t>
        </is>
      </c>
      <c r="AF200" s="25" t="inlineStr">
        <is>
          <t>No</t>
        </is>
      </c>
      <c r="AG200" s="28" t="inlineStr">
        <is>
          <t>https://igm.univ-gustave-eiffel.fr/</t>
        </is>
      </c>
      <c r="AH200" s="26" t="inlineStr">
        <is>
          <t>Français C1 Anglais B2</t>
        </is>
      </c>
      <c r="AI200" s="28" t="inlineStr">
        <is>
          <t>Open in EEF</t>
        </is>
      </c>
    </row>
    <row r="201" ht="32.8" customHeight="1" s="19">
      <c r="A201" s="25" t="n">
        <v>200</v>
      </c>
      <c r="B201" s="25" t="inlineStr">
        <is>
          <t>★★★★☆</t>
        </is>
      </c>
      <c r="C201" s="25" t="inlineStr">
        <is>
          <t>4 – Strong fit (electronics/signal/robotics/IoT/sensors)</t>
        </is>
      </c>
      <c r="D201" s="25" t="inlineStr">
        <is>
          <t>Embedded systems / Electronics</t>
        </is>
      </c>
      <c r="E201" s="26" t="inlineStr">
        <is>
          <t>Master Sciences, technologies, santé, mention Electronique, Energie électrique et Automatique</t>
        </is>
      </c>
      <c r="F201" s="26" t="inlineStr">
        <is>
          <t>Master Science, Technology, Health (STS), – major: Electronics, Electrical Energy &amp; Automation (EEA)</t>
        </is>
      </c>
      <c r="G201" s="25" t="inlineStr">
        <is>
          <t>Master indifférencié (recherche et professionnel)</t>
        </is>
      </c>
      <c r="H201" s="25" t="inlineStr">
        <is>
          <t>Faculté des sciences et techniques</t>
        </is>
      </c>
      <c r="I201" s="25" t="inlineStr">
        <is>
          <t>Université de Haute Alsace Mulhouse</t>
        </is>
      </c>
      <c r="J201" s="25" t="inlineStr">
        <is>
          <t>Site de Mulhouse</t>
        </is>
      </c>
      <c r="K201" s="25" t="n"/>
      <c r="L201" s="25" t="inlineStr">
        <is>
          <t>Public university</t>
        </is>
      </c>
      <c r="M201" s="25" t="inlineStr">
        <is>
          <t>French</t>
        </is>
      </c>
      <c r="N201" s="25" t="inlineStr">
        <is>
          <t>General</t>
        </is>
      </c>
      <c r="O201" s="25" t="inlineStr">
        <is>
          <t>Bac +4</t>
        </is>
      </c>
      <c r="P201" s="26" t="inlineStr">
        <is>
          <t>Eligible on level (4-yr BS ≈ Bac+4)</t>
        </is>
      </c>
      <c r="Q201" s="25" t="inlineStr">
        <is>
          <t>1</t>
        </is>
      </c>
      <c r="R201" s="25" t="n"/>
      <c r="S201" s="27" t="n">
        <v>3950</v>
      </c>
      <c r="T201" s="27" t="n">
        <v>255</v>
      </c>
      <c r="U201" s="25" t="n">
        <v>2</v>
      </c>
      <c r="V201" s="27">
        <f>IF(S201="","",S201*U201)</f>
        <v/>
      </c>
      <c r="W201" s="26" t="inlineStr">
        <is>
          <t>Not in catalogue. Public national master → 2026-27 differentiated fee €3,950; exemption to ~€254-255 depends on university quota (25% cap in 2027-28).</t>
        </is>
      </c>
      <c r="X201" s="25" t="inlineStr">
        <is>
          <t>Medium</t>
        </is>
      </c>
      <c r="Y201" s="25" t="n"/>
      <c r="Z201" s="26" t="n"/>
      <c r="AA201" s="26" t="n"/>
      <c r="AB201" s="25" t="n"/>
      <c r="AC201" s="25" t="inlineStr">
        <is>
          <t>Open</t>
        </is>
      </c>
      <c r="AD201" s="25" t="inlineStr">
        <is>
          <t>2026-10-01</t>
        </is>
      </c>
      <c r="AE201" s="25" t="inlineStr">
        <is>
          <t>2027-03-15</t>
        </is>
      </c>
      <c r="AF201" s="25" t="inlineStr">
        <is>
          <t>No</t>
        </is>
      </c>
      <c r="AG201" s="28" t="inlineStr">
        <is>
          <t>http://www.fst.uha.fr</t>
        </is>
      </c>
      <c r="AH201" s="26" t="inlineStr">
        <is>
          <t>* TCF Niveau B2 minimum * BAC + 4 en cours ou déjà validé * Un échange par visio/téléphone peut être proposé au candidat NB : des dossiers vérifiant toutes les conditions prérequises pourront, le cas échéant, être refusé</t>
        </is>
      </c>
      <c r="AI201" s="28" t="inlineStr">
        <is>
          <t>Open in EEF</t>
        </is>
      </c>
    </row>
    <row r="202" ht="32.8" customHeight="1" s="19">
      <c r="A202" s="25" t="n">
        <v>201</v>
      </c>
      <c r="B202" s="25" t="inlineStr">
        <is>
          <t>★★★★☆</t>
        </is>
      </c>
      <c r="C202" s="25" t="inlineStr">
        <is>
          <t>4 – Strong fit (electronics/signal/robotics/IoT/sensors)</t>
        </is>
      </c>
      <c r="D202" s="25" t="inlineStr">
        <is>
          <t>Robotics / Automation / Mechatronics</t>
        </is>
      </c>
      <c r="E202" s="26" t="inlineStr">
        <is>
          <t>Master Sciences, technologies, santé mention informatique parcours Réseau et systèmes autonomes (RSA)</t>
        </is>
      </c>
      <c r="F202" s="26" t="inlineStr">
        <is>
          <t>Master Science, Technology, Health (STS) – major: Computer Science – track: Réseau &amp; Systems Autonomous (RSA)</t>
        </is>
      </c>
      <c r="G202" s="25" t="inlineStr">
        <is>
          <t>Master indifférencié (recherche et professionnel)</t>
        </is>
      </c>
      <c r="H202" s="25" t="inlineStr">
        <is>
          <t>UFR Mathématiques et informatique</t>
        </is>
      </c>
      <c r="I202" s="25" t="inlineStr">
        <is>
          <t>Université Paris Cité</t>
        </is>
      </c>
      <c r="J202" s="25" t="inlineStr">
        <is>
          <t>Site de Paris</t>
        </is>
      </c>
      <c r="K202" s="25" t="inlineStr">
        <is>
          <t>75006 Paris</t>
        </is>
      </c>
      <c r="L202" s="25" t="inlineStr">
        <is>
          <t>Public university</t>
        </is>
      </c>
      <c r="M202" s="25" t="inlineStr">
        <is>
          <t>French</t>
        </is>
      </c>
      <c r="N202" s="25" t="inlineStr">
        <is>
          <t>General</t>
        </is>
      </c>
      <c r="O202" s="25" t="inlineStr">
        <is>
          <t>Bac +4</t>
        </is>
      </c>
      <c r="P202" s="26" t="inlineStr">
        <is>
          <t>Eligible on level (4-yr BS ≈ Bac+4)</t>
        </is>
      </c>
      <c r="Q202" s="25" t="inlineStr">
        <is>
          <t>1</t>
        </is>
      </c>
      <c r="R202" s="25" t="n"/>
      <c r="S202" s="27" t="n">
        <v>3950</v>
      </c>
      <c r="T202" s="27" t="n">
        <v>255</v>
      </c>
      <c r="U202" s="25" t="n">
        <v>2</v>
      </c>
      <c r="V202" s="27">
        <f>IF(S202="","",S202*U202)</f>
        <v/>
      </c>
      <c r="W202" s="26" t="inlineStr">
        <is>
          <t>Not in catalogue. Public national master → 2026-27 differentiated fee €3,950; exemption to ~€254-255 depends on university quota (25% cap in 2027-28).</t>
        </is>
      </c>
      <c r="X202" s="25" t="inlineStr">
        <is>
          <t>Medium</t>
        </is>
      </c>
      <c r="Y202" s="25" t="n"/>
      <c r="Z202" s="26" t="n"/>
      <c r="AA202" s="26" t="inlineStr">
        <is>
          <t>Paris Cité historically exempted non-EU master students (paid EU rate). 2026-27/2027-28 policy not yet published – confirm.</t>
        </is>
      </c>
      <c r="AB202" s="28" t="inlineStr">
        <is>
          <t>https://u-paris.fr/droits-dinscription-tarifs-exonerations/</t>
        </is>
      </c>
      <c r="AC202" s="25" t="inlineStr">
        <is>
          <t>Open</t>
        </is>
      </c>
      <c r="AD202" s="25" t="inlineStr">
        <is>
          <t>2026-10-01</t>
        </is>
      </c>
      <c r="AE202" s="25" t="inlineStr">
        <is>
          <t>2027-03-15</t>
        </is>
      </c>
      <c r="AF202" s="25" t="inlineStr">
        <is>
          <t>No</t>
        </is>
      </c>
      <c r="AG202" s="28" t="inlineStr">
        <is>
          <t>https://math-info.u-paris.fr/</t>
        </is>
      </c>
      <c r="AH202" s="26" t="inlineStr">
        <is>
          <t>Minimum Niveau C1 de la langue française. https://math-info.u-paris.fr/master-informatique/ Droits d’inscriptions différenciés 2027-2028, pour plus d’informations : https://u-pariscite.fr/droits-dinscription-tarifs-exone</t>
        </is>
      </c>
      <c r="AI202" s="28" t="inlineStr">
        <is>
          <t>Open in EEF</t>
        </is>
      </c>
    </row>
    <row r="203" ht="22.35" customHeight="1" s="19">
      <c r="A203" s="25" t="n">
        <v>202</v>
      </c>
      <c r="B203" s="25" t="inlineStr">
        <is>
          <t>★★★★☆</t>
        </is>
      </c>
      <c r="C203" s="25" t="inlineStr">
        <is>
          <t>4 – Strong fit (electronics/signal/robotics/IoT/sensors)</t>
        </is>
      </c>
      <c r="D203" s="25" t="inlineStr">
        <is>
          <t>Neuroscience / Neuro-engineering</t>
        </is>
      </c>
      <c r="E203" s="26" t="inlineStr">
        <is>
          <t>Master Sciences, technologies, santé, mention Neurosciences</t>
        </is>
      </c>
      <c r="F203" s="26" t="inlineStr">
        <is>
          <t>Master Science, Technology, Health (STS), – major: Neuroscience</t>
        </is>
      </c>
      <c r="G203" s="25" t="inlineStr">
        <is>
          <t>Master indifférencié (recherche et professionnel)</t>
        </is>
      </c>
      <c r="H203" s="25" t="inlineStr">
        <is>
          <t>Sciences et Ingénierie</t>
        </is>
      </c>
      <c r="I203" s="25" t="inlineStr">
        <is>
          <t>Sorbonne Université</t>
        </is>
      </c>
      <c r="J203" s="25" t="inlineStr">
        <is>
          <t>Site de Paris</t>
        </is>
      </c>
      <c r="K203" s="25" t="n"/>
      <c r="L203" s="25" t="inlineStr">
        <is>
          <t>Public university</t>
        </is>
      </c>
      <c r="M203" s="25" t="inlineStr">
        <is>
          <t>French</t>
        </is>
      </c>
      <c r="N203" s="25" t="inlineStr">
        <is>
          <t>General</t>
        </is>
      </c>
      <c r="O203" s="25" t="inlineStr">
        <is>
          <t>Bac +4</t>
        </is>
      </c>
      <c r="P203" s="26" t="inlineStr">
        <is>
          <t>Eligible on level (4-yr BS ≈ Bac+4)</t>
        </is>
      </c>
      <c r="Q203" s="25" t="inlineStr">
        <is>
          <t>1</t>
        </is>
      </c>
      <c r="R203" s="25" t="n"/>
      <c r="S203" s="27" t="n">
        <v>3950</v>
      </c>
      <c r="T203" s="27" t="n">
        <v>255</v>
      </c>
      <c r="U203" s="25" t="n">
        <v>2</v>
      </c>
      <c r="V203" s="27">
        <f>IF(S203="","",S203*U203)</f>
        <v/>
      </c>
      <c r="W203" s="26" t="inlineStr">
        <is>
          <t>Not in catalogue. Public national master → 2026-27 differentiated fee €3,950; exemption to ~€254-255 depends on university quota (25% cap in 2027-28).</t>
        </is>
      </c>
      <c r="X203" s="25" t="inlineStr">
        <is>
          <t>Medium</t>
        </is>
      </c>
      <c r="Y203" s="25" t="n"/>
      <c r="Z203" s="26" t="n"/>
      <c r="AA203" s="26" t="inlineStr">
        <is>
          <t>Board vote 7 Jul 2026: Sorbonne Université says it can exempt all eligible non-EU applicants (pay same as EU, ~€254) for 2026-27.</t>
        </is>
      </c>
      <c r="AB203" s="28" t="inlineStr">
        <is>
          <t>https://www.sorbonne-universite.fr/actualites/le-conseil-dadministration-de-sorbonne-universite-vote-lunanimite-le-7-juillet-2026-sa</t>
        </is>
      </c>
      <c r="AC203" s="25" t="inlineStr">
        <is>
          <t>Open</t>
        </is>
      </c>
      <c r="AD203" s="25" t="inlineStr">
        <is>
          <t>2026-10-01</t>
        </is>
      </c>
      <c r="AE203" s="25" t="inlineStr">
        <is>
          <t>2027-03-15</t>
        </is>
      </c>
      <c r="AF203" s="25" t="inlineStr">
        <is>
          <t>No</t>
        </is>
      </c>
      <c r="AG203" s="28" t="inlineStr">
        <is>
          <t>https://sciences.sorbonne-universite.fr/formation-sciences/offre-de-formation/masters/master-neurosciences</t>
        </is>
      </c>
      <c r="AH203" s="26" t="n"/>
      <c r="AI203" s="28" t="inlineStr">
        <is>
          <t>Open in EEF</t>
        </is>
      </c>
    </row>
    <row r="204" ht="22.35" customHeight="1" s="19">
      <c r="A204" s="25" t="n">
        <v>203</v>
      </c>
      <c r="B204" s="25" t="inlineStr">
        <is>
          <t>★★★★☆</t>
        </is>
      </c>
      <c r="C204" s="25" t="inlineStr">
        <is>
          <t>4 – Strong fit (electronics/signal/robotics/IoT/sensors)</t>
        </is>
      </c>
      <c r="D204" s="25" t="inlineStr">
        <is>
          <t>Neuroscience / Neuro-engineering</t>
        </is>
      </c>
      <c r="E204" s="26" t="inlineStr">
        <is>
          <t>Master Sciences, technologies, santé, mention Neurosciences cellulaires et intégrées</t>
        </is>
      </c>
      <c r="F204" s="26" t="inlineStr">
        <is>
          <t>Master Science, Technology, Health (STS), – major: Neuroscience Cellular &amp; Integrated</t>
        </is>
      </c>
      <c r="G204" s="25" t="inlineStr">
        <is>
          <t>Master indifférencié (recherche et professionnel)</t>
        </is>
      </c>
      <c r="H204" s="25" t="inlineStr">
        <is>
          <t>Sciences</t>
        </is>
      </c>
      <c r="I204" s="25" t="inlineStr">
        <is>
          <t>Université Côte d'Azur</t>
        </is>
      </c>
      <c r="J204" s="25" t="inlineStr">
        <is>
          <t>Site de Nice</t>
        </is>
      </c>
      <c r="K204" s="25" t="n"/>
      <c r="L204" s="25" t="inlineStr">
        <is>
          <t>Public university</t>
        </is>
      </c>
      <c r="M204" s="25" t="inlineStr">
        <is>
          <t>French</t>
        </is>
      </c>
      <c r="N204" s="25" t="inlineStr">
        <is>
          <t>General</t>
        </is>
      </c>
      <c r="O204" s="25" t="inlineStr">
        <is>
          <t>Bac +4 / Bac +5</t>
        </is>
      </c>
      <c r="P204" s="26" t="inlineStr">
        <is>
          <t>Eligible on level (4-yr BS ≈ Bac+4)</t>
        </is>
      </c>
      <c r="Q204" s="25" t="inlineStr">
        <is>
          <t>1/2</t>
        </is>
      </c>
      <c r="R204" s="25" t="n"/>
      <c r="S204" s="27" t="n">
        <v>3950</v>
      </c>
      <c r="T204" s="27" t="n">
        <v>255</v>
      </c>
      <c r="U204" s="25" t="n">
        <v>2</v>
      </c>
      <c r="V204" s="27">
        <f>IF(S204="","",S204*U204)</f>
        <v/>
      </c>
      <c r="W204" s="26" t="inlineStr">
        <is>
          <t>Not in catalogue. Public national master → 2026-27 differentiated fee €3,950; exemption to ~€254-255 depends on university quota (25% cap in 2027-28).</t>
        </is>
      </c>
      <c r="X204" s="25" t="inlineStr">
        <is>
          <t>Medium</t>
        </is>
      </c>
      <c r="Y204" s="25" t="n"/>
      <c r="Z204" s="26" t="n"/>
      <c r="AA204" s="26" t="n"/>
      <c r="AB204" s="25" t="n"/>
      <c r="AC204" s="25" t="inlineStr">
        <is>
          <t>Open</t>
        </is>
      </c>
      <c r="AD204" s="25" t="inlineStr">
        <is>
          <t>2026-10-01</t>
        </is>
      </c>
      <c r="AE204" s="25" t="inlineStr">
        <is>
          <t>2027-03-15</t>
        </is>
      </c>
      <c r="AF204" s="25" t="inlineStr">
        <is>
          <t>No</t>
        </is>
      </c>
      <c r="AG204" s="25" t="n"/>
      <c r="AH204" s="26" t="n"/>
      <c r="AI204" s="28" t="inlineStr">
        <is>
          <t>Open in EEF</t>
        </is>
      </c>
    </row>
    <row r="205" ht="22.35" customHeight="1" s="19">
      <c r="A205" s="25" t="n">
        <v>204</v>
      </c>
      <c r="B205" s="25" t="inlineStr">
        <is>
          <t>★★★★☆</t>
        </is>
      </c>
      <c r="C205" s="25" t="inlineStr">
        <is>
          <t>4 – Strong fit (electronics/signal/robotics/IoT/sensors)</t>
        </is>
      </c>
      <c r="D205" s="25" t="inlineStr">
        <is>
          <t>Neuroscience / Neuro-engineering</t>
        </is>
      </c>
      <c r="E205" s="26" t="inlineStr">
        <is>
          <t>Master Sciences, technologies, santé, mention Neurosciences parcours EMN Online</t>
        </is>
      </c>
      <c r="F205" s="26" t="inlineStr">
        <is>
          <t>Master Science, Technology, Health (STS), – major: Neuroscience – track: EMN Online</t>
        </is>
      </c>
      <c r="G205" s="25" t="inlineStr">
        <is>
          <t>Master indifférencié (recherche et professionnel)</t>
        </is>
      </c>
      <c r="H205" s="25" t="inlineStr">
        <is>
          <t>Sciences</t>
        </is>
      </c>
      <c r="I205" s="25" t="inlineStr">
        <is>
          <t>Université Côte d'Azur</t>
        </is>
      </c>
      <c r="J205" s="25" t="inlineStr">
        <is>
          <t>Site de Nice</t>
        </is>
      </c>
      <c r="K205" s="25" t="n"/>
      <c r="L205" s="25" t="inlineStr">
        <is>
          <t>Public university</t>
        </is>
      </c>
      <c r="M205" s="25" t="inlineStr">
        <is>
          <t>French</t>
        </is>
      </c>
      <c r="N205" s="25" t="inlineStr">
        <is>
          <t>General</t>
        </is>
      </c>
      <c r="O205" s="25" t="inlineStr">
        <is>
          <t>Bac +4 / Bac +5</t>
        </is>
      </c>
      <c r="P205" s="26" t="inlineStr">
        <is>
          <t>Eligible on level (4-yr BS ≈ Bac+4)</t>
        </is>
      </c>
      <c r="Q205" s="25" t="inlineStr">
        <is>
          <t>1/2</t>
        </is>
      </c>
      <c r="R205" s="25" t="n"/>
      <c r="S205" s="27" t="n">
        <v>3950</v>
      </c>
      <c r="T205" s="27" t="n">
        <v>255</v>
      </c>
      <c r="U205" s="25" t="n">
        <v>2</v>
      </c>
      <c r="V205" s="27">
        <f>IF(S205="","",S205*U205)</f>
        <v/>
      </c>
      <c r="W205" s="26" t="inlineStr">
        <is>
          <t>Not in catalogue. Public national master → 2026-27 differentiated fee €3,950; exemption to ~€254-255 depends on university quota (25% cap in 2027-28).</t>
        </is>
      </c>
      <c r="X205" s="25" t="inlineStr">
        <is>
          <t>Medium</t>
        </is>
      </c>
      <c r="Y205" s="25" t="n"/>
      <c r="Z205" s="26" t="n"/>
      <c r="AA205" s="26" t="n"/>
      <c r="AB205" s="25" t="n"/>
      <c r="AC205" s="25" t="inlineStr">
        <is>
          <t>Open</t>
        </is>
      </c>
      <c r="AD205" s="25" t="inlineStr">
        <is>
          <t>2026-10-01</t>
        </is>
      </c>
      <c r="AE205" s="25" t="inlineStr">
        <is>
          <t>2027-03-15</t>
        </is>
      </c>
      <c r="AF205" s="25" t="inlineStr">
        <is>
          <t>No</t>
        </is>
      </c>
      <c r="AG205" s="25" t="n"/>
      <c r="AH205" s="26" t="n"/>
      <c r="AI205" s="28" t="inlineStr">
        <is>
          <t>Open in EEF</t>
        </is>
      </c>
    </row>
    <row r="206" ht="32.8" customHeight="1" s="19">
      <c r="A206" s="25" t="n">
        <v>205</v>
      </c>
      <c r="B206" s="25" t="inlineStr">
        <is>
          <t>★★★★☆</t>
        </is>
      </c>
      <c r="C206" s="25" t="inlineStr">
        <is>
          <t>4 – Strong fit (electronics/signal/robotics/IoT/sensors)</t>
        </is>
      </c>
      <c r="D206" s="25" t="inlineStr">
        <is>
          <t>Sensors / Instrumentation / Micro-Nano / Photonics</t>
        </is>
      </c>
      <c r="E206" s="26" t="inlineStr">
        <is>
          <t>Master Sciences, technologies, santé, mention Physique fondamentale et applications parcours Optique, photonique, instrumentation, quantique (OPTIQ)</t>
        </is>
      </c>
      <c r="F206" s="26" t="inlineStr">
        <is>
          <t>Master Science, Technology, Health (STS), – major: Physics Fundamental &amp; Applications – track: Optics, Photonics, Instrumentation, quantique (OPTIQ)</t>
        </is>
      </c>
      <c r="G206" s="25" t="inlineStr">
        <is>
          <t>Master indifférencié (recherche et professionnel)</t>
        </is>
      </c>
      <c r="H206" s="25" t="inlineStr">
        <is>
          <t>Sciences</t>
        </is>
      </c>
      <c r="I206" s="25" t="inlineStr">
        <is>
          <t>Université Côte d'Azur</t>
        </is>
      </c>
      <c r="J206" s="25" t="inlineStr">
        <is>
          <t>Site de Nice</t>
        </is>
      </c>
      <c r="K206" s="25" t="n"/>
      <c r="L206" s="25" t="inlineStr">
        <is>
          <t>Public university</t>
        </is>
      </c>
      <c r="M206" s="25" t="inlineStr">
        <is>
          <t>French</t>
        </is>
      </c>
      <c r="N206" s="25" t="inlineStr">
        <is>
          <t>General</t>
        </is>
      </c>
      <c r="O206" s="25" t="inlineStr">
        <is>
          <t>Bac +4 / Bac +5</t>
        </is>
      </c>
      <c r="P206" s="26" t="inlineStr">
        <is>
          <t>Eligible on level (4-yr BS ≈ Bac+4)</t>
        </is>
      </c>
      <c r="Q206" s="25" t="inlineStr">
        <is>
          <t>1/2</t>
        </is>
      </c>
      <c r="R206" s="25" t="n"/>
      <c r="S206" s="27" t="n">
        <v>3950</v>
      </c>
      <c r="T206" s="27" t="n">
        <v>255</v>
      </c>
      <c r="U206" s="25" t="n">
        <v>2</v>
      </c>
      <c r="V206" s="27">
        <f>IF(S206="","",S206*U206)</f>
        <v/>
      </c>
      <c r="W206" s="26" t="inlineStr">
        <is>
          <t>Not in catalogue. Public national master → 2026-27 differentiated fee €3,950; exemption to ~€254-255 depends on university quota (25% cap in 2027-28).</t>
        </is>
      </c>
      <c r="X206" s="25" t="inlineStr">
        <is>
          <t>Medium</t>
        </is>
      </c>
      <c r="Y206" s="25" t="n"/>
      <c r="Z206" s="26" t="inlineStr">
        <is>
          <t>en Licence: 2 895€ / en Master: 3 941€ (à titre indicatif) Voici un lien utile : https:/ … en Licence: 2 895€ / en Master: 3 941€ (à titre indicatif) Voici un lien utile : https:/</t>
        </is>
      </c>
      <c r="AA206" s="26" t="n"/>
      <c r="AB206" s="25" t="n"/>
      <c r="AC206" s="25" t="inlineStr">
        <is>
          <t>Open</t>
        </is>
      </c>
      <c r="AD206" s="25" t="inlineStr">
        <is>
          <t>2026-10-01</t>
        </is>
      </c>
      <c r="AE206" s="25" t="inlineStr">
        <is>
          <t>2027-03-15</t>
        </is>
      </c>
      <c r="AF206" s="25" t="inlineStr">
        <is>
          <t>No</t>
        </is>
      </c>
      <c r="AG206" s="28" t="inlineStr">
        <is>
          <t>https://univ-cotedazur.fr/formation/offre-de-formation/master-physique-fondamentale-et-applications</t>
        </is>
      </c>
      <c r="AH206" s="26" t="inlineStr">
        <is>
          <t>Le Master OPTIQ s’adresse aux étudiantes et étudiants ayant obtenu une Licence de physique ou équivalent (1ère année d’école d’ingénieur).</t>
        </is>
      </c>
      <c r="AI206" s="28" t="inlineStr">
        <is>
          <t>Open in EEF</t>
        </is>
      </c>
    </row>
    <row r="207" ht="32.8" customHeight="1" s="19">
      <c r="A207" s="25" t="n">
        <v>206</v>
      </c>
      <c r="B207" s="25" t="inlineStr">
        <is>
          <t>★★★★☆</t>
        </is>
      </c>
      <c r="C207" s="25" t="inlineStr">
        <is>
          <t>4 – Strong fit (electronics/signal/robotics/IoT/sensors)</t>
        </is>
      </c>
      <c r="D207" s="25" t="inlineStr">
        <is>
          <t>Embedded systems / Electronics</t>
        </is>
      </c>
      <c r="E207" s="26" t="inlineStr">
        <is>
          <t>diplôme d'ingénieur de l'Ecole polytechnique universitaire Pierre et Marie Curie de l'université Paris VI spécialité électronique et informatique</t>
        </is>
      </c>
      <c r="F207" s="26" t="inlineStr">
        <is>
          <t>Engineering diploma of the University Polytechnic School Pierre &amp; Marie Curie of University Paris VI – specialisation: Electronics &amp; Computer Science</t>
        </is>
      </c>
      <c r="G207" s="25" t="inlineStr">
        <is>
          <t>Diplôme d'ingénieur</t>
        </is>
      </c>
      <c r="H207" s="25" t="inlineStr">
        <is>
          <t>Polytech Sorbonne</t>
        </is>
      </c>
      <c r="I207" s="25" t="inlineStr">
        <is>
          <t>Groupement Polytech</t>
        </is>
      </c>
      <c r="J207" s="25" t="inlineStr">
        <is>
          <t>Site de Paris</t>
        </is>
      </c>
      <c r="K207" s="25" t="n"/>
      <c r="L207" s="25" t="inlineStr">
        <is>
          <t>Public school / institute</t>
        </is>
      </c>
      <c r="M207" s="25" t="inlineStr">
        <is>
          <t>French</t>
        </is>
      </c>
      <c r="N207" s="25" t="inlineStr">
        <is>
          <t>General</t>
        </is>
      </c>
      <c r="O207" s="25" t="inlineStr">
        <is>
          <t>Bac +3 / Bac +4</t>
        </is>
      </c>
      <c r="P207" s="26" t="inlineStr">
        <is>
          <t>Eligible on level (4-yr BS ≈ Bac+4)</t>
        </is>
      </c>
      <c r="Q207" s="25" t="inlineStr">
        <is>
          <t>3/4</t>
        </is>
      </c>
      <c r="R207" s="25" t="inlineStr">
        <is>
          <t>12</t>
        </is>
      </c>
      <c r="S207" s="27" t="n">
        <v>610</v>
      </c>
      <c r="T207" s="27" t="n"/>
      <c r="U207" s="25" t="n">
        <v>2</v>
      </c>
      <c r="V207" s="27">
        <f>IF(S207="","",S207*U207)</f>
        <v/>
      </c>
      <c r="W207" s="26" t="inlineStr">
        <is>
          <t>Catalogue lists €610 (EU/national rate). Confirm whether non-EU surcharge applies.</t>
        </is>
      </c>
      <c r="X207" s="25" t="inlineStr">
        <is>
          <t>Medium</t>
        </is>
      </c>
      <c r="Y207" s="25" t="inlineStr">
        <is>
          <t>610</t>
        </is>
      </c>
      <c r="Z207" s="26" t="n"/>
      <c r="AA207" s="26" t="n"/>
      <c r="AB207" s="25" t="n"/>
      <c r="AC207" s="25" t="inlineStr">
        <is>
          <t>Open</t>
        </is>
      </c>
      <c r="AD207" s="25" t="inlineStr">
        <is>
          <t>2026-10-01</t>
        </is>
      </c>
      <c r="AE207" s="25" t="inlineStr">
        <is>
          <t>2027-03-15</t>
        </is>
      </c>
      <c r="AF207" s="25" t="inlineStr">
        <is>
          <t>Yes</t>
        </is>
      </c>
      <c r="AG207" s="28" t="inlineStr">
        <is>
          <t>http://www.polytech.upmc.fr</t>
        </is>
      </c>
      <c r="AH207" s="26" t="n"/>
      <c r="AI207" s="28" t="inlineStr">
        <is>
          <t>Open in EEF</t>
        </is>
      </c>
    </row>
    <row r="208" ht="22.35" customHeight="1" s="19">
      <c r="A208" s="25" t="n">
        <v>207</v>
      </c>
      <c r="B208" s="25" t="inlineStr">
        <is>
          <t>★★★★☆</t>
        </is>
      </c>
      <c r="C208" s="25" t="inlineStr">
        <is>
          <t>4 – Strong fit (electronics/signal/robotics/IoT/sensors)</t>
        </is>
      </c>
      <c r="D208" s="25" t="inlineStr">
        <is>
          <t>Robotics / Automation / Mechatronics</t>
        </is>
      </c>
      <c r="E208" s="26" t="inlineStr">
        <is>
          <t>diplôme d'ingénieur de l'Ecole polytechnique universitaire Pierre et Marie Curie de l'université Paris VI spécialité robotique</t>
        </is>
      </c>
      <c r="F208" s="26" t="inlineStr">
        <is>
          <t>Engineering diploma of the University Polytechnic School Pierre &amp; Marie Curie of University Paris VI – specialisation: Robotics</t>
        </is>
      </c>
      <c r="G208" s="25" t="inlineStr">
        <is>
          <t>Diplôme d'ingénieur</t>
        </is>
      </c>
      <c r="H208" s="25" t="inlineStr">
        <is>
          <t>Polytech Sorbonne</t>
        </is>
      </c>
      <c r="I208" s="25" t="inlineStr">
        <is>
          <t>Groupement Polytech</t>
        </is>
      </c>
      <c r="J208" s="25" t="inlineStr">
        <is>
          <t>Site de Paris</t>
        </is>
      </c>
      <c r="K208" s="25" t="n"/>
      <c r="L208" s="25" t="inlineStr">
        <is>
          <t>Public school / institute</t>
        </is>
      </c>
      <c r="M208" s="25" t="inlineStr">
        <is>
          <t>French</t>
        </is>
      </c>
      <c r="N208" s="25" t="inlineStr">
        <is>
          <t>General</t>
        </is>
      </c>
      <c r="O208" s="25" t="inlineStr">
        <is>
          <t>Bac +3 / Bac +4</t>
        </is>
      </c>
      <c r="P208" s="26" t="inlineStr">
        <is>
          <t>Eligible on level (4-yr BS ≈ Bac+4)</t>
        </is>
      </c>
      <c r="Q208" s="25" t="inlineStr">
        <is>
          <t>3/4</t>
        </is>
      </c>
      <c r="R208" s="25" t="inlineStr">
        <is>
          <t>12</t>
        </is>
      </c>
      <c r="S208" s="27" t="n">
        <v>610</v>
      </c>
      <c r="T208" s="27" t="n"/>
      <c r="U208" s="25" t="n">
        <v>2</v>
      </c>
      <c r="V208" s="27">
        <f>IF(S208="","",S208*U208)</f>
        <v/>
      </c>
      <c r="W208" s="26" t="inlineStr">
        <is>
          <t>Catalogue lists €610 (EU/national rate). Confirm whether non-EU surcharge applies.</t>
        </is>
      </c>
      <c r="X208" s="25" t="inlineStr">
        <is>
          <t>Medium</t>
        </is>
      </c>
      <c r="Y208" s="25" t="inlineStr">
        <is>
          <t>610</t>
        </is>
      </c>
      <c r="Z208" s="26" t="n"/>
      <c r="AA208" s="26" t="n"/>
      <c r="AB208" s="25" t="n"/>
      <c r="AC208" s="25" t="inlineStr">
        <is>
          <t>Open</t>
        </is>
      </c>
      <c r="AD208" s="25" t="inlineStr">
        <is>
          <t>2026-10-01</t>
        </is>
      </c>
      <c r="AE208" s="25" t="inlineStr">
        <is>
          <t>2027-03-15</t>
        </is>
      </c>
      <c r="AF208" s="25" t="inlineStr">
        <is>
          <t>Yes</t>
        </is>
      </c>
      <c r="AG208" s="28" t="inlineStr">
        <is>
          <t>http://www.polytech.upmc.fr</t>
        </is>
      </c>
      <c r="AH208" s="26" t="n"/>
      <c r="AI208" s="28" t="inlineStr">
        <is>
          <t>Open in EEF</t>
        </is>
      </c>
    </row>
    <row r="209" ht="22.35" customHeight="1" s="19">
      <c r="A209" s="25" t="n">
        <v>208</v>
      </c>
      <c r="B209" s="25" t="inlineStr">
        <is>
          <t>★★★★☆</t>
        </is>
      </c>
      <c r="C209" s="25" t="inlineStr">
        <is>
          <t>4 – Strong fit (electronics/signal/robotics/IoT/sensors)</t>
        </is>
      </c>
      <c r="D209" s="25" t="inlineStr">
        <is>
          <t>Electrical energy</t>
        </is>
      </c>
      <c r="E209" s="26" t="inlineStr">
        <is>
          <t>Diplôme d'ingénieur de l'Ecole d'ingénieurs de l'Artois parcours Génie Électrique</t>
        </is>
      </c>
      <c r="F209" s="26" t="inlineStr">
        <is>
          <t>Engineering diploma of School of Engineers of l'Artois – track: Electrical Engineering</t>
        </is>
      </c>
      <c r="G209" s="25" t="inlineStr">
        <is>
          <t>Diplôme d'ingénieur</t>
        </is>
      </c>
      <c r="H209" s="25" t="inlineStr">
        <is>
          <t>Ecole d'ingénieurs de l'Artois (EIA)</t>
        </is>
      </c>
      <c r="I209" s="25" t="inlineStr">
        <is>
          <t>Université d'Artois</t>
        </is>
      </c>
      <c r="J209" s="25" t="inlineStr">
        <is>
          <t>Site de Béthune</t>
        </is>
      </c>
      <c r="K209" s="25" t="n"/>
      <c r="L209" s="25" t="inlineStr">
        <is>
          <t>Public school / institute</t>
        </is>
      </c>
      <c r="M209" s="25" t="inlineStr">
        <is>
          <t>French</t>
        </is>
      </c>
      <c r="N209" s="25" t="inlineStr">
        <is>
          <t>General</t>
        </is>
      </c>
      <c r="O209" s="25" t="inlineStr">
        <is>
          <t>Bac +3</t>
        </is>
      </c>
      <c r="P209" s="26" t="inlineStr">
        <is>
          <t>Eligible on level (4-yr BS ≈ Bac+4)</t>
        </is>
      </c>
      <c r="Q209" s="25" t="inlineStr">
        <is>
          <t>1</t>
        </is>
      </c>
      <c r="R209" s="25" t="inlineStr">
        <is>
          <t>36</t>
        </is>
      </c>
      <c r="S209" s="27" t="n">
        <v>618</v>
      </c>
      <c r="T209" s="27" t="n"/>
      <c r="U209" s="25" t="n">
        <v>2</v>
      </c>
      <c r="V209" s="27">
        <f>IF(S209="","",S209*U209)</f>
        <v/>
      </c>
      <c r="W209" s="26" t="inlineStr">
        <is>
          <t>Catalogue lists €618 (EU/national rate). Confirm whether non-EU surcharge applies.</t>
        </is>
      </c>
      <c r="X209" s="25" t="inlineStr">
        <is>
          <t>Medium</t>
        </is>
      </c>
      <c r="Y209" s="25" t="inlineStr">
        <is>
          <t>618</t>
        </is>
      </c>
      <c r="Z209" s="26" t="n"/>
      <c r="AA209" s="26" t="n"/>
      <c r="AB209" s="25" t="n"/>
      <c r="AC209" s="25" t="inlineStr">
        <is>
          <t>Open</t>
        </is>
      </c>
      <c r="AD209" s="25" t="inlineStr">
        <is>
          <t>2026-10-01</t>
        </is>
      </c>
      <c r="AE209" s="25" t="inlineStr">
        <is>
          <t>2027-03-15</t>
        </is>
      </c>
      <c r="AF209" s="25" t="inlineStr">
        <is>
          <t>No</t>
        </is>
      </c>
      <c r="AG209" s="28" t="inlineStr">
        <is>
          <t>http://www.eia.univ-artois.fr</t>
        </is>
      </c>
      <c r="AH209" s="26" t="inlineStr">
        <is>
          <t>Le candidat doit être titulaire d'un diplôme BAC + 2 scientifique. De plus, il doit justifier de : - niveau C1 en Français - niveau B2 en anglais</t>
        </is>
      </c>
      <c r="AI209" s="28" t="inlineStr">
        <is>
          <t>Open in EEF</t>
        </is>
      </c>
    </row>
    <row r="210" ht="22.35" customHeight="1" s="19">
      <c r="A210" s="25" t="n">
        <v>209</v>
      </c>
      <c r="B210" s="25" t="inlineStr">
        <is>
          <t>★★★★☆</t>
        </is>
      </c>
      <c r="C210" s="25" t="inlineStr">
        <is>
          <t>4 – Strong fit (electronics/signal/robotics/IoT/sensors)</t>
        </is>
      </c>
      <c r="D210" s="25" t="inlineStr">
        <is>
          <t>IoT / Telecom / Networks</t>
        </is>
      </c>
      <c r="E210" s="26" t="inlineStr">
        <is>
          <t>diplôme d'ingénieur de l'Université Sorbonne Paris Nord spécialité télécommunications et réseaux</t>
        </is>
      </c>
      <c r="F210" s="26" t="inlineStr">
        <is>
          <t>Engineering diploma of University Sorbonne Paris Nord – specialisation: Telecommunications &amp; Networks</t>
        </is>
      </c>
      <c r="G210" s="25" t="inlineStr">
        <is>
          <t>Diplôme d'ingénieur</t>
        </is>
      </c>
      <c r="H210" s="25" t="inlineStr">
        <is>
          <t>Institut Galilée</t>
        </is>
      </c>
      <c r="I210" s="25" t="inlineStr">
        <is>
          <t>Université Sorbonne Paris Nord</t>
        </is>
      </c>
      <c r="J210" s="25" t="inlineStr">
        <is>
          <t>Site de Villetaneuse</t>
        </is>
      </c>
      <c r="K210" s="25" t="n"/>
      <c r="L210" s="25" t="inlineStr">
        <is>
          <t>Public school / institute</t>
        </is>
      </c>
      <c r="M210" s="25" t="inlineStr">
        <is>
          <t>French</t>
        </is>
      </c>
      <c r="N210" s="25" t="inlineStr">
        <is>
          <t>General</t>
        </is>
      </c>
      <c r="O210" s="25" t="inlineStr">
        <is>
          <t>Bac +3 / Bac +4</t>
        </is>
      </c>
      <c r="P210" s="26" t="inlineStr">
        <is>
          <t>Eligible on level (4-yr BS ≈ Bac+4)</t>
        </is>
      </c>
      <c r="Q210" s="25" t="inlineStr">
        <is>
          <t>3/4</t>
        </is>
      </c>
      <c r="R210" s="25" t="n"/>
      <c r="S210" s="27" t="n">
        <v>628</v>
      </c>
      <c r="T210" s="27" t="n"/>
      <c r="U210" s="25" t="n">
        <v>2</v>
      </c>
      <c r="V210" s="27">
        <f>IF(S210="","",S210*U210)</f>
        <v/>
      </c>
      <c r="W210" s="26" t="inlineStr">
        <is>
          <t>Catalogue lists €628 (EU/national rate). Confirm whether non-EU surcharge applies.</t>
        </is>
      </c>
      <c r="X210" s="25" t="inlineStr">
        <is>
          <t>Medium</t>
        </is>
      </c>
      <c r="Y210" s="25" t="inlineStr">
        <is>
          <t>628</t>
        </is>
      </c>
      <c r="Z210" s="26" t="n"/>
      <c r="AA210" s="26" t="n"/>
      <c r="AB210" s="25" t="n"/>
      <c r="AC210" s="25" t="inlineStr">
        <is>
          <t>Open</t>
        </is>
      </c>
      <c r="AD210" s="25" t="inlineStr">
        <is>
          <t>2026-10-01</t>
        </is>
      </c>
      <c r="AE210" s="25" t="inlineStr">
        <is>
          <t>2027-03-15</t>
        </is>
      </c>
      <c r="AF210" s="25" t="inlineStr">
        <is>
          <t>No</t>
        </is>
      </c>
      <c r="AG210" s="28" t="inlineStr">
        <is>
          <t>http://www.sup-galilee.univ-paris13.fr/</t>
        </is>
      </c>
      <c r="AH210" s="26" t="n"/>
      <c r="AI210" s="28" t="inlineStr">
        <is>
          <t>Open in EEF</t>
        </is>
      </c>
    </row>
    <row r="211" ht="32.8" customHeight="1" s="19">
      <c r="A211" s="25" t="n">
        <v>210</v>
      </c>
      <c r="B211" s="25" t="inlineStr">
        <is>
          <t>★★★★☆</t>
        </is>
      </c>
      <c r="C211" s="25" t="inlineStr">
        <is>
          <t>4 – Strong fit (electronics/signal/robotics/IoT/sensors)</t>
        </is>
      </c>
      <c r="D211" s="25" t="inlineStr">
        <is>
          <t>Embedded systems / Electronics</t>
        </is>
      </c>
      <c r="E211" s="26" t="inlineStr">
        <is>
          <t>diplôme d'ingénieur de l'Institut national des sciences appliquées de Rennes spécialité Électronique et Informatique Industrielle</t>
        </is>
      </c>
      <c r="F211" s="26" t="inlineStr">
        <is>
          <t>Engineering diploma of INSA of Rennes – specialisation: Electronics &amp; Industrial Computing</t>
        </is>
      </c>
      <c r="G211" s="25" t="inlineStr">
        <is>
          <t>Diplôme d'ingénieur</t>
        </is>
      </c>
      <c r="H211" s="25" t="inlineStr">
        <is>
          <t>Institut national des sciences appliquées de Rennes</t>
        </is>
      </c>
      <c r="I211" s="25" t="n"/>
      <c r="J211" s="25" t="inlineStr">
        <is>
          <t>Site de Rennes</t>
        </is>
      </c>
      <c r="K211" s="25" t="n"/>
      <c r="L211" s="25" t="inlineStr">
        <is>
          <t>Public school / institute</t>
        </is>
      </c>
      <c r="M211" s="25" t="inlineStr">
        <is>
          <t>French &amp; English</t>
        </is>
      </c>
      <c r="N211" s="25" t="inlineStr">
        <is>
          <t>General</t>
        </is>
      </c>
      <c r="O211" s="25" t="inlineStr">
        <is>
          <t>Bac +3 / Bac +4</t>
        </is>
      </c>
      <c r="P211" s="26" t="inlineStr">
        <is>
          <t>Eligible on level (4-yr BS ≈ Bac+4)</t>
        </is>
      </c>
      <c r="Q211" s="25" t="inlineStr">
        <is>
          <t>3/4</t>
        </is>
      </c>
      <c r="R211" s="25" t="n"/>
      <c r="S211" s="27" t="n">
        <v>3950</v>
      </c>
      <c r="T211" s="27" t="n">
        <v>628</v>
      </c>
      <c r="U211" s="25" t="n">
        <v>2</v>
      </c>
      <c r="V211" s="27">
        <f>IF(S211="","",S211*U211)</f>
        <v/>
      </c>
      <c r="W211" s="26" t="inlineStr">
        <is>
          <t>Not in catalogue. Public engineering diploma: national rate ~€601-628; many schools charge non-EU up to ~€3,950. Verify.</t>
        </is>
      </c>
      <c r="X211" s="25" t="inlineStr">
        <is>
          <t>Low</t>
        </is>
      </c>
      <c r="Y211" s="25" t="n"/>
      <c r="Z211" s="26" t="n"/>
      <c r="AA211" s="26" t="n"/>
      <c r="AB211" s="25" t="n"/>
      <c r="AC211" s="25" t="inlineStr">
        <is>
          <t>Open</t>
        </is>
      </c>
      <c r="AD211" s="25" t="inlineStr">
        <is>
          <t>2026-10-01</t>
        </is>
      </c>
      <c r="AE211" s="25" t="inlineStr">
        <is>
          <t>2027-03-15</t>
        </is>
      </c>
      <c r="AF211" s="25" t="inlineStr">
        <is>
          <t>Yes</t>
        </is>
      </c>
      <c r="AG211" s="28" t="inlineStr">
        <is>
          <t>http://www.insa-rennes.fr</t>
        </is>
      </c>
      <c r="AH211" s="26" t="inlineStr">
        <is>
          <t>Admissions en 3ème année du cycle ingénieur : candidatures à faire sur le site du groupe INSA : www.groupe-insa.fr/comment-candidater du 20 janvier au 22 mars Admission en 4ème année du cycle ingénieur à l'INSA de Rennes</t>
        </is>
      </c>
      <c r="AI211" s="28" t="inlineStr">
        <is>
          <t>Open in EEF</t>
        </is>
      </c>
    </row>
    <row r="212" ht="32.8" customHeight="1" s="19">
      <c r="A212" s="25" t="n">
        <v>211</v>
      </c>
      <c r="B212" s="25" t="inlineStr">
        <is>
          <t>★★★★☆</t>
        </is>
      </c>
      <c r="C212" s="25" t="inlineStr">
        <is>
          <t>4 – Strong fit (electronics/signal/robotics/IoT/sensors)</t>
        </is>
      </c>
      <c r="D212" s="25" t="inlineStr">
        <is>
          <t>Embedded systems / Electronics</t>
        </is>
      </c>
      <c r="E212" s="26" t="inlineStr">
        <is>
          <t>diplôme d'ingénieur de l'Institut national des sciences appliquées de Rennes spécialité Electronique et Télécommunications</t>
        </is>
      </c>
      <c r="F212" s="26" t="inlineStr">
        <is>
          <t>Engineering diploma of INSA of Rennes – specialisation: Electronics &amp; Telecommunications</t>
        </is>
      </c>
      <c r="G212" s="25" t="inlineStr">
        <is>
          <t>Diplôme d'ingénieur</t>
        </is>
      </c>
      <c r="H212" s="25" t="inlineStr">
        <is>
          <t>Institut national des sciences appliquées de Rennes</t>
        </is>
      </c>
      <c r="I212" s="25" t="n"/>
      <c r="J212" s="25" t="inlineStr">
        <is>
          <t>Site de Rennes</t>
        </is>
      </c>
      <c r="K212" s="25" t="n"/>
      <c r="L212" s="25" t="inlineStr">
        <is>
          <t>Public school / institute</t>
        </is>
      </c>
      <c r="M212" s="25" t="inlineStr">
        <is>
          <t>French &amp; English</t>
        </is>
      </c>
      <c r="N212" s="25" t="inlineStr">
        <is>
          <t>General</t>
        </is>
      </c>
      <c r="O212" s="25" t="inlineStr">
        <is>
          <t>Bac +3 / Bac +4</t>
        </is>
      </c>
      <c r="P212" s="26" t="inlineStr">
        <is>
          <t>Eligible on level (4-yr BS ≈ Bac+4)</t>
        </is>
      </c>
      <c r="Q212" s="25" t="inlineStr">
        <is>
          <t>3/4</t>
        </is>
      </c>
      <c r="R212" s="25" t="n"/>
      <c r="S212" s="27" t="n">
        <v>3950</v>
      </c>
      <c r="T212" s="27" t="n">
        <v>628</v>
      </c>
      <c r="U212" s="25" t="n">
        <v>2</v>
      </c>
      <c r="V212" s="27">
        <f>IF(S212="","",S212*U212)</f>
        <v/>
      </c>
      <c r="W212" s="26" t="inlineStr">
        <is>
          <t>Not in catalogue. Public engineering diploma: national rate ~€601-628; many schools charge non-EU up to ~€3,950. Verify.</t>
        </is>
      </c>
      <c r="X212" s="25" t="inlineStr">
        <is>
          <t>Low</t>
        </is>
      </c>
      <c r="Y212" s="25" t="n"/>
      <c r="Z212" s="26" t="n"/>
      <c r="AA212" s="26" t="n"/>
      <c r="AB212" s="25" t="n"/>
      <c r="AC212" s="25" t="inlineStr">
        <is>
          <t>Open</t>
        </is>
      </c>
      <c r="AD212" s="25" t="inlineStr">
        <is>
          <t>2026-10-01</t>
        </is>
      </c>
      <c r="AE212" s="25" t="inlineStr">
        <is>
          <t>2027-03-15</t>
        </is>
      </c>
      <c r="AF212" s="25" t="inlineStr">
        <is>
          <t>Yes</t>
        </is>
      </c>
      <c r="AG212" s="28" t="inlineStr">
        <is>
          <t>http://www.insa-rennes.fr</t>
        </is>
      </c>
      <c r="AH212" s="26" t="inlineStr">
        <is>
          <t>Admissions en 3ème année du cycle ingénieur : candidatures à faire sur le site du groupe INSA : www.groupe-insa.fr/comment-candidater du 20 janvier au 22 mars Admission en 4ème année du cycle ingénieur à l'INSA de Rennes</t>
        </is>
      </c>
      <c r="AI212" s="28" t="inlineStr">
        <is>
          <t>Open in EEF</t>
        </is>
      </c>
    </row>
    <row r="213" ht="32.8" customHeight="1" s="19">
      <c r="A213" s="25" t="n">
        <v>212</v>
      </c>
      <c r="B213" s="25" t="inlineStr">
        <is>
          <t>★★★★☆</t>
        </is>
      </c>
      <c r="C213" s="25" t="inlineStr">
        <is>
          <t>4 – Strong fit (electronics/signal/robotics/IoT/sensors)</t>
        </is>
      </c>
      <c r="D213" s="25" t="inlineStr">
        <is>
          <t>Robotics / Automation / Mechatronics</t>
        </is>
      </c>
      <c r="E213" s="26" t="inlineStr">
        <is>
          <t>diplôme d'ingénieur de l'Institut national des sciences appliquées de Rennes spécialité Génie Mécanique et Automatique</t>
        </is>
      </c>
      <c r="F213" s="26" t="inlineStr">
        <is>
          <t>Engineering diploma of INSA of Rennes – specialisation: Engineering Mechanics &amp; Automation</t>
        </is>
      </c>
      <c r="G213" s="25" t="inlineStr">
        <is>
          <t>Diplôme d'ingénieur</t>
        </is>
      </c>
      <c r="H213" s="25" t="inlineStr">
        <is>
          <t>Institut national des sciences appliquées de Rennes</t>
        </is>
      </c>
      <c r="I213" s="25" t="n"/>
      <c r="J213" s="25" t="inlineStr">
        <is>
          <t>Site de Rennes</t>
        </is>
      </c>
      <c r="K213" s="25" t="n"/>
      <c r="L213" s="25" t="inlineStr">
        <is>
          <t>Public school / institute</t>
        </is>
      </c>
      <c r="M213" s="25" t="inlineStr">
        <is>
          <t>French &amp; English</t>
        </is>
      </c>
      <c r="N213" s="25" t="inlineStr">
        <is>
          <t>General</t>
        </is>
      </c>
      <c r="O213" s="25" t="inlineStr">
        <is>
          <t>Bac +3 / Bac +4</t>
        </is>
      </c>
      <c r="P213" s="26" t="inlineStr">
        <is>
          <t>Eligible on level (4-yr BS ≈ Bac+4)</t>
        </is>
      </c>
      <c r="Q213" s="25" t="inlineStr">
        <is>
          <t>3/4</t>
        </is>
      </c>
      <c r="R213" s="25" t="n"/>
      <c r="S213" s="27" t="n">
        <v>3950</v>
      </c>
      <c r="T213" s="27" t="n">
        <v>628</v>
      </c>
      <c r="U213" s="25" t="n">
        <v>2</v>
      </c>
      <c r="V213" s="27">
        <f>IF(S213="","",S213*U213)</f>
        <v/>
      </c>
      <c r="W213" s="26" t="inlineStr">
        <is>
          <t>Not in catalogue. Public engineering diploma: national rate ~€601-628; many schools charge non-EU up to ~€3,950. Verify.</t>
        </is>
      </c>
      <c r="X213" s="25" t="inlineStr">
        <is>
          <t>Low</t>
        </is>
      </c>
      <c r="Y213" s="25" t="n"/>
      <c r="Z213" s="26" t="n"/>
      <c r="AA213" s="26" t="n"/>
      <c r="AB213" s="25" t="n"/>
      <c r="AC213" s="25" t="inlineStr">
        <is>
          <t>Open</t>
        </is>
      </c>
      <c r="AD213" s="25" t="inlineStr">
        <is>
          <t>2026-10-01</t>
        </is>
      </c>
      <c r="AE213" s="25" t="inlineStr">
        <is>
          <t>2027-03-15</t>
        </is>
      </c>
      <c r="AF213" s="25" t="inlineStr">
        <is>
          <t>Yes</t>
        </is>
      </c>
      <c r="AG213" s="28" t="inlineStr">
        <is>
          <t>http://www.insa-rennes.fr</t>
        </is>
      </c>
      <c r="AH213" s="26" t="inlineStr">
        <is>
          <t>Admissions en 3ème année du cycle ingénieur : candidatures à faire sur le site du groupe INSA : www.groupe-insa.fr/comment-candidater du 20 janvier au 22 mars Admission en 4ème année du cycle ingénieur à l'INSA de Rennes</t>
        </is>
      </c>
      <c r="AI213" s="28" t="inlineStr">
        <is>
          <t>Open in EEF</t>
        </is>
      </c>
    </row>
    <row r="214" ht="32.8" customHeight="1" s="19">
      <c r="A214" s="25" t="n">
        <v>213</v>
      </c>
      <c r="B214" s="25" t="inlineStr">
        <is>
          <t>★★★★☆</t>
        </is>
      </c>
      <c r="C214" s="25" t="inlineStr">
        <is>
          <t>4 – Strong fit (electronics/signal/robotics/IoT/sensors)</t>
        </is>
      </c>
      <c r="D214" s="25" t="inlineStr">
        <is>
          <t>IoT / Telecom / Networks</t>
        </is>
      </c>
      <c r="E214" s="26" t="inlineStr">
        <is>
          <t>Diplôme d'Ingénieur de l'Université de Technologie de Troyes spécialité Réseaux et Télécommunications</t>
        </is>
      </c>
      <c r="F214" s="26" t="inlineStr">
        <is>
          <t>Engineering diploma of University of Technology of Troyes – specialisation: Networks &amp; Telecommunications</t>
        </is>
      </c>
      <c r="G214" s="25" t="inlineStr">
        <is>
          <t>Diplôme d'ingénieur</t>
        </is>
      </c>
      <c r="H214" s="25" t="inlineStr">
        <is>
          <t>Université de technologie de Troyes</t>
        </is>
      </c>
      <c r="I214" s="25" t="n"/>
      <c r="J214" s="25" t="inlineStr">
        <is>
          <t>Site de Troyes</t>
        </is>
      </c>
      <c r="K214" s="25" t="n"/>
      <c r="L214" s="25" t="inlineStr">
        <is>
          <t>Public university</t>
        </is>
      </c>
      <c r="M214" s="25" t="inlineStr">
        <is>
          <t>French &amp; English</t>
        </is>
      </c>
      <c r="N214" s="25" t="inlineStr">
        <is>
          <t>General</t>
        </is>
      </c>
      <c r="O214" s="25" t="inlineStr">
        <is>
          <t>Bac +3 / Bac +4 / Bac +5</t>
        </is>
      </c>
      <c r="P214" s="26" t="inlineStr">
        <is>
          <t>Eligible on level (4-yr BS ≈ Bac+4)</t>
        </is>
      </c>
      <c r="Q214" s="25" t="inlineStr">
        <is>
          <t>3/4/5</t>
        </is>
      </c>
      <c r="R214" s="25" t="inlineStr">
        <is>
          <t>12</t>
        </is>
      </c>
      <c r="S214" s="27" t="n">
        <v>3950</v>
      </c>
      <c r="T214" s="27" t="n">
        <v>628</v>
      </c>
      <c r="U214" s="25" t="n">
        <v>2</v>
      </c>
      <c r="V214" s="27">
        <f>IF(S214="","",S214*U214)</f>
        <v/>
      </c>
      <c r="W214" s="26" t="inlineStr">
        <is>
          <t>Not in catalogue. Public engineering diploma: national rate ~€601-628; many schools charge non-EU up to ~€3,950. Verify.</t>
        </is>
      </c>
      <c r="X214" s="25" t="inlineStr">
        <is>
          <t>Low</t>
        </is>
      </c>
      <c r="Y214" s="25" t="n"/>
      <c r="Z214" s="26" t="n"/>
      <c r="AA214" s="26" t="n"/>
      <c r="AB214" s="25" t="n"/>
      <c r="AC214" s="25" t="inlineStr">
        <is>
          <t>Open</t>
        </is>
      </c>
      <c r="AD214" s="25" t="inlineStr">
        <is>
          <t>2026-10-01</t>
        </is>
      </c>
      <c r="AE214" s="25" t="inlineStr">
        <is>
          <t>2027-03-15</t>
        </is>
      </c>
      <c r="AF214" s="25" t="inlineStr">
        <is>
          <t>Yes</t>
        </is>
      </c>
      <c r="AG214" s="28" t="inlineStr">
        <is>
          <t>http://www.utt.fr</t>
        </is>
      </c>
      <c r="AH214" s="26" t="inlineStr">
        <is>
          <t>Admission en 1ère année de branche : La formation est ouverte, en 3ème année d'igénieur, aux titulaires d’un diplôme national conférant le grade de bac +2 minimum, d'un titre étranger ou français admis par équivalence, L</t>
        </is>
      </c>
      <c r="AI214" s="28" t="inlineStr">
        <is>
          <t>Open in EEF</t>
        </is>
      </c>
    </row>
    <row r="215" ht="22.35" customHeight="1" s="19">
      <c r="A215" s="25" t="n">
        <v>214</v>
      </c>
      <c r="B215" s="25" t="inlineStr">
        <is>
          <t>★★★★☆</t>
        </is>
      </c>
      <c r="C215" s="25" t="inlineStr">
        <is>
          <t>4 – Strong fit (electronics/signal/robotics/IoT/sensors)</t>
        </is>
      </c>
      <c r="D215" s="25" t="inlineStr">
        <is>
          <t>Robotics / Automation / Mechatronics</t>
        </is>
      </c>
      <c r="E215" s="26" t="inlineStr">
        <is>
          <t>diplôme d'ingénieur de l'Ecole nationale supérieure d'ingénieurs Sud Alsace de l'université de Mulhouse spécialité automatique et systèmes</t>
        </is>
      </c>
      <c r="F215" s="26" t="inlineStr">
        <is>
          <t>Engineering diploma of the National Graduate School of Engineers Sud Alsace of University of Mulhouse – specialisation: Automation &amp; Systems</t>
        </is>
      </c>
      <c r="G215" s="25" t="inlineStr">
        <is>
          <t>Diplôme d'ingénieur</t>
        </is>
      </c>
      <c r="H215" s="25" t="inlineStr">
        <is>
          <t>Ecole nationale supérieure d'ingénieurs Sud Alsace</t>
        </is>
      </c>
      <c r="I215" s="25" t="inlineStr">
        <is>
          <t>Université de Haute Alsace Mulhouse</t>
        </is>
      </c>
      <c r="J215" s="25" t="inlineStr">
        <is>
          <t>Site de Mulhouse</t>
        </is>
      </c>
      <c r="K215" s="25" t="n"/>
      <c r="L215" s="25" t="inlineStr">
        <is>
          <t>Public school / institute</t>
        </is>
      </c>
      <c r="M215" s="25" t="inlineStr">
        <is>
          <t>French</t>
        </is>
      </c>
      <c r="N215" s="25" t="inlineStr">
        <is>
          <t>General</t>
        </is>
      </c>
      <c r="O215" s="25" t="inlineStr">
        <is>
          <t>Bac +3 / Bac +4</t>
        </is>
      </c>
      <c r="P215" s="26" t="inlineStr">
        <is>
          <t>Eligible on level (4-yr BS ≈ Bac+4)</t>
        </is>
      </c>
      <c r="Q215" s="25" t="inlineStr">
        <is>
          <t>1/2</t>
        </is>
      </c>
      <c r="R215" s="25" t="n"/>
      <c r="S215" s="27" t="n">
        <v>3950</v>
      </c>
      <c r="T215" s="27" t="n">
        <v>628</v>
      </c>
      <c r="U215" s="25" t="n">
        <v>2</v>
      </c>
      <c r="V215" s="27">
        <f>IF(S215="","",S215*U215)</f>
        <v/>
      </c>
      <c r="W215" s="26" t="inlineStr">
        <is>
          <t>Not in catalogue. Public engineering diploma: national rate ~€601-628; many schools charge non-EU up to ~€3,950. Verify.</t>
        </is>
      </c>
      <c r="X215" s="25" t="inlineStr">
        <is>
          <t>Low</t>
        </is>
      </c>
      <c r="Y215" s="25" t="n"/>
      <c r="Z215" s="26" t="n"/>
      <c r="AA215" s="26" t="n"/>
      <c r="AB215" s="25" t="n"/>
      <c r="AC215" s="25" t="inlineStr">
        <is>
          <t>Open</t>
        </is>
      </c>
      <c r="AD215" s="25" t="inlineStr">
        <is>
          <t>2026-10-01</t>
        </is>
      </c>
      <c r="AE215" s="25" t="inlineStr">
        <is>
          <t>2027-03-15</t>
        </is>
      </c>
      <c r="AF215" s="25" t="inlineStr">
        <is>
          <t>No</t>
        </is>
      </c>
      <c r="AG215" s="28" t="inlineStr">
        <is>
          <t>http://www.ensisa.uha.fr</t>
        </is>
      </c>
      <c r="AH215" s="26" t="inlineStr">
        <is>
          <t>Niveau de français exigé : B2</t>
        </is>
      </c>
      <c r="AI215" s="28" t="inlineStr">
        <is>
          <t>Open in EEF</t>
        </is>
      </c>
    </row>
    <row r="216" ht="22.35" customHeight="1" s="19">
      <c r="A216" s="25" t="n">
        <v>215</v>
      </c>
      <c r="B216" s="25" t="inlineStr">
        <is>
          <t>★★★★☆</t>
        </is>
      </c>
      <c r="C216" s="25" t="inlineStr">
        <is>
          <t>4 – Strong fit (electronics/signal/robotics/IoT/sensors)</t>
        </is>
      </c>
      <c r="D216" s="25" t="inlineStr">
        <is>
          <t>Sensors / Instrumentation / Micro-Nano / Photonics</t>
        </is>
      </c>
      <c r="E216" s="26" t="inlineStr">
        <is>
          <t>diplôme d'ingénieur de l'Ecole polytechnique de l'université Paris Paris-Saclay parcours Photonique et Systèmes Optroniques</t>
        </is>
      </c>
      <c r="F216" s="26" t="inlineStr">
        <is>
          <t>Engineering diploma of School polytechnique of University Paris Paris-Saclay – track: Photonics &amp; Systems Optroniques</t>
        </is>
      </c>
      <c r="G216" s="25" t="inlineStr">
        <is>
          <t>Diplôme d'ingénieur</t>
        </is>
      </c>
      <c r="H216" s="25" t="inlineStr">
        <is>
          <t>Polytech Paris-Saclay</t>
        </is>
      </c>
      <c r="I216" s="25" t="inlineStr">
        <is>
          <t>Groupement Polytech</t>
        </is>
      </c>
      <c r="J216" s="25" t="inlineStr">
        <is>
          <t>Site d'Orsay</t>
        </is>
      </c>
      <c r="K216" s="25" t="inlineStr">
        <is>
          <t>91400 Orsay</t>
        </is>
      </c>
      <c r="L216" s="25" t="inlineStr">
        <is>
          <t>Public school / institute</t>
        </is>
      </c>
      <c r="M216" s="25" t="inlineStr">
        <is>
          <t>French</t>
        </is>
      </c>
      <c r="N216" s="25" t="inlineStr">
        <is>
          <t>General</t>
        </is>
      </c>
      <c r="O216" s="25" t="inlineStr">
        <is>
          <t>Bac +3 / Bac +4</t>
        </is>
      </c>
      <c r="P216" s="26" t="inlineStr">
        <is>
          <t>Eligible on level (4-yr BS ≈ Bac+4)</t>
        </is>
      </c>
      <c r="Q216" s="25" t="inlineStr">
        <is>
          <t>3/4</t>
        </is>
      </c>
      <c r="R216" s="25" t="inlineStr">
        <is>
          <t>12</t>
        </is>
      </c>
      <c r="S216" s="27" t="n">
        <v>3950</v>
      </c>
      <c r="T216" s="27" t="n">
        <v>628</v>
      </c>
      <c r="U216" s="25" t="n">
        <v>2</v>
      </c>
      <c r="V216" s="27">
        <f>IF(S216="","",S216*U216)</f>
        <v/>
      </c>
      <c r="W216" s="26" t="inlineStr">
        <is>
          <t>Not in catalogue. Public engineering diploma: national rate ~€601-628; many schools charge non-EU up to ~€3,950. Verify.</t>
        </is>
      </c>
      <c r="X216" s="25" t="inlineStr">
        <is>
          <t>Low</t>
        </is>
      </c>
      <c r="Y216" s="25" t="n"/>
      <c r="Z216" s="26" t="n"/>
      <c r="AA216" s="26" t="n"/>
      <c r="AB216" s="25" t="n"/>
      <c r="AC216" s="25" t="inlineStr">
        <is>
          <t>Open</t>
        </is>
      </c>
      <c r="AD216" s="25" t="inlineStr">
        <is>
          <t>2026-10-01</t>
        </is>
      </c>
      <c r="AE216" s="25" t="inlineStr">
        <is>
          <t>2027-03-15</t>
        </is>
      </c>
      <c r="AF216" s="25" t="inlineStr">
        <is>
          <t>Yes</t>
        </is>
      </c>
      <c r="AG216" s="25" t="n"/>
      <c r="AH216" s="26" t="n"/>
      <c r="AI216" s="28" t="inlineStr">
        <is>
          <t>Open in EEF</t>
        </is>
      </c>
    </row>
    <row r="217" ht="43.25" customHeight="1" s="19">
      <c r="A217" s="25" t="n">
        <v>216</v>
      </c>
      <c r="B217" s="25" t="inlineStr">
        <is>
          <t>★★★★☆</t>
        </is>
      </c>
      <c r="C217" s="25" t="inlineStr">
        <is>
          <t>4 – Strong fit (electronics/signal/robotics/IoT/sensors)</t>
        </is>
      </c>
      <c r="D217" s="25" t="inlineStr">
        <is>
          <t>Sensors / Instrumentation / Micro-Nano / Photonics</t>
        </is>
      </c>
      <c r="E217" s="26" t="inlineStr">
        <is>
          <t>diplôme d'ingénieur de l'Ecole polytechnique universitaire de Lille, Université Lille I, sciences et technologies spécialité Instrumentation et Ingénierie d'Affaires</t>
        </is>
      </c>
      <c r="F217" s="26" t="inlineStr">
        <is>
          <t>Engineering diploma of the University Polytechnic School of Lille, University Lille I, Science &amp; Technology – specialisation: Instrumentation &amp; Engineering d'Affaires</t>
        </is>
      </c>
      <c r="G217" s="25" t="inlineStr">
        <is>
          <t>Diplôme d'ingénieur</t>
        </is>
      </c>
      <c r="H217" s="25" t="inlineStr">
        <is>
          <t>Polytech Lille</t>
        </is>
      </c>
      <c r="I217" s="25" t="inlineStr">
        <is>
          <t>Groupement Polytech</t>
        </is>
      </c>
      <c r="J217" s="25" t="inlineStr">
        <is>
          <t>Site de Villeneuve-d'Ascq</t>
        </is>
      </c>
      <c r="K217" s="25" t="n"/>
      <c r="L217" s="25" t="inlineStr">
        <is>
          <t>Public school / institute</t>
        </is>
      </c>
      <c r="M217" s="25" t="inlineStr">
        <is>
          <t>French</t>
        </is>
      </c>
      <c r="N217" s="25" t="inlineStr">
        <is>
          <t>General</t>
        </is>
      </c>
      <c r="O217" s="25" t="inlineStr">
        <is>
          <t>Bac +3 / Bac +4</t>
        </is>
      </c>
      <c r="P217" s="26" t="inlineStr">
        <is>
          <t>Eligible on level (4-yr BS ≈ Bac+4)</t>
        </is>
      </c>
      <c r="Q217" s="25" t="inlineStr">
        <is>
          <t>3/4</t>
        </is>
      </c>
      <c r="R217" s="25" t="inlineStr">
        <is>
          <t>12</t>
        </is>
      </c>
      <c r="S217" s="27" t="n">
        <v>3950</v>
      </c>
      <c r="T217" s="27" t="n">
        <v>628</v>
      </c>
      <c r="U217" s="25" t="n">
        <v>2</v>
      </c>
      <c r="V217" s="27">
        <f>IF(S217="","",S217*U217)</f>
        <v/>
      </c>
      <c r="W217" s="26" t="inlineStr">
        <is>
          <t>Not in catalogue. Public engineering diploma: national rate ~€601-628; many schools charge non-EU up to ~€3,950. Verify.</t>
        </is>
      </c>
      <c r="X217" s="25" t="inlineStr">
        <is>
          <t>Low</t>
        </is>
      </c>
      <c r="Y217" s="25" t="n"/>
      <c r="Z217" s="26" t="n"/>
      <c r="AA217" s="26" t="n"/>
      <c r="AB217" s="25" t="n"/>
      <c r="AC217" s="25" t="inlineStr">
        <is>
          <t>Open</t>
        </is>
      </c>
      <c r="AD217" s="25" t="inlineStr">
        <is>
          <t>2026-10-01</t>
        </is>
      </c>
      <c r="AE217" s="25" t="inlineStr">
        <is>
          <t>2027-03-15</t>
        </is>
      </c>
      <c r="AF217" s="25" t="inlineStr">
        <is>
          <t>Yes</t>
        </is>
      </c>
      <c r="AG217" s="28" t="inlineStr">
        <is>
          <t>https://www.polytech-lille.fr/formation/instrumentation-et-ingenierie-d-affaires/</t>
        </is>
      </c>
      <c r="AH217" s="26" t="inlineStr">
        <is>
          <t>Cette spécialité forme des ingénieurs exerçant dans le domaine de l’instrumentation, capables de comprendre, mettre en œuvre, tester, gérer et concevoir des systèmes de mesure électronique, chimique et optique. Ces ingén</t>
        </is>
      </c>
      <c r="AI217" s="28" t="inlineStr">
        <is>
          <t>Open in EEF</t>
        </is>
      </c>
    </row>
    <row r="218" ht="32.8" customHeight="1" s="19">
      <c r="A218" s="25" t="n">
        <v>217</v>
      </c>
      <c r="B218" s="25" t="inlineStr">
        <is>
          <t>★★★★☆</t>
        </is>
      </c>
      <c r="C218" s="25" t="inlineStr">
        <is>
          <t>4 – Strong fit (electronics/signal/robotics/IoT/sensors)</t>
        </is>
      </c>
      <c r="D218" s="25" t="inlineStr">
        <is>
          <t>Embedded systems / Electronics</t>
        </is>
      </c>
      <c r="E218" s="26" t="inlineStr">
        <is>
          <t>diplôme d'ingénieur de l'École polytechnique universitaire de Marseille de l'Université d'Aix-Marseille spécialité microélectronique et télécommunications</t>
        </is>
      </c>
      <c r="F218" s="26" t="inlineStr">
        <is>
          <t>Engineering diploma of the University Polytechnic School of Marseille of University d'Aix-Marseille – specialisation: Microelectronics &amp; Telecommunications</t>
        </is>
      </c>
      <c r="G218" s="25" t="inlineStr">
        <is>
          <t>Diplôme d'ingénieur</t>
        </is>
      </c>
      <c r="H218" s="25" t="inlineStr">
        <is>
          <t>Polytech Marseille</t>
        </is>
      </c>
      <c r="I218" s="25" t="inlineStr">
        <is>
          <t>Groupement Polytech</t>
        </is>
      </c>
      <c r="J218" s="25" t="inlineStr">
        <is>
          <t>Site de l'Etoile (St Jérôme - Château Gombert)</t>
        </is>
      </c>
      <c r="K218" s="25" t="n"/>
      <c r="L218" s="25" t="inlineStr">
        <is>
          <t>Public school / institute</t>
        </is>
      </c>
      <c r="M218" s="25" t="inlineStr">
        <is>
          <t>French</t>
        </is>
      </c>
      <c r="N218" s="25" t="inlineStr">
        <is>
          <t>General</t>
        </is>
      </c>
      <c r="O218" s="25" t="inlineStr">
        <is>
          <t>Bac +3 / Bac +4</t>
        </is>
      </c>
      <c r="P218" s="26" t="inlineStr">
        <is>
          <t>Eligible on level (4-yr BS ≈ Bac+4)</t>
        </is>
      </c>
      <c r="Q218" s="25" t="inlineStr">
        <is>
          <t>3/4</t>
        </is>
      </c>
      <c r="R218" s="25" t="n"/>
      <c r="S218" s="27" t="n">
        <v>3950</v>
      </c>
      <c r="T218" s="27" t="n">
        <v>628</v>
      </c>
      <c r="U218" s="25" t="n">
        <v>2</v>
      </c>
      <c r="V218" s="27">
        <f>IF(S218="","",S218*U218)</f>
        <v/>
      </c>
      <c r="W218" s="26" t="inlineStr">
        <is>
          <t>Not in catalogue. Public engineering diploma: national rate ~€601-628; many schools charge non-EU up to ~€3,950. Verify.</t>
        </is>
      </c>
      <c r="X218" s="25" t="inlineStr">
        <is>
          <t>Low</t>
        </is>
      </c>
      <c r="Y218" s="25" t="n"/>
      <c r="Z218" s="26" t="n"/>
      <c r="AA218" s="26" t="inlineStr">
        <is>
          <t>AMU 2026-27: limited exemptions (≈1,800 of 5,500 students) – priority to continuing students, conflict zones, excellence scholarships. New master entrants usually pay €3,950.</t>
        </is>
      </c>
      <c r="AB218" s="28" t="inlineStr">
        <is>
          <t>https://www.univ-amu.fr/fr/actualites/aix-marseille-universite-mobilise-pleinement-capacite-dexoneration-continuer-accueillir</t>
        </is>
      </c>
      <c r="AC218" s="25" t="inlineStr">
        <is>
          <t>Open</t>
        </is>
      </c>
      <c r="AD218" s="25" t="inlineStr">
        <is>
          <t>2026-10-01</t>
        </is>
      </c>
      <c r="AE218" s="25" t="inlineStr">
        <is>
          <t>2027-03-15</t>
        </is>
      </c>
      <c r="AF218" s="25" t="inlineStr">
        <is>
          <t>Yes</t>
        </is>
      </c>
      <c r="AG218" s="28" t="inlineStr">
        <is>
          <t>https://polytech.univ-amu.fr/fr/formations/cycle-ingenieur/microelectronique-telecommunications</t>
        </is>
      </c>
      <c r="AH218" s="26" t="inlineStr">
        <is>
          <t>Les informations qui suivent, concernent la candidature en cycle ingénieur (diplôme niveau Bac+5) du réseau Polytech. Les candidatures sont possibles : - en 3ème année (1ère année cycle ingénieur) avec un niveau Bac+2/Ba</t>
        </is>
      </c>
      <c r="AI218" s="28" t="inlineStr">
        <is>
          <t>Open in EEF</t>
        </is>
      </c>
    </row>
    <row r="219" ht="32.8" customHeight="1" s="19">
      <c r="A219" s="25" t="n">
        <v>218</v>
      </c>
      <c r="B219" s="25" t="inlineStr">
        <is>
          <t>★★★★☆</t>
        </is>
      </c>
      <c r="C219" s="25" t="inlineStr">
        <is>
          <t>4 – Strong fit (electronics/signal/robotics/IoT/sensors)</t>
        </is>
      </c>
      <c r="D219" s="25" t="inlineStr">
        <is>
          <t>Robotics / Automation / Mechatronics</t>
        </is>
      </c>
      <c r="E219" s="26" t="inlineStr">
        <is>
          <t>diplôme d'ingénieur de l'Ecole polytechnique universitaire de Savoie de l'université de Chambéry spécialité mécanique mécatronique Matériaux Composites (MECA)</t>
        </is>
      </c>
      <c r="F219" s="26" t="inlineStr">
        <is>
          <t>Engineering diploma of the University Polytechnic School of Savoie of University of Chambéry – specialisation: Mechanics Mechatronics Materials Composites (MECA)</t>
        </is>
      </c>
      <c r="G219" s="25" t="inlineStr">
        <is>
          <t>Diplôme d'ingénieur</t>
        </is>
      </c>
      <c r="H219" s="25" t="inlineStr">
        <is>
          <t>Polytech Annecy-Chambéry</t>
        </is>
      </c>
      <c r="I219" s="25" t="inlineStr">
        <is>
          <t>Groupement Polytech</t>
        </is>
      </c>
      <c r="J219" s="25" t="inlineStr">
        <is>
          <t>Site d'Annecy</t>
        </is>
      </c>
      <c r="K219" s="25" t="n"/>
      <c r="L219" s="25" t="inlineStr">
        <is>
          <t>Public school / institute</t>
        </is>
      </c>
      <c r="M219" s="25" t="inlineStr">
        <is>
          <t>French</t>
        </is>
      </c>
      <c r="N219" s="25" t="inlineStr">
        <is>
          <t>General</t>
        </is>
      </c>
      <c r="O219" s="25" t="inlineStr">
        <is>
          <t>Bac +3 / Bac +4</t>
        </is>
      </c>
      <c r="P219" s="26" t="inlineStr">
        <is>
          <t>Eligible on level (4-yr BS ≈ Bac+4)</t>
        </is>
      </c>
      <c r="Q219" s="25" t="inlineStr">
        <is>
          <t>3/4</t>
        </is>
      </c>
      <c r="R219" s="25" t="inlineStr">
        <is>
          <t>12</t>
        </is>
      </c>
      <c r="S219" s="27" t="n">
        <v>3950</v>
      </c>
      <c r="T219" s="27" t="n">
        <v>628</v>
      </c>
      <c r="U219" s="25" t="n">
        <v>2</v>
      </c>
      <c r="V219" s="27">
        <f>IF(S219="","",S219*U219)</f>
        <v/>
      </c>
      <c r="W219" s="26" t="inlineStr">
        <is>
          <t>Not in catalogue. Public engineering diploma: national rate ~€601-628; many schools charge non-EU up to ~€3,950. Verify.</t>
        </is>
      </c>
      <c r="X219" s="25" t="inlineStr">
        <is>
          <t>Low</t>
        </is>
      </c>
      <c r="Y219" s="25" t="n"/>
      <c r="Z219" s="26" t="n"/>
      <c r="AA219" s="26" t="n"/>
      <c r="AB219" s="25" t="n"/>
      <c r="AC219" s="25" t="inlineStr">
        <is>
          <t>Open</t>
        </is>
      </c>
      <c r="AD219" s="25" t="inlineStr">
        <is>
          <t>2026-10-01</t>
        </is>
      </c>
      <c r="AE219" s="25" t="inlineStr">
        <is>
          <t>2027-03-15</t>
        </is>
      </c>
      <c r="AF219" s="25" t="inlineStr">
        <is>
          <t>Yes</t>
        </is>
      </c>
      <c r="AG219" s="28" t="inlineStr">
        <is>
          <t>https://www.univ-smb.fr/polytech/</t>
        </is>
      </c>
      <c r="AH219" s="26" t="inlineStr">
        <is>
          <t>Les informations qui suivent, concernent la candidature en cycle ingénieur (diplôme niveau Bac+5) du réseau Polytech. Les candidatures sont possibles : - en 3ème année (1ère année cycle ingénieur) avec un niveau Bac+2/Ba</t>
        </is>
      </c>
      <c r="AI219" s="28" t="inlineStr">
        <is>
          <t>Open in EEF</t>
        </is>
      </c>
    </row>
    <row r="220" ht="32.8" customHeight="1" s="19">
      <c r="A220" s="25" t="n">
        <v>219</v>
      </c>
      <c r="B220" s="25" t="inlineStr">
        <is>
          <t>★★★★☆</t>
        </is>
      </c>
      <c r="C220" s="25" t="inlineStr">
        <is>
          <t>4 – Strong fit (electronics/signal/robotics/IoT/sensors)</t>
        </is>
      </c>
      <c r="D220" s="25" t="inlineStr">
        <is>
          <t>Robotics / Automation / Mechatronics</t>
        </is>
      </c>
      <c r="E220" s="26" t="inlineStr">
        <is>
          <t>diplôme d'ingénieur de l'Ecole polytechnique universitaire de Savoie de l'université de Chambéry spécialité mécanique mécatronique Matériaux Composites (MECA)</t>
        </is>
      </c>
      <c r="F220" s="26" t="inlineStr">
        <is>
          <t>Engineering diploma of the University Polytechnic School of Savoie of University of Chambéry – specialisation: Mechanics Mechatronics Materials Composites (MECA)</t>
        </is>
      </c>
      <c r="G220" s="25" t="inlineStr">
        <is>
          <t>Diplôme d'ingénieur</t>
        </is>
      </c>
      <c r="H220" s="25" t="inlineStr">
        <is>
          <t>Polytech Annecy-Chambéry</t>
        </is>
      </c>
      <c r="I220" s="25" t="inlineStr">
        <is>
          <t>Groupement Polytech</t>
        </is>
      </c>
      <c r="J220" s="25" t="inlineStr">
        <is>
          <t>Site de Chambéry</t>
        </is>
      </c>
      <c r="K220" s="25" t="n"/>
      <c r="L220" s="25" t="inlineStr">
        <is>
          <t>Public school / institute</t>
        </is>
      </c>
      <c r="M220" s="25" t="inlineStr">
        <is>
          <t>French</t>
        </is>
      </c>
      <c r="N220" s="25" t="inlineStr">
        <is>
          <t>General</t>
        </is>
      </c>
      <c r="O220" s="25" t="inlineStr">
        <is>
          <t>Bac +3 / Bac +4</t>
        </is>
      </c>
      <c r="P220" s="26" t="inlineStr">
        <is>
          <t>Eligible on level (4-yr BS ≈ Bac+4)</t>
        </is>
      </c>
      <c r="Q220" s="25" t="inlineStr">
        <is>
          <t>3/4</t>
        </is>
      </c>
      <c r="R220" s="25" t="inlineStr">
        <is>
          <t>12</t>
        </is>
      </c>
      <c r="S220" s="27" t="n">
        <v>3950</v>
      </c>
      <c r="T220" s="27" t="n">
        <v>628</v>
      </c>
      <c r="U220" s="25" t="n">
        <v>2</v>
      </c>
      <c r="V220" s="27">
        <f>IF(S220="","",S220*U220)</f>
        <v/>
      </c>
      <c r="W220" s="26" t="inlineStr">
        <is>
          <t>Not in catalogue. Public engineering diploma: national rate ~€601-628; many schools charge non-EU up to ~€3,950. Verify.</t>
        </is>
      </c>
      <c r="X220" s="25" t="inlineStr">
        <is>
          <t>Low</t>
        </is>
      </c>
      <c r="Y220" s="25" t="n"/>
      <c r="Z220" s="26" t="n"/>
      <c r="AA220" s="26" t="n"/>
      <c r="AB220" s="25" t="n"/>
      <c r="AC220" s="25" t="inlineStr">
        <is>
          <t>Open</t>
        </is>
      </c>
      <c r="AD220" s="25" t="inlineStr">
        <is>
          <t>2026-10-01</t>
        </is>
      </c>
      <c r="AE220" s="25" t="inlineStr">
        <is>
          <t>2027-03-15</t>
        </is>
      </c>
      <c r="AF220" s="25" t="inlineStr">
        <is>
          <t>Yes</t>
        </is>
      </c>
      <c r="AG220" s="28" t="inlineStr">
        <is>
          <t>https://www.univ-smb.fr/polytech/</t>
        </is>
      </c>
      <c r="AH220" s="26" t="inlineStr">
        <is>
          <t>Les informations qui suivent, concernent la candidature en cycle ingénieur (diplôme niveau Bac+5) du réseau Polytech. Les candidatures sont possibles : - en 3ème année (1ère année cycle ingénieur) avec un niveau Bac+2/Ba</t>
        </is>
      </c>
      <c r="AI220" s="28" t="inlineStr">
        <is>
          <t>Open in EEF</t>
        </is>
      </c>
    </row>
    <row r="221" ht="22.35" customHeight="1" s="19">
      <c r="A221" s="25" t="n">
        <v>220</v>
      </c>
      <c r="B221" s="25" t="inlineStr">
        <is>
          <t>★★★★☆</t>
        </is>
      </c>
      <c r="C221" s="25" t="inlineStr">
        <is>
          <t>4 – Strong fit (electronics/signal/robotics/IoT/sensors)</t>
        </is>
      </c>
      <c r="D221" s="25" t="inlineStr">
        <is>
          <t>Embedded systems / Electronics</t>
        </is>
      </c>
      <c r="E221" s="26" t="inlineStr">
        <is>
          <t>diplôme d'ingénieur de l'Institut national des sciences appliquées de Rennes spécialité Électronique</t>
        </is>
      </c>
      <c r="F221" s="26" t="inlineStr">
        <is>
          <t>Engineering diploma of INSA of Rennes – specialisation: Electronics</t>
        </is>
      </c>
      <c r="G221" s="25" t="inlineStr">
        <is>
          <t>Diplôme d'ingénieur</t>
        </is>
      </c>
      <c r="H221" s="25" t="inlineStr">
        <is>
          <t>Institut national des sciences appliquées de Rennes</t>
        </is>
      </c>
      <c r="I221" s="25" t="n"/>
      <c r="J221" s="25" t="inlineStr">
        <is>
          <t>Site de Rennes</t>
        </is>
      </c>
      <c r="K221" s="25" t="n"/>
      <c r="L221" s="25" t="inlineStr">
        <is>
          <t>Public school / institute</t>
        </is>
      </c>
      <c r="M221" s="25" t="inlineStr">
        <is>
          <t>French</t>
        </is>
      </c>
      <c r="N221" s="25" t="inlineStr">
        <is>
          <t>General</t>
        </is>
      </c>
      <c r="O221" s="25" t="inlineStr">
        <is>
          <t>Bac +3</t>
        </is>
      </c>
      <c r="P221" s="26" t="inlineStr">
        <is>
          <t>Eligible on level (4-yr BS ≈ Bac+4)</t>
        </is>
      </c>
      <c r="Q221" s="25" t="inlineStr">
        <is>
          <t>1</t>
        </is>
      </c>
      <c r="R221" s="25" t="n"/>
      <c r="S221" s="27" t="n">
        <v>3950</v>
      </c>
      <c r="T221" s="27" t="n">
        <v>628</v>
      </c>
      <c r="U221" s="25" t="n">
        <v>2</v>
      </c>
      <c r="V221" s="27">
        <f>IF(S221="","",S221*U221)</f>
        <v/>
      </c>
      <c r="W221" s="26" t="inlineStr">
        <is>
          <t>Not in catalogue. Public engineering diploma: national rate ~€601-628; many schools charge non-EU up to ~€3,950. Verify.</t>
        </is>
      </c>
      <c r="X221" s="25" t="inlineStr">
        <is>
          <t>Low</t>
        </is>
      </c>
      <c r="Y221" s="25" t="n"/>
      <c r="Z221" s="26" t="n"/>
      <c r="AA221" s="26" t="n"/>
      <c r="AB221" s="25" t="n"/>
      <c r="AC221" s="25" t="inlineStr">
        <is>
          <t>Open</t>
        </is>
      </c>
      <c r="AD221" s="25" t="inlineStr">
        <is>
          <t>2026-10-01</t>
        </is>
      </c>
      <c r="AE221" s="25" t="inlineStr">
        <is>
          <t>2027-03-15</t>
        </is>
      </c>
      <c r="AF221" s="25" t="inlineStr">
        <is>
          <t>Yes</t>
        </is>
      </c>
      <c r="AG221" s="28" t="inlineStr">
        <is>
          <t>http://www.insa-rennes.fr</t>
        </is>
      </c>
      <c r="AH221" s="26" t="n"/>
      <c r="AI221" s="28" t="inlineStr">
        <is>
          <t>Open in EEF</t>
        </is>
      </c>
    </row>
    <row r="222" ht="22.35" customHeight="1" s="19">
      <c r="A222" s="25" t="n">
        <v>221</v>
      </c>
      <c r="B222" s="25" t="inlineStr">
        <is>
          <t>★★★★☆</t>
        </is>
      </c>
      <c r="C222" s="25" t="inlineStr">
        <is>
          <t>4 – Strong fit (electronics/signal/robotics/IoT/sensors)</t>
        </is>
      </c>
      <c r="D222" s="25" t="inlineStr">
        <is>
          <t>Electrical energy</t>
        </is>
      </c>
      <c r="E222" s="26" t="inlineStr">
        <is>
          <t>diplôme d'ingénieur de l'Institut national des sciences appliquées de Strasbourg spécialité génie électrique</t>
        </is>
      </c>
      <c r="F222" s="26" t="inlineStr">
        <is>
          <t>Engineering diploma of INSA of Strasbourg – specialisation: Electrical Engineering</t>
        </is>
      </c>
      <c r="G222" s="25" t="inlineStr">
        <is>
          <t>Diplôme d'ingénieur</t>
        </is>
      </c>
      <c r="H222" s="25" t="inlineStr">
        <is>
          <t>Institut national des sciences appliquées de Strasbourg</t>
        </is>
      </c>
      <c r="I222" s="25" t="n"/>
      <c r="J222" s="25" t="inlineStr">
        <is>
          <t>Site de Strasbourg</t>
        </is>
      </c>
      <c r="K222" s="25" t="n"/>
      <c r="L222" s="25" t="inlineStr">
        <is>
          <t>Public school / institute</t>
        </is>
      </c>
      <c r="M222" s="25" t="inlineStr">
        <is>
          <t>French</t>
        </is>
      </c>
      <c r="N222" s="25" t="inlineStr">
        <is>
          <t>General</t>
        </is>
      </c>
      <c r="O222" s="25" t="inlineStr">
        <is>
          <t>Bac +2 / Bac +3 / Bac +4</t>
        </is>
      </c>
      <c r="P222" s="26" t="inlineStr">
        <is>
          <t>Eligible on level (4-yr BS ≈ Bac+4)</t>
        </is>
      </c>
      <c r="Q222" s="25" t="inlineStr">
        <is>
          <t>2/3/4</t>
        </is>
      </c>
      <c r="R222" s="25" t="n"/>
      <c r="S222" s="27" t="n">
        <v>3950</v>
      </c>
      <c r="T222" s="27" t="n">
        <v>628</v>
      </c>
      <c r="U222" s="25" t="n">
        <v>2</v>
      </c>
      <c r="V222" s="27">
        <f>IF(S222="","",S222*U222)</f>
        <v/>
      </c>
      <c r="W222" s="26" t="inlineStr">
        <is>
          <t>Not in catalogue. Public engineering diploma: national rate ~€601-628; many schools charge non-EU up to ~€3,950. Verify.</t>
        </is>
      </c>
      <c r="X222" s="25" t="inlineStr">
        <is>
          <t>Low</t>
        </is>
      </c>
      <c r="Y222" s="25" t="n"/>
      <c r="Z222" s="26" t="n"/>
      <c r="AA222" s="26" t="inlineStr">
        <is>
          <t>Unistra: master entrants who did not do their licence at Unistra pay the differentiated fee (€3,950).</t>
        </is>
      </c>
      <c r="AB222" s="28" t="inlineStr">
        <is>
          <t>https://www.unistra.fr/fr/node/8168</t>
        </is>
      </c>
      <c r="AC222" s="25" t="inlineStr">
        <is>
          <t>Open</t>
        </is>
      </c>
      <c r="AD222" s="25" t="inlineStr">
        <is>
          <t>2026-10-01</t>
        </is>
      </c>
      <c r="AE222" s="25" t="inlineStr">
        <is>
          <t>2027-03-15</t>
        </is>
      </c>
      <c r="AF222" s="25" t="inlineStr">
        <is>
          <t>Yes</t>
        </is>
      </c>
      <c r="AG222" s="28" t="inlineStr">
        <is>
          <t>https://www.insa-strasbourg.fr/fr/candidats/</t>
        </is>
      </c>
      <c r="AH222" s="26" t="n"/>
      <c r="AI222" s="28" t="inlineStr">
        <is>
          <t>Open in EEF</t>
        </is>
      </c>
    </row>
    <row r="223" ht="22.35" customHeight="1" s="19">
      <c r="A223" s="25" t="n">
        <v>222</v>
      </c>
      <c r="B223" s="25" t="inlineStr">
        <is>
          <t>★★★★☆</t>
        </is>
      </c>
      <c r="C223" s="25" t="inlineStr">
        <is>
          <t>4 – Strong fit (electronics/signal/robotics/IoT/sensors)</t>
        </is>
      </c>
      <c r="D223" s="25" t="inlineStr">
        <is>
          <t>Robotics / Automation / Mechatronics</t>
        </is>
      </c>
      <c r="E223" s="26" t="inlineStr">
        <is>
          <t>diplôme d'ingénieur de l'Institut national des sciences appliquées de Strasbourg spécialité mécatronique</t>
        </is>
      </c>
      <c r="F223" s="26" t="inlineStr">
        <is>
          <t>Engineering diploma of INSA of Strasbourg – specialisation: Mechatronics</t>
        </is>
      </c>
      <c r="G223" s="25" t="inlineStr">
        <is>
          <t>Diplôme d'ingénieur</t>
        </is>
      </c>
      <c r="H223" s="25" t="inlineStr">
        <is>
          <t>Institut national des sciences appliquées de Strasbourg</t>
        </is>
      </c>
      <c r="I223" s="25" t="n"/>
      <c r="J223" s="25" t="inlineStr">
        <is>
          <t>Site de Strasbourg</t>
        </is>
      </c>
      <c r="K223" s="25" t="n"/>
      <c r="L223" s="25" t="inlineStr">
        <is>
          <t>Public school / institute</t>
        </is>
      </c>
      <c r="M223" s="25" t="inlineStr">
        <is>
          <t>French</t>
        </is>
      </c>
      <c r="N223" s="25" t="inlineStr">
        <is>
          <t>General</t>
        </is>
      </c>
      <c r="O223" s="25" t="inlineStr">
        <is>
          <t>Bac +2 / Bac +3 / Bac +4</t>
        </is>
      </c>
      <c r="P223" s="26" t="inlineStr">
        <is>
          <t>Eligible on level (4-yr BS ≈ Bac+4)</t>
        </is>
      </c>
      <c r="Q223" s="25" t="inlineStr">
        <is>
          <t>2/3/4</t>
        </is>
      </c>
      <c r="R223" s="25" t="n"/>
      <c r="S223" s="27" t="n">
        <v>3950</v>
      </c>
      <c r="T223" s="27" t="n">
        <v>628</v>
      </c>
      <c r="U223" s="25" t="n">
        <v>2</v>
      </c>
      <c r="V223" s="27">
        <f>IF(S223="","",S223*U223)</f>
        <v/>
      </c>
      <c r="W223" s="26" t="inlineStr">
        <is>
          <t>Not in catalogue. Public engineering diploma: national rate ~€601-628; many schools charge non-EU up to ~€3,950. Verify.</t>
        </is>
      </c>
      <c r="X223" s="25" t="inlineStr">
        <is>
          <t>Low</t>
        </is>
      </c>
      <c r="Y223" s="25" t="n"/>
      <c r="Z223" s="26" t="n"/>
      <c r="AA223" s="26" t="inlineStr">
        <is>
          <t>Unistra: master entrants who did not do their licence at Unistra pay the differentiated fee (€3,950).</t>
        </is>
      </c>
      <c r="AB223" s="28" t="inlineStr">
        <is>
          <t>https://www.unistra.fr/fr/node/8168</t>
        </is>
      </c>
      <c r="AC223" s="25" t="inlineStr">
        <is>
          <t>Open</t>
        </is>
      </c>
      <c r="AD223" s="25" t="inlineStr">
        <is>
          <t>2026-10-01</t>
        </is>
      </c>
      <c r="AE223" s="25" t="inlineStr">
        <is>
          <t>2027-03-15</t>
        </is>
      </c>
      <c r="AF223" s="25" t="inlineStr">
        <is>
          <t>Yes</t>
        </is>
      </c>
      <c r="AG223" s="28" t="inlineStr">
        <is>
          <t>https://www.insa-strasbourg.fr/fr/candidats/</t>
        </is>
      </c>
      <c r="AH223" s="26" t="n"/>
      <c r="AI223" s="28" t="inlineStr">
        <is>
          <t>Open in EEF</t>
        </is>
      </c>
    </row>
    <row r="224" ht="43.25" customHeight="1" s="19">
      <c r="A224" s="25" t="n">
        <v>223</v>
      </c>
      <c r="B224" s="25" t="inlineStr">
        <is>
          <t>★★★★☆</t>
        </is>
      </c>
      <c r="C224" s="25" t="inlineStr">
        <is>
          <t>4 – Strong fit (electronics/signal/robotics/IoT/sensors)</t>
        </is>
      </c>
      <c r="D224" s="25" t="inlineStr">
        <is>
          <t>Embedded systems / Electronics</t>
        </is>
      </c>
      <c r="E224" s="26" t="inlineStr">
        <is>
          <t>diplôme d'ingénieur de l'Institut polytechnique de Grenoble - Ecole nationale supérieure de physique électronique et matériaux</t>
        </is>
      </c>
      <c r="F224" s="26" t="inlineStr">
        <is>
          <t>Engineering diploma of Institute polytechnique of Grenoble - National Graduate School of Physics Electronics &amp; Materials</t>
        </is>
      </c>
      <c r="G224" s="25" t="inlineStr">
        <is>
          <t>Diplôme d'ingénieur</t>
        </is>
      </c>
      <c r="H224" s="25" t="inlineStr">
        <is>
          <t>Ecole nationale supérieure de physique, électronique, matériaux - Grenoble INP</t>
        </is>
      </c>
      <c r="I224" s="25" t="inlineStr">
        <is>
          <t>Grenoble INP</t>
        </is>
      </c>
      <c r="J224" s="25" t="inlineStr">
        <is>
          <t>Site de Grenoble</t>
        </is>
      </c>
      <c r="K224" s="25" t="n"/>
      <c r="L224" s="25" t="inlineStr">
        <is>
          <t>Public school / institute</t>
        </is>
      </c>
      <c r="M224" s="25" t="inlineStr">
        <is>
          <t>French</t>
        </is>
      </c>
      <c r="N224" s="25" t="inlineStr">
        <is>
          <t>General</t>
        </is>
      </c>
      <c r="O224" s="25" t="inlineStr">
        <is>
          <t>Bac +3 / Bac +4</t>
        </is>
      </c>
      <c r="P224" s="26" t="inlineStr">
        <is>
          <t>Eligible on level (4-yr BS ≈ Bac+4)</t>
        </is>
      </c>
      <c r="Q224" s="25" t="inlineStr">
        <is>
          <t>1/2</t>
        </is>
      </c>
      <c r="R224" s="25" t="n"/>
      <c r="S224" s="27" t="n">
        <v>3950</v>
      </c>
      <c r="T224" s="27" t="n">
        <v>628</v>
      </c>
      <c r="U224" s="25" t="n">
        <v>2</v>
      </c>
      <c r="V224" s="27">
        <f>IF(S224="","",S224*U224)</f>
        <v/>
      </c>
      <c r="W224" s="26" t="inlineStr">
        <is>
          <t>Not in catalogue. Public engineering diploma: national rate ~€601-628; many schools charge non-EU up to ~€3,950. Verify.</t>
        </is>
      </c>
      <c r="X224" s="25" t="inlineStr">
        <is>
          <t>Low</t>
        </is>
      </c>
      <c r="Y224" s="25" t="n"/>
      <c r="Z224" s="26" t="inlineStr">
        <is>
          <t>A SAVOIR : Une participation de 100 euros est demandée pour tout dépôt de candidatures en c … fr/fr/formation/admission A SAVOIR : Une participation de 100 euros est demandée pour tout dépôt de candidatures en c</t>
        </is>
      </c>
      <c r="AA224" s="26" t="inlineStr">
        <is>
          <t>UGA (incl. Grenoble INP masters): 2026-27 broad exemptions on request (pay national €254). From 2027-28 the decree caps apply; exemptions based on resources.</t>
        </is>
      </c>
      <c r="AB224" s="28" t="inlineStr">
        <is>
          <t>https://www.univ-grenoble-alpes.fr/actualites/a-la-une/actualites-universite/etudiants-internationaux-ce-que-change-le-nouveau-decret-sur-les-droits-d-inscription-a-l-uga-1775870.kjsp</t>
        </is>
      </c>
      <c r="AC224" s="25" t="inlineStr">
        <is>
          <t>Open</t>
        </is>
      </c>
      <c r="AD224" s="25" t="inlineStr">
        <is>
          <t>2026-10-01</t>
        </is>
      </c>
      <c r="AE224" s="25" t="inlineStr">
        <is>
          <t>2027-03-15</t>
        </is>
      </c>
      <c r="AF224" s="25" t="inlineStr">
        <is>
          <t>Yes</t>
        </is>
      </c>
      <c r="AG224" s="28" t="inlineStr">
        <is>
          <t>https://phelma.grenoble-inp.fr/fr/formation/admission</t>
        </is>
      </c>
      <c r="AH224" s="26" t="inlineStr">
        <is>
          <t>***PAGE EN COURS D'ACTUALISATION POUR LA RENTREE UNIVERSITAIRE 2027- 2028 **** (PAGE CURRENTLY BEING UPDATED FOR THE 2027–2028 ACADEMIC YEAR) Avant de candidater, il est important de vérifier le coût de la formation et l</t>
        </is>
      </c>
      <c r="AI224" s="28" t="inlineStr">
        <is>
          <t>Open in EEF</t>
        </is>
      </c>
    </row>
    <row r="225" ht="32.8" customHeight="1" s="19">
      <c r="A225" s="25" t="n">
        <v>224</v>
      </c>
      <c r="B225" s="25" t="inlineStr">
        <is>
          <t>★★★★☆</t>
        </is>
      </c>
      <c r="C225" s="25" t="inlineStr">
        <is>
          <t>4 – Strong fit (electronics/signal/robotics/IoT/sensors)</t>
        </is>
      </c>
      <c r="D225" s="25" t="inlineStr">
        <is>
          <t>Robotics / Automation / Mechatronics</t>
        </is>
      </c>
      <c r="E225" s="26" t="inlineStr">
        <is>
          <t>diplôme d'ingénieur de Polytech Angers de l'université d'Angers spécialité Automatique et Informatique : Systèmes automatisés et génie informatique (SAGI)</t>
        </is>
      </c>
      <c r="F225" s="26" t="inlineStr">
        <is>
          <t>Engineering diploma of Polytech Angers of University d'Angers – specialisation: Automation &amp; Computer Science : Systems Automated &amp; Engineering Computer Science (SAGI)</t>
        </is>
      </c>
      <c r="G225" s="25" t="inlineStr">
        <is>
          <t>Diplôme d'ingénieur</t>
        </is>
      </c>
      <c r="H225" s="25" t="inlineStr">
        <is>
          <t>Polytech Angers</t>
        </is>
      </c>
      <c r="I225" s="25" t="inlineStr">
        <is>
          <t>Groupement Polytech</t>
        </is>
      </c>
      <c r="J225" s="25" t="inlineStr">
        <is>
          <t>Campus Belle-Beille</t>
        </is>
      </c>
      <c r="K225" s="25" t="n"/>
      <c r="L225" s="25" t="inlineStr">
        <is>
          <t>Public school / institute</t>
        </is>
      </c>
      <c r="M225" s="25" t="inlineStr">
        <is>
          <t>French</t>
        </is>
      </c>
      <c r="N225" s="25" t="inlineStr">
        <is>
          <t>General</t>
        </is>
      </c>
      <c r="O225" s="25" t="inlineStr">
        <is>
          <t>Bac +3 / Bac +4</t>
        </is>
      </c>
      <c r="P225" s="26" t="inlineStr">
        <is>
          <t>Eligible on level (4-yr BS ≈ Bac+4)</t>
        </is>
      </c>
      <c r="Q225" s="25" t="inlineStr">
        <is>
          <t>3/4</t>
        </is>
      </c>
      <c r="R225" s="25" t="inlineStr">
        <is>
          <t>12</t>
        </is>
      </c>
      <c r="S225" s="27" t="n">
        <v>3950</v>
      </c>
      <c r="T225" s="27" t="n">
        <v>628</v>
      </c>
      <c r="U225" s="25" t="n">
        <v>2</v>
      </c>
      <c r="V225" s="27">
        <f>IF(S225="","",S225*U225)</f>
        <v/>
      </c>
      <c r="W225" s="26" t="inlineStr">
        <is>
          <t>Not in catalogue. Public engineering diploma: national rate ~€601-628; many schools charge non-EU up to ~€3,950. Verify.</t>
        </is>
      </c>
      <c r="X225" s="25" t="inlineStr">
        <is>
          <t>Low</t>
        </is>
      </c>
      <c r="Y225" s="25" t="n"/>
      <c r="Z225" s="26" t="n"/>
      <c r="AA225" s="26" t="n"/>
      <c r="AB225" s="25" t="n"/>
      <c r="AC225" s="25" t="inlineStr">
        <is>
          <t>Open</t>
        </is>
      </c>
      <c r="AD225" s="25" t="inlineStr">
        <is>
          <t>2026-10-01</t>
        </is>
      </c>
      <c r="AE225" s="25" t="inlineStr">
        <is>
          <t>2027-03-15</t>
        </is>
      </c>
      <c r="AF225" s="25" t="inlineStr">
        <is>
          <t>Yes</t>
        </is>
      </c>
      <c r="AG225" s="28" t="inlineStr">
        <is>
          <t>http://www.polytech-angers.fr</t>
        </is>
      </c>
      <c r="AH225" s="26" t="inlineStr">
        <is>
          <t>Les informations qui suivent, concernent la candidature en cycle ingénieur (diplôme niveau Bac+5) du réseau Polytech. Les candidatures sont possibles : - en 3ème année (1ère année cycle ingénieur) avec un niveau Bac+2/Ba</t>
        </is>
      </c>
      <c r="AI225" s="28" t="inlineStr">
        <is>
          <t>Open in EEF</t>
        </is>
      </c>
    </row>
    <row r="226" ht="32.8" customHeight="1" s="19">
      <c r="A226" s="25" t="n">
        <v>225</v>
      </c>
      <c r="B226" s="25" t="inlineStr">
        <is>
          <t>★★★★☆</t>
        </is>
      </c>
      <c r="C226" s="25" t="inlineStr">
        <is>
          <t>4 – Strong fit (electronics/signal/robotics/IoT/sensors)</t>
        </is>
      </c>
      <c r="D226" s="25" t="inlineStr">
        <is>
          <t>Robotics / Automation / Mechatronics</t>
        </is>
      </c>
      <c r="E226" s="26" t="inlineStr">
        <is>
          <t>Diplôme d Ingénieur de Polytech Dijon de l Université de Dijon spécialité Robotique et Instrumentation - Polytech Dijon</t>
        </is>
      </c>
      <c r="F226" s="26" t="inlineStr">
        <is>
          <t>Diplôme d Engineer of Polytech Dijon of l University of Dijon – specialisation: Robotics &amp; Instrumentation - Polytech Dijon</t>
        </is>
      </c>
      <c r="G226" s="25" t="inlineStr">
        <is>
          <t>Diplôme d'ingénieur</t>
        </is>
      </c>
      <c r="H226" s="25" t="inlineStr">
        <is>
          <t>Polytech Dijon</t>
        </is>
      </c>
      <c r="I226" s="25" t="inlineStr">
        <is>
          <t>Groupement Polytech</t>
        </is>
      </c>
      <c r="J226" s="25" t="inlineStr">
        <is>
          <t>Campus Le Creusot</t>
        </is>
      </c>
      <c r="K226" s="25" t="n"/>
      <c r="L226" s="25" t="inlineStr">
        <is>
          <t>Public school / institute</t>
        </is>
      </c>
      <c r="M226" s="25" t="inlineStr">
        <is>
          <t>French</t>
        </is>
      </c>
      <c r="N226" s="25" t="inlineStr">
        <is>
          <t>General</t>
        </is>
      </c>
      <c r="O226" s="25" t="inlineStr">
        <is>
          <t>Bac +3 / Bac +4</t>
        </is>
      </c>
      <c r="P226" s="26" t="inlineStr">
        <is>
          <t>Eligible on level (4-yr BS ≈ Bac+4)</t>
        </is>
      </c>
      <c r="Q226" s="25" t="inlineStr">
        <is>
          <t>3/4</t>
        </is>
      </c>
      <c r="R226" s="25" t="inlineStr">
        <is>
          <t>36/24</t>
        </is>
      </c>
      <c r="S226" s="27" t="n">
        <v>3950</v>
      </c>
      <c r="T226" s="27" t="n">
        <v>628</v>
      </c>
      <c r="U226" s="25" t="n">
        <v>2</v>
      </c>
      <c r="V226" s="27">
        <f>IF(S226="","",S226*U226)</f>
        <v/>
      </c>
      <c r="W226" s="26" t="inlineStr">
        <is>
          <t>Not in catalogue. Public engineering diploma: national rate ~€601-628; many schools charge non-EU up to ~€3,950. Verify.</t>
        </is>
      </c>
      <c r="X226" s="25" t="inlineStr">
        <is>
          <t>Low</t>
        </is>
      </c>
      <c r="Y226" s="25" t="n"/>
      <c r="Z226" s="26" t="n"/>
      <c r="AA226" s="26" t="n"/>
      <c r="AB226" s="25" t="n"/>
      <c r="AC226" s="25" t="inlineStr">
        <is>
          <t>Open</t>
        </is>
      </c>
      <c r="AD226" s="25" t="inlineStr">
        <is>
          <t>2026-10-01</t>
        </is>
      </c>
      <c r="AE226" s="25" t="inlineStr">
        <is>
          <t>2027-03-15</t>
        </is>
      </c>
      <c r="AF226" s="25" t="inlineStr">
        <is>
          <t>Yes</t>
        </is>
      </c>
      <c r="AG226" s="28" t="inlineStr">
        <is>
          <t>https://polytech.u-bourgogne.fr/robotique-cobotique</t>
        </is>
      </c>
      <c r="AH226" s="26" t="inlineStr">
        <is>
          <t>Les informations qui suivent concernent la candidature en cycle ingénieur (diplôme niveau BAC+5). Le niveau minimal de formation des candidats requis pour l'entrée dans la spécialité Robotique et Instrumentation est : -</t>
        </is>
      </c>
      <c r="AI226" s="28" t="inlineStr">
        <is>
          <t>Open in EEF</t>
        </is>
      </c>
    </row>
    <row r="227" ht="32.8" customHeight="1" s="19">
      <c r="A227" s="25" t="n">
        <v>226</v>
      </c>
      <c r="B227" s="25" t="inlineStr">
        <is>
          <t>★★★★☆</t>
        </is>
      </c>
      <c r="C227" s="25" t="inlineStr">
        <is>
          <t>4 – Strong fit (electronics/signal/robotics/IoT/sensors)</t>
        </is>
      </c>
      <c r="D227" s="25" t="inlineStr">
        <is>
          <t>IoT / Telecom / Networks</t>
        </is>
      </c>
      <c r="E227" s="26" t="inlineStr">
        <is>
          <t>Diplôme d'ingénieur de spécialité IMT Nord Europe : Télécommunication et Informatique</t>
        </is>
      </c>
      <c r="F227" s="26" t="inlineStr">
        <is>
          <t>Engineering diploma of – specialisation: IMT Nord Europe : Telecommunication &amp; Computer Science</t>
        </is>
      </c>
      <c r="G227" s="25" t="inlineStr">
        <is>
          <t>Diplôme d'ingénieur</t>
        </is>
      </c>
      <c r="H227" s="25" t="inlineStr">
        <is>
          <t>IMT Nord Europe</t>
        </is>
      </c>
      <c r="I227" s="25" t="inlineStr">
        <is>
          <t>IMT Lille Douai</t>
        </is>
      </c>
      <c r="J227" s="25" t="inlineStr">
        <is>
          <t>IMT Nord Europe - Villeneuve d'Ascq Campus</t>
        </is>
      </c>
      <c r="K227" s="25" t="n"/>
      <c r="L227" s="25" t="inlineStr">
        <is>
          <t>Public school / institute</t>
        </is>
      </c>
      <c r="M227" s="25" t="inlineStr">
        <is>
          <t>French</t>
        </is>
      </c>
      <c r="N227" s="25" t="inlineStr">
        <is>
          <t>General</t>
        </is>
      </c>
      <c r="O227" s="25" t="inlineStr">
        <is>
          <t>Bac +3</t>
        </is>
      </c>
      <c r="P227" s="26" t="inlineStr">
        <is>
          <t>Eligible on level (4-yr BS ≈ Bac+4)</t>
        </is>
      </c>
      <c r="Q227" s="25" t="inlineStr">
        <is>
          <t>1</t>
        </is>
      </c>
      <c r="R227" s="25" t="n"/>
      <c r="S227" s="27" t="n">
        <v>3950</v>
      </c>
      <c r="T227" s="27" t="n">
        <v>628</v>
      </c>
      <c r="U227" s="25" t="n">
        <v>2</v>
      </c>
      <c r="V227" s="27">
        <f>IF(S227="","",S227*U227)</f>
        <v/>
      </c>
      <c r="W227" s="26" t="inlineStr">
        <is>
          <t>Not in catalogue. Public engineering diploma: national rate ~€601-628; many schools charge non-EU up to ~€3,950. Verify.</t>
        </is>
      </c>
      <c r="X227" s="25" t="inlineStr">
        <is>
          <t>Low</t>
        </is>
      </c>
      <c r="Y227" s="25" t="n"/>
      <c r="Z227" s="26" t="inlineStr">
        <is>
          <t>Les frais de dossier s’élèvent à 77 € pour la 1ère formation demandée et 22 € par formation supplémentaire (respectivement 22 € … et 11 € pour les candidats boursiers)</t>
        </is>
      </c>
      <c r="AA227" s="26" t="n"/>
      <c r="AB227" s="25" t="n"/>
      <c r="AC227" s="25" t="inlineStr">
        <is>
          <t>Open</t>
        </is>
      </c>
      <c r="AD227" s="25" t="inlineStr">
        <is>
          <t>2026-10-01</t>
        </is>
      </c>
      <c r="AE227" s="25" t="inlineStr">
        <is>
          <t>2027-03-15</t>
        </is>
      </c>
      <c r="AF227" s="25" t="inlineStr">
        <is>
          <t>No</t>
        </is>
      </c>
      <c r="AG227" s="28" t="inlineStr">
        <is>
          <t>https://imt-nord-europe.fr/annuaire-formations/telecommunications-et-informatique/</t>
        </is>
      </c>
      <c r="AH227" s="26" t="inlineStr">
        <is>
          <t>Les formations IMT Nord Europe sont ouvertes aux candidats ayant un diplôme ou un niveau BAC+2 : DUT, BTS, Licence, prépa ATS et Classe préparatoires aux grandes Ecoles.</t>
        </is>
      </c>
      <c r="AI227" s="28" t="inlineStr">
        <is>
          <t>Open in EEF</t>
        </is>
      </c>
    </row>
    <row r="228" ht="22.35" customHeight="1" s="19">
      <c r="A228" s="25" t="n">
        <v>227</v>
      </c>
      <c r="B228" s="25" t="inlineStr">
        <is>
          <t>★★★★☆</t>
        </is>
      </c>
      <c r="C228" s="25" t="inlineStr">
        <is>
          <t>4 – Strong fit (electronics/signal/robotics/IoT/sensors)</t>
        </is>
      </c>
      <c r="D228" s="25" t="inlineStr">
        <is>
          <t>Embedded systems / Electronics</t>
        </is>
      </c>
      <c r="E228" s="26" t="inlineStr">
        <is>
          <t>Ingenieur Spécialité Microélectronique et Informatique de l'Ecole des Mines de St-Etienne</t>
        </is>
      </c>
      <c r="F228" s="26" t="inlineStr">
        <is>
          <t>Ingenieur – specialisation: Microelectronics &amp; Computer Science of School of Mines of St-Etienne</t>
        </is>
      </c>
      <c r="G228" s="25" t="inlineStr">
        <is>
          <t>Diplôme d'ingénieur</t>
        </is>
      </c>
      <c r="H228" s="25" t="inlineStr">
        <is>
          <t>Ecole nationale supérieure des mines de Saint-Etienne</t>
        </is>
      </c>
      <c r="I228" s="25" t="n"/>
      <c r="J228" s="25" t="inlineStr">
        <is>
          <t>Campus Georges Charpak Provence</t>
        </is>
      </c>
      <c r="K228" s="25" t="n"/>
      <c r="L228" s="25" t="inlineStr">
        <is>
          <t>Public school / institute</t>
        </is>
      </c>
      <c r="M228" s="25" t="inlineStr">
        <is>
          <t>French</t>
        </is>
      </c>
      <c r="N228" s="25" t="inlineStr">
        <is>
          <t>General</t>
        </is>
      </c>
      <c r="O228" s="25" t="inlineStr">
        <is>
          <t>Bac +3 / Bac +4 / Bac +5</t>
        </is>
      </c>
      <c r="P228" s="26" t="inlineStr">
        <is>
          <t>Eligible on level (4-yr BS ≈ Bac+4)</t>
        </is>
      </c>
      <c r="Q228" s="25" t="inlineStr">
        <is>
          <t>1/2/3</t>
        </is>
      </c>
      <c r="R228" s="25" t="n"/>
      <c r="S228" s="27" t="n">
        <v>3950</v>
      </c>
      <c r="T228" s="27" t="n">
        <v>628</v>
      </c>
      <c r="U228" s="25" t="n">
        <v>2</v>
      </c>
      <c r="V228" s="27">
        <f>IF(S228="","",S228*U228)</f>
        <v/>
      </c>
      <c r="W228" s="26" t="inlineStr">
        <is>
          <t>Not in catalogue. Public engineering diploma: national rate ~€601-628; many schools charge non-EU up to ~€3,950. Verify.</t>
        </is>
      </c>
      <c r="X228" s="25" t="inlineStr">
        <is>
          <t>Low</t>
        </is>
      </c>
      <c r="Y228" s="25" t="n"/>
      <c r="Z228" s="26" t="n"/>
      <c r="AA228" s="26" t="n"/>
      <c r="AB228" s="25" t="n"/>
      <c r="AC228" s="25" t="inlineStr">
        <is>
          <t>Open</t>
        </is>
      </c>
      <c r="AD228" s="25" t="inlineStr">
        <is>
          <t>2026-10-01</t>
        </is>
      </c>
      <c r="AE228" s="25" t="inlineStr">
        <is>
          <t>2027-03-15</t>
        </is>
      </c>
      <c r="AF228" s="25" t="inlineStr">
        <is>
          <t>No</t>
        </is>
      </c>
      <c r="AG228" s="25" t="n"/>
      <c r="AH228" s="26" t="n"/>
      <c r="AI228" s="28" t="inlineStr">
        <is>
          <t>Open in EEF</t>
        </is>
      </c>
    </row>
    <row r="229" ht="22.35" customHeight="1" s="19">
      <c r="A229" s="25" t="n">
        <v>228</v>
      </c>
      <c r="B229" s="25" t="inlineStr">
        <is>
          <t>★★★★☆</t>
        </is>
      </c>
      <c r="C229" s="25" t="inlineStr">
        <is>
          <t>4 – Strong fit (electronics/signal/robotics/IoT/sensors)</t>
        </is>
      </c>
      <c r="D229" s="25" t="inlineStr">
        <is>
          <t>Embedded systems / Electronics</t>
        </is>
      </c>
      <c r="E229" s="26" t="inlineStr">
        <is>
          <t>Ingenieur Spécialité Microélectronique et Informatique de l'Ecole des Mines de St-Etienne</t>
        </is>
      </c>
      <c r="F229" s="26" t="inlineStr">
        <is>
          <t>Ingenieur – specialisation: Microelectronics &amp; Computer Science of School of Mines of St-Etienne</t>
        </is>
      </c>
      <c r="G229" s="25" t="inlineStr">
        <is>
          <t>Diplôme d'ingénieur</t>
        </is>
      </c>
      <c r="H229" s="25" t="inlineStr">
        <is>
          <t>Ecole nationale supérieure des mines de Saint-Etienne</t>
        </is>
      </c>
      <c r="I229" s="25" t="n"/>
      <c r="J229" s="25" t="inlineStr">
        <is>
          <t>Campus Georges Charpak Provence</t>
        </is>
      </c>
      <c r="K229" s="25" t="n"/>
      <c r="L229" s="25" t="inlineStr">
        <is>
          <t>Public school / institute</t>
        </is>
      </c>
      <c r="M229" s="25" t="inlineStr">
        <is>
          <t>French</t>
        </is>
      </c>
      <c r="N229" s="25" t="inlineStr">
        <is>
          <t>General</t>
        </is>
      </c>
      <c r="O229" s="25" t="inlineStr">
        <is>
          <t>Bac +4</t>
        </is>
      </c>
      <c r="P229" s="26" t="inlineStr">
        <is>
          <t>Eligible on level (4-yr BS ≈ Bac+4)</t>
        </is>
      </c>
      <c r="Q229" s="25" t="inlineStr">
        <is>
          <t>2</t>
        </is>
      </c>
      <c r="R229" s="25" t="inlineStr">
        <is>
          <t>12</t>
        </is>
      </c>
      <c r="S229" s="27" t="n">
        <v>3950</v>
      </c>
      <c r="T229" s="27" t="n">
        <v>628</v>
      </c>
      <c r="U229" s="25" t="n">
        <v>2</v>
      </c>
      <c r="V229" s="27">
        <f>IF(S229="","",S229*U229)</f>
        <v/>
      </c>
      <c r="W229" s="26" t="inlineStr">
        <is>
          <t>Not in catalogue. Public engineering diploma: national rate ~€601-628; many schools charge non-EU up to ~€3,950. Verify.</t>
        </is>
      </c>
      <c r="X229" s="25" t="inlineStr">
        <is>
          <t>Low</t>
        </is>
      </c>
      <c r="Y229" s="25" t="n"/>
      <c r="Z229" s="26" t="n"/>
      <c r="AA229" s="26" t="n"/>
      <c r="AB229" s="25" t="n"/>
      <c r="AC229" s="25" t="inlineStr">
        <is>
          <t>Open</t>
        </is>
      </c>
      <c r="AD229" s="25" t="inlineStr">
        <is>
          <t>2026-10-01</t>
        </is>
      </c>
      <c r="AE229" s="25" t="inlineStr">
        <is>
          <t>2027-03-15</t>
        </is>
      </c>
      <c r="AF229" s="25" t="inlineStr">
        <is>
          <t>No</t>
        </is>
      </c>
      <c r="AG229" s="25" t="n"/>
      <c r="AH229" s="26" t="n"/>
      <c r="AI229" s="28" t="inlineStr">
        <is>
          <t>Open in EEF</t>
        </is>
      </c>
    </row>
    <row r="230" ht="22.35" customHeight="1" s="19">
      <c r="A230" s="25" t="n">
        <v>229</v>
      </c>
      <c r="B230" s="25" t="inlineStr">
        <is>
          <t>★★★★☆</t>
        </is>
      </c>
      <c r="C230" s="25" t="inlineStr">
        <is>
          <t>4 – Strong fit (electronics/signal/robotics/IoT/sensors)</t>
        </is>
      </c>
      <c r="D230" s="25" t="inlineStr">
        <is>
          <t>Embedded systems / Electronics</t>
        </is>
      </c>
      <c r="E230" s="26" t="inlineStr">
        <is>
          <t>Ingenieur Spécialité Microélectronique et Informatique de l'Ecole des Mines de St-Etienne</t>
        </is>
      </c>
      <c r="F230" s="26" t="inlineStr">
        <is>
          <t>Ingenieur – specialisation: Microelectronics &amp; Computer Science of School of Mines of St-Etienne</t>
        </is>
      </c>
      <c r="G230" s="25" t="inlineStr">
        <is>
          <t>Diplôme d'ingénieur</t>
        </is>
      </c>
      <c r="H230" s="25" t="inlineStr">
        <is>
          <t>Ecole nationale supérieure des mines de Saint-Etienne</t>
        </is>
      </c>
      <c r="I230" s="25" t="n"/>
      <c r="J230" s="25" t="inlineStr">
        <is>
          <t>Site de Saint-Etienne</t>
        </is>
      </c>
      <c r="K230" s="25" t="n"/>
      <c r="L230" s="25" t="inlineStr">
        <is>
          <t>Public school / institute</t>
        </is>
      </c>
      <c r="M230" s="25" t="inlineStr">
        <is>
          <t>French</t>
        </is>
      </c>
      <c r="N230" s="25" t="inlineStr">
        <is>
          <t>General</t>
        </is>
      </c>
      <c r="O230" s="25" t="inlineStr">
        <is>
          <t>Bac +3 / Bac +4</t>
        </is>
      </c>
      <c r="P230" s="26" t="inlineStr">
        <is>
          <t>Eligible on level (4-yr BS ≈ Bac+4)</t>
        </is>
      </c>
      <c r="Q230" s="25" t="inlineStr">
        <is>
          <t>1/2</t>
        </is>
      </c>
      <c r="R230" s="25" t="inlineStr">
        <is>
          <t>36/24</t>
        </is>
      </c>
      <c r="S230" s="27" t="n">
        <v>3950</v>
      </c>
      <c r="T230" s="27" t="n">
        <v>628</v>
      </c>
      <c r="U230" s="25" t="n">
        <v>2</v>
      </c>
      <c r="V230" s="27">
        <f>IF(S230="","",S230*U230)</f>
        <v/>
      </c>
      <c r="W230" s="26" t="inlineStr">
        <is>
          <t>Not in catalogue. Public engineering diploma: national rate ~€601-628; many schools charge non-EU up to ~€3,950. Verify.</t>
        </is>
      </c>
      <c r="X230" s="25" t="inlineStr">
        <is>
          <t>Low</t>
        </is>
      </c>
      <c r="Y230" s="25" t="n"/>
      <c r="Z230" s="26" t="n"/>
      <c r="AA230" s="26" t="n"/>
      <c r="AB230" s="25" t="n"/>
      <c r="AC230" s="25" t="inlineStr">
        <is>
          <t>Open</t>
        </is>
      </c>
      <c r="AD230" s="25" t="inlineStr">
        <is>
          <t>2026-10-01</t>
        </is>
      </c>
      <c r="AE230" s="25" t="inlineStr">
        <is>
          <t>2027-03-15</t>
        </is>
      </c>
      <c r="AF230" s="25" t="inlineStr">
        <is>
          <t>Yes</t>
        </is>
      </c>
      <c r="AG230" s="28" t="inlineStr">
        <is>
          <t>http://www.mines-stetienne.fr/formation-mines-saint-etienne/</t>
        </is>
      </c>
      <c r="AH230" s="26" t="n"/>
      <c r="AI230" s="28" t="inlineStr">
        <is>
          <t>Open in EEF</t>
        </is>
      </c>
    </row>
    <row r="231" ht="32.8" customHeight="1" s="19">
      <c r="A231" s="25" t="n">
        <v>230</v>
      </c>
      <c r="B231" s="25" t="inlineStr">
        <is>
          <t>★★★★☆</t>
        </is>
      </c>
      <c r="C231" s="25" t="inlineStr">
        <is>
          <t>4 – Strong fit (electronics/signal/robotics/IoT/sensors)</t>
        </is>
      </c>
      <c r="D231" s="25" t="inlineStr">
        <is>
          <t>Embedded systems / Electronics</t>
        </is>
      </c>
      <c r="E231" s="26" t="inlineStr">
        <is>
          <t>mention Diplôme d'Ingénieur de Polytech Dijon de l'Université de Dijon parcours Electronique et Systèmes Numériques - Polytech Dijon</t>
        </is>
      </c>
      <c r="F231" s="26" t="inlineStr">
        <is>
          <t>major: Engineering diploma of Polytech Dijon of University of Dijon – track: Electronics &amp; Systems Digital - Polytech Dijon</t>
        </is>
      </c>
      <c r="G231" s="25" t="inlineStr">
        <is>
          <t>Diplôme d'ingénieur</t>
        </is>
      </c>
      <c r="H231" s="25" t="inlineStr">
        <is>
          <t>Polytech Dijon</t>
        </is>
      </c>
      <c r="I231" s="25" t="inlineStr">
        <is>
          <t>Groupement Polytech</t>
        </is>
      </c>
      <c r="J231" s="25" t="inlineStr">
        <is>
          <t>Campus Dijon</t>
        </is>
      </c>
      <c r="K231" s="25" t="n"/>
      <c r="L231" s="25" t="inlineStr">
        <is>
          <t>Public school / institute</t>
        </is>
      </c>
      <c r="M231" s="25" t="inlineStr">
        <is>
          <t>French</t>
        </is>
      </c>
      <c r="N231" s="25" t="inlineStr">
        <is>
          <t>General</t>
        </is>
      </c>
      <c r="O231" s="25" t="inlineStr">
        <is>
          <t>Bac +3 / Bac +4</t>
        </is>
      </c>
      <c r="P231" s="26" t="inlineStr">
        <is>
          <t>Eligible on level (4-yr BS ≈ Bac+4)</t>
        </is>
      </c>
      <c r="Q231" s="25" t="inlineStr">
        <is>
          <t>3/4</t>
        </is>
      </c>
      <c r="R231" s="25" t="inlineStr">
        <is>
          <t>36/24</t>
        </is>
      </c>
      <c r="S231" s="27" t="n">
        <v>3950</v>
      </c>
      <c r="T231" s="27" t="n">
        <v>628</v>
      </c>
      <c r="U231" s="25" t="n">
        <v>2</v>
      </c>
      <c r="V231" s="27">
        <f>IF(S231="","",S231*U231)</f>
        <v/>
      </c>
      <c r="W231" s="26" t="inlineStr">
        <is>
          <t>Not in catalogue. Public engineering diploma: national rate ~€601-628; many schools charge non-EU up to ~€3,950. Verify.</t>
        </is>
      </c>
      <c r="X231" s="25" t="inlineStr">
        <is>
          <t>Low</t>
        </is>
      </c>
      <c r="Y231" s="25" t="n"/>
      <c r="Z231" s="26" t="n"/>
      <c r="AA231" s="26" t="n"/>
      <c r="AB231" s="25" t="n"/>
      <c r="AC231" s="25" t="inlineStr">
        <is>
          <t>Open</t>
        </is>
      </c>
      <c r="AD231" s="25" t="inlineStr">
        <is>
          <t>2026-10-01</t>
        </is>
      </c>
      <c r="AE231" s="25" t="inlineStr">
        <is>
          <t>2027-03-15</t>
        </is>
      </c>
      <c r="AF231" s="25" t="inlineStr">
        <is>
          <t>Yes</t>
        </is>
      </c>
      <c r="AG231" s="28" t="inlineStr">
        <is>
          <t>https://polytech.u-bourgogne.fr/electronique-systemes-numeriques</t>
        </is>
      </c>
      <c r="AH231" s="26" t="inlineStr">
        <is>
          <t>Les informations qui suivent concernent la candidature en cycle ingénieur (diplôme niveau BAC+5). Le niveau minimal de formation des candidats requis pour l'entrée dans la spécialité Electronique et Systèmes Numériques e</t>
        </is>
      </c>
      <c r="AI231" s="28" t="inlineStr">
        <is>
          <t>Open in EEF</t>
        </is>
      </c>
    </row>
    <row r="232" ht="32.8" customHeight="1" s="19">
      <c r="A232" s="25" t="n">
        <v>231</v>
      </c>
      <c r="B232" s="25" t="inlineStr">
        <is>
          <t>★★★★☆</t>
        </is>
      </c>
      <c r="C232" s="25" t="inlineStr">
        <is>
          <t>4 – Strong fit (electronics/signal/robotics/IoT/sensors)</t>
        </is>
      </c>
      <c r="D232" s="25" t="inlineStr">
        <is>
          <t>Embedded systems / Electronics</t>
        </is>
      </c>
      <c r="E232" s="26" t="inlineStr">
        <is>
          <t>Diplôme d'ingénieur de l'Ecole d'Ingénieurs ENSIL-ENSCI de l'Université de Limoges parcours Electronique et Télécommunications</t>
        </is>
      </c>
      <c r="F232" s="26" t="inlineStr">
        <is>
          <t>Engineering diploma of School of Engineers ENSIL-ENSCI of University of Limoges – track: Electronics &amp; Telecommunications</t>
        </is>
      </c>
      <c r="G232" s="25" t="inlineStr">
        <is>
          <t>Diplôme d'ingénieur</t>
        </is>
      </c>
      <c r="H232" s="25" t="inlineStr">
        <is>
          <t>ENSIL-ENSCI</t>
        </is>
      </c>
      <c r="I232" s="25" t="inlineStr">
        <is>
          <t>Université de Limoges</t>
        </is>
      </c>
      <c r="J232" s="25" t="inlineStr">
        <is>
          <t>Limoges</t>
        </is>
      </c>
      <c r="K232" s="25" t="inlineStr">
        <is>
          <t>87280 Limoges</t>
        </is>
      </c>
      <c r="L232" s="25" t="inlineStr">
        <is>
          <t>Public university</t>
        </is>
      </c>
      <c r="M232" s="25" t="inlineStr">
        <is>
          <t>French</t>
        </is>
      </c>
      <c r="N232" s="25" t="inlineStr">
        <is>
          <t>General</t>
        </is>
      </c>
      <c r="O232" s="25" t="inlineStr">
        <is>
          <t>Bac +3 / Bac +4</t>
        </is>
      </c>
      <c r="P232" s="26" t="inlineStr">
        <is>
          <t>Eligible on level (4-yr BS ≈ Bac+4)</t>
        </is>
      </c>
      <c r="Q232" s="25" t="inlineStr">
        <is>
          <t>1/2</t>
        </is>
      </c>
      <c r="R232" s="25" t="n"/>
      <c r="S232" s="27" t="n">
        <v>630</v>
      </c>
      <c r="T232" s="27" t="n"/>
      <c r="U232" s="25" t="n">
        <v>2</v>
      </c>
      <c r="V232" s="27">
        <f>IF(S232="","",S232*U232)</f>
        <v/>
      </c>
      <c r="W232" s="26" t="inlineStr">
        <is>
          <t>Catalogue lists €630 (EU/national rate). Confirm whether non-EU surcharge applies.</t>
        </is>
      </c>
      <c r="X232" s="25" t="inlineStr">
        <is>
          <t>Medium</t>
        </is>
      </c>
      <c r="Y232" s="25" t="inlineStr">
        <is>
          <t>630</t>
        </is>
      </c>
      <c r="Z232" s="26" t="n"/>
      <c r="AA232" s="26" t="n"/>
      <c r="AB232" s="25" t="n"/>
      <c r="AC232" s="25" t="inlineStr">
        <is>
          <t>Open</t>
        </is>
      </c>
      <c r="AD232" s="25" t="inlineStr">
        <is>
          <t>2026-10-01</t>
        </is>
      </c>
      <c r="AE232" s="25" t="inlineStr">
        <is>
          <t>2027-03-15</t>
        </is>
      </c>
      <c r="AF232" s="25" t="inlineStr">
        <is>
          <t>Yes</t>
        </is>
      </c>
      <c r="AG232" s="28" t="inlineStr">
        <is>
          <t>http://www.ensil-ensci.unilim.fr/accueil/admissions/cycle-ingenieur/</t>
        </is>
      </c>
      <c r="AH232" s="26" t="inlineStr">
        <is>
          <t>Titulaire d’un diplôme étranger : Admission sur dossier Inscription uniquement sur Internet à partir du mois de février Date limite de remise des dossiers : fin mai Oral : Entretien de motivation fin juin – début ju</t>
        </is>
      </c>
      <c r="AI232" s="28" t="inlineStr">
        <is>
          <t>Open in EEF</t>
        </is>
      </c>
    </row>
    <row r="233" ht="32.8" customHeight="1" s="19">
      <c r="A233" s="25" t="n">
        <v>232</v>
      </c>
      <c r="B233" s="25" t="inlineStr">
        <is>
          <t>★★★★☆</t>
        </is>
      </c>
      <c r="C233" s="25" t="inlineStr">
        <is>
          <t>4 – Strong fit (electronics/signal/robotics/IoT/sensors)</t>
        </is>
      </c>
      <c r="D233" s="25" t="inlineStr">
        <is>
          <t>Robotics / Automation / Mechatronics</t>
        </is>
      </c>
      <c r="E233" s="26" t="inlineStr">
        <is>
          <t>Diplôme d'ingénieur de l'Ecole d'Ingénieurs ENSIL-ENSCI de l'Université de Limoges spécialité Mécatronique</t>
        </is>
      </c>
      <c r="F233" s="26" t="inlineStr">
        <is>
          <t>Engineering diploma of School of Engineers ENSIL-ENSCI of University of Limoges – specialisation: Mechatronics</t>
        </is>
      </c>
      <c r="G233" s="25" t="inlineStr">
        <is>
          <t>Diplôme d'ingénieur</t>
        </is>
      </c>
      <c r="H233" s="25" t="inlineStr">
        <is>
          <t>ENSIL-ENSCI</t>
        </is>
      </c>
      <c r="I233" s="25" t="inlineStr">
        <is>
          <t>Université de Limoges</t>
        </is>
      </c>
      <c r="J233" s="25" t="inlineStr">
        <is>
          <t>Limoges</t>
        </is>
      </c>
      <c r="K233" s="25" t="inlineStr">
        <is>
          <t>87280 Limoges</t>
        </is>
      </c>
      <c r="L233" s="25" t="inlineStr">
        <is>
          <t>Public university</t>
        </is>
      </c>
      <c r="M233" s="25" t="inlineStr">
        <is>
          <t>French</t>
        </is>
      </c>
      <c r="N233" s="25" t="inlineStr">
        <is>
          <t>General</t>
        </is>
      </c>
      <c r="O233" s="25" t="inlineStr">
        <is>
          <t>Bac +3 / Bac +4</t>
        </is>
      </c>
      <c r="P233" s="26" t="inlineStr">
        <is>
          <t>Eligible on level (4-yr BS ≈ Bac+4)</t>
        </is>
      </c>
      <c r="Q233" s="25" t="inlineStr">
        <is>
          <t>1/2</t>
        </is>
      </c>
      <c r="R233" s="25" t="n"/>
      <c r="S233" s="27" t="n">
        <v>630</v>
      </c>
      <c r="T233" s="27" t="n"/>
      <c r="U233" s="25" t="n">
        <v>2</v>
      </c>
      <c r="V233" s="27">
        <f>IF(S233="","",S233*U233)</f>
        <v/>
      </c>
      <c r="W233" s="26" t="inlineStr">
        <is>
          <t>Catalogue lists €630 (EU/national rate). Confirm whether non-EU surcharge applies.</t>
        </is>
      </c>
      <c r="X233" s="25" t="inlineStr">
        <is>
          <t>Medium</t>
        </is>
      </c>
      <c r="Y233" s="25" t="inlineStr">
        <is>
          <t>630</t>
        </is>
      </c>
      <c r="Z233" s="26" t="n"/>
      <c r="AA233" s="26" t="n"/>
      <c r="AB233" s="25" t="n"/>
      <c r="AC233" s="25" t="inlineStr">
        <is>
          <t>Open</t>
        </is>
      </c>
      <c r="AD233" s="25" t="inlineStr">
        <is>
          <t>2026-10-01</t>
        </is>
      </c>
      <c r="AE233" s="25" t="inlineStr">
        <is>
          <t>2027-03-15</t>
        </is>
      </c>
      <c r="AF233" s="25" t="inlineStr">
        <is>
          <t>Yes</t>
        </is>
      </c>
      <c r="AG233" s="28" t="inlineStr">
        <is>
          <t>http://www.ensil-ensci.unilim.fr/accueil/admissions/cycle-ingenieur/</t>
        </is>
      </c>
      <c r="AH233" s="26" t="inlineStr">
        <is>
          <t>Titulaire d’un diplôme étranger : Admission sur dossier Inscription uniquement sur Internet à partir du mois de février Date limite de remise des dossiers : fin mai Oral : Entretien de motivation fin juin – début ju</t>
        </is>
      </c>
      <c r="AI233" s="28" t="inlineStr">
        <is>
          <t>Open in EEF</t>
        </is>
      </c>
    </row>
    <row r="234" ht="32.8" customHeight="1" s="19">
      <c r="A234" s="25" t="n">
        <v>233</v>
      </c>
      <c r="B234" s="25" t="inlineStr">
        <is>
          <t>★★★★☆</t>
        </is>
      </c>
      <c r="C234" s="25" t="inlineStr">
        <is>
          <t>4 – Strong fit (electronics/signal/robotics/IoT/sensors)</t>
        </is>
      </c>
      <c r="D234" s="25" t="inlineStr">
        <is>
          <t>Sensors / Instrumentation / Micro-Nano / Photonics</t>
        </is>
      </c>
      <c r="E234" s="26" t="inlineStr">
        <is>
          <t>Diplôme d ingénieur de l Ecole d Ingénieurs ENSIL-ENSCI Université de Limoges Photonique</t>
        </is>
      </c>
      <c r="F234" s="26" t="inlineStr">
        <is>
          <t>Diplôme d Engineer of l School d Engineers ENSIL-ENSCI University of Limoges Photonics</t>
        </is>
      </c>
      <c r="G234" s="25" t="inlineStr">
        <is>
          <t>Diplôme d'ingénieur</t>
        </is>
      </c>
      <c r="H234" s="25" t="inlineStr">
        <is>
          <t>ENSIL-ENSCI</t>
        </is>
      </c>
      <c r="I234" s="25" t="inlineStr">
        <is>
          <t>Université de Limoges</t>
        </is>
      </c>
      <c r="J234" s="25" t="inlineStr">
        <is>
          <t>Limoges</t>
        </is>
      </c>
      <c r="K234" s="25" t="inlineStr">
        <is>
          <t>87280 Limoges</t>
        </is>
      </c>
      <c r="L234" s="25" t="inlineStr">
        <is>
          <t>Public university</t>
        </is>
      </c>
      <c r="M234" s="25" t="inlineStr">
        <is>
          <t>French</t>
        </is>
      </c>
      <c r="N234" s="25" t="inlineStr">
        <is>
          <t>General</t>
        </is>
      </c>
      <c r="O234" s="25" t="inlineStr">
        <is>
          <t>Bac +3 / Bac +4</t>
        </is>
      </c>
      <c r="P234" s="26" t="inlineStr">
        <is>
          <t>Eligible on level (4-yr BS ≈ Bac+4)</t>
        </is>
      </c>
      <c r="Q234" s="25" t="inlineStr">
        <is>
          <t>1/2</t>
        </is>
      </c>
      <c r="R234" s="25" t="n"/>
      <c r="S234" s="27" t="n">
        <v>630</v>
      </c>
      <c r="T234" s="27" t="n"/>
      <c r="U234" s="25" t="n">
        <v>2</v>
      </c>
      <c r="V234" s="27">
        <f>IF(S234="","",S234*U234)</f>
        <v/>
      </c>
      <c r="W234" s="26" t="inlineStr">
        <is>
          <t>Catalogue lists €630 (EU/national rate). Confirm whether non-EU surcharge applies.</t>
        </is>
      </c>
      <c r="X234" s="25" t="inlineStr">
        <is>
          <t>Medium</t>
        </is>
      </c>
      <c r="Y234" s="25" t="inlineStr">
        <is>
          <t>630</t>
        </is>
      </c>
      <c r="Z234" s="26" t="n"/>
      <c r="AA234" s="26" t="n"/>
      <c r="AB234" s="25" t="n"/>
      <c r="AC234" s="25" t="inlineStr">
        <is>
          <t>Open</t>
        </is>
      </c>
      <c r="AD234" s="25" t="inlineStr">
        <is>
          <t>2026-10-01</t>
        </is>
      </c>
      <c r="AE234" s="25" t="inlineStr">
        <is>
          <t>2027-03-15</t>
        </is>
      </c>
      <c r="AF234" s="25" t="inlineStr">
        <is>
          <t>Yes</t>
        </is>
      </c>
      <c r="AG234" s="28" t="inlineStr">
        <is>
          <t>https://www.ensil-ensci.unilim.fr/</t>
        </is>
      </c>
      <c r="AH234" s="26" t="inlineStr">
        <is>
          <t>Titulaire d’un diplôme étranger : Admission sur dossier Inscription uniquement sur Internet à partir du mois de février Date limite de remise des dossiers : fin mai Oral : Entretien de motivation fin juin – début ju</t>
        </is>
      </c>
      <c r="AI234" s="28" t="inlineStr">
        <is>
          <t>Open in EEF</t>
        </is>
      </c>
    </row>
    <row r="235" ht="22.35" customHeight="1" s="19">
      <c r="A235" s="25" t="n">
        <v>234</v>
      </c>
      <c r="B235" s="25" t="inlineStr">
        <is>
          <t>★★★★☆</t>
        </is>
      </c>
      <c r="C235" s="25" t="inlineStr">
        <is>
          <t>4 – Strong fit (electronics/signal/robotics/IoT/sensors)</t>
        </is>
      </c>
      <c r="D235" s="25" t="inlineStr">
        <is>
          <t>Electrical energy</t>
        </is>
      </c>
      <c r="E235" s="26" t="inlineStr">
        <is>
          <t>diplôme d'ingénieur de l'Ecole polytechnique de l'université de Nantes spécialité génie électrique</t>
        </is>
      </c>
      <c r="F235" s="26" t="inlineStr">
        <is>
          <t>Engineering diploma of School polytechnique of University of Nantes – specialisation: Electrical Engineering</t>
        </is>
      </c>
      <c r="G235" s="25" t="inlineStr">
        <is>
          <t>Diplôme d'ingénieur</t>
        </is>
      </c>
      <c r="H235" s="25" t="inlineStr">
        <is>
          <t>Polytech Nantes</t>
        </is>
      </c>
      <c r="I235" s="25" t="inlineStr">
        <is>
          <t>Groupement Polytech</t>
        </is>
      </c>
      <c r="J235" s="25" t="inlineStr">
        <is>
          <t>Site de St Nazaire</t>
        </is>
      </c>
      <c r="K235" s="25" t="n"/>
      <c r="L235" s="25" t="inlineStr">
        <is>
          <t>Public school / institute</t>
        </is>
      </c>
      <c r="M235" s="25" t="inlineStr">
        <is>
          <t>French</t>
        </is>
      </c>
      <c r="N235" s="25" t="inlineStr">
        <is>
          <t>General</t>
        </is>
      </c>
      <c r="O235" s="25" t="inlineStr">
        <is>
          <t>Bac +3 / Bac +4</t>
        </is>
      </c>
      <c r="P235" s="26" t="inlineStr">
        <is>
          <t>Eligible on level (4-yr BS ≈ Bac+4)</t>
        </is>
      </c>
      <c r="Q235" s="25" t="inlineStr">
        <is>
          <t>3/4</t>
        </is>
      </c>
      <c r="R235" s="25" t="inlineStr">
        <is>
          <t>12</t>
        </is>
      </c>
      <c r="S235" s="27" t="n">
        <v>630</v>
      </c>
      <c r="T235" s="27" t="n"/>
      <c r="U235" s="25" t="n">
        <v>2</v>
      </c>
      <c r="V235" s="27">
        <f>IF(S235="","",S235*U235)</f>
        <v/>
      </c>
      <c r="W235" s="26" t="inlineStr">
        <is>
          <t>Catalogue lists €630 (EU/national rate). Confirm whether non-EU surcharge applies.</t>
        </is>
      </c>
      <c r="X235" s="25" t="inlineStr">
        <is>
          <t>Medium</t>
        </is>
      </c>
      <c r="Y235" s="25" t="inlineStr">
        <is>
          <t>630</t>
        </is>
      </c>
      <c r="Z235" s="26" t="n"/>
      <c r="AA235" s="26" t="n"/>
      <c r="AB235" s="25" t="n"/>
      <c r="AC235" s="25" t="inlineStr">
        <is>
          <t>Open</t>
        </is>
      </c>
      <c r="AD235" s="25" t="inlineStr">
        <is>
          <t>2026-10-01</t>
        </is>
      </c>
      <c r="AE235" s="25" t="inlineStr">
        <is>
          <t>2027-03-15</t>
        </is>
      </c>
      <c r="AF235" s="25" t="inlineStr">
        <is>
          <t>Yes</t>
        </is>
      </c>
      <c r="AG235" s="28" t="inlineStr">
        <is>
          <t>http://www.polytech.univ-nantes.fr</t>
        </is>
      </c>
      <c r="AH235" s="26" t="n"/>
      <c r="AI235" s="28" t="inlineStr">
        <is>
          <t>Open in EEF</t>
        </is>
      </c>
    </row>
    <row r="236" ht="32.8" customHeight="1" s="19">
      <c r="A236" s="25" t="n">
        <v>235</v>
      </c>
      <c r="B236" s="25" t="inlineStr">
        <is>
          <t>★★★★☆</t>
        </is>
      </c>
      <c r="C236" s="25" t="inlineStr">
        <is>
          <t>4 – Strong fit (electronics/signal/robotics/IoT/sensors)</t>
        </is>
      </c>
      <c r="D236" s="25" t="inlineStr">
        <is>
          <t>Embedded systems / Electronics</t>
        </is>
      </c>
      <c r="E236" s="26" t="inlineStr">
        <is>
          <t>diplôme d'ingénieur de l'Ecole polytechnique de l'université de Tours parcours électronique et génie électrique</t>
        </is>
      </c>
      <c r="F236" s="26" t="inlineStr">
        <is>
          <t>Engineering diploma of School polytechnique of University of Tours – track: Electronics &amp; Electrical Engineering</t>
        </is>
      </c>
      <c r="G236" s="25" t="inlineStr">
        <is>
          <t>Diplôme d'ingénieur</t>
        </is>
      </c>
      <c r="H236" s="25" t="inlineStr">
        <is>
          <t>Polytech Tours</t>
        </is>
      </c>
      <c r="I236" s="25" t="inlineStr">
        <is>
          <t>Groupement Polytech</t>
        </is>
      </c>
      <c r="J236" s="25" t="inlineStr">
        <is>
          <t>Site de Tours</t>
        </is>
      </c>
      <c r="K236" s="25" t="inlineStr">
        <is>
          <t>37200 Tours</t>
        </is>
      </c>
      <c r="L236" s="25" t="inlineStr">
        <is>
          <t>Public school / institute</t>
        </is>
      </c>
      <c r="M236" s="25" t="inlineStr">
        <is>
          <t>French</t>
        </is>
      </c>
      <c r="N236" s="25" t="inlineStr">
        <is>
          <t>General</t>
        </is>
      </c>
      <c r="O236" s="25" t="inlineStr">
        <is>
          <t>Bac +3 / Bac +4</t>
        </is>
      </c>
      <c r="P236" s="26" t="inlineStr">
        <is>
          <t>Eligible on level (4-yr BS ≈ Bac+4)</t>
        </is>
      </c>
      <c r="Q236" s="25" t="inlineStr">
        <is>
          <t>3/4</t>
        </is>
      </c>
      <c r="R236" s="25" t="n"/>
      <c r="S236" s="27" t="n">
        <v>630</v>
      </c>
      <c r="T236" s="27" t="n"/>
      <c r="U236" s="25" t="n">
        <v>2</v>
      </c>
      <c r="V236" s="27">
        <f>IF(S236="","",S236*U236)</f>
        <v/>
      </c>
      <c r="W236" s="26" t="inlineStr">
        <is>
          <t>Catalogue lists €630 (EU/national rate). Confirm whether non-EU surcharge applies.</t>
        </is>
      </c>
      <c r="X236" s="25" t="inlineStr">
        <is>
          <t>Medium</t>
        </is>
      </c>
      <c r="Y236" s="25" t="inlineStr">
        <is>
          <t>630</t>
        </is>
      </c>
      <c r="Z236" s="26" t="n"/>
      <c r="AA236" s="26" t="inlineStr">
        <is>
          <t>Tours: exemptions capped at 30% of non-EU students (2026-27); exempted students pay €255.</t>
        </is>
      </c>
      <c r="AB236" s="28" t="inlineStr">
        <is>
          <t>https://www.univ-tours.fr/international/etudes-stages-a-tours/droits-dinscription-differencies-pour-les-etudiants-extra-communautaires-2026-2027</t>
        </is>
      </c>
      <c r="AC236" s="25" t="inlineStr">
        <is>
          <t>Open</t>
        </is>
      </c>
      <c r="AD236" s="25" t="inlineStr">
        <is>
          <t>2026-10-01</t>
        </is>
      </c>
      <c r="AE236" s="25" t="inlineStr">
        <is>
          <t>2027-03-15</t>
        </is>
      </c>
      <c r="AF236" s="25" t="inlineStr">
        <is>
          <t>Yes</t>
        </is>
      </c>
      <c r="AG236" s="28" t="inlineStr">
        <is>
          <t>http://polytech.univ-tours.fr/electronique</t>
        </is>
      </c>
      <c r="AH236" s="26" t="inlineStr">
        <is>
          <t>Les informations qui suivent, concernent la candidature en cycle ingénieur (diplôme de niveau Bac+5) du réseau Polytech. Les candidatures sont possibles : - en 3ème année (1ère année cycle ingénieur) avec un niveau Bac+2</t>
        </is>
      </c>
      <c r="AI236" s="28" t="inlineStr">
        <is>
          <t>Open in EEF</t>
        </is>
      </c>
    </row>
    <row r="237" ht="22.35" customHeight="1" s="19">
      <c r="A237" s="25" t="n">
        <v>236</v>
      </c>
      <c r="B237" s="25" t="inlineStr">
        <is>
          <t>★★★★☆</t>
        </is>
      </c>
      <c r="C237" s="25" t="inlineStr">
        <is>
          <t>4 – Strong fit (electronics/signal/robotics/IoT/sensors)</t>
        </is>
      </c>
      <c r="D237" s="25" t="inlineStr">
        <is>
          <t>Embedded systems / Electronics</t>
        </is>
      </c>
      <c r="E237" s="26" t="inlineStr">
        <is>
          <t>diplôme d'ingénieur de l'Ecole polytechnique de l'université de Nantes spécialité électronique et technologies numériques</t>
        </is>
      </c>
      <c r="F237" s="26" t="inlineStr">
        <is>
          <t>Engineering diploma of School polytechnique of University of Nantes – specialisation: Electronics &amp; Technologies Digital</t>
        </is>
      </c>
      <c r="G237" s="25" t="inlineStr">
        <is>
          <t>Diplôme d'ingénieur</t>
        </is>
      </c>
      <c r="H237" s="25" t="inlineStr">
        <is>
          <t>Polytech Nantes</t>
        </is>
      </c>
      <c r="I237" s="25" t="inlineStr">
        <is>
          <t>Groupement Polytech</t>
        </is>
      </c>
      <c r="J237" s="25" t="inlineStr">
        <is>
          <t>Site de Nantes</t>
        </is>
      </c>
      <c r="K237" s="25" t="n"/>
      <c r="L237" s="25" t="inlineStr">
        <is>
          <t>Public school / institute</t>
        </is>
      </c>
      <c r="M237" s="25" t="inlineStr">
        <is>
          <t>French</t>
        </is>
      </c>
      <c r="N237" s="25" t="inlineStr">
        <is>
          <t>General</t>
        </is>
      </c>
      <c r="O237" s="25" t="inlineStr">
        <is>
          <t>Bac +3 / Bac +4</t>
        </is>
      </c>
      <c r="P237" s="26" t="inlineStr">
        <is>
          <t>Eligible on level (4-yr BS ≈ Bac+4)</t>
        </is>
      </c>
      <c r="Q237" s="25" t="inlineStr">
        <is>
          <t>3/4</t>
        </is>
      </c>
      <c r="R237" s="25" t="inlineStr">
        <is>
          <t>12</t>
        </is>
      </c>
      <c r="S237" s="27" t="n">
        <v>630</v>
      </c>
      <c r="T237" s="27" t="n"/>
      <c r="U237" s="25" t="n">
        <v>2</v>
      </c>
      <c r="V237" s="27">
        <f>IF(S237="","",S237*U237)</f>
        <v/>
      </c>
      <c r="W237" s="26" t="inlineStr">
        <is>
          <t>Catalogue lists €630 (EU/national rate). Confirm whether non-EU surcharge applies.</t>
        </is>
      </c>
      <c r="X237" s="25" t="inlineStr">
        <is>
          <t>Medium</t>
        </is>
      </c>
      <c r="Y237" s="25" t="inlineStr">
        <is>
          <t>630</t>
        </is>
      </c>
      <c r="Z237" s="26" t="n"/>
      <c r="AA237" s="26" t="n"/>
      <c r="AB237" s="25" t="n"/>
      <c r="AC237" s="25" t="inlineStr">
        <is>
          <t>Open</t>
        </is>
      </c>
      <c r="AD237" s="25" t="inlineStr">
        <is>
          <t>2026-10-01</t>
        </is>
      </c>
      <c r="AE237" s="25" t="inlineStr">
        <is>
          <t>2027-03-15</t>
        </is>
      </c>
      <c r="AF237" s="25" t="inlineStr">
        <is>
          <t>Yes</t>
        </is>
      </c>
      <c r="AG237" s="28" t="inlineStr">
        <is>
          <t>http://www.polytech.univ-nantes.fr</t>
        </is>
      </c>
      <c r="AH237" s="26" t="n"/>
      <c r="AI237" s="28" t="inlineStr">
        <is>
          <t>Open in EEF</t>
        </is>
      </c>
    </row>
    <row r="238" ht="32.8" customHeight="1" s="19">
      <c r="A238" s="25" t="n">
        <v>237</v>
      </c>
      <c r="B238" s="25" t="inlineStr">
        <is>
          <t>★★★★☆</t>
        </is>
      </c>
      <c r="C238" s="25" t="inlineStr">
        <is>
          <t>4 – Strong fit (electronics/signal/robotics/IoT/sensors)</t>
        </is>
      </c>
      <c r="D238" s="25" t="inlineStr">
        <is>
          <t>Embedded systems / Electronics</t>
        </is>
      </c>
      <c r="E238" s="26" t="inlineStr">
        <is>
          <t>diplôme d'ingénieur de l'Ecole polytechnique universitaire de Montpellier de l'université Montpellier spécialité Microélectronique et automatique</t>
        </is>
      </c>
      <c r="F238" s="26" t="inlineStr">
        <is>
          <t>Engineering diploma of the University Polytechnic School of Montpellier of University Montpellier – specialisation: Microelectronics &amp; Automation</t>
        </is>
      </c>
      <c r="G238" s="25" t="inlineStr">
        <is>
          <t>Diplôme d'ingénieur</t>
        </is>
      </c>
      <c r="H238" s="25" t="inlineStr">
        <is>
          <t>Polytech Montpellier</t>
        </is>
      </c>
      <c r="I238" s="25" t="inlineStr">
        <is>
          <t>Groupement Polytech</t>
        </is>
      </c>
      <c r="J238" s="25" t="inlineStr">
        <is>
          <t>Site de Montpellier</t>
        </is>
      </c>
      <c r="K238" s="25" t="n"/>
      <c r="L238" s="25" t="inlineStr">
        <is>
          <t>Public school / institute</t>
        </is>
      </c>
      <c r="M238" s="25" t="inlineStr">
        <is>
          <t>French</t>
        </is>
      </c>
      <c r="N238" s="25" t="inlineStr">
        <is>
          <t>General</t>
        </is>
      </c>
      <c r="O238" s="25" t="inlineStr">
        <is>
          <t>Bac +3 / Bac +4</t>
        </is>
      </c>
      <c r="P238" s="26" t="inlineStr">
        <is>
          <t>Eligible on level (4-yr BS ≈ Bac+4)</t>
        </is>
      </c>
      <c r="Q238" s="25" t="inlineStr">
        <is>
          <t>3/4</t>
        </is>
      </c>
      <c r="R238" s="25" t="n"/>
      <c r="S238" s="27" t="n">
        <v>630</v>
      </c>
      <c r="T238" s="27" t="n"/>
      <c r="U238" s="25" t="n">
        <v>2</v>
      </c>
      <c r="V238" s="27">
        <f>IF(S238="","",S238*U238)</f>
        <v/>
      </c>
      <c r="W238" s="26" t="inlineStr">
        <is>
          <t>Catalogue lists €630 (EU/national rate). Confirm whether non-EU surcharge applies.</t>
        </is>
      </c>
      <c r="X238" s="25" t="inlineStr">
        <is>
          <t>Medium</t>
        </is>
      </c>
      <c r="Y238" s="25" t="inlineStr">
        <is>
          <t>630</t>
        </is>
      </c>
      <c r="Z238" s="26" t="n"/>
      <c r="AA238" s="26" t="n"/>
      <c r="AB238" s="25" t="n"/>
      <c r="AC238" s="25" t="inlineStr">
        <is>
          <t>Open</t>
        </is>
      </c>
      <c r="AD238" s="25" t="inlineStr">
        <is>
          <t>2026-10-01</t>
        </is>
      </c>
      <c r="AE238" s="25" t="inlineStr">
        <is>
          <t>2027-03-15</t>
        </is>
      </c>
      <c r="AF238" s="25" t="inlineStr">
        <is>
          <t>Yes</t>
        </is>
      </c>
      <c r="AG238" s="28" t="inlineStr">
        <is>
          <t>http://www.polytech.umontpellier.fr/</t>
        </is>
      </c>
      <c r="AH238" s="26" t="inlineStr">
        <is>
          <t>Les informations qui suivent, concernent la candidature en cycle ingénieur (diplôme niveau Bac+5) du réseau Polytech. Les candidatures sont possibles : - en 3ème année (1ère année cycle ingénieur) avec un niveau Bac+2/Ba</t>
        </is>
      </c>
      <c r="AI238" s="28" t="inlineStr">
        <is>
          <t>Open in EEF</t>
        </is>
      </c>
    </row>
    <row r="239" ht="32.8" customHeight="1" s="19">
      <c r="A239" s="25" t="n">
        <v>238</v>
      </c>
      <c r="B239" s="25" t="inlineStr">
        <is>
          <t>★★★★☆</t>
        </is>
      </c>
      <c r="C239" s="25" t="inlineStr">
        <is>
          <t>4 – Strong fit (electronics/signal/robotics/IoT/sensors)</t>
        </is>
      </c>
      <c r="D239" s="25" t="inlineStr">
        <is>
          <t>Robotics / Automation / Mechatronics</t>
        </is>
      </c>
      <c r="E239" s="26" t="inlineStr">
        <is>
          <t>diplôme d'ingénieur de l'Ecole polytechnique de l'université d'Orléans parcours Matériaux, Mécanique, Mécatronique</t>
        </is>
      </c>
      <c r="F239" s="26" t="inlineStr">
        <is>
          <t>Engineering diploma of School polytechnique of University d'Orléans – track: Materials, Mechanics, Mechatronics</t>
        </is>
      </c>
      <c r="G239" s="25" t="inlineStr">
        <is>
          <t>Diplôme d'ingénieur</t>
        </is>
      </c>
      <c r="H239" s="25" t="inlineStr">
        <is>
          <t>Polytech Orléans</t>
        </is>
      </c>
      <c r="I239" s="25" t="inlineStr">
        <is>
          <t>Groupement Polytech</t>
        </is>
      </c>
      <c r="J239" s="25" t="inlineStr">
        <is>
          <t>Site d'Orléans</t>
        </is>
      </c>
      <c r="K239" s="25" t="inlineStr">
        <is>
          <t>45100 Orléans</t>
        </is>
      </c>
      <c r="L239" s="25" t="inlineStr">
        <is>
          <t>Public school / institute</t>
        </is>
      </c>
      <c r="M239" s="25" t="inlineStr">
        <is>
          <t>French</t>
        </is>
      </c>
      <c r="N239" s="25" t="inlineStr">
        <is>
          <t>General</t>
        </is>
      </c>
      <c r="O239" s="25" t="inlineStr">
        <is>
          <t>Bac +3 / Bac +4</t>
        </is>
      </c>
      <c r="P239" s="26" t="inlineStr">
        <is>
          <t>Eligible on level (4-yr BS ≈ Bac+4)</t>
        </is>
      </c>
      <c r="Q239" s="25" t="inlineStr">
        <is>
          <t>3/4</t>
        </is>
      </c>
      <c r="R239" s="25" t="inlineStr">
        <is>
          <t>12</t>
        </is>
      </c>
      <c r="S239" s="27" t="n">
        <v>635</v>
      </c>
      <c r="T239" s="27" t="n"/>
      <c r="U239" s="25" t="n">
        <v>2</v>
      </c>
      <c r="V239" s="27">
        <f>IF(S239="","",S239*U239)</f>
        <v/>
      </c>
      <c r="W239" s="26" t="inlineStr">
        <is>
          <t>Catalogue lists €635 (EU/national rate). Confirm whether non-EU surcharge applies.</t>
        </is>
      </c>
      <c r="X239" s="25" t="inlineStr">
        <is>
          <t>Medium</t>
        </is>
      </c>
      <c r="Y239" s="25" t="inlineStr">
        <is>
          <t>635</t>
        </is>
      </c>
      <c r="Z239" s="26" t="n"/>
      <c r="AA239" s="26" t="n"/>
      <c r="AB239" s="25" t="n"/>
      <c r="AC239" s="25" t="inlineStr">
        <is>
          <t>Open</t>
        </is>
      </c>
      <c r="AD239" s="25" t="inlineStr">
        <is>
          <t>2026-10-01</t>
        </is>
      </c>
      <c r="AE239" s="25" t="inlineStr">
        <is>
          <t>2027-03-15</t>
        </is>
      </c>
      <c r="AF239" s="25" t="inlineStr">
        <is>
          <t>Yes</t>
        </is>
      </c>
      <c r="AG239" s="28" t="inlineStr">
        <is>
          <t>http://www.polytech-orleans.fr</t>
        </is>
      </c>
      <c r="AH239" s="26" t="inlineStr">
        <is>
          <t>Les informations qui suivent, concernent la candidature en cycle ingénieur (diplôme niveau Bac+5) du réseau Polytech. Les candidatures sont possibles : - en 3ème année (1ère année cycle ingénieur) avec un niveau Bac+2/Ba</t>
        </is>
      </c>
      <c r="AI239" s="28" t="inlineStr">
        <is>
          <t>Open in EEF</t>
        </is>
      </c>
    </row>
    <row r="240" ht="32.8" customHeight="1" s="19">
      <c r="A240" s="25" t="n">
        <v>239</v>
      </c>
      <c r="B240" s="25" t="inlineStr">
        <is>
          <t>★★★★☆</t>
        </is>
      </c>
      <c r="C240" s="25" t="inlineStr">
        <is>
          <t>4 – Strong fit (electronics/signal/robotics/IoT/sensors)</t>
        </is>
      </c>
      <c r="D240" s="25" t="inlineStr">
        <is>
          <t>Embedded systems / Electronics</t>
        </is>
      </c>
      <c r="E240" s="26" t="inlineStr">
        <is>
          <t>diplôme d'ingénieur de l'ENS d'électrotechnique d'électronique d'informatique d'hydraulique et des télécommunications de l'INP de Toulouse spécialité Electronique et Génie Electrique</t>
        </is>
      </c>
      <c r="F240" s="26" t="inlineStr">
        <is>
          <t>Engineering diploma of l'ENS of Electrotechnics of Electronics of Computer Science of Hydraulics &amp; of Telecommunications of l'INP of Toulouse – specialisation: Electronics &amp; Electrical Engineering</t>
        </is>
      </c>
      <c r="G240" s="25" t="inlineStr">
        <is>
          <t>Diplôme d'ingénieur</t>
        </is>
      </c>
      <c r="H240" s="25" t="inlineStr">
        <is>
          <t>École nationale supérieure d'électrotechnique, d'électronique, d'informatique, d'hydraulique et des télécommunications</t>
        </is>
      </c>
      <c r="I240" s="25" t="inlineStr">
        <is>
          <t>Institut national polytechnique de Toulouse</t>
        </is>
      </c>
      <c r="J240" s="25" t="inlineStr">
        <is>
          <t>Site de Toulouse</t>
        </is>
      </c>
      <c r="K240" s="25" t="inlineStr">
        <is>
          <t>31071 Toulouse Cedex</t>
        </is>
      </c>
      <c r="L240" s="25" t="inlineStr">
        <is>
          <t>Public school / institute</t>
        </is>
      </c>
      <c r="M240" s="25" t="inlineStr">
        <is>
          <t>French</t>
        </is>
      </c>
      <c r="N240" s="25" t="inlineStr">
        <is>
          <t>General</t>
        </is>
      </c>
      <c r="O240" s="25" t="inlineStr">
        <is>
          <t>Bac +3 / Bac +4</t>
        </is>
      </c>
      <c r="P240" s="26" t="inlineStr">
        <is>
          <t>Eligible on level (4-yr BS ≈ Bac+4)</t>
        </is>
      </c>
      <c r="Q240" s="25" t="inlineStr">
        <is>
          <t>1/2</t>
        </is>
      </c>
      <c r="R240" s="25" t="inlineStr">
        <is>
          <t>12</t>
        </is>
      </c>
      <c r="S240" s="27" t="n">
        <v>691</v>
      </c>
      <c r="T240" s="27" t="n"/>
      <c r="U240" s="25" t="n">
        <v>2</v>
      </c>
      <c r="V240" s="27">
        <f>IF(S240="","",S240*U240)</f>
        <v/>
      </c>
      <c r="W240" s="26" t="inlineStr">
        <is>
          <t>Catalogue lists €691 (EU/national rate). Confirm whether non-EU surcharge applies.</t>
        </is>
      </c>
      <c r="X240" s="25" t="inlineStr">
        <is>
          <t>Medium</t>
        </is>
      </c>
      <c r="Y240" s="25" t="inlineStr">
        <is>
          <t>691</t>
        </is>
      </c>
      <c r="Z240" s="26" t="n"/>
      <c r="AA240" s="26" t="n"/>
      <c r="AB240" s="25" t="n"/>
      <c r="AC240" s="25" t="inlineStr">
        <is>
          <t>Open</t>
        </is>
      </c>
      <c r="AD240" s="25" t="inlineStr">
        <is>
          <t>2026-10-01</t>
        </is>
      </c>
      <c r="AE240" s="25" t="inlineStr">
        <is>
          <t>2027-03-15</t>
        </is>
      </c>
      <c r="AF240" s="25" t="inlineStr">
        <is>
          <t>Yes</t>
        </is>
      </c>
      <c r="AG240" s="28" t="inlineStr">
        <is>
          <t>http://www.enseeiht.fr</t>
        </is>
      </c>
      <c r="AH240" s="26" t="inlineStr">
        <is>
          <t>Statut Etudiant : Niveau L2 / DUT / BTS+ATS Statut Apprenti : Niveau DUT / BTS</t>
        </is>
      </c>
      <c r="AI240" s="28" t="inlineStr">
        <is>
          <t>Open in EEF</t>
        </is>
      </c>
    </row>
    <row r="241" ht="32.8" customHeight="1" s="19">
      <c r="A241" s="25" t="n">
        <v>240</v>
      </c>
      <c r="B241" s="25" t="inlineStr">
        <is>
          <t>★★★★☆</t>
        </is>
      </c>
      <c r="C241" s="25" t="inlineStr">
        <is>
          <t>4 – Strong fit (electronics/signal/robotics/IoT/sensors)</t>
        </is>
      </c>
      <c r="D241" s="25" t="inlineStr">
        <is>
          <t>Embedded systems / Electronics</t>
        </is>
      </c>
      <c r="E241" s="26" t="inlineStr">
        <is>
          <t>diplôme d'ingénieur de l'ENS d'électrotechnique d'électronique d'informatique d'hydraulique et des télécommunications de l'INP de Toulouse spécialité Mécanique et Génie Hydraulique</t>
        </is>
      </c>
      <c r="F241" s="26" t="inlineStr">
        <is>
          <t>Engineering diploma of l'ENS of Electrotechnics of Electronics of Computer Science of Hydraulics &amp; of Telecommunications of l'INP of Toulouse – specialisation: Mechanics &amp; Engineering Hydraulics</t>
        </is>
      </c>
      <c r="G241" s="25" t="inlineStr">
        <is>
          <t>Diplôme d'ingénieur</t>
        </is>
      </c>
      <c r="H241" s="25" t="inlineStr">
        <is>
          <t>École nationale supérieure d'électrotechnique, d'électronique, d'informatique, d'hydraulique et des télécommunications</t>
        </is>
      </c>
      <c r="I241" s="25" t="inlineStr">
        <is>
          <t>Institut national polytechnique de Toulouse</t>
        </is>
      </c>
      <c r="J241" s="25" t="inlineStr">
        <is>
          <t>Site de Toulouse</t>
        </is>
      </c>
      <c r="K241" s="25" t="inlineStr">
        <is>
          <t>31071 Toulouse Cedex</t>
        </is>
      </c>
      <c r="L241" s="25" t="inlineStr">
        <is>
          <t>Public school / institute</t>
        </is>
      </c>
      <c r="M241" s="25" t="inlineStr">
        <is>
          <t>French</t>
        </is>
      </c>
      <c r="N241" s="25" t="inlineStr">
        <is>
          <t>General</t>
        </is>
      </c>
      <c r="O241" s="25" t="inlineStr">
        <is>
          <t>Bac +3 / Bac +4</t>
        </is>
      </c>
      <c r="P241" s="26" t="inlineStr">
        <is>
          <t>Eligible on level (4-yr BS ≈ Bac+4)</t>
        </is>
      </c>
      <c r="Q241" s="25" t="inlineStr">
        <is>
          <t>1/2</t>
        </is>
      </c>
      <c r="R241" s="25" t="n"/>
      <c r="S241" s="27" t="n">
        <v>691</v>
      </c>
      <c r="T241" s="27" t="n"/>
      <c r="U241" s="25" t="n">
        <v>2</v>
      </c>
      <c r="V241" s="27">
        <f>IF(S241="","",S241*U241)</f>
        <v/>
      </c>
      <c r="W241" s="26" t="inlineStr">
        <is>
          <t>Catalogue lists €691 (EU/national rate). Confirm whether non-EU surcharge applies.</t>
        </is>
      </c>
      <c r="X241" s="25" t="inlineStr">
        <is>
          <t>Medium</t>
        </is>
      </c>
      <c r="Y241" s="25" t="inlineStr">
        <is>
          <t>691</t>
        </is>
      </c>
      <c r="Z241" s="26" t="n"/>
      <c r="AA241" s="26" t="n"/>
      <c r="AB241" s="25" t="n"/>
      <c r="AC241" s="25" t="inlineStr">
        <is>
          <t>Open</t>
        </is>
      </c>
      <c r="AD241" s="25" t="inlineStr">
        <is>
          <t>2026-10-01</t>
        </is>
      </c>
      <c r="AE241" s="25" t="inlineStr">
        <is>
          <t>2027-03-15</t>
        </is>
      </c>
      <c r="AF241" s="25" t="inlineStr">
        <is>
          <t>Yes</t>
        </is>
      </c>
      <c r="AG241" s="28" t="inlineStr">
        <is>
          <t>http://www.enseeiht.fr</t>
        </is>
      </c>
      <c r="AH241" s="26" t="inlineStr">
        <is>
          <t>Statut Etudiant : Niveau L2 / DUT / BTS+ATS Statut Apprenti : DUT / BTS</t>
        </is>
      </c>
      <c r="AI241" s="28" t="inlineStr">
        <is>
          <t>Open in EEF</t>
        </is>
      </c>
    </row>
    <row r="242" ht="32.8" customHeight="1" s="19">
      <c r="A242" s="25" t="n">
        <v>241</v>
      </c>
      <c r="B242" s="25" t="inlineStr">
        <is>
          <t>★★★★☆</t>
        </is>
      </c>
      <c r="C242" s="25" t="inlineStr">
        <is>
          <t>4 – Strong fit (electronics/signal/robotics/IoT/sensors)</t>
        </is>
      </c>
      <c r="D242" s="25" t="inlineStr">
        <is>
          <t>Embedded systems / Electronics</t>
        </is>
      </c>
      <c r="E242" s="26" t="inlineStr">
        <is>
          <t>diplôme d'ingénieur de l'ENS d'électrotechnique d'électronique d'informatique d'hydraulique et des télécommunications de l'INP de Toulouse spécialité Informatique et Télécommunications</t>
        </is>
      </c>
      <c r="F242" s="26" t="inlineStr">
        <is>
          <t>Engineering diploma of l'ENS of Electrotechnics of Electronics of Computer Science of Hydraulics &amp; of Telecommunications of l'INP of Toulouse – specialisation: Computer Science &amp; Telecommunications</t>
        </is>
      </c>
      <c r="G242" s="25" t="inlineStr">
        <is>
          <t>Diplôme d'ingénieur</t>
        </is>
      </c>
      <c r="H242" s="25" t="inlineStr">
        <is>
          <t>École nationale supérieure d'électrotechnique, d'électronique, d'informatique, d'hydraulique et des télécommunications</t>
        </is>
      </c>
      <c r="I242" s="25" t="inlineStr">
        <is>
          <t>Institut national polytechnique de Toulouse</t>
        </is>
      </c>
      <c r="J242" s="25" t="inlineStr">
        <is>
          <t>Site de Toulouse</t>
        </is>
      </c>
      <c r="K242" s="25" t="inlineStr">
        <is>
          <t>31071 Toulouse Cedex</t>
        </is>
      </c>
      <c r="L242" s="25" t="inlineStr">
        <is>
          <t>Public school / institute</t>
        </is>
      </c>
      <c r="M242" s="25" t="inlineStr">
        <is>
          <t>French</t>
        </is>
      </c>
      <c r="N242" s="25" t="inlineStr">
        <is>
          <t>General</t>
        </is>
      </c>
      <c r="O242" s="25" t="inlineStr">
        <is>
          <t>Bac +3 / Bac +4</t>
        </is>
      </c>
      <c r="P242" s="26" t="inlineStr">
        <is>
          <t>Eligible on level (4-yr BS ≈ Bac+4)</t>
        </is>
      </c>
      <c r="Q242" s="25" t="inlineStr">
        <is>
          <t>1/2</t>
        </is>
      </c>
      <c r="R242" s="25" t="inlineStr">
        <is>
          <t>12</t>
        </is>
      </c>
      <c r="S242" s="27" t="n">
        <v>691</v>
      </c>
      <c r="T242" s="27" t="n"/>
      <c r="U242" s="25" t="n">
        <v>2</v>
      </c>
      <c r="V242" s="27">
        <f>IF(S242="","",S242*U242)</f>
        <v/>
      </c>
      <c r="W242" s="26" t="inlineStr">
        <is>
          <t>Catalogue lists €691 (EU/national rate). Confirm whether non-EU surcharge applies.</t>
        </is>
      </c>
      <c r="X242" s="25" t="inlineStr">
        <is>
          <t>Medium</t>
        </is>
      </c>
      <c r="Y242" s="25" t="inlineStr">
        <is>
          <t>691</t>
        </is>
      </c>
      <c r="Z242" s="26" t="n"/>
      <c r="AA242" s="26" t="n"/>
      <c r="AB242" s="25" t="n"/>
      <c r="AC242" s="25" t="inlineStr">
        <is>
          <t>Open</t>
        </is>
      </c>
      <c r="AD242" s="25" t="inlineStr">
        <is>
          <t>2026-10-01</t>
        </is>
      </c>
      <c r="AE242" s="25" t="inlineStr">
        <is>
          <t>2027-03-15</t>
        </is>
      </c>
      <c r="AF242" s="25" t="inlineStr">
        <is>
          <t>Yes</t>
        </is>
      </c>
      <c r="AG242" s="28" t="inlineStr">
        <is>
          <t>http://www.enseeiht.fr</t>
        </is>
      </c>
      <c r="AH242" s="26" t="inlineStr">
        <is>
          <t>Statut étudiant : Niveau L2 / DUT / BTS+ATS Statut Apprenti : DUT / BTS</t>
        </is>
      </c>
      <c r="AI242" s="28" t="inlineStr">
        <is>
          <t>Open in EEF</t>
        </is>
      </c>
    </row>
    <row r="243" ht="32.8" customHeight="1" s="19">
      <c r="A243" s="25" t="n">
        <v>242</v>
      </c>
      <c r="B243" s="25" t="inlineStr">
        <is>
          <t>★★★★☆</t>
        </is>
      </c>
      <c r="C243" s="25" t="inlineStr">
        <is>
          <t>4 – Strong fit (electronics/signal/robotics/IoT/sensors)</t>
        </is>
      </c>
      <c r="D243" s="25" t="inlineStr">
        <is>
          <t>Robotics / Automation / Mechatronics</t>
        </is>
      </c>
      <c r="E243" s="26" t="inlineStr">
        <is>
          <t>Master indifférencié (recherche et professionnel) Sciences, technologies, santé mention Ingénierie des systèmes complexes parcours Mécatronique, Procédés et Microtechniques</t>
        </is>
      </c>
      <c r="F243" s="26" t="inlineStr">
        <is>
          <t>Science, Technology, Health (STS) – major: Complex Systems Engineering – track: Mechatronics, Procédés &amp; Microtechniques</t>
        </is>
      </c>
      <c r="G243" s="25" t="inlineStr">
        <is>
          <t>Master indifférencié (recherche et professionnel)</t>
        </is>
      </c>
      <c r="H243" s="25" t="inlineStr">
        <is>
          <t>Ecole nationale supérieure de mécanique et des microtechniques</t>
        </is>
      </c>
      <c r="I243" s="25" t="n"/>
      <c r="J243" s="25" t="inlineStr">
        <is>
          <t>Site de Besançon</t>
        </is>
      </c>
      <c r="K243" s="25" t="n"/>
      <c r="L243" s="25" t="inlineStr">
        <is>
          <t>Public school / institute</t>
        </is>
      </c>
      <c r="M243" s="25" t="inlineStr">
        <is>
          <t>French</t>
        </is>
      </c>
      <c r="N243" s="25" t="inlineStr">
        <is>
          <t>General</t>
        </is>
      </c>
      <c r="O243" s="25" t="inlineStr">
        <is>
          <t>Bac +4</t>
        </is>
      </c>
      <c r="P243" s="26" t="inlineStr">
        <is>
          <t>Eligible on level (4-yr BS ≈ Bac+4)</t>
        </is>
      </c>
      <c r="Q243" s="25" t="inlineStr">
        <is>
          <t>1</t>
        </is>
      </c>
      <c r="R243" s="25" t="inlineStr">
        <is>
          <t>24</t>
        </is>
      </c>
      <c r="S243" s="27" t="n">
        <v>1114</v>
      </c>
      <c r="T243" s="27" t="n"/>
      <c r="U243" s="25" t="n">
        <v>2</v>
      </c>
      <c r="V243" s="27">
        <f>IF(S243="","",S243*U243)</f>
        <v/>
      </c>
      <c r="W243" s="26" t="inlineStr">
        <is>
          <t>Catalogue fee €1,114/yr (entered by institution).</t>
        </is>
      </c>
      <c r="X243" s="25" t="inlineStr">
        <is>
          <t>High</t>
        </is>
      </c>
      <c r="Y243" s="25" t="inlineStr">
        <is>
          <t>1114</t>
        </is>
      </c>
      <c r="Z243" s="26" t="n"/>
      <c r="AA243" s="26" t="n"/>
      <c r="AB243" s="25" t="n"/>
      <c r="AC243" s="25" t="inlineStr">
        <is>
          <t>Open</t>
        </is>
      </c>
      <c r="AD243" s="25" t="inlineStr">
        <is>
          <t>2026-10-01</t>
        </is>
      </c>
      <c r="AE243" s="25" t="inlineStr">
        <is>
          <t>2027-03-15</t>
        </is>
      </c>
      <c r="AF243" s="25" t="inlineStr">
        <is>
          <t>No</t>
        </is>
      </c>
      <c r="AG243" s="28" t="inlineStr">
        <is>
          <t>https://www.ens2m.fr/</t>
        </is>
      </c>
      <c r="AH243" s="26" t="inlineStr">
        <is>
          <t>Niveau requis en Français pour l'admission : TCF niveau B2</t>
        </is>
      </c>
      <c r="AI243" s="28" t="inlineStr">
        <is>
          <t>Open in EEF</t>
        </is>
      </c>
    </row>
    <row r="244" ht="32.8" customHeight="1" s="19">
      <c r="A244" s="25" t="n">
        <v>243</v>
      </c>
      <c r="B244" s="25" t="inlineStr">
        <is>
          <t>★★★★☆</t>
        </is>
      </c>
      <c r="C244" s="25" t="inlineStr">
        <is>
          <t>4 – Strong fit (electronics/signal/robotics/IoT/sensors)</t>
        </is>
      </c>
      <c r="D244" s="25" t="inlineStr">
        <is>
          <t>Embedded systems / Electronics</t>
        </is>
      </c>
      <c r="E244" s="26" t="inlineStr">
        <is>
          <t>CPE Lyon : Sciences et Technologies du Numérique (diplôme d'ingénieur - Grade de Master) - Électronique, télécommunications, informatique, robotique, image, réseaux</t>
        </is>
      </c>
      <c r="F244" s="26" t="inlineStr">
        <is>
          <t>CPE Lyon : Science &amp; Technology of Digital (Engineering diploma - Grade of Master) - Electronics, Telecommunications, Computer Science, Robotics, Image, Networks</t>
        </is>
      </c>
      <c r="G244" s="25" t="inlineStr">
        <is>
          <t>Diplôme d'ingénieur</t>
        </is>
      </c>
      <c r="H244" s="25" t="inlineStr">
        <is>
          <t>Ecole supérieure de Chimie, Physique, Electronique de Lyon</t>
        </is>
      </c>
      <c r="I244" s="25" t="n"/>
      <c r="J244" s="25" t="inlineStr">
        <is>
          <t>Villeurbanne</t>
        </is>
      </c>
      <c r="K244" s="25" t="n"/>
      <c r="L244" s="25" t="inlineStr">
        <is>
          <t>Public school / institute</t>
        </is>
      </c>
      <c r="M244" s="25" t="inlineStr">
        <is>
          <t>French</t>
        </is>
      </c>
      <c r="N244" s="25" t="inlineStr">
        <is>
          <t>General</t>
        </is>
      </c>
      <c r="O244" s="25" t="inlineStr">
        <is>
          <t>Bac +1 / Bac +2 / Bac +3 / Bac +4 / Bac +5</t>
        </is>
      </c>
      <c r="P244" s="26" t="inlineStr">
        <is>
          <t>Eligible on level (4-yr BS ≈ Bac+4)</t>
        </is>
      </c>
      <c r="Q244" s="25" t="inlineStr">
        <is>
          <t>1/2/3/4/5</t>
        </is>
      </c>
      <c r="R244" s="25" t="inlineStr">
        <is>
          <t>10</t>
        </is>
      </c>
      <c r="S244" s="27" t="n">
        <v>3180</v>
      </c>
      <c r="T244" s="27" t="n"/>
      <c r="U244" s="25" t="n">
        <v>2</v>
      </c>
      <c r="V244" s="27">
        <f>IF(S244="","",S244*U244)</f>
        <v/>
      </c>
      <c r="W244" s="26" t="inlineStr">
        <is>
          <t>Catalogue fee €3,180/yr (entered by institution).</t>
        </is>
      </c>
      <c r="X244" s="25" t="inlineStr">
        <is>
          <t>High</t>
        </is>
      </c>
      <c r="Y244" s="25" t="inlineStr">
        <is>
          <t>3180/8950</t>
        </is>
      </c>
      <c r="Z244" s="26" t="n"/>
      <c r="AA244" s="26" t="n"/>
      <c r="AB244" s="25" t="n"/>
      <c r="AC244" s="25" t="inlineStr">
        <is>
          <t>Open</t>
        </is>
      </c>
      <c r="AD244" s="25" t="inlineStr">
        <is>
          <t>2026-10-01</t>
        </is>
      </c>
      <c r="AE244" s="25" t="inlineStr">
        <is>
          <t>2027-03-15</t>
        </is>
      </c>
      <c r="AF244" s="25" t="inlineStr">
        <is>
          <t>No</t>
        </is>
      </c>
      <c r="AG244" s="28" t="inlineStr">
        <is>
          <t>https://www.cpe.fr/</t>
        </is>
      </c>
      <c r="AH244" s="26" t="inlineStr">
        <is>
          <t>Prérequis: Entrée en année 1/2 : Le candidat doit être titulaire d’un baccalauréat scientifique ou d’un diplôme équivalent à forte dominante scientifique. Entrée en année 3 ou 4 : Le candidat doit être titulaire d’un DUT</t>
        </is>
      </c>
      <c r="AI244" s="28" t="inlineStr">
        <is>
          <t>Open in EEF</t>
        </is>
      </c>
    </row>
    <row r="245" ht="43.25" customHeight="1" s="19">
      <c r="A245" s="25" t="n">
        <v>244</v>
      </c>
      <c r="B245" s="25" t="inlineStr">
        <is>
          <t>★★★★☆</t>
        </is>
      </c>
      <c r="C245" s="25" t="inlineStr">
        <is>
          <t>4 – Strong fit (electronics/signal/robotics/IoT/sensors)</t>
        </is>
      </c>
      <c r="D245" s="25" t="inlineStr">
        <is>
          <t>Embedded systems / Electronics</t>
        </is>
      </c>
      <c r="E245" s="26" t="inlineStr">
        <is>
          <t>diplôme d'ingénieur de l'Institut national polytechnique de Bordeaux - École nationale supérieure d'électronique, informatique, télécommunications, mathématique et mécanique de Bordeaux spécialité informatique</t>
        </is>
      </c>
      <c r="F245" s="26" t="inlineStr">
        <is>
          <t>Engineering diploma of Institute National polytechnique of Bordeaux - National Graduate School of Electronics, Computer Science, Telecommunications, Mathematical &amp; Mechanics of Bordeaux – specialisation: Computer Science</t>
        </is>
      </c>
      <c r="G245" s="25" t="inlineStr">
        <is>
          <t>Diplôme d'ingénieur</t>
        </is>
      </c>
      <c r="H245" s="25" t="inlineStr">
        <is>
          <t>ENS d'électronique, informatique, télécommunications, mathématiques et mécanique de Bordeaux</t>
        </is>
      </c>
      <c r="I245" s="25" t="inlineStr">
        <is>
          <t>Institut national polytechnique de Bordeaux</t>
        </is>
      </c>
      <c r="J245" s="25" t="inlineStr">
        <is>
          <t>Site de Talence</t>
        </is>
      </c>
      <c r="K245" s="25" t="n"/>
      <c r="L245" s="25" t="inlineStr">
        <is>
          <t>Public school / institute</t>
        </is>
      </c>
      <c r="M245" s="25" t="inlineStr">
        <is>
          <t>French</t>
        </is>
      </c>
      <c r="N245" s="25" t="inlineStr">
        <is>
          <t>General</t>
        </is>
      </c>
      <c r="O245" s="25" t="inlineStr">
        <is>
          <t>Bac +3 / Bac +4 / Bac +5</t>
        </is>
      </c>
      <c r="P245" s="26" t="inlineStr">
        <is>
          <t>Eligible on level (4-yr BS ≈ Bac+4)</t>
        </is>
      </c>
      <c r="Q245" s="25" t="inlineStr">
        <is>
          <t>1/2/3</t>
        </is>
      </c>
      <c r="R245" s="25" t="inlineStr">
        <is>
          <t>36/24</t>
        </is>
      </c>
      <c r="S245" s="27" t="n">
        <v>3770</v>
      </c>
      <c r="T245" s="27" t="n"/>
      <c r="U245" s="25" t="n">
        <v>2</v>
      </c>
      <c r="V245" s="27">
        <f>IF(S245="","",S245*U245)</f>
        <v/>
      </c>
      <c r="W245" s="26" t="inlineStr">
        <is>
          <t>Catalogue fee €3,770/yr (entered by institution).</t>
        </is>
      </c>
      <c r="X245" s="25" t="inlineStr">
        <is>
          <t>High</t>
        </is>
      </c>
      <c r="Y245" s="25" t="inlineStr">
        <is>
          <t>3770</t>
        </is>
      </c>
      <c r="Z245" s="26" t="n"/>
      <c r="AA245" s="26" t="n"/>
      <c r="AB245" s="25" t="n"/>
      <c r="AC245" s="25" t="inlineStr">
        <is>
          <t>Open</t>
        </is>
      </c>
      <c r="AD245" s="25" t="inlineStr">
        <is>
          <t>2026-10-01</t>
        </is>
      </c>
      <c r="AE245" s="25" t="inlineStr">
        <is>
          <t>2027-03-15</t>
        </is>
      </c>
      <c r="AF245" s="25" t="inlineStr">
        <is>
          <t>No</t>
        </is>
      </c>
      <c r="AG245" s="28" t="inlineStr">
        <is>
          <t>http://www.enseirb-matmeca.fr</t>
        </is>
      </c>
      <c r="AH245" s="26" t="n"/>
      <c r="AI245" s="28" t="inlineStr">
        <is>
          <t>Open in EEF</t>
        </is>
      </c>
    </row>
    <row r="246" ht="43.25" customHeight="1" s="19">
      <c r="A246" s="25" t="n">
        <v>245</v>
      </c>
      <c r="B246" s="25" t="inlineStr">
        <is>
          <t>★★★★☆</t>
        </is>
      </c>
      <c r="C246" s="25" t="inlineStr">
        <is>
          <t>4 – Strong fit (electronics/signal/robotics/IoT/sensors)</t>
        </is>
      </c>
      <c r="D246" s="25" t="inlineStr">
        <is>
          <t>Embedded systems / Electronics</t>
        </is>
      </c>
      <c r="E246" s="26" t="inlineStr">
        <is>
          <t>diplôme d'ingénieur de l'Institut national polytechnique de Bordeaux - École nationale supérieure d'électronique, informatique, télécommunications, mathématique et mécanique de Bordeaux spécialité électronique</t>
        </is>
      </c>
      <c r="F246" s="26" t="inlineStr">
        <is>
          <t>Engineering diploma of Institute National polytechnique of Bordeaux - National Graduate School of Electronics, Computer Science, Telecommunications, Mathematical &amp; Mechanics of Bordeaux – specialisation: Electronics</t>
        </is>
      </c>
      <c r="G246" s="25" t="inlineStr">
        <is>
          <t>Diplôme d'ingénieur</t>
        </is>
      </c>
      <c r="H246" s="25" t="inlineStr">
        <is>
          <t>ENS d'électronique, informatique, télécommunications, mathématiques et mécanique de Bordeaux</t>
        </is>
      </c>
      <c r="I246" s="25" t="inlineStr">
        <is>
          <t>Institut national polytechnique de Bordeaux</t>
        </is>
      </c>
      <c r="J246" s="25" t="inlineStr">
        <is>
          <t>Site de Talence</t>
        </is>
      </c>
      <c r="K246" s="25" t="n"/>
      <c r="L246" s="25" t="inlineStr">
        <is>
          <t>Public school / institute</t>
        </is>
      </c>
      <c r="M246" s="25" t="inlineStr">
        <is>
          <t>French</t>
        </is>
      </c>
      <c r="N246" s="25" t="inlineStr">
        <is>
          <t>General</t>
        </is>
      </c>
      <c r="O246" s="25" t="inlineStr">
        <is>
          <t>Bac +3 / Bac +4 / Bac +5</t>
        </is>
      </c>
      <c r="P246" s="26" t="inlineStr">
        <is>
          <t>Eligible on level (4-yr BS ≈ Bac+4)</t>
        </is>
      </c>
      <c r="Q246" s="25" t="inlineStr">
        <is>
          <t>1/2/3</t>
        </is>
      </c>
      <c r="R246" s="25" t="inlineStr">
        <is>
          <t>36/24</t>
        </is>
      </c>
      <c r="S246" s="27" t="n">
        <v>3770</v>
      </c>
      <c r="T246" s="27" t="n"/>
      <c r="U246" s="25" t="n">
        <v>2</v>
      </c>
      <c r="V246" s="27">
        <f>IF(S246="","",S246*U246)</f>
        <v/>
      </c>
      <c r="W246" s="26" t="inlineStr">
        <is>
          <t>Catalogue fee €3,770/yr (entered by institution).</t>
        </is>
      </c>
      <c r="X246" s="25" t="inlineStr">
        <is>
          <t>High</t>
        </is>
      </c>
      <c r="Y246" s="25" t="inlineStr">
        <is>
          <t>3770</t>
        </is>
      </c>
      <c r="Z246" s="26" t="n"/>
      <c r="AA246" s="26" t="n"/>
      <c r="AB246" s="25" t="n"/>
      <c r="AC246" s="25" t="inlineStr">
        <is>
          <t>Open</t>
        </is>
      </c>
      <c r="AD246" s="25" t="inlineStr">
        <is>
          <t>2026-10-01</t>
        </is>
      </c>
      <c r="AE246" s="25" t="inlineStr">
        <is>
          <t>2027-03-15</t>
        </is>
      </c>
      <c r="AF246" s="25" t="inlineStr">
        <is>
          <t>No</t>
        </is>
      </c>
      <c r="AG246" s="28" t="inlineStr">
        <is>
          <t>http://www.enseirb-matmeca.fr</t>
        </is>
      </c>
      <c r="AH246" s="26" t="n"/>
      <c r="AI246" s="28" t="inlineStr">
        <is>
          <t>Open in EEF</t>
        </is>
      </c>
    </row>
    <row r="247" ht="43.25" customHeight="1" s="19">
      <c r="A247" s="25" t="n">
        <v>246</v>
      </c>
      <c r="B247" s="25" t="inlineStr">
        <is>
          <t>★★★★☆</t>
        </is>
      </c>
      <c r="C247" s="25" t="inlineStr">
        <is>
          <t>4 – Strong fit (electronics/signal/robotics/IoT/sensors)</t>
        </is>
      </c>
      <c r="D247" s="25" t="inlineStr">
        <is>
          <t>Embedded systems / Electronics</t>
        </is>
      </c>
      <c r="E247" s="26" t="inlineStr">
        <is>
          <t>diplôme d'ingénieur de l'Institut national polytechnique de Bordeaux - École nationale supérieure d'électronique, informatique, télécommunications, mathématique et mécanique de Bordeaux spécialité mathématique et mécanique</t>
        </is>
      </c>
      <c r="F247" s="26" t="inlineStr">
        <is>
          <t>Engineering diploma of Institute National polytechnique of Bordeaux - National Graduate School of Electronics, Computer Science, Telecommunications, Mathematical &amp; Mechanics of Bordeaux – specialisation: Mathematical &amp; Mechanics</t>
        </is>
      </c>
      <c r="G247" s="25" t="inlineStr">
        <is>
          <t>Diplôme d'ingénieur</t>
        </is>
      </c>
      <c r="H247" s="25" t="inlineStr">
        <is>
          <t>ENS d'électronique, informatique, télécommunications, mathématiques et mécanique de Bordeaux</t>
        </is>
      </c>
      <c r="I247" s="25" t="inlineStr">
        <is>
          <t>Institut national polytechnique de Bordeaux</t>
        </is>
      </c>
      <c r="J247" s="25" t="inlineStr">
        <is>
          <t>Site de Talence</t>
        </is>
      </c>
      <c r="K247" s="25" t="n"/>
      <c r="L247" s="25" t="inlineStr">
        <is>
          <t>Public school / institute</t>
        </is>
      </c>
      <c r="M247" s="25" t="inlineStr">
        <is>
          <t>French</t>
        </is>
      </c>
      <c r="N247" s="25" t="inlineStr">
        <is>
          <t>General</t>
        </is>
      </c>
      <c r="O247" s="25" t="inlineStr">
        <is>
          <t>Bac +3 / Bac +4 / Bac +5</t>
        </is>
      </c>
      <c r="P247" s="26" t="inlineStr">
        <is>
          <t>Eligible on level (4-yr BS ≈ Bac+4)</t>
        </is>
      </c>
      <c r="Q247" s="25" t="inlineStr">
        <is>
          <t>1/2/3</t>
        </is>
      </c>
      <c r="R247" s="25" t="inlineStr">
        <is>
          <t>36/24</t>
        </is>
      </c>
      <c r="S247" s="27" t="n">
        <v>3770</v>
      </c>
      <c r="T247" s="27" t="n"/>
      <c r="U247" s="25" t="n">
        <v>2</v>
      </c>
      <c r="V247" s="27">
        <f>IF(S247="","",S247*U247)</f>
        <v/>
      </c>
      <c r="W247" s="26" t="inlineStr">
        <is>
          <t>Catalogue fee €3,770/yr (entered by institution).</t>
        </is>
      </c>
      <c r="X247" s="25" t="inlineStr">
        <is>
          <t>High</t>
        </is>
      </c>
      <c r="Y247" s="25" t="inlineStr">
        <is>
          <t>3770</t>
        </is>
      </c>
      <c r="Z247" s="26" t="n"/>
      <c r="AA247" s="26" t="n"/>
      <c r="AB247" s="25" t="n"/>
      <c r="AC247" s="25" t="inlineStr">
        <is>
          <t>Open</t>
        </is>
      </c>
      <c r="AD247" s="25" t="inlineStr">
        <is>
          <t>2026-10-01</t>
        </is>
      </c>
      <c r="AE247" s="25" t="inlineStr">
        <is>
          <t>2027-03-15</t>
        </is>
      </c>
      <c r="AF247" s="25" t="inlineStr">
        <is>
          <t>No</t>
        </is>
      </c>
      <c r="AG247" s="28" t="inlineStr">
        <is>
          <t>http://www.enseirb-matmeca.fr</t>
        </is>
      </c>
      <c r="AH247" s="26" t="n"/>
      <c r="AI247" s="28" t="inlineStr">
        <is>
          <t>Open in EEF</t>
        </is>
      </c>
    </row>
    <row r="248" ht="43.25" customHeight="1" s="19">
      <c r="A248" s="25" t="n">
        <v>247</v>
      </c>
      <c r="B248" s="25" t="inlineStr">
        <is>
          <t>★★★★☆</t>
        </is>
      </c>
      <c r="C248" s="25" t="inlineStr">
        <is>
          <t>4 – Strong fit (electronics/signal/robotics/IoT/sensors)</t>
        </is>
      </c>
      <c r="D248" s="25" t="inlineStr">
        <is>
          <t>Embedded systems / Electronics</t>
        </is>
      </c>
      <c r="E248" s="26" t="inlineStr">
        <is>
          <t>diplôme d'ingénieur de l'Institut national polytechnique de Bordeaux - École nationale supérieure d'électronique, informatique, télécommunications, mathématique et mécanique de Bordeaux spécialité télécommunications</t>
        </is>
      </c>
      <c r="F248" s="26" t="inlineStr">
        <is>
          <t>Engineering diploma of Institute National polytechnique of Bordeaux - National Graduate School of Electronics, Computer Science, Telecommunications, Mathematical &amp; Mechanics of Bordeaux – specialisation: Telecommunications</t>
        </is>
      </c>
      <c r="G248" s="25" t="inlineStr">
        <is>
          <t>Diplôme d'ingénieur</t>
        </is>
      </c>
      <c r="H248" s="25" t="inlineStr">
        <is>
          <t>ENS d'électronique, informatique, télécommunications, mathématiques et mécanique de Bordeaux</t>
        </is>
      </c>
      <c r="I248" s="25" t="inlineStr">
        <is>
          <t>Institut national polytechnique de Bordeaux</t>
        </is>
      </c>
      <c r="J248" s="25" t="inlineStr">
        <is>
          <t>Site de Talence</t>
        </is>
      </c>
      <c r="K248" s="25" t="n"/>
      <c r="L248" s="25" t="inlineStr">
        <is>
          <t>Public school / institute</t>
        </is>
      </c>
      <c r="M248" s="25" t="inlineStr">
        <is>
          <t>French</t>
        </is>
      </c>
      <c r="N248" s="25" t="inlineStr">
        <is>
          <t>General</t>
        </is>
      </c>
      <c r="O248" s="25" t="inlineStr">
        <is>
          <t>Bac +3 / Bac +4 / Bac +5</t>
        </is>
      </c>
      <c r="P248" s="26" t="inlineStr">
        <is>
          <t>Eligible on level (4-yr BS ≈ Bac+4)</t>
        </is>
      </c>
      <c r="Q248" s="25" t="inlineStr">
        <is>
          <t>1/2/3</t>
        </is>
      </c>
      <c r="R248" s="25" t="inlineStr">
        <is>
          <t>36/24</t>
        </is>
      </c>
      <c r="S248" s="27" t="n">
        <v>3770</v>
      </c>
      <c r="T248" s="27" t="n"/>
      <c r="U248" s="25" t="n">
        <v>2</v>
      </c>
      <c r="V248" s="27">
        <f>IF(S248="","",S248*U248)</f>
        <v/>
      </c>
      <c r="W248" s="26" t="inlineStr">
        <is>
          <t>Catalogue fee €3,770/yr (entered by institution).</t>
        </is>
      </c>
      <c r="X248" s="25" t="inlineStr">
        <is>
          <t>High</t>
        </is>
      </c>
      <c r="Y248" s="25" t="inlineStr">
        <is>
          <t>3770</t>
        </is>
      </c>
      <c r="Z248" s="26" t="n"/>
      <c r="AA248" s="26" t="n"/>
      <c r="AB248" s="25" t="n"/>
      <c r="AC248" s="25" t="inlineStr">
        <is>
          <t>Open</t>
        </is>
      </c>
      <c r="AD248" s="25" t="inlineStr">
        <is>
          <t>2026-10-01</t>
        </is>
      </c>
      <c r="AE248" s="25" t="inlineStr">
        <is>
          <t>2027-03-15</t>
        </is>
      </c>
      <c r="AF248" s="25" t="inlineStr">
        <is>
          <t>No</t>
        </is>
      </c>
      <c r="AG248" s="28" t="inlineStr">
        <is>
          <t>http://www.enseirb-matmeca.fr</t>
        </is>
      </c>
      <c r="AH248" s="26" t="n"/>
      <c r="AI248" s="28" t="inlineStr">
        <is>
          <t>Open in EEF</t>
        </is>
      </c>
    </row>
    <row r="249" ht="22.35" customHeight="1" s="19">
      <c r="A249" s="25" t="n">
        <v>248</v>
      </c>
      <c r="B249" s="25" t="inlineStr">
        <is>
          <t>★★★★☆</t>
        </is>
      </c>
      <c r="C249" s="25" t="inlineStr">
        <is>
          <t>4 – Strong fit (electronics/signal/robotics/IoT/sensors)</t>
        </is>
      </c>
      <c r="D249" s="25" t="inlineStr">
        <is>
          <t>IoT / Telecom / Networks</t>
        </is>
      </c>
      <c r="E249" s="26" t="inlineStr">
        <is>
          <t>diplôme d'ingénieur de l'École polytechnique universitaire de l'université de lorraine parcours Informatique Automatique Robotique Réseaux (IA2R)</t>
        </is>
      </c>
      <c r="F249" s="26" t="inlineStr">
        <is>
          <t>Engineering diploma of the University Polytechnic School of University of lorraine – track: Computer Science Automation Robotics Networks (IA2R)</t>
        </is>
      </c>
      <c r="G249" s="25" t="inlineStr">
        <is>
          <t>Diplôme d'ingénieur</t>
        </is>
      </c>
      <c r="H249" s="25" t="inlineStr">
        <is>
          <t>Polytech Nancy</t>
        </is>
      </c>
      <c r="I249" s="25" t="inlineStr">
        <is>
          <t>Groupement Polytech</t>
        </is>
      </c>
      <c r="J249" s="25" t="inlineStr">
        <is>
          <t>Site de Vandoeuvre-lès-Nancy</t>
        </is>
      </c>
      <c r="K249" s="25" t="n"/>
      <c r="L249" s="25" t="inlineStr">
        <is>
          <t>Public school / institute</t>
        </is>
      </c>
      <c r="M249" s="25" t="inlineStr">
        <is>
          <t>French</t>
        </is>
      </c>
      <c r="N249" s="25" t="inlineStr">
        <is>
          <t>General</t>
        </is>
      </c>
      <c r="O249" s="25" t="inlineStr">
        <is>
          <t>Bac +3 / Bac +4</t>
        </is>
      </c>
      <c r="P249" s="26" t="inlineStr">
        <is>
          <t>Eligible on level (4-yr BS ≈ Bac+4)</t>
        </is>
      </c>
      <c r="Q249" s="25" t="inlineStr">
        <is>
          <t>3/4</t>
        </is>
      </c>
      <c r="R249" s="25" t="inlineStr">
        <is>
          <t>12</t>
        </is>
      </c>
      <c r="S249" s="27" t="n">
        <v>3792</v>
      </c>
      <c r="T249" s="27" t="n"/>
      <c r="U249" s="25" t="n">
        <v>2</v>
      </c>
      <c r="V249" s="27">
        <f>IF(S249="","",S249*U249)</f>
        <v/>
      </c>
      <c r="W249" s="26" t="inlineStr">
        <is>
          <t>Catalogue fee €3,792/yr (entered by institution).</t>
        </is>
      </c>
      <c r="X249" s="25" t="inlineStr">
        <is>
          <t>High</t>
        </is>
      </c>
      <c r="Y249" s="25" t="inlineStr">
        <is>
          <t>3792</t>
        </is>
      </c>
      <c r="Z249" s="26" t="n"/>
      <c r="AA249" s="26" t="n"/>
      <c r="AB249" s="25" t="n"/>
      <c r="AC249" s="25" t="inlineStr">
        <is>
          <t>Open</t>
        </is>
      </c>
      <c r="AD249" s="25" t="inlineStr">
        <is>
          <t>2026-10-01</t>
        </is>
      </c>
      <c r="AE249" s="25" t="inlineStr">
        <is>
          <t>2027-03-15</t>
        </is>
      </c>
      <c r="AF249" s="25" t="inlineStr">
        <is>
          <t>Yes</t>
        </is>
      </c>
      <c r="AG249" s="25" t="n"/>
      <c r="AH249" s="26" t="n"/>
      <c r="AI249" s="28" t="inlineStr">
        <is>
          <t>Open in EEF</t>
        </is>
      </c>
    </row>
    <row r="250" ht="32.8" customHeight="1" s="19">
      <c r="A250" s="25" t="n">
        <v>249</v>
      </c>
      <c r="B250" s="25" t="inlineStr">
        <is>
          <t>★★★★☆</t>
        </is>
      </c>
      <c r="C250" s="25" t="inlineStr">
        <is>
          <t>4 – Strong fit (electronics/signal/robotics/IoT/sensors)</t>
        </is>
      </c>
      <c r="D250" s="25" t="inlineStr">
        <is>
          <t>Embedded systems / Electronics</t>
        </is>
      </c>
      <c r="E250" s="26" t="inlineStr">
        <is>
          <t>diplôme d'ingénieur de l'Ecole supérieure d'ingénieurs en électronique et électrotechnique d'Amiens</t>
        </is>
      </c>
      <c r="F250" s="26" t="inlineStr">
        <is>
          <t>Engineering diploma of School Higher of Engineers in Electronics &amp; Electrotechnics d'Amiens</t>
        </is>
      </c>
      <c r="G250" s="25" t="inlineStr">
        <is>
          <t>Diplôme d'ingénieur</t>
        </is>
      </c>
      <c r="H250" s="25" t="inlineStr">
        <is>
          <t>Ecole supérieure d'ingénieur en électronique et électrotechnique</t>
        </is>
      </c>
      <c r="I250" s="25" t="inlineStr">
        <is>
          <t>ESIEE - École Supérieure d'Ingénieurs en Électronique et Électrotechnique</t>
        </is>
      </c>
      <c r="J250" s="25" t="inlineStr">
        <is>
          <t>Site de Amiens</t>
        </is>
      </c>
      <c r="K250" s="25" t="n"/>
      <c r="L250" s="25" t="inlineStr">
        <is>
          <t>Private / EESPIG</t>
        </is>
      </c>
      <c r="M250" s="25" t="inlineStr">
        <is>
          <t>French</t>
        </is>
      </c>
      <c r="N250" s="25" t="inlineStr">
        <is>
          <t>General</t>
        </is>
      </c>
      <c r="O250" s="25" t="inlineStr">
        <is>
          <t>Bac +1 / Bac +2 / Bac +3 / Bac +4</t>
        </is>
      </c>
      <c r="P250" s="26" t="inlineStr">
        <is>
          <t>Eligible on level (4-yr BS ≈ Bac+4)</t>
        </is>
      </c>
      <c r="Q250" s="25" t="inlineStr">
        <is>
          <t>1/2/3/4</t>
        </is>
      </c>
      <c r="R250" s="25" t="n"/>
      <c r="S250" s="27" t="n">
        <v>3875</v>
      </c>
      <c r="T250" s="27" t="n"/>
      <c r="U250" s="25" t="n">
        <v>2</v>
      </c>
      <c r="V250" s="27">
        <f>IF(S250="","",S250*U250)</f>
        <v/>
      </c>
      <c r="W250" s="26" t="inlineStr">
        <is>
          <t>Catalogue fee €3,875/yr (entered by institution).</t>
        </is>
      </c>
      <c r="X250" s="25" t="inlineStr">
        <is>
          <t>High</t>
        </is>
      </c>
      <c r="Y250" s="25" t="inlineStr">
        <is>
          <t>3875/5100</t>
        </is>
      </c>
      <c r="Z250" s="26" t="n"/>
      <c r="AA250" s="26" t="n"/>
      <c r="AB250" s="25" t="n"/>
      <c r="AC250" s="25" t="inlineStr">
        <is>
          <t>Open</t>
        </is>
      </c>
      <c r="AD250" s="25" t="inlineStr">
        <is>
          <t>2026-10-01</t>
        </is>
      </c>
      <c r="AE250" s="25" t="inlineStr">
        <is>
          <t>2027-03-15</t>
        </is>
      </c>
      <c r="AF250" s="25" t="inlineStr">
        <is>
          <t>No</t>
        </is>
      </c>
      <c r="AG250" s="28" t="inlineStr">
        <is>
          <t>http://www.esiee-amiens.fr</t>
        </is>
      </c>
      <c r="AH250" s="26" t="inlineStr">
        <is>
          <t>L'ESIEE-Amiens forme des ingénieurs aux techniques et à la maîtrise de la double transition énergétique et numérique. Elle ouvre les portes des domaines de l'énergie (électrique, thermique ou renouvelable), des réseaux e</t>
        </is>
      </c>
      <c r="AI250" s="28" t="inlineStr">
        <is>
          <t>Open in EEF</t>
        </is>
      </c>
    </row>
    <row r="251" ht="32.8" customHeight="1" s="19">
      <c r="A251" s="25" t="n">
        <v>250</v>
      </c>
      <c r="B251" s="25" t="inlineStr">
        <is>
          <t>★★★★☆</t>
        </is>
      </c>
      <c r="C251" s="25" t="inlineStr">
        <is>
          <t>4 – Strong fit (electronics/signal/robotics/IoT/sensors)</t>
        </is>
      </c>
      <c r="D251" s="25" t="inlineStr">
        <is>
          <t>Robotics / Automation / Mechatronics</t>
        </is>
      </c>
      <c r="E251" s="26" t="inlineStr">
        <is>
          <t>diplôme d'ingénieur de l'Ecole Polytechnique d'Université Côte d'Azur spécialité robotique systèmes autonomes</t>
        </is>
      </c>
      <c r="F251" s="26" t="inlineStr">
        <is>
          <t>Engineering diploma of School Polytechnique of University Côte d'Azur – specialisation: Robotics Systems Autonomous</t>
        </is>
      </c>
      <c r="G251" s="25" t="inlineStr">
        <is>
          <t>Diplôme d'ingénieur</t>
        </is>
      </c>
      <c r="H251" s="25" t="inlineStr">
        <is>
          <t>Polytech Nice-Sophia</t>
        </is>
      </c>
      <c r="I251" s="25" t="inlineStr">
        <is>
          <t>Groupement Polytech</t>
        </is>
      </c>
      <c r="J251" s="25" t="inlineStr">
        <is>
          <t>Site de Biot</t>
        </is>
      </c>
      <c r="K251" s="25" t="n"/>
      <c r="L251" s="25" t="inlineStr">
        <is>
          <t>Public school / institute</t>
        </is>
      </c>
      <c r="M251" s="25" t="inlineStr">
        <is>
          <t>French</t>
        </is>
      </c>
      <c r="N251" s="25" t="inlineStr">
        <is>
          <t>General</t>
        </is>
      </c>
      <c r="O251" s="25" t="inlineStr">
        <is>
          <t>Bac +3 / Bac +4</t>
        </is>
      </c>
      <c r="P251" s="26" t="inlineStr">
        <is>
          <t>Eligible on level (4-yr BS ≈ Bac+4)</t>
        </is>
      </c>
      <c r="Q251" s="25" t="inlineStr">
        <is>
          <t>3/4</t>
        </is>
      </c>
      <c r="R251" s="25" t="inlineStr">
        <is>
          <t>36</t>
        </is>
      </c>
      <c r="S251" s="27" t="n">
        <v>3879</v>
      </c>
      <c r="T251" s="27" t="n"/>
      <c r="U251" s="25" t="n">
        <v>2</v>
      </c>
      <c r="V251" s="27">
        <f>IF(S251="","",S251*U251)</f>
        <v/>
      </c>
      <c r="W251" s="26" t="inlineStr">
        <is>
          <t>Catalogue fee €3,879/yr (entered by institution).</t>
        </is>
      </c>
      <c r="X251" s="25" t="inlineStr">
        <is>
          <t>High</t>
        </is>
      </c>
      <c r="Y251" s="25" t="inlineStr">
        <is>
          <t>3879</t>
        </is>
      </c>
      <c r="Z251" s="26" t="n"/>
      <c r="AA251" s="26" t="n"/>
      <c r="AB251" s="25" t="n"/>
      <c r="AC251" s="25" t="inlineStr">
        <is>
          <t>Open</t>
        </is>
      </c>
      <c r="AD251" s="25" t="inlineStr">
        <is>
          <t>2026-10-01</t>
        </is>
      </c>
      <c r="AE251" s="25" t="inlineStr">
        <is>
          <t>2027-03-15</t>
        </is>
      </c>
      <c r="AF251" s="25" t="inlineStr">
        <is>
          <t>Yes</t>
        </is>
      </c>
      <c r="AG251" s="28" t="inlineStr">
        <is>
          <t>https://polytech.univ-cotedazur.fr/</t>
        </is>
      </c>
      <c r="AH251" s="26" t="inlineStr">
        <is>
          <t>Le curriculum de la formation se trouve sur Internet : http://www.polytech.univ-cotedazur.fr/ Frais d'inscription : Etudiants français ou d'un pays de l'union européenne, de l'espace économique européen ou de la Suisse :</t>
        </is>
      </c>
      <c r="AI251" s="28" t="inlineStr">
        <is>
          <t>Open in EEF</t>
        </is>
      </c>
    </row>
    <row r="252" ht="43.25" customHeight="1" s="19">
      <c r="A252" s="25" t="n">
        <v>251</v>
      </c>
      <c r="B252" s="25" t="inlineStr">
        <is>
          <t>★★★★☆</t>
        </is>
      </c>
      <c r="C252" s="25" t="inlineStr">
        <is>
          <t>4 – Strong fit (electronics/signal/robotics/IoT/sensors)</t>
        </is>
      </c>
      <c r="D252" s="25" t="inlineStr">
        <is>
          <t>IoT / Telecom / Networks</t>
        </is>
      </c>
      <c r="E252" s="26" t="inlineStr">
        <is>
          <t>diplôme d'ingénieur de l'Institut national des sciences appliquées de Lyon spécialité télécommunications</t>
        </is>
      </c>
      <c r="F252" s="26" t="inlineStr">
        <is>
          <t>Engineering diploma of INSA of Lyon – specialisation: Telecommunications</t>
        </is>
      </c>
      <c r="G252" s="25" t="inlineStr">
        <is>
          <t>Diplôme d'ingénieur</t>
        </is>
      </c>
      <c r="H252" s="25" t="inlineStr">
        <is>
          <t>Institut national des sciences appliquées de Lyon</t>
        </is>
      </c>
      <c r="I252" s="25" t="n"/>
      <c r="J252" s="25" t="inlineStr">
        <is>
          <t>Site de Villeurbanne</t>
        </is>
      </c>
      <c r="K252" s="25" t="n"/>
      <c r="L252" s="25" t="inlineStr">
        <is>
          <t>Public school / institute</t>
        </is>
      </c>
      <c r="M252" s="25" t="inlineStr">
        <is>
          <t>French</t>
        </is>
      </c>
      <c r="N252" s="25" t="inlineStr">
        <is>
          <t>General</t>
        </is>
      </c>
      <c r="O252" s="25" t="inlineStr">
        <is>
          <t>Bac +3 / Bac +4</t>
        </is>
      </c>
      <c r="P252" s="26" t="inlineStr">
        <is>
          <t>Eligible on level (4-yr BS ≈ Bac+4)</t>
        </is>
      </c>
      <c r="Q252" s="25" t="inlineStr">
        <is>
          <t>3/4</t>
        </is>
      </c>
      <c r="R252" s="25" t="inlineStr">
        <is>
          <t>12</t>
        </is>
      </c>
      <c r="S252" s="27" t="n">
        <v>3879</v>
      </c>
      <c r="T252" s="27" t="n"/>
      <c r="U252" s="25" t="n">
        <v>2</v>
      </c>
      <c r="V252" s="27">
        <f>IF(S252="","",S252*U252)</f>
        <v/>
      </c>
      <c r="W252" s="26" t="inlineStr">
        <is>
          <t>Catalogue fee €3,879/yr (entered by institution).</t>
        </is>
      </c>
      <c r="X252" s="25" t="inlineStr">
        <is>
          <t>High</t>
        </is>
      </c>
      <c r="Y252" s="25" t="inlineStr">
        <is>
          <t>3941/3879</t>
        </is>
      </c>
      <c r="Z252" s="26" t="inlineStr">
        <is>
          <t>sa-en-3e-annee Période de candidature: 19/01/2026 au 19/03/2026 Droits de candidature 105 euros (candidats boursiers exonérés) C1 français requis … on de l'arrêté ministériel) : - pour les étudiants nationaux et intra-co</t>
        </is>
      </c>
      <c r="AA252" s="26" t="n"/>
      <c r="AB252" s="25" t="n"/>
      <c r="AC252" s="25" t="inlineStr">
        <is>
          <t>Open</t>
        </is>
      </c>
      <c r="AD252" s="25" t="inlineStr">
        <is>
          <t>2026-10-01</t>
        </is>
      </c>
      <c r="AE252" s="25" t="inlineStr">
        <is>
          <t>2027-03-15</t>
        </is>
      </c>
      <c r="AF252" s="25" t="inlineStr">
        <is>
          <t>Yes</t>
        </is>
      </c>
      <c r="AG252" s="28" t="inlineStr">
        <is>
          <t>https://www.insa-lyon.fr/fr/formation/</t>
        </is>
      </c>
      <c r="AH252" s="26" t="inlineStr">
        <is>
          <t>La spécialité du diplôme n'est accessible qu'en troisième et quatrième année du cycle d'ingénieur. Le département Télécommunications, avec des promotions de 75 élèves-ingénieurs, répond au formidable développement des Te</t>
        </is>
      </c>
      <c r="AI252" s="28" t="inlineStr">
        <is>
          <t>Open in EEF</t>
        </is>
      </c>
    </row>
    <row r="253" ht="43.25" customHeight="1" s="19">
      <c r="A253" s="25" t="n">
        <v>252</v>
      </c>
      <c r="B253" s="25" t="inlineStr">
        <is>
          <t>★★★★☆</t>
        </is>
      </c>
      <c r="C253" s="25" t="inlineStr">
        <is>
          <t>4 – Strong fit (electronics/signal/robotics/IoT/sensors)</t>
        </is>
      </c>
      <c r="D253" s="25" t="inlineStr">
        <is>
          <t>Robotics / Automation / Mechatronics</t>
        </is>
      </c>
      <c r="E253" s="26" t="inlineStr">
        <is>
          <t>Diplôme d'Ingénieur de l'INSA Hauts-de-France - Formation Ingénieur sous Statut Etudiant (FISE) parcours Mécatronique (MT)</t>
        </is>
      </c>
      <c r="F253" s="26" t="inlineStr">
        <is>
          <t>Engineering diploma of l'INSA Hauts-de-France - Training Engineer under status Etudiant (FISE) – track: Mechatronics (MT)</t>
        </is>
      </c>
      <c r="G253" s="25" t="inlineStr">
        <is>
          <t>Diplôme d'ingénieur</t>
        </is>
      </c>
      <c r="H253" s="25" t="inlineStr">
        <is>
          <t>INSA HAUTS-DE-FRANCE</t>
        </is>
      </c>
      <c r="I253" s="25" t="inlineStr">
        <is>
          <t>Université polytechnique Hauts-de-France (UPHF)</t>
        </is>
      </c>
      <c r="J253" s="25" t="inlineStr">
        <is>
          <t>Site de Valenciennes</t>
        </is>
      </c>
      <c r="K253" s="25" t="n"/>
      <c r="L253" s="25" t="inlineStr">
        <is>
          <t>Public school / institute</t>
        </is>
      </c>
      <c r="M253" s="25" t="inlineStr">
        <is>
          <t>French</t>
        </is>
      </c>
      <c r="N253" s="25" t="inlineStr">
        <is>
          <t>General</t>
        </is>
      </c>
      <c r="O253" s="25" t="inlineStr">
        <is>
          <t>Bac +3 / Bac +4</t>
        </is>
      </c>
      <c r="P253" s="26" t="inlineStr">
        <is>
          <t>Eligible on level (4-yr BS ≈ Bac+4)</t>
        </is>
      </c>
      <c r="Q253" s="25" t="inlineStr">
        <is>
          <t>3/4</t>
        </is>
      </c>
      <c r="R253" s="25" t="n"/>
      <c r="S253" s="27" t="n">
        <v>3941</v>
      </c>
      <c r="T253" s="27" t="n"/>
      <c r="U253" s="25" t="n">
        <v>2</v>
      </c>
      <c r="V253" s="27">
        <f>IF(S253="","",S253*U253)</f>
        <v/>
      </c>
      <c r="W253" s="26" t="inlineStr">
        <is>
          <t>Catalogue fee €3,941/yr (entered by institution).</t>
        </is>
      </c>
      <c r="X253" s="25" t="inlineStr">
        <is>
          <t>High</t>
        </is>
      </c>
      <c r="Y253" s="25" t="inlineStr">
        <is>
          <t>3941</t>
        </is>
      </c>
      <c r="Z253" s="26" t="inlineStr">
        <is>
          <t>te du groupe INSA sont assujetties à des frais de dossier obligatoires qui s’élèvent à 105€ … TUDIEE QUE SI CES DEUX DEMARCHES SONT EFFECTUEES Frais à prévoir : Frais de dossier : 105 € , non remboursables même en cas de</t>
        </is>
      </c>
      <c r="AA253" s="26" t="n"/>
      <c r="AB253" s="25" t="n"/>
      <c r="AC253" s="25" t="inlineStr">
        <is>
          <t>Open</t>
        </is>
      </c>
      <c r="AD253" s="25" t="inlineStr">
        <is>
          <t>2026-10-01</t>
        </is>
      </c>
      <c r="AE253" s="25" t="inlineStr">
        <is>
          <t>2027-03-15</t>
        </is>
      </c>
      <c r="AF253" s="25" t="inlineStr">
        <is>
          <t>Yes</t>
        </is>
      </c>
      <c r="AG253" s="28" t="inlineStr">
        <is>
          <t>https://www.insa-hautsdefrance.fr/formation-ingenieurs</t>
        </is>
      </c>
      <c r="AH253" s="26" t="inlineStr">
        <is>
          <t>Entrée en année 3 : Etre titulaire d'un diplôme à BAC+2 dans une spécialité compatible Entrée en année 4 : Etre titulaire d'un diplôme à BAC+4 dans une spécialité compatible Niveau certifié en langues : - C1 en français</t>
        </is>
      </c>
      <c r="AI253" s="28" t="inlineStr">
        <is>
          <t>Open in EEF</t>
        </is>
      </c>
    </row>
    <row r="254" ht="43.25" customHeight="1" s="19">
      <c r="A254" s="25" t="n">
        <v>253</v>
      </c>
      <c r="B254" s="25" t="inlineStr">
        <is>
          <t>★★★★☆</t>
        </is>
      </c>
      <c r="C254" s="25" t="inlineStr">
        <is>
          <t>4 – Strong fit (electronics/signal/robotics/IoT/sensors)</t>
        </is>
      </c>
      <c r="D254" s="25" t="inlineStr">
        <is>
          <t>Electrical energy</t>
        </is>
      </c>
      <c r="E254" s="26" t="inlineStr">
        <is>
          <t>diplôme d'ingénieur de l'Institut national des sciences appliquées de Lyon spécialité génie électrique</t>
        </is>
      </c>
      <c r="F254" s="26" t="inlineStr">
        <is>
          <t>Engineering diploma of INSA of Lyon – specialisation: Electrical Engineering</t>
        </is>
      </c>
      <c r="G254" s="25" t="inlineStr">
        <is>
          <t>Diplôme d'ingénieur</t>
        </is>
      </c>
      <c r="H254" s="25" t="inlineStr">
        <is>
          <t>Institut national des sciences appliquées de Lyon</t>
        </is>
      </c>
      <c r="I254" s="25" t="n"/>
      <c r="J254" s="25" t="inlineStr">
        <is>
          <t>Site de Villeurbanne</t>
        </is>
      </c>
      <c r="K254" s="25" t="n"/>
      <c r="L254" s="25" t="inlineStr">
        <is>
          <t>Public school / institute</t>
        </is>
      </c>
      <c r="M254" s="25" t="inlineStr">
        <is>
          <t>French</t>
        </is>
      </c>
      <c r="N254" s="25" t="inlineStr">
        <is>
          <t>General</t>
        </is>
      </c>
      <c r="O254" s="25" t="inlineStr">
        <is>
          <t>Bac +3 / Bac +4</t>
        </is>
      </c>
      <c r="P254" s="26" t="inlineStr">
        <is>
          <t>Eligible on level (4-yr BS ≈ Bac+4)</t>
        </is>
      </c>
      <c r="Q254" s="25" t="inlineStr">
        <is>
          <t>3/4</t>
        </is>
      </c>
      <c r="R254" s="25" t="inlineStr">
        <is>
          <t>12</t>
        </is>
      </c>
      <c r="S254" s="27" t="n">
        <v>3941</v>
      </c>
      <c r="T254" s="27" t="n"/>
      <c r="U254" s="25" t="n">
        <v>2</v>
      </c>
      <c r="V254" s="27">
        <f>IF(S254="","",S254*U254)</f>
        <v/>
      </c>
      <c r="W254" s="26" t="inlineStr">
        <is>
          <t>Catalogue fee €3,941/yr (entered by institution).</t>
        </is>
      </c>
      <c r="X254" s="25" t="inlineStr">
        <is>
          <t>High</t>
        </is>
      </c>
      <c r="Y254" s="25" t="inlineStr">
        <is>
          <t>3941</t>
        </is>
      </c>
      <c r="Z254" s="26" t="inlineStr">
        <is>
          <t>sa-en-3e-annee Période de candidature: 19/01/2026 au 19/03/2026 Droits de candidature 105 euros (candidats boursiers exonérés) C1 français requis … on de l'arrêté ministériel) : - pour les étudiants nationaux et intra-co</t>
        </is>
      </c>
      <c r="AA254" s="26" t="n"/>
      <c r="AB254" s="25" t="n"/>
      <c r="AC254" s="25" t="inlineStr">
        <is>
          <t>Open</t>
        </is>
      </c>
      <c r="AD254" s="25" t="inlineStr">
        <is>
          <t>2026-10-01</t>
        </is>
      </c>
      <c r="AE254" s="25" t="inlineStr">
        <is>
          <t>2027-03-15</t>
        </is>
      </c>
      <c r="AF254" s="25" t="inlineStr">
        <is>
          <t>Yes</t>
        </is>
      </c>
      <c r="AG254" s="28" t="inlineStr">
        <is>
          <t>https://www.insa-lyon.fr/fr/formation/</t>
        </is>
      </c>
      <c r="AH254" s="26" t="inlineStr">
        <is>
          <t>La spécialité du diplôme n'est accessible qu'en troisième et quatrième année du cycle d'ingénieur. Le Département de Génie Electrique de l’INSA assure une formation d’ingénieurs pluridisciplinaires dans le domaine des sy</t>
        </is>
      </c>
      <c r="AI254" s="28" t="inlineStr">
        <is>
          <t>Open in EEF</t>
        </is>
      </c>
    </row>
    <row r="255" ht="43.25" customHeight="1" s="19">
      <c r="A255" s="25" t="n">
        <v>254</v>
      </c>
      <c r="B255" s="25" t="inlineStr">
        <is>
          <t>★★★★☆</t>
        </is>
      </c>
      <c r="C255" s="25" t="inlineStr">
        <is>
          <t>4 – Strong fit (electronics/signal/robotics/IoT/sensors)</t>
        </is>
      </c>
      <c r="D255" s="25" t="inlineStr">
        <is>
          <t>Robotics / Automation / Mechatronics</t>
        </is>
      </c>
      <c r="E255" s="26" t="inlineStr">
        <is>
          <t>diplôme d'ingénieur de l'Institut National des Sciences Appliquées Hauts-de-France Informatique Industrielle et Automatique (IIA)</t>
        </is>
      </c>
      <c r="F255" s="26" t="inlineStr">
        <is>
          <t>Engineering diploma of INSA Hauts-de-France Industrial Computing &amp; Automation (IIA)</t>
        </is>
      </c>
      <c r="G255" s="25" t="inlineStr">
        <is>
          <t>Diplôme d'ingénieur</t>
        </is>
      </c>
      <c r="H255" s="25" t="inlineStr">
        <is>
          <t>INSA HAUTS-DE-FRANCE</t>
        </is>
      </c>
      <c r="I255" s="25" t="inlineStr">
        <is>
          <t>Université polytechnique Hauts-de-France (UPHF)</t>
        </is>
      </c>
      <c r="J255" s="25" t="inlineStr">
        <is>
          <t>Site de Valenciennes</t>
        </is>
      </c>
      <c r="K255" s="25" t="n"/>
      <c r="L255" s="25" t="inlineStr">
        <is>
          <t>Public school / institute</t>
        </is>
      </c>
      <c r="M255" s="25" t="inlineStr">
        <is>
          <t>French</t>
        </is>
      </c>
      <c r="N255" s="25" t="inlineStr">
        <is>
          <t>General</t>
        </is>
      </c>
      <c r="O255" s="25" t="inlineStr">
        <is>
          <t>Bac +3 / Bac +4</t>
        </is>
      </c>
      <c r="P255" s="26" t="inlineStr">
        <is>
          <t>Eligible on level (4-yr BS ≈ Bac+4)</t>
        </is>
      </c>
      <c r="Q255" s="25" t="inlineStr">
        <is>
          <t>3/4</t>
        </is>
      </c>
      <c r="R255" s="25" t="n"/>
      <c r="S255" s="27" t="n">
        <v>3941</v>
      </c>
      <c r="T255" s="27" t="n"/>
      <c r="U255" s="25" t="n">
        <v>2</v>
      </c>
      <c r="V255" s="27">
        <f>IF(S255="","",S255*U255)</f>
        <v/>
      </c>
      <c r="W255" s="26" t="inlineStr">
        <is>
          <t>Catalogue fee €3,941/yr (entered by institution).</t>
        </is>
      </c>
      <c r="X255" s="25" t="inlineStr">
        <is>
          <t>High</t>
        </is>
      </c>
      <c r="Y255" s="25" t="inlineStr">
        <is>
          <t>3941</t>
        </is>
      </c>
      <c r="Z255" s="26" t="inlineStr">
        <is>
          <t>te du groupe INSA sont assujetties à des frais de dossier obligatoires qui s’élèvent à 105€ … TUDIEE QUE SI CES DEUX DEMARCHES SONT EFFECTUEES Frais à prévoir : Frais de dossier : 105 € , non remboursables même en cas de</t>
        </is>
      </c>
      <c r="AA255" s="26" t="n"/>
      <c r="AB255" s="25" t="n"/>
      <c r="AC255" s="25" t="inlineStr">
        <is>
          <t>Open</t>
        </is>
      </c>
      <c r="AD255" s="25" t="inlineStr">
        <is>
          <t>2026-10-01</t>
        </is>
      </c>
      <c r="AE255" s="25" t="inlineStr">
        <is>
          <t>2027-03-15</t>
        </is>
      </c>
      <c r="AF255" s="25" t="inlineStr">
        <is>
          <t>Yes</t>
        </is>
      </c>
      <c r="AG255" s="28" t="inlineStr">
        <is>
          <t>https://www.insa-hautsdefrance.fr/formation-ingenieurs</t>
        </is>
      </c>
      <c r="AH255" s="26" t="inlineStr">
        <is>
          <t>Entrée en année 3 : Etre titulaire d'un diplôme à BAC+2 dans une spécialité compatible Entrée en année 4 : Etre titulaire d'un diplôme à BAC+4 dans une spécialité compatible Niveau certifié en langues : - C1 en français</t>
        </is>
      </c>
      <c r="AI255" s="28" t="inlineStr">
        <is>
          <t>Open in EEF</t>
        </is>
      </c>
    </row>
    <row r="256" ht="43.25" customHeight="1" s="19">
      <c r="A256" s="25" t="n">
        <v>255</v>
      </c>
      <c r="B256" s="25" t="inlineStr">
        <is>
          <t>★★★★☆</t>
        </is>
      </c>
      <c r="C256" s="25" t="inlineStr">
        <is>
          <t>4 – Strong fit (electronics/signal/robotics/IoT/sensors)</t>
        </is>
      </c>
      <c r="D256" s="25" t="inlineStr">
        <is>
          <t>Embedded systems / Electronics</t>
        </is>
      </c>
      <c r="E256" s="26" t="inlineStr">
        <is>
          <t>diplôme d'ingénieur de l'Institut National des Sciences Appliquées Hauts-de-France Systèmes Electroniques et Télécommunications (SET)</t>
        </is>
      </c>
      <c r="F256" s="26" t="inlineStr">
        <is>
          <t>Engineering diploma of INSA Hauts-de-France Systems Electroniques &amp; Telecommunications (SET)</t>
        </is>
      </c>
      <c r="G256" s="25" t="inlineStr">
        <is>
          <t>Diplôme d'ingénieur</t>
        </is>
      </c>
      <c r="H256" s="25" t="inlineStr">
        <is>
          <t>INSA HAUTS-DE-FRANCE</t>
        </is>
      </c>
      <c r="I256" s="25" t="inlineStr">
        <is>
          <t>Université polytechnique Hauts-de-France (UPHF)</t>
        </is>
      </c>
      <c r="J256" s="25" t="inlineStr">
        <is>
          <t>Site de Valenciennes</t>
        </is>
      </c>
      <c r="K256" s="25" t="n"/>
      <c r="L256" s="25" t="inlineStr">
        <is>
          <t>Public school / institute</t>
        </is>
      </c>
      <c r="M256" s="25" t="inlineStr">
        <is>
          <t>French</t>
        </is>
      </c>
      <c r="N256" s="25" t="inlineStr">
        <is>
          <t>General</t>
        </is>
      </c>
      <c r="O256" s="25" t="inlineStr">
        <is>
          <t>Bac +3 / Bac +4</t>
        </is>
      </c>
      <c r="P256" s="26" t="inlineStr">
        <is>
          <t>Eligible on level (4-yr BS ≈ Bac+4)</t>
        </is>
      </c>
      <c r="Q256" s="25" t="inlineStr">
        <is>
          <t>3/4</t>
        </is>
      </c>
      <c r="R256" s="25" t="n"/>
      <c r="S256" s="27" t="n">
        <v>3941</v>
      </c>
      <c r="T256" s="27" t="n"/>
      <c r="U256" s="25" t="n">
        <v>2</v>
      </c>
      <c r="V256" s="27">
        <f>IF(S256="","",S256*U256)</f>
        <v/>
      </c>
      <c r="W256" s="26" t="inlineStr">
        <is>
          <t>Catalogue fee €3,941/yr (entered by institution).</t>
        </is>
      </c>
      <c r="X256" s="25" t="inlineStr">
        <is>
          <t>High</t>
        </is>
      </c>
      <c r="Y256" s="25" t="inlineStr">
        <is>
          <t>3941</t>
        </is>
      </c>
      <c r="Z256" s="26" t="inlineStr">
        <is>
          <t>te du groupe INSA sont assujetties à des frais de dossier obligatoires qui s’élèvent à 105€ … TUDIEE QUE SI CES DEUX DEMARCHES SONT EFFECTUEES Frais à prévoir : Frais de dossier : 105 € , non remboursables même en cas de</t>
        </is>
      </c>
      <c r="AA256" s="26" t="n"/>
      <c r="AB256" s="25" t="n"/>
      <c r="AC256" s="25" t="inlineStr">
        <is>
          <t>Open</t>
        </is>
      </c>
      <c r="AD256" s="25" t="inlineStr">
        <is>
          <t>2026-10-01</t>
        </is>
      </c>
      <c r="AE256" s="25" t="inlineStr">
        <is>
          <t>2027-03-15</t>
        </is>
      </c>
      <c r="AF256" s="25" t="inlineStr">
        <is>
          <t>Yes</t>
        </is>
      </c>
      <c r="AG256" s="28" t="inlineStr">
        <is>
          <t>https://www.insa-hautsdefrance.fr/formation-ingenieurs</t>
        </is>
      </c>
      <c r="AH256" s="26" t="inlineStr">
        <is>
          <t>Entrée en année 3 : Etre titulaire d'un diplôme à BAC+2 dans une spécialité compatible Entrée en année 4 : Etre titulaire d'un diplôme à BAC+4 dans une spécialité compatible Niveau certifié en langues : - C1 en français</t>
        </is>
      </c>
      <c r="AI256" s="28" t="inlineStr">
        <is>
          <t>Open in EEF</t>
        </is>
      </c>
    </row>
    <row r="257" ht="43.25" customHeight="1" s="19">
      <c r="A257" s="25" t="n">
        <v>256</v>
      </c>
      <c r="B257" s="25" t="inlineStr">
        <is>
          <t>★★★★☆</t>
        </is>
      </c>
      <c r="C257" s="25" t="inlineStr">
        <is>
          <t>4 – Strong fit (electronics/signal/robotics/IoT/sensors)</t>
        </is>
      </c>
      <c r="D257" s="25" t="inlineStr">
        <is>
          <t>Electrical energy</t>
        </is>
      </c>
      <c r="E257" s="26" t="inlineStr">
        <is>
          <t>diplôme d'ingénieur de l'université de technologie de Belfort-Montbéliard parcours Energie et Génie électrique</t>
        </is>
      </c>
      <c r="F257" s="26" t="inlineStr">
        <is>
          <t>Engineering diploma of University of Technology of Belfort-Montbéliard – track: Energy &amp; Electrical Engineering</t>
        </is>
      </c>
      <c r="G257" s="25" t="inlineStr">
        <is>
          <t>Diplôme d'ingénieur</t>
        </is>
      </c>
      <c r="H257" s="25" t="inlineStr">
        <is>
          <t>Université de technologie de Belfort-Montbéliard</t>
        </is>
      </c>
      <c r="I257" s="25" t="n"/>
      <c r="J257" s="25" t="inlineStr">
        <is>
          <t>Site de Belfort</t>
        </is>
      </c>
      <c r="K257" s="25" t="n"/>
      <c r="L257" s="25" t="inlineStr">
        <is>
          <t>Public university</t>
        </is>
      </c>
      <c r="M257" s="25" t="inlineStr">
        <is>
          <t>French</t>
        </is>
      </c>
      <c r="N257" s="25" t="inlineStr">
        <is>
          <t>General</t>
        </is>
      </c>
      <c r="O257" s="25" t="inlineStr">
        <is>
          <t>Bac +3 / Bac +4</t>
        </is>
      </c>
      <c r="P257" s="26" t="inlineStr">
        <is>
          <t>Eligible on level (4-yr BS ≈ Bac+4)</t>
        </is>
      </c>
      <c r="Q257" s="25" t="inlineStr">
        <is>
          <t>3/4</t>
        </is>
      </c>
      <c r="R257" s="25" t="n"/>
      <c r="S257" s="27" t="n">
        <v>3950</v>
      </c>
      <c r="T257" s="27" t="n"/>
      <c r="U257" s="25" t="n">
        <v>2</v>
      </c>
      <c r="V257" s="27">
        <f>IF(S257="","",S257*U257)</f>
        <v/>
      </c>
      <c r="W257" s="26" t="inlineStr">
        <is>
          <t>Catalogue fee €3,950/yr (entered by institution).</t>
        </is>
      </c>
      <c r="X257" s="25" t="inlineStr">
        <is>
          <t>High</t>
        </is>
      </c>
      <c r="Y257" s="25" t="inlineStr">
        <is>
          <t>3950</t>
        </is>
      </c>
      <c r="Z257" s="26" t="inlineStr">
        <is>
          <t>n différenciés, pour une année , appliqués à un étudiant extracommunautaire sont de 3 950 € pour une entrée en cycle ingénieur (coût 2026/202 … scription pour les étudiants extracommunautaires en cycle ingénieur ont été</t>
        </is>
      </c>
      <c r="AA257" s="26" t="n"/>
      <c r="AB257" s="25" t="n"/>
      <c r="AC257" s="25" t="inlineStr">
        <is>
          <t>Open</t>
        </is>
      </c>
      <c r="AD257" s="25" t="inlineStr">
        <is>
          <t>2026-10-01</t>
        </is>
      </c>
      <c r="AE257" s="25" t="inlineStr">
        <is>
          <t>2027-03-15</t>
        </is>
      </c>
      <c r="AF257" s="25" t="inlineStr">
        <is>
          <t>Yes</t>
        </is>
      </c>
      <c r="AG257" s="28" t="inlineStr">
        <is>
          <t>https://www.utbm.fr/formations/ingenieur/energie-genie-electrique/</t>
        </is>
      </c>
      <c r="AH257" s="26" t="inlineStr">
        <is>
          <t>Sélection sur dossier et entretien en visio Pour connaître la procédure d'admission : S'inscrire en formation d'ingénieur à l'UTBM | Université de Technologie | UTBM En parallèle de votre inscription auprès de Campus Fra</t>
        </is>
      </c>
      <c r="AI257" s="28" t="inlineStr">
        <is>
          <t>Open in EEF</t>
        </is>
      </c>
    </row>
    <row r="258" ht="15" customHeight="1" s="19">
      <c r="A258" s="25" t="n">
        <v>257</v>
      </c>
      <c r="B258" s="25" t="inlineStr">
        <is>
          <t>★★★★☆</t>
        </is>
      </c>
      <c r="C258" s="25" t="inlineStr">
        <is>
          <t>4 – Strong fit (electronics/signal/robotics/IoT/sensors)</t>
        </is>
      </c>
      <c r="D258" s="25" t="inlineStr">
        <is>
          <t>IoT / Telecom / Networks</t>
        </is>
      </c>
      <c r="E258" s="26" t="inlineStr">
        <is>
          <t>diplôme d'ingénieur de Telecom Nancy de l'Université de Lorraine</t>
        </is>
      </c>
      <c r="F258" s="26" t="inlineStr">
        <is>
          <t>Engineering diploma of Telecom Nancy of University of Lorraine</t>
        </is>
      </c>
      <c r="G258" s="25" t="inlineStr">
        <is>
          <t>Diplôme d'ingénieur</t>
        </is>
      </c>
      <c r="H258" s="25" t="inlineStr">
        <is>
          <t>TELECOM Nancy</t>
        </is>
      </c>
      <c r="I258" s="25" t="inlineStr">
        <is>
          <t>Université de Lorraine</t>
        </is>
      </c>
      <c r="J258" s="25" t="inlineStr">
        <is>
          <t>Site de Villers-lès-Nancy</t>
        </is>
      </c>
      <c r="K258" s="25" t="n"/>
      <c r="L258" s="25" t="inlineStr">
        <is>
          <t>Public university</t>
        </is>
      </c>
      <c r="M258" s="25" t="inlineStr">
        <is>
          <t>French</t>
        </is>
      </c>
      <c r="N258" s="25" t="inlineStr">
        <is>
          <t>General</t>
        </is>
      </c>
      <c r="O258" s="25" t="inlineStr">
        <is>
          <t>Bac +3 / Bac +4</t>
        </is>
      </c>
      <c r="P258" s="26" t="inlineStr">
        <is>
          <t>Eligible on level (4-yr BS ≈ Bac+4)</t>
        </is>
      </c>
      <c r="Q258" s="25" t="inlineStr">
        <is>
          <t>1/2</t>
        </is>
      </c>
      <c r="R258" s="25" t="n"/>
      <c r="S258" s="27" t="n">
        <v>3950</v>
      </c>
      <c r="T258" s="27" t="n"/>
      <c r="U258" s="25" t="n">
        <v>2</v>
      </c>
      <c r="V258" s="27">
        <f>IF(S258="","",S258*U258)</f>
        <v/>
      </c>
      <c r="W258" s="26" t="inlineStr">
        <is>
          <t>Catalogue fee €3,950/yr (entered by institution).</t>
        </is>
      </c>
      <c r="X258" s="25" t="inlineStr">
        <is>
          <t>High</t>
        </is>
      </c>
      <c r="Y258" s="25" t="inlineStr">
        <is>
          <t>3950</t>
        </is>
      </c>
      <c r="Z258" s="26" t="n"/>
      <c r="AA258" s="26" t="n"/>
      <c r="AB258" s="25" t="n"/>
      <c r="AC258" s="25" t="inlineStr">
        <is>
          <t>Open</t>
        </is>
      </c>
      <c r="AD258" s="25" t="inlineStr">
        <is>
          <t>2026-10-01</t>
        </is>
      </c>
      <c r="AE258" s="25" t="inlineStr">
        <is>
          <t>2027-03-15</t>
        </is>
      </c>
      <c r="AF258" s="25" t="inlineStr">
        <is>
          <t>No</t>
        </is>
      </c>
      <c r="AG258" s="28" t="inlineStr">
        <is>
          <t>http://www.telecomnancy.eu</t>
        </is>
      </c>
      <c r="AH258" s="26" t="inlineStr">
        <is>
          <t>BAC+2/3 Informatique Niveau C1 Français</t>
        </is>
      </c>
      <c r="AI258" s="28" t="inlineStr">
        <is>
          <t>Open in EEF</t>
        </is>
      </c>
    </row>
    <row r="259" ht="22.35" customHeight="1" s="19">
      <c r="A259" s="25" t="n">
        <v>258</v>
      </c>
      <c r="B259" s="25" t="inlineStr">
        <is>
          <t>★★★★☆</t>
        </is>
      </c>
      <c r="C259" s="25" t="inlineStr">
        <is>
          <t>4 – Strong fit (electronics/signal/robotics/IoT/sensors)</t>
        </is>
      </c>
      <c r="D259" s="25" t="inlineStr">
        <is>
          <t>IoT / Telecom / Networks</t>
        </is>
      </c>
      <c r="E259" s="26" t="inlineStr">
        <is>
          <t>Diplôme d'ingénieur de l'Institut Mines Télécom Lille Douai (IMT Nord Europe)</t>
        </is>
      </c>
      <c r="F259" s="26" t="inlineStr">
        <is>
          <t>Engineering diploma of Institute Mines Télécom Lille Douai (IMT Nord Europe)</t>
        </is>
      </c>
      <c r="G259" s="25" t="inlineStr">
        <is>
          <t>Diplôme d'ingénieur</t>
        </is>
      </c>
      <c r="H259" s="25" t="inlineStr">
        <is>
          <t>IMT Nord Europe</t>
        </is>
      </c>
      <c r="I259" s="25" t="inlineStr">
        <is>
          <t>IMT Lille Douai</t>
        </is>
      </c>
      <c r="J259" s="25" t="inlineStr">
        <is>
          <t>IMT Nord Europe - Douai Campus</t>
        </is>
      </c>
      <c r="K259" s="25" t="n"/>
      <c r="L259" s="25" t="inlineStr">
        <is>
          <t>Public school / institute</t>
        </is>
      </c>
      <c r="M259" s="25" t="inlineStr">
        <is>
          <t>French</t>
        </is>
      </c>
      <c r="N259" s="25" t="inlineStr">
        <is>
          <t>General</t>
        </is>
      </c>
      <c r="O259" s="25" t="inlineStr">
        <is>
          <t>Bac +3 / Bac +4</t>
        </is>
      </c>
      <c r="P259" s="26" t="inlineStr">
        <is>
          <t>Eligible on level (4-yr BS ≈ Bac+4)</t>
        </is>
      </c>
      <c r="Q259" s="25" t="inlineStr">
        <is>
          <t>3/4</t>
        </is>
      </c>
      <c r="R259" s="25" t="n"/>
      <c r="S259" s="27" t="n">
        <v>4550</v>
      </c>
      <c r="T259" s="27" t="n"/>
      <c r="U259" s="25" t="n">
        <v>2</v>
      </c>
      <c r="V259" s="27">
        <f>IF(S259="","",S259*U259)</f>
        <v/>
      </c>
      <c r="W259" s="26" t="inlineStr">
        <is>
          <t>Catalogue fee €4,550/yr (entered by institution).</t>
        </is>
      </c>
      <c r="X259" s="25" t="inlineStr">
        <is>
          <t>High</t>
        </is>
      </c>
      <c r="Y259" s="25" t="inlineStr">
        <is>
          <t>4550</t>
        </is>
      </c>
      <c r="Z259" s="26" t="n"/>
      <c r="AA259" s="26" t="n"/>
      <c r="AB259" s="25" t="n"/>
      <c r="AC259" s="25" t="inlineStr">
        <is>
          <t>Open</t>
        </is>
      </c>
      <c r="AD259" s="25" t="inlineStr">
        <is>
          <t>2026-10-01</t>
        </is>
      </c>
      <c r="AE259" s="25" t="inlineStr">
        <is>
          <t>2027-03-15</t>
        </is>
      </c>
      <c r="AF259" s="25" t="inlineStr">
        <is>
          <t>Yes</t>
        </is>
      </c>
      <c r="AG259" s="28" t="inlineStr">
        <is>
          <t>http://imt-nord-europe.fr</t>
        </is>
      </c>
      <c r="AH259" s="26" t="n"/>
      <c r="AI259" s="28" t="inlineStr">
        <is>
          <t>Open in EEF</t>
        </is>
      </c>
    </row>
    <row r="260" ht="32.8" customHeight="1" s="19">
      <c r="A260" s="25" t="n">
        <v>259</v>
      </c>
      <c r="B260" s="25" t="inlineStr">
        <is>
          <t>★★★★☆</t>
        </is>
      </c>
      <c r="C260" s="25" t="inlineStr">
        <is>
          <t>4 – Strong fit (electronics/signal/robotics/IoT/sensors)</t>
        </is>
      </c>
      <c r="D260" s="25" t="inlineStr">
        <is>
          <t>Neuroscience / Neuro-engineering</t>
        </is>
      </c>
      <c r="E260" s="26" t="inlineStr">
        <is>
          <t>Master of Science (MSc) Modeling of neuronal and cognitive systems</t>
        </is>
      </c>
      <c r="F260" s="26" t="inlineStr">
        <is>
          <t>Master of Science (MSc) Modeling of neuronal and cognitive systems</t>
        </is>
      </c>
      <c r="G260" s="25" t="inlineStr">
        <is>
          <t>Master of Science (MSc)</t>
        </is>
      </c>
      <c r="H260" s="25" t="inlineStr">
        <is>
          <t>MSc</t>
        </is>
      </c>
      <c r="I260" s="25" t="inlineStr">
        <is>
          <t>Université Côte d'Azur</t>
        </is>
      </c>
      <c r="J260" s="25" t="inlineStr">
        <is>
          <t>UniCA</t>
        </is>
      </c>
      <c r="K260" s="25" t="inlineStr">
        <is>
          <t>06100 Nice cedex</t>
        </is>
      </c>
      <c r="L260" s="25" t="inlineStr">
        <is>
          <t>Public university</t>
        </is>
      </c>
      <c r="M260" s="25" t="inlineStr">
        <is>
          <t>English</t>
        </is>
      </c>
      <c r="N260" s="25" t="inlineStr">
        <is>
          <t>Taught in English</t>
        </is>
      </c>
      <c r="O260" s="25" t="inlineStr">
        <is>
          <t>Bac +3</t>
        </is>
      </c>
      <c r="P260" s="26" t="inlineStr">
        <is>
          <t>Eligible on level (4-yr BS ≈ Bac+4)</t>
        </is>
      </c>
      <c r="Q260" s="25" t="inlineStr">
        <is>
          <t>1</t>
        </is>
      </c>
      <c r="R260" s="25" t="inlineStr">
        <is>
          <t>12</t>
        </is>
      </c>
      <c r="S260" s="27" t="n">
        <v>5000</v>
      </c>
      <c r="T260" s="27" t="n"/>
      <c r="U260" s="25" t="n">
        <v>1</v>
      </c>
      <c r="V260" s="27">
        <f>IF(S260="","",S260*U260)</f>
        <v/>
      </c>
      <c r="W260" s="26" t="inlineStr">
        <is>
          <t>Catalogue fee €5,000/yr (entered by institution).</t>
        </is>
      </c>
      <c r="X260" s="25" t="inlineStr">
        <is>
          <t>High</t>
        </is>
      </c>
      <c r="Y260" s="25" t="inlineStr">
        <is>
          <t>5000</t>
        </is>
      </c>
      <c r="Z260" s="26" t="inlineStr">
        <is>
          <t>fr Fees: €5,000 per year for international students for the</t>
        </is>
      </c>
      <c r="AA260" s="26" t="n"/>
      <c r="AB260" s="25" t="n"/>
      <c r="AC260" s="25" t="inlineStr">
        <is>
          <t>Open</t>
        </is>
      </c>
      <c r="AD260" s="25" t="inlineStr">
        <is>
          <t>2026-10-01</t>
        </is>
      </c>
      <c r="AE260" s="25" t="inlineStr">
        <is>
          <t>2027-03-15</t>
        </is>
      </c>
      <c r="AF260" s="25" t="inlineStr">
        <is>
          <t>Yes</t>
        </is>
      </c>
      <c r="AG260" s="28" t="inlineStr">
        <is>
          <t>https://univ-cotedazur.eu/msc/modeling-for-neuronal-and-cognitive-systems</t>
        </is>
      </c>
      <c r="AH260" s="26" t="inlineStr">
        <is>
          <t>Candidates should have a bachelor or an equivalent degree in mathematics, computer science, biology, psychology, electrical engineering, economics or linguistic. In addition, they will have to provide evidence of their a</t>
        </is>
      </c>
      <c r="AI260" s="28" t="inlineStr">
        <is>
          <t>Open in EEF</t>
        </is>
      </c>
    </row>
    <row r="261" ht="43.25" customHeight="1" s="19">
      <c r="A261" s="25" t="n">
        <v>260</v>
      </c>
      <c r="B261" s="25" t="inlineStr">
        <is>
          <t>★★★★☆</t>
        </is>
      </c>
      <c r="C261" s="25" t="inlineStr">
        <is>
          <t>4 – Strong fit (electronics/signal/robotics/IoT/sensors)</t>
        </is>
      </c>
      <c r="D261" s="25" t="inlineStr">
        <is>
          <t>Sensors / Instrumentation / Micro-Nano / Photonics</t>
        </is>
      </c>
      <c r="E261" s="26" t="inlineStr">
        <is>
          <t>Master of Science Electrical and Optical Engineering (EOE)</t>
        </is>
      </c>
      <c r="F261" s="26" t="inlineStr">
        <is>
          <t>Master of Science Electrical and Optical Engineering (EOE)</t>
        </is>
      </c>
      <c r="G261" s="25" t="inlineStr">
        <is>
          <t>Master of Science (MSc)</t>
        </is>
      </c>
      <c r="H261" s="25" t="inlineStr">
        <is>
          <t>Télécom SudParis</t>
        </is>
      </c>
      <c r="I261" s="25" t="n"/>
      <c r="J261" s="25" t="inlineStr">
        <is>
          <t>Site de Evry</t>
        </is>
      </c>
      <c r="K261" s="25" t="n"/>
      <c r="L261" s="25" t="inlineStr">
        <is>
          <t>Public school / institute</t>
        </is>
      </c>
      <c r="M261" s="25" t="inlineStr">
        <is>
          <t>English</t>
        </is>
      </c>
      <c r="N261" s="25" t="inlineStr">
        <is>
          <t>Taught in English</t>
        </is>
      </c>
      <c r="O261" s="25" t="inlineStr">
        <is>
          <t>Bac +4</t>
        </is>
      </c>
      <c r="P261" s="26" t="inlineStr">
        <is>
          <t>Eligible on level (4-yr BS ≈ Bac+4)</t>
        </is>
      </c>
      <c r="Q261" s="25" t="inlineStr">
        <is>
          <t>1</t>
        </is>
      </c>
      <c r="R261" s="25" t="inlineStr">
        <is>
          <t>12</t>
        </is>
      </c>
      <c r="S261" s="27" t="n">
        <v>6000</v>
      </c>
      <c r="T261" s="27" t="n"/>
      <c r="U261" s="25" t="n">
        <v>1</v>
      </c>
      <c r="V261" s="27">
        <f>IF(S261="","",S261*U261)</f>
        <v/>
      </c>
      <c r="W261" s="26" t="inlineStr">
        <is>
          <t>Catalogue fee €6,000/yr (entered by institution).</t>
        </is>
      </c>
      <c r="X261" s="25" t="inlineStr">
        <is>
          <t>High</t>
        </is>
      </c>
      <c r="Y261" s="25" t="inlineStr">
        <is>
          <t>6000</t>
        </is>
      </c>
      <c r="Z261" s="26" t="n"/>
      <c r="AA261" s="26" t="n"/>
      <c r="AB261" s="25" t="n"/>
      <c r="AC261" s="25" t="inlineStr">
        <is>
          <t>Open</t>
        </is>
      </c>
      <c r="AD261" s="25" t="inlineStr">
        <is>
          <t>2026-10-01</t>
        </is>
      </c>
      <c r="AE261" s="25" t="inlineStr">
        <is>
          <t>2027-03-15</t>
        </is>
      </c>
      <c r="AF261" s="25" t="inlineStr">
        <is>
          <t>Yes</t>
        </is>
      </c>
      <c r="AG261" s="28" t="inlineStr">
        <is>
          <t>https://www.telecom-sudparis.eu/en/formation/master-of-science-electrical-and-optical-engineering/</t>
        </is>
      </c>
      <c r="AH261" s="26" t="inlineStr">
        <is>
          <t>Academic Prerequisites Master M1 in Electrical Engineering for Communications &amp; Information Processing https://www.telecom-sudparis.eu/en/formation/master-of-science-electrical-and-optical-engineering/ Physics: Electroma</t>
        </is>
      </c>
      <c r="AI261" s="28" t="inlineStr">
        <is>
          <t>Open in EEF</t>
        </is>
      </c>
    </row>
    <row r="262" ht="43.25" customHeight="1" s="19">
      <c r="A262" s="25" t="n">
        <v>261</v>
      </c>
      <c r="B262" s="25" t="inlineStr">
        <is>
          <t>★★★★☆</t>
        </is>
      </c>
      <c r="C262" s="25" t="inlineStr">
        <is>
          <t>4 – Strong fit (electronics/signal/robotics/IoT/sensors)</t>
        </is>
      </c>
      <c r="D262" s="25" t="inlineStr">
        <is>
          <t>Sensors / Instrumentation / Micro-Nano / Photonics</t>
        </is>
      </c>
      <c r="E262" s="26" t="inlineStr">
        <is>
          <t>Electrical and Optical Engineering (EOE)</t>
        </is>
      </c>
      <c r="F262" s="26" t="inlineStr">
        <is>
          <t>Electrical and Optical Engineering (EOE)</t>
        </is>
      </c>
      <c r="G262" s="25" t="inlineStr">
        <is>
          <t>Mastère en sciences (MSc)</t>
        </is>
      </c>
      <c r="H262" s="25" t="inlineStr">
        <is>
          <t>Télécom SudParis</t>
        </is>
      </c>
      <c r="I262" s="25" t="n"/>
      <c r="J262" s="25" t="inlineStr">
        <is>
          <t>Site de Evry</t>
        </is>
      </c>
      <c r="K262" s="25" t="n"/>
      <c r="L262" s="25" t="inlineStr">
        <is>
          <t>Public school / institute</t>
        </is>
      </c>
      <c r="M262" s="25" t="inlineStr">
        <is>
          <t>English</t>
        </is>
      </c>
      <c r="N262" s="25" t="inlineStr">
        <is>
          <t>General</t>
        </is>
      </c>
      <c r="O262" s="25" t="inlineStr">
        <is>
          <t>Bac +4</t>
        </is>
      </c>
      <c r="P262" s="26" t="inlineStr">
        <is>
          <t>Eligible on level (4-yr BS ≈ Bac+4)</t>
        </is>
      </c>
      <c r="Q262" s="25" t="inlineStr">
        <is>
          <t>1</t>
        </is>
      </c>
      <c r="R262" s="25" t="inlineStr">
        <is>
          <t>12</t>
        </is>
      </c>
      <c r="S262" s="27" t="n">
        <v>6000</v>
      </c>
      <c r="T262" s="27" t="n"/>
      <c r="U262" s="25" t="n">
        <v>1</v>
      </c>
      <c r="V262" s="27">
        <f>IF(S262="","",S262*U262)</f>
        <v/>
      </c>
      <c r="W262" s="26" t="inlineStr">
        <is>
          <t>Catalogue fee €6,000/yr (entered by institution).</t>
        </is>
      </c>
      <c r="X262" s="25" t="inlineStr">
        <is>
          <t>High</t>
        </is>
      </c>
      <c r="Y262" s="25" t="inlineStr">
        <is>
          <t>6000</t>
        </is>
      </c>
      <c r="Z262" s="26" t="n"/>
      <c r="AA262" s="26" t="n"/>
      <c r="AB262" s="25" t="n"/>
      <c r="AC262" s="25" t="inlineStr">
        <is>
          <t>Open</t>
        </is>
      </c>
      <c r="AD262" s="25" t="inlineStr">
        <is>
          <t>2026-10-01</t>
        </is>
      </c>
      <c r="AE262" s="25" t="inlineStr">
        <is>
          <t>2027-03-15</t>
        </is>
      </c>
      <c r="AF262" s="25" t="inlineStr">
        <is>
          <t>Yes</t>
        </is>
      </c>
      <c r="AG262" s="28" t="inlineStr">
        <is>
          <t>https://www.telecom-sudparis.eu/en/formation/master-of-science-electrical-and-optical-engineering/</t>
        </is>
      </c>
      <c r="AH262" s="26" t="inlineStr">
        <is>
          <t>Academic Prerequisites Master M1 in Electrical Engineering for Communications &amp; Information Processing https://www.ip-paris.fr/en/education/masters/electrical-engineering-program/master-year-1-electrical-engineering-comm</t>
        </is>
      </c>
      <c r="AI262" s="28" t="inlineStr">
        <is>
          <t>Open in EEF</t>
        </is>
      </c>
    </row>
  </sheetData>
  <conditionalFormatting sqref="S2:S262">
    <cfRule type="cellIs" rank="0" priority="2" equalAverage="0" operator="lessThanOrEqual" aboveAverage="0" dxfId="6" text="" percent="0" bottom="0">
      <formula>1000</formula>
    </cfRule>
    <cfRule type="cellIs" rank="0" priority="3" equalAverage="0" operator="between" aboveAverage="0" dxfId="7" text="" percent="0" bottom="0">
      <formula>1001</formula>
      <formula>6000</formula>
    </cfRule>
    <cfRule type="cellIs" rank="0" priority="4" equalAverage="0" operator="greaterThan" aboveAverage="0" dxfId="8" text="" percent="0" bottom="0">
      <formula>6000</formula>
    </cfRule>
  </conditionalFormatting>
  <conditionalFormatting sqref="P2:P262">
    <cfRule type="expression" rank="0" priority="5" equalAverage="0" aboveAverage="0" dxfId="6" text="" percent="0" bottom="0">
      <formula>LEFT(P2,8)="Eligible"</formula>
    </cfRule>
    <cfRule type="expression" rank="0" priority="6" equalAverage="0" aboveAverage="0" dxfId="8" text="" percent="0" bottom="0">
      <formula>LEFT(P2,8)="Requires"</formula>
    </cfRule>
  </conditionalFormatting>
  <hyperlinks>
    <hyperlink xmlns:r="http://schemas.openxmlformats.org/officeDocument/2006/relationships" ref="AG2" display="https://master.roc.cnam.fr" r:id="rId1"/>
    <hyperlink xmlns:r="http://schemas.openxmlformats.org/officeDocument/2006/relationships" ref="AI2" display="Open in EEF" r:id="rId2"/>
    <hyperlink xmlns:r="http://schemas.openxmlformats.org/officeDocument/2006/relationships" ref="AB3" display="https://www.umontpellier.fr/en/international/etudier-a-letranger/etudiants-internationaux-annee-universitaire-2026-2027/" r:id="rId3"/>
    <hyperlink xmlns:r="http://schemas.openxmlformats.org/officeDocument/2006/relationships" ref="AG3" display="https://idil.edu.umontpellier.fr/master-idil/les-parcours/" r:id="rId4"/>
    <hyperlink xmlns:r="http://schemas.openxmlformats.org/officeDocument/2006/relationships" ref="AI3" display="Open in EEF" r:id="rId5"/>
    <hyperlink xmlns:r="http://schemas.openxmlformats.org/officeDocument/2006/relationships" ref="AB4" display="https://www.umlp.fr/sites/default/files/2026-07-02-page-droits-differencies-vf.pdf" r:id="rId6"/>
    <hyperlink xmlns:r="http://schemas.openxmlformats.org/officeDocument/2006/relationships" ref="AG4" display="https://formations.univ-fcomte.fr/fr/formations/feuilleter-le-catalogue/master-lmd-XB/master-electronique-energie-electrique-automatique-M4QUAZ0D.html" r:id="rId7"/>
    <hyperlink xmlns:r="http://schemas.openxmlformats.org/officeDocument/2006/relationships" ref="AI4" display="Open in EEF" r:id="rId8"/>
    <hyperlink xmlns:r="http://schemas.openxmlformats.org/officeDocument/2006/relationships" ref="AB5" display="https://www.univ-grenoble-alpes.fr/actualites/a-la-une/actualites-universite/etudiants-internationaux-ce-que-change-le-nouveau-decret-sur-les-droits-d-inscription-a-l-uga-1775870.kjsp" r:id="rId9"/>
    <hyperlink xmlns:r="http://schemas.openxmlformats.org/officeDocument/2006/relationships" ref="AG5" display="https://formations.univ-grenoble-alpes.fr/fr/offre-de-formation/master-XB/master-biologie-sante-IAQKB0GE/parcours-molecular-and-cellular-biology-1re-annee-IK43J2QV.html" r:id="rId10"/>
    <hyperlink xmlns:r="http://schemas.openxmlformats.org/officeDocument/2006/relationships" ref="AI5" display="Open in EEF" r:id="rId11"/>
    <hyperlink xmlns:r="http://schemas.openxmlformats.org/officeDocument/2006/relationships" ref="AB6" display="https://www.univ-grenoble-alpes.fr/actualites/a-la-une/actualites-universite/etudiants-internationaux-ce-que-change-le-nouveau-decret-sur-les-droits-d-inscription-a-l-uga-1775870.kjsp" r:id="rId12"/>
    <hyperlink xmlns:r="http://schemas.openxmlformats.org/officeDocument/2006/relationships" ref="AG6" display="https://formations.univ-grenoble-alpes.fr/fr/catalogue-2021/master-XB/master-ingenierie-de-la-sante-IAQKSXOB.html" r:id="rId13"/>
    <hyperlink xmlns:r="http://schemas.openxmlformats.org/officeDocument/2006/relationships" ref="AI6" display="Open in EEF" r:id="rId14"/>
    <hyperlink xmlns:r="http://schemas.openxmlformats.org/officeDocument/2006/relationships" ref="AG7" display="https://life.univ-cotedazur.fr/international/imagein" r:id="rId15"/>
    <hyperlink xmlns:r="http://schemas.openxmlformats.org/officeDocument/2006/relationships" ref="AI7" display="Open in EEF" r:id="rId16"/>
    <hyperlink xmlns:r="http://schemas.openxmlformats.org/officeDocument/2006/relationships" ref="AB8" display="https://www.umlp.fr/sites/default/files/2026-07-02-page-droits-differencies-vf.pdf" r:id="rId17"/>
    <hyperlink xmlns:r="http://schemas.openxmlformats.org/officeDocument/2006/relationships" ref="AG8" display="https://stgi.umlp.fr/" r:id="rId18"/>
    <hyperlink xmlns:r="http://schemas.openxmlformats.org/officeDocument/2006/relationships" ref="AI8" display="Open in EEF" r:id="rId19"/>
    <hyperlink xmlns:r="http://schemas.openxmlformats.org/officeDocument/2006/relationships" ref="AB9" display="https://www.unistra.fr/fr/node/8168" r:id="rId20"/>
    <hyperlink xmlns:r="http://schemas.openxmlformats.org/officeDocument/2006/relationships" ref="AG9" display="https://pharmacie.unistra.fr" r:id="rId21"/>
    <hyperlink xmlns:r="http://schemas.openxmlformats.org/officeDocument/2006/relationships" ref="AI9" display="Open in EEF" r:id="rId22"/>
    <hyperlink xmlns:r="http://schemas.openxmlformats.org/officeDocument/2006/relationships" ref="AB10" display="https://www.unistra.fr/fr/node/8168" r:id="rId23"/>
    <hyperlink xmlns:r="http://schemas.openxmlformats.org/officeDocument/2006/relationships" ref="AG10" display="http://sciencesvie.unistra.fr/" r:id="rId24"/>
    <hyperlink xmlns:r="http://schemas.openxmlformats.org/officeDocument/2006/relationships" ref="AI10" display="Open in EEF" r:id="rId25"/>
    <hyperlink xmlns:r="http://schemas.openxmlformats.org/officeDocument/2006/relationships" ref="AG11" display="https://www.unilim.fr/gradschool-ceramics-ict/formation/smart-iot/" r:id="rId26"/>
    <hyperlink xmlns:r="http://schemas.openxmlformats.org/officeDocument/2006/relationships" ref="AI11" display="Open in EEF" r:id="rId27"/>
    <hyperlink xmlns:r="http://schemas.openxmlformats.org/officeDocument/2006/relationships" ref="AB12" display="https://www.unistra.fr/fr/node/8168" r:id="rId28"/>
    <hyperlink xmlns:r="http://schemas.openxmlformats.org/officeDocument/2006/relationships" ref="AG12" display="https://chirurgie-dentaire.unistra.fr/" r:id="rId29"/>
    <hyperlink xmlns:r="http://schemas.openxmlformats.org/officeDocument/2006/relationships" ref="AI12" display="Open in EEF" r:id="rId30"/>
    <hyperlink xmlns:r="http://schemas.openxmlformats.org/officeDocument/2006/relationships" ref="AI13" display="Open in EEF" r:id="rId31"/>
    <hyperlink xmlns:r="http://schemas.openxmlformats.org/officeDocument/2006/relationships" ref="AB14" display="https://www.sorbonne-universite.fr/actualites/le-conseil-dadministration-de-sorbonne-universite-vote-lunanimite-le-7-juillet-2026-sa" r:id="rId32"/>
    <hyperlink xmlns:r="http://schemas.openxmlformats.org/officeDocument/2006/relationships" ref="AG14" display="https://masters-sdi.sorbonne-universite.fr/electronique-energie-electrique-automatique" r:id="rId33"/>
    <hyperlink xmlns:r="http://schemas.openxmlformats.org/officeDocument/2006/relationships" ref="AI14" display="Open in EEF" r:id="rId34"/>
    <hyperlink xmlns:r="http://schemas.openxmlformats.org/officeDocument/2006/relationships" ref="AB15" display="https://www.univ-grenoble-alpes.fr/actualites/a-la-une/actualites-universite/etudiants-internationaux-ce-que-change-le-nouveau-decret-sur-les-droits-d-inscription-a-l-uga-1775870.kjsp" r:id="rId35"/>
    <hyperlink xmlns:r="http://schemas.openxmlformats.org/officeDocument/2006/relationships" ref="AG15" display="https://formations.univ-grenoble-alpes.fr/fr/catalogue-2021/master-XB/master-electronique-energie-electrique-automatique-IFZ3DRB9/parcours-microelectronique-integration-des-systemes-temps-reels-embarques-mistre-1re-et-2e-annees-IFZ5TP7C.html" r:id="rId36"/>
    <hyperlink xmlns:r="http://schemas.openxmlformats.org/officeDocument/2006/relationships" ref="AI15" display="Open in EEF" r:id="rId37"/>
    <hyperlink xmlns:r="http://schemas.openxmlformats.org/officeDocument/2006/relationships" ref="AB16" display="https://www.sorbonne-universite.fr/actualites/le-conseil-dadministration-de-sorbonne-universite-vote-lunanimite-le-7-juillet-2026-sa" r:id="rId38"/>
    <hyperlink xmlns:r="http://schemas.openxmlformats.org/officeDocument/2006/relationships" ref="AG16" display="https://masters-sdi.sorbonne-universite.fr/electronique-energie-electrique-automatique" r:id="rId39"/>
    <hyperlink xmlns:r="http://schemas.openxmlformats.org/officeDocument/2006/relationships" ref="AI16" display="Open in EEF" r:id="rId40"/>
    <hyperlink xmlns:r="http://schemas.openxmlformats.org/officeDocument/2006/relationships" ref="AB17" display="https://u-paris.fr/droits-dinscription-tarifs-exonerations/" r:id="rId41"/>
    <hyperlink xmlns:r="http://schemas.openxmlformats.org/officeDocument/2006/relationships" ref="AG17" display="https://odf.u-paris.fr/fr/offre-de-formation/master-XB/sciences-technologies-sante-STS/ingenierie-de-la-sante-K2NDJ7KW.html" r:id="rId42"/>
    <hyperlink xmlns:r="http://schemas.openxmlformats.org/officeDocument/2006/relationships" ref="AI17" display="Open in EEF" r:id="rId43"/>
    <hyperlink xmlns:r="http://schemas.openxmlformats.org/officeDocument/2006/relationships" ref="AG18" display="https://istic.univ-rennes.fr/master-eeea-electronique-energie-electrique-automatique" r:id="rId44"/>
    <hyperlink xmlns:r="http://schemas.openxmlformats.org/officeDocument/2006/relationships" ref="AI18" display="Open in EEF" r:id="rId45"/>
    <hyperlink xmlns:r="http://schemas.openxmlformats.org/officeDocument/2006/relationships" ref="AG19" display="https://www.insset.u-picardie.fr/" r:id="rId46"/>
    <hyperlink xmlns:r="http://schemas.openxmlformats.org/officeDocument/2006/relationships" ref="AI19" display="Open in EEF" r:id="rId47"/>
    <hyperlink xmlns:r="http://schemas.openxmlformats.org/officeDocument/2006/relationships" ref="AG20" display="http://www.univ-brest.fr/ufr-sciences" r:id="rId48"/>
    <hyperlink xmlns:r="http://schemas.openxmlformats.org/officeDocument/2006/relationships" ref="AI20" display="Open in EEF" r:id="rId49"/>
    <hyperlink xmlns:r="http://schemas.openxmlformats.org/officeDocument/2006/relationships" ref="AG21" display="https://www.utc.fr/formations/diplome-de-master/mention-ingenierie-de-la-sante-ids/parcours-technologies-biomedicales-et-territoires-de-sante-tbts/" r:id="rId50"/>
    <hyperlink xmlns:r="http://schemas.openxmlformats.org/officeDocument/2006/relationships" ref="AI21" display="Open in EEF" r:id="rId51"/>
    <hyperlink xmlns:r="http://schemas.openxmlformats.org/officeDocument/2006/relationships" ref="AG22" display="https://formations.univ-tln.fr/fr/offre-de-formation/master-XB/master-ingenierie-des-systemes-complexes-LO8RGPP1/master-ingenierie-des-systemes-complexes-parcours-robotique-intelligente-et-systemes-embarques-LPZRY65U.html" r:id="rId52"/>
    <hyperlink xmlns:r="http://schemas.openxmlformats.org/officeDocument/2006/relationships" ref="AI22" display="Open in EEF" r:id="rId53"/>
    <hyperlink xmlns:r="http://schemas.openxmlformats.org/officeDocument/2006/relationships" ref="AG23" display="https://formations.univ-rennes.fr/" r:id="rId54"/>
    <hyperlink xmlns:r="http://schemas.openxmlformats.org/officeDocument/2006/relationships" ref="AI23" display="Open in EEF" r:id="rId55"/>
    <hyperlink xmlns:r="http://schemas.openxmlformats.org/officeDocument/2006/relationships" ref="AG24" display="http://www-galilee.univ-paris13.fr/" r:id="rId56"/>
    <hyperlink xmlns:r="http://schemas.openxmlformats.org/officeDocument/2006/relationships" ref="AI24" display="Open in EEF" r:id="rId57"/>
    <hyperlink xmlns:r="http://schemas.openxmlformats.org/officeDocument/2006/relationships" ref="AB25" display="https://www.univ-rouen.fr/actualites/application-des-droits-dinscription-differencies-a-luniversite-de-rouen-normandie-a-compter-de-la-rentree-universitaire-2026-2027/" r:id="rId58"/>
    <hyperlink xmlns:r="http://schemas.openxmlformats.org/officeDocument/2006/relationships" ref="AG25" display="https://sciences-techniques.univ-rouen.fr/offre-de-formation-les-masters--332182.kjsp?RH=1392301431998&amp;RF=1378324428882" r:id="rId59"/>
    <hyperlink xmlns:r="http://schemas.openxmlformats.org/officeDocument/2006/relationships" ref="AI25" display="Open in EEF" r:id="rId60"/>
    <hyperlink xmlns:r="http://schemas.openxmlformats.org/officeDocument/2006/relationships" ref="AB26" display="https://www.univ-rouen.fr/actualites/application-des-droits-dinscription-differencies-a-luniversite-de-rouen-normandie-a-compter-de-la-rentree-universitaire-2026-2027/" r:id="rId61"/>
    <hyperlink xmlns:r="http://schemas.openxmlformats.org/officeDocument/2006/relationships" ref="AG26" display="https://sciences-techniques.univ-rouen.fr/" r:id="rId62"/>
    <hyperlink xmlns:r="http://schemas.openxmlformats.org/officeDocument/2006/relationships" ref="AI26" display="Open in EEF" r:id="rId63"/>
    <hyperlink xmlns:r="http://schemas.openxmlformats.org/officeDocument/2006/relationships" ref="AB27" display="https://www.univ-rouen.fr/actualites/application-des-droits-dinscription-differencies-a-luniversite-de-rouen-normandie-a-compter-de-la-rentree-universitaire-2026-2027/" r:id="rId64"/>
    <hyperlink xmlns:r="http://schemas.openxmlformats.org/officeDocument/2006/relationships" ref="AG27" display="https://sciences-techniques.univ-rouen.fr/" r:id="rId65"/>
    <hyperlink xmlns:r="http://schemas.openxmlformats.org/officeDocument/2006/relationships" ref="AI27" display="Open in EEF" r:id="rId66"/>
    <hyperlink xmlns:r="http://schemas.openxmlformats.org/officeDocument/2006/relationships" ref="AB28" display="https://www.univ-rouen.fr/actualites/application-des-droits-dinscription-differencies-a-luniversite-de-rouen-normandie-a-compter-de-la-rentree-universitaire-2026-2027/" r:id="rId67"/>
    <hyperlink xmlns:r="http://schemas.openxmlformats.org/officeDocument/2006/relationships" ref="AG28" display="http://sciences-techniques.univ-rouen.fr/" r:id="rId68"/>
    <hyperlink xmlns:r="http://schemas.openxmlformats.org/officeDocument/2006/relationships" ref="AI28" display="Open in EEF" r:id="rId69"/>
    <hyperlink xmlns:r="http://schemas.openxmlformats.org/officeDocument/2006/relationships" ref="AG29" display="https://ufr-sitec.parisnanterre.fr/" r:id="rId70"/>
    <hyperlink xmlns:r="http://schemas.openxmlformats.org/officeDocument/2006/relationships" ref="AI29" display="Open in EEF" r:id="rId71"/>
    <hyperlink xmlns:r="http://schemas.openxmlformats.org/officeDocument/2006/relationships" ref="AG30" display="https://fst.univ-lorraine.fr/formations/" r:id="rId72"/>
    <hyperlink xmlns:r="http://schemas.openxmlformats.org/officeDocument/2006/relationships" ref="AI30" display="Open in EEF" r:id="rId73"/>
    <hyperlink xmlns:r="http://schemas.openxmlformats.org/officeDocument/2006/relationships" ref="AG31" display="https://medecine.univ-st-etienne.fr/fr/formation-initiale/licence-masters.html" r:id="rId74"/>
    <hyperlink xmlns:r="http://schemas.openxmlformats.org/officeDocument/2006/relationships" ref="AI31" display="Open in EEF" r:id="rId75"/>
    <hyperlink xmlns:r="http://schemas.openxmlformats.org/officeDocument/2006/relationships" ref="AG32" display="https://www.utc.fr/formations/diplome-de-master/mention-ingenierie-de-la-sante-ids/parcours-dispositif-medical-et-affaires-reglementaires-dmar/" r:id="rId76"/>
    <hyperlink xmlns:r="http://schemas.openxmlformats.org/officeDocument/2006/relationships" ref="AI32" display="Open in EEF" r:id="rId77"/>
    <hyperlink xmlns:r="http://schemas.openxmlformats.org/officeDocument/2006/relationships" ref="AI33" display="Open in EEF" r:id="rId78"/>
    <hyperlink xmlns:r="http://schemas.openxmlformats.org/officeDocument/2006/relationships" ref="AI34" display="Open in EEF" r:id="rId79"/>
    <hyperlink xmlns:r="http://schemas.openxmlformats.org/officeDocument/2006/relationships" ref="AB35" display="https://www.letudiant.fr/educpros/actualite/droits-d-inscription-majores-pour-les-etudiants-etrangers-pourquoi-l-application-du-decret-met-en-difficulte-de-nombreuses-universites.html" r:id="rId80"/>
    <hyperlink xmlns:r="http://schemas.openxmlformats.org/officeDocument/2006/relationships" ref="AG35" display="http://sciences.univ-lemans.fr" r:id="rId81"/>
    <hyperlink xmlns:r="http://schemas.openxmlformats.org/officeDocument/2006/relationships" ref="AI35" display="Open in EEF" r:id="rId82"/>
    <hyperlink xmlns:r="http://schemas.openxmlformats.org/officeDocument/2006/relationships" ref="AG36" display="https://sciences-tech.u-pec.fr/formation/master-optique-image-vision-multimedia-parcours-signaux-et-image-en-medecine-sim" r:id="rId83"/>
    <hyperlink xmlns:r="http://schemas.openxmlformats.org/officeDocument/2006/relationships" ref="AI36" display="Open in EEF" r:id="rId84"/>
    <hyperlink xmlns:r="http://schemas.openxmlformats.org/officeDocument/2006/relationships" ref="AG37" display="https://sciences-tech.u-pec.fr/formation/master-optique-image-vision-multimedia-parcours-intelligence-artificielle-sciences-des-donnees-et-systemes-cyber-physiques-ia2s" r:id="rId85"/>
    <hyperlink xmlns:r="http://schemas.openxmlformats.org/officeDocument/2006/relationships" ref="AI37" display="Open in EEF" r:id="rId86"/>
    <hyperlink xmlns:r="http://schemas.openxmlformats.org/officeDocument/2006/relationships" ref="AG38" display="https://sfa.univ-poitiers.fr/formation/offre-de-formation-sciences-technologies-sante/" r:id="rId87"/>
    <hyperlink xmlns:r="http://schemas.openxmlformats.org/officeDocument/2006/relationships" ref="AI38" display="Open in EEF" r:id="rId88"/>
    <hyperlink xmlns:r="http://schemas.openxmlformats.org/officeDocument/2006/relationships" ref="AB39" display="https://www.univ-rouen.fr/actualites/application-des-droits-dinscription-differencies-a-luniversite-de-rouen-normandie-a-compter-de-la-rentree-universitaire-2026-2027/" r:id="rId89"/>
    <hyperlink xmlns:r="http://schemas.openxmlformats.org/officeDocument/2006/relationships" ref="AG39" display="http://sciences-techniques.univ-rouen.fr/" r:id="rId90"/>
    <hyperlink xmlns:r="http://schemas.openxmlformats.org/officeDocument/2006/relationships" ref="AI39" display="Open in EEF" r:id="rId91"/>
    <hyperlink xmlns:r="http://schemas.openxmlformats.org/officeDocument/2006/relationships" ref="AB40" display="https://www.umontpellier.fr/en/international/etudier-a-letranger/etudiants-internationaux-annee-universitaire-2026-2027/" r:id="rId92"/>
    <hyperlink xmlns:r="http://schemas.openxmlformats.org/officeDocument/2006/relationships" ref="AG40" display="https://idil.edu.umontpellier.fr/master-idil/les-parcours/" r:id="rId93"/>
    <hyperlink xmlns:r="http://schemas.openxmlformats.org/officeDocument/2006/relationships" ref="AI40" display="Open in EEF" r:id="rId94"/>
    <hyperlink xmlns:r="http://schemas.openxmlformats.org/officeDocument/2006/relationships" ref="AB41" display="https://www.univ-amu.fr/fr/actualites/aix-marseille-universite-mobilise-pleinement-capacite-dexoneration-continuer-accueillir" r:id="rId95"/>
    <hyperlink xmlns:r="http://schemas.openxmlformats.org/officeDocument/2006/relationships" ref="AG41" display="http://fss.univ-amu.fr/" r:id="rId96"/>
    <hyperlink xmlns:r="http://schemas.openxmlformats.org/officeDocument/2006/relationships" ref="AI41" display="Open in EEF" r:id="rId97"/>
    <hyperlink xmlns:r="http://schemas.openxmlformats.org/officeDocument/2006/relationships" ref="AB42" display="https://www.utoulouse.fr/medias/fichier/2026-02-ca-075_1774430647495-pdf" r:id="rId98"/>
    <hyperlink xmlns:r="http://schemas.openxmlformats.org/officeDocument/2006/relationships" ref="AG42" display="http://www.univ-tlse3.fr/" r:id="rId99"/>
    <hyperlink xmlns:r="http://schemas.openxmlformats.org/officeDocument/2006/relationships" ref="AI42" display="Open in EEF" r:id="rId100"/>
    <hyperlink xmlns:r="http://schemas.openxmlformats.org/officeDocument/2006/relationships" ref="AB43" display="https://www.umontpellier.fr/en/international/etudier-a-letranger/etudiants-internationaux-annee-universitaire-2026-2027/" r:id="rId101"/>
    <hyperlink xmlns:r="http://schemas.openxmlformats.org/officeDocument/2006/relationships" ref="AG43" display="http://sciences.edu.umontpellier.fr/" r:id="rId102"/>
    <hyperlink xmlns:r="http://schemas.openxmlformats.org/officeDocument/2006/relationships" ref="AI43" display="Open in EEF" r:id="rId103"/>
    <hyperlink xmlns:r="http://schemas.openxmlformats.org/officeDocument/2006/relationships" ref="AB44" display="https://www.umontpellier.fr/en/international/etudier-a-letranger/etudiants-internationaux-annee-universitaire-2026-2027/" r:id="rId104"/>
    <hyperlink xmlns:r="http://schemas.openxmlformats.org/officeDocument/2006/relationships" ref="AG44" display="http://sciences.edu.umontpellier.fr/" r:id="rId105"/>
    <hyperlink xmlns:r="http://schemas.openxmlformats.org/officeDocument/2006/relationships" ref="AI44" display="Open in EEF" r:id="rId106"/>
    <hyperlink xmlns:r="http://schemas.openxmlformats.org/officeDocument/2006/relationships" ref="AB45" display="https://www.utoulouse.fr/medias/fichier/2026-02-ca-075_1774430647495-pdf" r:id="rId107"/>
    <hyperlink xmlns:r="http://schemas.openxmlformats.org/officeDocument/2006/relationships" ref="AG45" display="http://www.univ-tlse3.fr/" r:id="rId108"/>
    <hyperlink xmlns:r="http://schemas.openxmlformats.org/officeDocument/2006/relationships" ref="AI45" display="Open in EEF" r:id="rId109"/>
    <hyperlink xmlns:r="http://schemas.openxmlformats.org/officeDocument/2006/relationships" ref="AB46" display="https://www.utoulouse.fr/medias/fichier/2026-02-ca-075_1774430647495-pdf" r:id="rId110"/>
    <hyperlink xmlns:r="http://schemas.openxmlformats.org/officeDocument/2006/relationships" ref="AG46" display="http://www.univ-tlse3.fr/" r:id="rId111"/>
    <hyperlink xmlns:r="http://schemas.openxmlformats.org/officeDocument/2006/relationships" ref="AI46" display="Open in EEF" r:id="rId112"/>
    <hyperlink xmlns:r="http://schemas.openxmlformats.org/officeDocument/2006/relationships" ref="AB47" display="https://u-paris.fr/droits-dinscription-tarifs-exonerations/" r:id="rId113"/>
    <hyperlink xmlns:r="http://schemas.openxmlformats.org/officeDocument/2006/relationships" ref="AG47" display="https://odf.u-paris.fr/fr/offre-de-formation/master-XB/sciences-technologies-sante-STS/informatique-K2NDIF4R//master-informatique-parcours-cybersecurite-et-esante-JT5NZSOS.html" r:id="rId114"/>
    <hyperlink xmlns:r="http://schemas.openxmlformats.org/officeDocument/2006/relationships" ref="AI47" display="Open in EEF" r:id="rId115"/>
    <hyperlink xmlns:r="http://schemas.openxmlformats.org/officeDocument/2006/relationships" ref="AB48" display="https://www.utoulouse.fr/medias/fichier/2026-02-ca-075_1774430647495-pdf" r:id="rId116"/>
    <hyperlink xmlns:r="http://schemas.openxmlformats.org/officeDocument/2006/relationships" ref="AG48" display="http://www.univ-tlse3.fr/" r:id="rId117"/>
    <hyperlink xmlns:r="http://schemas.openxmlformats.org/officeDocument/2006/relationships" ref="AI48" display="Open in EEF" r:id="rId118"/>
    <hyperlink xmlns:r="http://schemas.openxmlformats.org/officeDocument/2006/relationships" ref="AB49" display="https://www.univ-grenoble-alpes.fr/actualites/a-la-une/actualites-universite/etudiants-internationaux-ce-que-change-le-nouveau-decret-sur-les-droits-d-inscription-a-l-uga-1775870.kjsp" r:id="rId119"/>
    <hyperlink xmlns:r="http://schemas.openxmlformats.org/officeDocument/2006/relationships" ref="AG49" display="https://formations.univ-grenoble-alpes.fr/fr/catalogue-2021/master-XB/master-ingenierie-de-la-sante-IAQKSXOB.html" r:id="rId120"/>
    <hyperlink xmlns:r="http://schemas.openxmlformats.org/officeDocument/2006/relationships" ref="AI49" display="Open in EEF" r:id="rId121"/>
    <hyperlink xmlns:r="http://schemas.openxmlformats.org/officeDocument/2006/relationships" ref="AB50" display="https://www.umontpellier.fr/en/international/etudier-a-letranger/etudiants-internationaux-annee-universitaire-2026-2027/" r:id="rId122"/>
    <hyperlink xmlns:r="http://schemas.openxmlformats.org/officeDocument/2006/relationships" ref="AG50" display="http://www.fdsweb.univ-montp2.fr/etudier-a-la-fds/catalogue-de-formation-675" r:id="rId123"/>
    <hyperlink xmlns:r="http://schemas.openxmlformats.org/officeDocument/2006/relationships" ref="AI50" display="Open in EEF" r:id="rId124"/>
    <hyperlink xmlns:r="http://schemas.openxmlformats.org/officeDocument/2006/relationships" ref="AB51" display="https://www.umlp.fr/sites/default/files/2026-07-02-page-droits-differencies-vf.pdf" r:id="rId125"/>
    <hyperlink xmlns:r="http://schemas.openxmlformats.org/officeDocument/2006/relationships" ref="AI51" display="Open in EEF" r:id="rId126"/>
    <hyperlink xmlns:r="http://schemas.openxmlformats.org/officeDocument/2006/relationships" ref="AB52" display="https://u-paris.fr/droits-dinscription-tarifs-exonerations/" r:id="rId127"/>
    <hyperlink xmlns:r="http://schemas.openxmlformats.org/officeDocument/2006/relationships" ref="AG52" display="https://pharmacie.u-paris.fr/" r:id="rId128"/>
    <hyperlink xmlns:r="http://schemas.openxmlformats.org/officeDocument/2006/relationships" ref="AI52" display="Open in EEF" r:id="rId129"/>
    <hyperlink xmlns:r="http://schemas.openxmlformats.org/officeDocument/2006/relationships" ref="AB53" display="https://www.umlp.fr/sites/default/files/2026-07-02-page-droits-differencies-vf.pdf" r:id="rId130"/>
    <hyperlink xmlns:r="http://schemas.openxmlformats.org/officeDocument/2006/relationships" ref="AI53" display="Open in EEF" r:id="rId131"/>
    <hyperlink xmlns:r="http://schemas.openxmlformats.org/officeDocument/2006/relationships" ref="AG54" display="https://www.univ-ubs.fr/fr/formation-initiale-continue/formations-2017-2018/master-XB/sciences-technologies-sante-STS/master-cyber-securite-des-systemes-embarques-program-5scy00-217-5scy01.html" r:id="rId132"/>
    <hyperlink xmlns:r="http://schemas.openxmlformats.org/officeDocument/2006/relationships" ref="AI54" display="Open in EEF" r:id="rId133"/>
    <hyperlink xmlns:r="http://schemas.openxmlformats.org/officeDocument/2006/relationships" ref="AG55" display="https://www.univ-ubs.fr/fr/formation-initiale-continue/formations-2017-2018/master-XB/sciences-technologies-sante-STS/master-systemes-embarques-systemes-integres-program-5ssy00-217-4ssy01.html" r:id="rId134"/>
    <hyperlink xmlns:r="http://schemas.openxmlformats.org/officeDocument/2006/relationships" ref="AI55" display="Open in EEF" r:id="rId135"/>
    <hyperlink xmlns:r="http://schemas.openxmlformats.org/officeDocument/2006/relationships" ref="AG56" display="https://esix.unicaen.fr" r:id="rId136"/>
    <hyperlink xmlns:r="http://schemas.openxmlformats.org/officeDocument/2006/relationships" ref="AI56" display="Open in EEF" r:id="rId137"/>
    <hyperlink xmlns:r="http://schemas.openxmlformats.org/officeDocument/2006/relationships" ref="AG57" display="http://www.sup-galilee.univ-paris13.fr/" r:id="rId138"/>
    <hyperlink xmlns:r="http://schemas.openxmlformats.org/officeDocument/2006/relationships" ref="AI57" display="Open in EEF" r:id="rId139"/>
    <hyperlink xmlns:r="http://schemas.openxmlformats.org/officeDocument/2006/relationships" ref="AG58" display="https://episen.u-pec.fr/" r:id="rId140"/>
    <hyperlink xmlns:r="http://schemas.openxmlformats.org/officeDocument/2006/relationships" ref="AI58" display="Open in EEF" r:id="rId141"/>
    <hyperlink xmlns:r="http://schemas.openxmlformats.org/officeDocument/2006/relationships" ref="AG59" display="https://episen.u-pec.fr/" r:id="rId142"/>
    <hyperlink xmlns:r="http://schemas.openxmlformats.org/officeDocument/2006/relationships" ref="AI59" display="Open in EEF" r:id="rId143"/>
    <hyperlink xmlns:r="http://schemas.openxmlformats.org/officeDocument/2006/relationships" ref="AG60" display="https://www.polytech-lille.fr/formation/ingenieur-internet-des-objets-cybersecurite/" r:id="rId144"/>
    <hyperlink xmlns:r="http://schemas.openxmlformats.org/officeDocument/2006/relationships" ref="AI60" display="Open in EEF" r:id="rId145"/>
    <hyperlink xmlns:r="http://schemas.openxmlformats.org/officeDocument/2006/relationships" ref="AB61" display="https://www.univ-amu.fr/fr/actualites/aix-marseille-universite-mobilise-pleinement-capacite-dexoneration-continuer-accueillir" r:id="rId146"/>
    <hyperlink xmlns:r="http://schemas.openxmlformats.org/officeDocument/2006/relationships" ref="AG61" display="https://polytech.univ-amu.fr/fr/formations/cycle-ingenieur/genie-biomedical" r:id="rId147"/>
    <hyperlink xmlns:r="http://schemas.openxmlformats.org/officeDocument/2006/relationships" ref="AI61" display="Open in EEF" r:id="rId148"/>
    <hyperlink xmlns:r="http://schemas.openxmlformats.org/officeDocument/2006/relationships" ref="AG62" display="http://www.polytech.univ-savoie.fr" r:id="rId149"/>
    <hyperlink xmlns:r="http://schemas.openxmlformats.org/officeDocument/2006/relationships" ref="AI62" display="Open in EEF" r:id="rId150"/>
    <hyperlink xmlns:r="http://schemas.openxmlformats.org/officeDocument/2006/relationships" ref="AG63" display="https://www.polytech.universite-paris-saclay.fr/formation/electronique-et-informatique-pour-lembarque" r:id="rId151"/>
    <hyperlink xmlns:r="http://schemas.openxmlformats.org/officeDocument/2006/relationships" ref="AI63" display="Open in EEF" r:id="rId152"/>
    <hyperlink xmlns:r="http://schemas.openxmlformats.org/officeDocument/2006/relationships" ref="AB64" display="https://www.umlp.fr/sites/default/files/2026-07-02-page-droits-differencies-vf.pdf" r:id="rId153"/>
    <hyperlink xmlns:r="http://schemas.openxmlformats.org/officeDocument/2006/relationships" ref="AG64" display="http://isifc.univ-fcomte.fr" r:id="rId154"/>
    <hyperlink xmlns:r="http://schemas.openxmlformats.org/officeDocument/2006/relationships" ref="AI64" display="Open in EEF" r:id="rId155"/>
    <hyperlink xmlns:r="http://schemas.openxmlformats.org/officeDocument/2006/relationships" ref="AG65" display="http://www.polytech-orleans.fr" r:id="rId156"/>
    <hyperlink xmlns:r="http://schemas.openxmlformats.org/officeDocument/2006/relationships" ref="AI65" display="Open in EEF" r:id="rId157"/>
    <hyperlink xmlns:r="http://schemas.openxmlformats.org/officeDocument/2006/relationships" ref="AG66" display="https://www.ensicaen.fr/" r:id="rId158"/>
    <hyperlink xmlns:r="http://schemas.openxmlformats.org/officeDocument/2006/relationships" ref="AI66" display="Open in EEF" r:id="rId159"/>
    <hyperlink xmlns:r="http://schemas.openxmlformats.org/officeDocument/2006/relationships" ref="AG67" display="https://polytech.univ-cotedazur.fr/" r:id="rId160"/>
    <hyperlink xmlns:r="http://schemas.openxmlformats.org/officeDocument/2006/relationships" ref="AI67" display="Open in EEF" r:id="rId161"/>
    <hyperlink xmlns:r="http://schemas.openxmlformats.org/officeDocument/2006/relationships" ref="AB68" display="https://www.uca.fr/medias/fichier/delib-ca-20251205-15-tarifs-differencies_1765204050111-pdf" r:id="rId162"/>
    <hyperlink xmlns:r="http://schemas.openxmlformats.org/officeDocument/2006/relationships" ref="AG68" display="http://www.polytech-clermont.fr" r:id="rId163"/>
    <hyperlink xmlns:r="http://schemas.openxmlformats.org/officeDocument/2006/relationships" ref="AI68" display="Open in EEF" r:id="rId164"/>
    <hyperlink xmlns:r="http://schemas.openxmlformats.org/officeDocument/2006/relationships" ref="AB69" display="https://www.univ-grenoble-alpes.fr/actualites/a-la-une/actualites-universite/etudiants-internationaux-ce-que-change-le-nouveau-decret-sur-les-droits-d-inscription-a-l-uga-1775870.kjsp" r:id="rId165"/>
    <hyperlink xmlns:r="http://schemas.openxmlformats.org/officeDocument/2006/relationships" ref="AG69" display="https://polytech.grenoble-inp.fr/" r:id="rId166"/>
    <hyperlink xmlns:r="http://schemas.openxmlformats.org/officeDocument/2006/relationships" ref="AI69" display="Open in EEF" r:id="rId167"/>
    <hyperlink xmlns:r="http://schemas.openxmlformats.org/officeDocument/2006/relationships" ref="AG70" display="http://polytech.univ-lyon1.fr" r:id="rId168"/>
    <hyperlink xmlns:r="http://schemas.openxmlformats.org/officeDocument/2006/relationships" ref="AI70" display="Open in EEF" r:id="rId169"/>
    <hyperlink xmlns:r="http://schemas.openxmlformats.org/officeDocument/2006/relationships" ref="AG71" display="https://www.mines-stetienne.fr/en/academic/msc-cyber-physical-social-systems-cps2/" r:id="rId170"/>
    <hyperlink xmlns:r="http://schemas.openxmlformats.org/officeDocument/2006/relationships" ref="AI71" display="Open in EEF" r:id="rId171"/>
    <hyperlink xmlns:r="http://schemas.openxmlformats.org/officeDocument/2006/relationships" ref="AI72" display="Open in EEF" r:id="rId172"/>
    <hyperlink xmlns:r="http://schemas.openxmlformats.org/officeDocument/2006/relationships" ref="AB73" display="https://www.umlp.fr/sites/default/files/2026-07-02-page-droits-differencies-vf.pdf" r:id="rId173"/>
    <hyperlink xmlns:r="http://schemas.openxmlformats.org/officeDocument/2006/relationships" ref="AG73" display="http://isifc.univ-fcomte.fr" r:id="rId174"/>
    <hyperlink xmlns:r="http://schemas.openxmlformats.org/officeDocument/2006/relationships" ref="AI73" display="Open in EEF" r:id="rId175"/>
    <hyperlink xmlns:r="http://schemas.openxmlformats.org/officeDocument/2006/relationships" ref="AG74" display="http://sciences-tech.u-pec.fr" r:id="rId176"/>
    <hyperlink xmlns:r="http://schemas.openxmlformats.org/officeDocument/2006/relationships" ref="AI74" display="Open in EEF" r:id="rId177"/>
    <hyperlink xmlns:r="http://schemas.openxmlformats.org/officeDocument/2006/relationships" ref="AB75" display="https://observalgerie.com/2026/06/13/misc/frais-dinscription-en-france-lille-maintient-un-avantage-pour-les-etudiants-etrangers/" r:id="rId178"/>
    <hyperlink xmlns:r="http://schemas.openxmlformats.org/officeDocument/2006/relationships" ref="AG75" display="https://formation.univ-lille.fr/fr/offre-de-formation/master-lmd-XB/master-automatique-et-systemes-electriques-MG001978/energie-electrique-et-developpement-durable-electrical-engineering-for-sustainable-development-m2-MX002024.html" r:id="rId179"/>
    <hyperlink xmlns:r="http://schemas.openxmlformats.org/officeDocument/2006/relationships" ref="AI75" display="Open in EEF" r:id="rId180"/>
    <hyperlink xmlns:r="http://schemas.openxmlformats.org/officeDocument/2006/relationships" ref="AB76" display="https://www.unistra.fr/fr/node/8168" r:id="rId181"/>
    <hyperlink xmlns:r="http://schemas.openxmlformats.org/officeDocument/2006/relationships" ref="AG76" display="http://sciencesvie.unistra.fr/" r:id="rId182"/>
    <hyperlink xmlns:r="http://schemas.openxmlformats.org/officeDocument/2006/relationships" ref="AI76" display="Open in EEF" r:id="rId183"/>
    <hyperlink xmlns:r="http://schemas.openxmlformats.org/officeDocument/2006/relationships" ref="AB77" display="https://www.unistra.fr/fr/node/8168" r:id="rId184"/>
    <hyperlink xmlns:r="http://schemas.openxmlformats.org/officeDocument/2006/relationships" ref="AG77" display="http://sciencesvie.unistra.fr/" r:id="rId185"/>
    <hyperlink xmlns:r="http://schemas.openxmlformats.org/officeDocument/2006/relationships" ref="AI77" display="Open in EEF" r:id="rId186"/>
    <hyperlink xmlns:r="http://schemas.openxmlformats.org/officeDocument/2006/relationships" ref="AG78" display="http://sciences-tech.u-pec.fr" r:id="rId187"/>
    <hyperlink xmlns:r="http://schemas.openxmlformats.org/officeDocument/2006/relationships" ref="AI78" display="Open in EEF" r:id="rId188"/>
    <hyperlink xmlns:r="http://schemas.openxmlformats.org/officeDocument/2006/relationships" ref="AB79" display="https://www.unistra.fr/fr/node/8168" r:id="rId189"/>
    <hyperlink xmlns:r="http://schemas.openxmlformats.org/officeDocument/2006/relationships" ref="AG79" display="http://sciencesvie.unistra.fr/" r:id="rId190"/>
    <hyperlink xmlns:r="http://schemas.openxmlformats.org/officeDocument/2006/relationships" ref="AI79" display="Open in EEF" r:id="rId191"/>
    <hyperlink xmlns:r="http://schemas.openxmlformats.org/officeDocument/2006/relationships" ref="AG80" display="https://idmc.univ-lorraine.fr/idmc-master-degree-in-natural-language-processing/" r:id="rId192"/>
    <hyperlink xmlns:r="http://schemas.openxmlformats.org/officeDocument/2006/relationships" ref="AI80" display="Open in EEF" r:id="rId193"/>
    <hyperlink xmlns:r="http://schemas.openxmlformats.org/officeDocument/2006/relationships" ref="AB81" display="https://observalgerie.com/2026/06/13/misc/frais-dinscription-en-france-lille-maintient-un-avantage-pour-les-etudiants-etrangers/" r:id="rId194"/>
    <hyperlink xmlns:r="http://schemas.openxmlformats.org/officeDocument/2006/relationships" ref="AG81" display="https://formation.univ-lille.fr/fr/offre-de-formation/master-lmd-XB/master-physique-fondamentale-et-applications-MG001988/quantum-and-photonic-technologies-m1-m2-MX195427.html" r:id="rId195"/>
    <hyperlink xmlns:r="http://schemas.openxmlformats.org/officeDocument/2006/relationships" ref="AI81" display="Open in EEF" r:id="rId196"/>
    <hyperlink xmlns:r="http://schemas.openxmlformats.org/officeDocument/2006/relationships" ref="AB82" display="https://www.univ-lyon1.fr/formation/inscription-et-scolarite/etudiantes-et-etudiants-internationaux-droits-dinscription-differencies-et-exonerations" r:id="rId197"/>
    <hyperlink xmlns:r="http://schemas.openxmlformats.org/officeDocument/2006/relationships" ref="AG82" display="https://ufr-biosciences.univ-lyon1.fr" r:id="rId198"/>
    <hyperlink xmlns:r="http://schemas.openxmlformats.org/officeDocument/2006/relationships" ref="AI82" display="Open in EEF" r:id="rId199"/>
    <hyperlink xmlns:r="http://schemas.openxmlformats.org/officeDocument/2006/relationships" ref="AG83" display="https://eeap.cnam.fr" r:id="rId200"/>
    <hyperlink xmlns:r="http://schemas.openxmlformats.org/officeDocument/2006/relationships" ref="AI83" display="Open in EEF" r:id="rId201"/>
    <hyperlink xmlns:r="http://schemas.openxmlformats.org/officeDocument/2006/relationships" ref="AB84" display="https://observalgerie.com/2026/06/13/misc/frais-dinscription-en-france-lille-maintient-un-avantage-pour-les-etudiants-etrangers/" r:id="rId202"/>
    <hyperlink xmlns:r="http://schemas.openxmlformats.org/officeDocument/2006/relationships" ref="AG84" display="https://www.univ-lille.fr/formations/fr-00002031" r:id="rId203"/>
    <hyperlink xmlns:r="http://schemas.openxmlformats.org/officeDocument/2006/relationships" ref="AI84" display="Open in EEF" r:id="rId204"/>
    <hyperlink xmlns:r="http://schemas.openxmlformats.org/officeDocument/2006/relationships" ref="AG85" display="https://www.ec-lyon.fr/formation/international-master-nanoscale-engineering" r:id="rId205"/>
    <hyperlink xmlns:r="http://schemas.openxmlformats.org/officeDocument/2006/relationships" ref="AI85" display="Open in EEF" r:id="rId206"/>
    <hyperlink xmlns:r="http://schemas.openxmlformats.org/officeDocument/2006/relationships" ref="AG86" display="https://www.ec-lyon.fr/formation/international-master-nanoscale-engineering" r:id="rId207"/>
    <hyperlink xmlns:r="http://schemas.openxmlformats.org/officeDocument/2006/relationships" ref="AI86" display="Open in EEF" r:id="rId208"/>
    <hyperlink xmlns:r="http://schemas.openxmlformats.org/officeDocument/2006/relationships" ref="AB87" display="https://www.univ-grenoble-alpes.fr/actualites/a-la-une/actualites-universite/etudiants-internationaux-ce-que-change-le-nouveau-decret-sur-les-droits-d-inscription-a-l-uga-1775870.kjsp" r:id="rId209"/>
    <hyperlink xmlns:r="http://schemas.openxmlformats.org/officeDocument/2006/relationships" ref="AG87" display="https://ense3.grenoble-inp.fr/en/study-at-ense3/masters-in-english" r:id="rId210"/>
    <hyperlink xmlns:r="http://schemas.openxmlformats.org/officeDocument/2006/relationships" ref="AI87" display="Open in EEF" r:id="rId211"/>
    <hyperlink xmlns:r="http://schemas.openxmlformats.org/officeDocument/2006/relationships" ref="AG88" display="https://www.erasmus-mundus.emimep.eu/" r:id="rId212"/>
    <hyperlink xmlns:r="http://schemas.openxmlformats.org/officeDocument/2006/relationships" ref="AI88" display="Open in EEF" r:id="rId213"/>
    <hyperlink xmlns:r="http://schemas.openxmlformats.org/officeDocument/2006/relationships" ref="AB89" display="https://www.umlp.fr/sites/default/files/2026-07-02-page-droits-differencies-vf.pdf" r:id="rId214"/>
    <hyperlink xmlns:r="http://schemas.openxmlformats.org/officeDocument/2006/relationships" ref="AG89" location="/program/3551" display="https://taughtie.campusfrance.org/tiesearch/#/program/3551" r:id="rId215"/>
    <hyperlink xmlns:r="http://schemas.openxmlformats.org/officeDocument/2006/relationships" ref="AI89" display="Open in EEF" r:id="rId216"/>
    <hyperlink xmlns:r="http://schemas.openxmlformats.org/officeDocument/2006/relationships" ref="AB90" display="https://www.univ-amu.fr/fr/actualites/aix-marseille-universite-mobilise-pleinement-capacite-dexoneration-continuer-accueillir" r:id="rId217"/>
    <hyperlink xmlns:r="http://schemas.openxmlformats.org/officeDocument/2006/relationships" ref="AG90" display="https://formations.univ-amu.fr/fr/master/5SNN/PRSNN5C3" r:id="rId218"/>
    <hyperlink xmlns:r="http://schemas.openxmlformats.org/officeDocument/2006/relationships" ref="AI90" display="Open in EEF" r:id="rId219"/>
    <hyperlink xmlns:r="http://schemas.openxmlformats.org/officeDocument/2006/relationships" ref="AB91" display="https://www.umontpellier.fr/en/international/etudier-a-letranger/etudiants-internationaux-annee-universitaire-2026-2027/" r:id="rId220"/>
    <hyperlink xmlns:r="http://schemas.openxmlformats.org/officeDocument/2006/relationships" ref="AG91" display="https://idil.edu.umontpellier.fr/" r:id="rId221"/>
    <hyperlink xmlns:r="http://schemas.openxmlformats.org/officeDocument/2006/relationships" ref="AI91" display="Open in EEF" r:id="rId222"/>
    <hyperlink xmlns:r="http://schemas.openxmlformats.org/officeDocument/2006/relationships" ref="AB92" display="https://www.umontpellier.fr/en/international/etudier-a-letranger/etudiants-internationaux-annee-universitaire-2026-2027/" r:id="rId223"/>
    <hyperlink xmlns:r="http://schemas.openxmlformats.org/officeDocument/2006/relationships" ref="AG92" display="https://idil.edu.umontpellier.fr/" r:id="rId224"/>
    <hyperlink xmlns:r="http://schemas.openxmlformats.org/officeDocument/2006/relationships" ref="AI92" display="Open in EEF" r:id="rId225"/>
    <hyperlink xmlns:r="http://schemas.openxmlformats.org/officeDocument/2006/relationships" ref="AG93" display="http://www.polytech.univ-smb.fr/en/programs/masters/advanced-mechatronics.html" r:id="rId226"/>
    <hyperlink xmlns:r="http://schemas.openxmlformats.org/officeDocument/2006/relationships" ref="AI93" display="Open in EEF" r:id="rId227"/>
    <hyperlink xmlns:r="http://schemas.openxmlformats.org/officeDocument/2006/relationships" ref="AB94" display="https://www.umlp.fr/sites/default/files/2026-07-02-page-droits-differencies-vf.pdf" r:id="rId228"/>
    <hyperlink xmlns:r="http://schemas.openxmlformats.org/officeDocument/2006/relationships" ref="AG94" location="/program/3549" display="https://taughtie.campusfrance.org/tiesearch/#/program/3549" r:id="rId229"/>
    <hyperlink xmlns:r="http://schemas.openxmlformats.org/officeDocument/2006/relationships" ref="AI94" display="Open in EEF" r:id="rId230"/>
    <hyperlink xmlns:r="http://schemas.openxmlformats.org/officeDocument/2006/relationships" ref="AB95" display="https://www.univ-grenoble-alpes.fr/actualites/a-la-une/actualites-universite/etudiants-internationaux-ce-que-change-le-nouveau-decret-sur-les-droits-d-inscription-a-l-uga-1775870.kjsp" r:id="rId231"/>
    <hyperlink xmlns:r="http://schemas.openxmlformats.org/officeDocument/2006/relationships" ref="AG95" display="https://formations.univ-grenoble-alpes.fr/fr/catalogue-2021/master-XB/master-electronique-energie-electrique-automatique-IFZ3DRB9/parcours-electrical-engineering-and-control-systems-1ere-annee-KVQSSM5S.html" r:id="rId232"/>
    <hyperlink xmlns:r="http://schemas.openxmlformats.org/officeDocument/2006/relationships" ref="AI95" display="Open in EEF" r:id="rId233"/>
    <hyperlink xmlns:r="http://schemas.openxmlformats.org/officeDocument/2006/relationships" ref="AB96" display="https://www.univ-grenoble-alpes.fr/actualites/a-la-une/actualites-universite/etudiants-internationaux-ce-que-change-le-nouveau-decret-sur-les-droits-d-inscription-a-l-uga-1775870.kjsp" r:id="rId234"/>
    <hyperlink xmlns:r="http://schemas.openxmlformats.org/officeDocument/2006/relationships" ref="AG96" display="https://ense3.grenoble-inp.fr/en/study-at-ense3/masters-in-english" r:id="rId235"/>
    <hyperlink xmlns:r="http://schemas.openxmlformats.org/officeDocument/2006/relationships" ref="AI96" display="Open in EEF" r:id="rId236"/>
    <hyperlink xmlns:r="http://schemas.openxmlformats.org/officeDocument/2006/relationships" ref="AB97" display="https://www.umontpellier.fr/en/international/etudier-a-letranger/etudiants-internationaux-annee-universitaire-2026-2027/" r:id="rId237"/>
    <hyperlink xmlns:r="http://schemas.openxmlformats.org/officeDocument/2006/relationships" ref="AG97" display="http://www.eea.univ-montp2.fr/?-Robotique-Automatique-" r:id="rId238"/>
    <hyperlink xmlns:r="http://schemas.openxmlformats.org/officeDocument/2006/relationships" ref="AI97" display="Open in EEF" r:id="rId239"/>
    <hyperlink xmlns:r="http://schemas.openxmlformats.org/officeDocument/2006/relationships" ref="AB98" display="https://www.univ-grenoble-alpes.fr/actualites/a-la-une/actualites-universite/etudiants-internationaux-ce-que-change-le-nouveau-decret-sur-les-droits-d-inscription-a-l-uga-1775870.kjsp" r:id="rId240"/>
    <hyperlink xmlns:r="http://schemas.openxmlformats.org/officeDocument/2006/relationships" ref="AG98" display="https://formations.univ-grenoble-alpes.fr/fr/catalogue-2021/master-XB/master-nanosciences-et-nanotechnologies-IAQK78RT/parcours-nanophysics-quantum-physics-1re-annee-KLQGAWF7.html" r:id="rId241"/>
    <hyperlink xmlns:r="http://schemas.openxmlformats.org/officeDocument/2006/relationships" ref="AI98" display="Open in EEF" r:id="rId242"/>
    <hyperlink xmlns:r="http://schemas.openxmlformats.org/officeDocument/2006/relationships" ref="AB99" display="https://www.univ-grenoble-alpes.fr/actualites/a-la-une/actualites-universite/etudiants-internationaux-ce-que-change-le-nouveau-decret-sur-les-droits-d-inscription-a-l-uga-1775870.kjsp" r:id="rId243"/>
    <hyperlink xmlns:r="http://schemas.openxmlformats.org/officeDocument/2006/relationships" ref="AG99" display="https://formations.univ-grenoble-alpes.fr/fr/catalogue-2021/master-XB/master-nanosciences-et-nanotechnologies-IAQK78RT/parcours-physics-of-complex-matter-parcours-international-1re-annee-IATOD7FB.html" r:id="rId244"/>
    <hyperlink xmlns:r="http://schemas.openxmlformats.org/officeDocument/2006/relationships" ref="AI99" display="Open in EEF" r:id="rId245"/>
    <hyperlink xmlns:r="http://schemas.openxmlformats.org/officeDocument/2006/relationships" ref="AB100" display="https://www.univ-grenoble-alpes.fr/actualites/a-la-une/actualites-universite/etudiants-internationaux-ce-que-change-le-nouveau-decret-sur-les-droits-d-inscription-a-l-uga-1775870.kjsp" r:id="rId246"/>
    <hyperlink xmlns:r="http://schemas.openxmlformats.org/officeDocument/2006/relationships" ref="AG100" location="page-presentation" display="https://phelma.grenoble-inp.fr/fr/formation/master-nanosciences-and-nanotechnologies-parcours-nanomedicine-and-structural-biology#page-presentation" r:id="rId247"/>
    <hyperlink xmlns:r="http://schemas.openxmlformats.org/officeDocument/2006/relationships" ref="AI100" display="Open in EEF" r:id="rId248"/>
    <hyperlink xmlns:r="http://schemas.openxmlformats.org/officeDocument/2006/relationships" ref="AG101" location="/details-formation?type=formation&amp;id=131" display="https://formations.u-bordeaux.fr/#/details-formation?type=formation&amp;id=131" r:id="rId249"/>
    <hyperlink xmlns:r="http://schemas.openxmlformats.org/officeDocument/2006/relationships" ref="AI101" display="Open in EEF" r:id="rId250"/>
    <hyperlink xmlns:r="http://schemas.openxmlformats.org/officeDocument/2006/relationships" ref="AG102" display="https://life.univ-cotedazur.fr/international/erasmus-mundus-joint-master-membiomed" r:id="rId251"/>
    <hyperlink xmlns:r="http://schemas.openxmlformats.org/officeDocument/2006/relationships" ref="AI102" display="Open in EEF" r:id="rId252"/>
    <hyperlink xmlns:r="http://schemas.openxmlformats.org/officeDocument/2006/relationships" ref="AB103" display="https://www.univ-amu.fr/fr/actualites/aix-marseille-universite-mobilise-pleinement-capacite-dexoneration-continuer-accueillir" r:id="rId253"/>
    <hyperlink xmlns:r="http://schemas.openxmlformats.org/officeDocument/2006/relationships" ref="AG103" display="https://formations.univ-amu.fr/fr/master/5SNN/PRSNN5C3" r:id="rId254"/>
    <hyperlink xmlns:r="http://schemas.openxmlformats.org/officeDocument/2006/relationships" ref="AI103" display="Open in EEF" r:id="rId255"/>
    <hyperlink xmlns:r="http://schemas.openxmlformats.org/officeDocument/2006/relationships" ref="AB104" display="https://www.univ-amu.fr/fr/actualites/aix-marseille-universite-mobilise-pleinement-capacite-dexoneration-continuer-accueillir" r:id="rId256"/>
    <hyperlink xmlns:r="http://schemas.openxmlformats.org/officeDocument/2006/relationships" ref="AG104" display="https://formations.univ-amu.fr/fr/master/5SNE" r:id="rId257"/>
    <hyperlink xmlns:r="http://schemas.openxmlformats.org/officeDocument/2006/relationships" ref="AI104" display="Open in EEF" r:id="rId258"/>
    <hyperlink xmlns:r="http://schemas.openxmlformats.org/officeDocument/2006/relationships" ref="AB105" display="https://www.univ-amu.fr/fr/actualites/aix-marseille-universite-mobilise-pleinement-capacite-dexoneration-continuer-accueillir" r:id="rId259"/>
    <hyperlink xmlns:r="http://schemas.openxmlformats.org/officeDocument/2006/relationships" ref="AG105" display="https://formations.univ-amu.fr/fr/master/5SPF/PRSPF5C4" r:id="rId260"/>
    <hyperlink xmlns:r="http://schemas.openxmlformats.org/officeDocument/2006/relationships" ref="AI105" display="Open in EEF" r:id="rId261"/>
    <hyperlink xmlns:r="http://schemas.openxmlformats.org/officeDocument/2006/relationships" ref="AB106" display="https://www.umontpellier.fr/en/international/etudier-a-letranger/etudiants-internationaux-annee-universitaire-2026-2027/" r:id="rId262"/>
    <hyperlink xmlns:r="http://schemas.openxmlformats.org/officeDocument/2006/relationships" ref="AG106" display="https://idil.edu.umontpellier.fr/" r:id="rId263"/>
    <hyperlink xmlns:r="http://schemas.openxmlformats.org/officeDocument/2006/relationships" ref="AI106" display="Open in EEF" r:id="rId264"/>
    <hyperlink xmlns:r="http://schemas.openxmlformats.org/officeDocument/2006/relationships" ref="AB107" display="https://www.umontpellier.fr/en/international/etudier-a-letranger/etudiants-internationaux-annee-universitaire-2026-2027/" r:id="rId265"/>
    <hyperlink xmlns:r="http://schemas.openxmlformats.org/officeDocument/2006/relationships" ref="AG107" display="https://idil.edu.umontpellier.fr/" r:id="rId266"/>
    <hyperlink xmlns:r="http://schemas.openxmlformats.org/officeDocument/2006/relationships" ref="AI107" display="Open in EEF" r:id="rId267"/>
    <hyperlink xmlns:r="http://schemas.openxmlformats.org/officeDocument/2006/relationships" ref="AB108" display="https://u-paris.fr/droits-dinscription-tarifs-exonerations/" r:id="rId268"/>
    <hyperlink xmlns:r="http://schemas.openxmlformats.org/officeDocument/2006/relationships" ref="AG108" display="https://odf.u-paris.fr/fr/offre-de-formation/master-XB/sciences-technologies-sante-STS/sciences-cognitives-K5CBPO1E.html" r:id="rId269"/>
    <hyperlink xmlns:r="http://schemas.openxmlformats.org/officeDocument/2006/relationships" ref="AI108" display="Open in EEF" r:id="rId270"/>
    <hyperlink xmlns:r="http://schemas.openxmlformats.org/officeDocument/2006/relationships" ref="AB109" display="https://www.sorbonne-universite.fr/actualites/le-conseil-dadministration-de-sorbonne-universite-vote-lunanimite-le-7-juillet-2026-sa" r:id="rId271"/>
    <hyperlink xmlns:r="http://schemas.openxmlformats.org/officeDocument/2006/relationships" ref="AG109" display="https://sciences.sorbonne-universite.fr/formation-sciences/offre-de-formation/masters/master-sciences-cognitives" r:id="rId272"/>
    <hyperlink xmlns:r="http://schemas.openxmlformats.org/officeDocument/2006/relationships" ref="AI109" display="Open in EEF" r:id="rId273"/>
    <hyperlink xmlns:r="http://schemas.openxmlformats.org/officeDocument/2006/relationships" ref="AB110" display="https://u-paris.fr/droits-dinscription-tarifs-exonerations/" r:id="rId274"/>
    <hyperlink xmlns:r="http://schemas.openxmlformats.org/officeDocument/2006/relationships" ref="AG110" display="https://odf.u-paris.fr/fr/offre-de-formation/master-XB/sciences-technologies-sante-STS/sciences-cognitives-K5CBPO1E.html" r:id="rId275"/>
    <hyperlink xmlns:r="http://schemas.openxmlformats.org/officeDocument/2006/relationships" ref="AI110" display="Open in EEF" r:id="rId276"/>
    <hyperlink xmlns:r="http://schemas.openxmlformats.org/officeDocument/2006/relationships" ref="AB111" display="https://www.sorbonne-universite.fr/actualites/le-conseil-dadministration-de-sorbonne-universite-vote-lunanimite-le-7-juillet-2026-sa" r:id="rId277"/>
    <hyperlink xmlns:r="http://schemas.openxmlformats.org/officeDocument/2006/relationships" ref="AG111" display="https://sciences.sorbonne-universite.fr/formation-sciences/offre-de-formation/masters/master-sciences-cognitives" r:id="rId278"/>
    <hyperlink xmlns:r="http://schemas.openxmlformats.org/officeDocument/2006/relationships" ref="AI111" display="Open in EEF" r:id="rId279"/>
    <hyperlink xmlns:r="http://schemas.openxmlformats.org/officeDocument/2006/relationships" ref="AB112" display="https://www.univ-amu.fr/fr/actualites/aix-marseille-universite-mobilise-pleinement-capacite-dexoneration-continuer-accueillir" r:id="rId280"/>
    <hyperlink xmlns:r="http://schemas.openxmlformats.org/officeDocument/2006/relationships" ref="AG112" display="https://formations.univ-amu.fr/fr/master/5SPF/PRSPF5C4" r:id="rId281"/>
    <hyperlink xmlns:r="http://schemas.openxmlformats.org/officeDocument/2006/relationships" ref="AI112" display="Open in EEF" r:id="rId282"/>
    <hyperlink xmlns:r="http://schemas.openxmlformats.org/officeDocument/2006/relationships" ref="AG113" display="https://odf.univ-spn.fr/fr/offre-de-formation/master-lmd-XB/master-mention-biologie-sante-parcours-therapies-et-technologie-du-vivant-BI4TPH_117.html" r:id="rId283"/>
    <hyperlink xmlns:r="http://schemas.openxmlformats.org/officeDocument/2006/relationships" ref="AI113" display="Open in EEF" r:id="rId284"/>
    <hyperlink xmlns:r="http://schemas.openxmlformats.org/officeDocument/2006/relationships" ref="AG114" display="https://www.unilim.fr/gradschool-ceramics-ict/" r:id="rId285"/>
    <hyperlink xmlns:r="http://schemas.openxmlformats.org/officeDocument/2006/relationships" ref="AI114" display="Open in EEF" r:id="rId286"/>
    <hyperlink xmlns:r="http://schemas.openxmlformats.org/officeDocument/2006/relationships" ref="AG115" display="https://www.unilim.fr/gradschool-ceramics-ict/" r:id="rId287"/>
    <hyperlink xmlns:r="http://schemas.openxmlformats.org/officeDocument/2006/relationships" ref="AI115" display="Open in EEF" r:id="rId288"/>
    <hyperlink xmlns:r="http://schemas.openxmlformats.org/officeDocument/2006/relationships" ref="AG116" display="https://formations.univ-rennes.fr/" r:id="rId289"/>
    <hyperlink xmlns:r="http://schemas.openxmlformats.org/officeDocument/2006/relationships" ref="AI116" display="Open in EEF" r:id="rId290"/>
    <hyperlink xmlns:r="http://schemas.openxmlformats.org/officeDocument/2006/relationships" ref="AG117" display="https://formations.univ-rennes.fr/" r:id="rId291"/>
    <hyperlink xmlns:r="http://schemas.openxmlformats.org/officeDocument/2006/relationships" ref="AI117" display="Open in EEF" r:id="rId292"/>
    <hyperlink xmlns:r="http://schemas.openxmlformats.org/officeDocument/2006/relationships" ref="AB118" display="https://www.unistra.fr/fr/node/8168" r:id="rId293"/>
    <hyperlink xmlns:r="http://schemas.openxmlformats.org/officeDocument/2006/relationships" ref="AI118" display="Open in EEF" r:id="rId294"/>
    <hyperlink xmlns:r="http://schemas.openxmlformats.org/officeDocument/2006/relationships" ref="AB119" display="https://www.unistra.fr/fr/node/8168" r:id="rId295"/>
    <hyperlink xmlns:r="http://schemas.openxmlformats.org/officeDocument/2006/relationships" ref="AG119" display="http://sciencesvie.unistra.fr/" r:id="rId296"/>
    <hyperlink xmlns:r="http://schemas.openxmlformats.org/officeDocument/2006/relationships" ref="AI119" display="Open in EEF" r:id="rId297"/>
    <hyperlink xmlns:r="http://schemas.openxmlformats.org/officeDocument/2006/relationships" ref="AG120" display="https://www.utc.fr/formations/diplome-de-master/mention-ingenierie-des-systemes-complexes-isc/parcours-automatique-et-robotique-des-systemes-intelligents-ars/" r:id="rId298"/>
    <hyperlink xmlns:r="http://schemas.openxmlformats.org/officeDocument/2006/relationships" ref="AI120" display="Open in EEF" r:id="rId299"/>
    <hyperlink xmlns:r="http://schemas.openxmlformats.org/officeDocument/2006/relationships" ref="AG121" display="https://www.utc.fr/formations/diplome-de-master/mention-ingenierie-des-systemes-complexes-isc/parcours-systemes-mecatroniques-smt/" r:id="rId300"/>
    <hyperlink xmlns:r="http://schemas.openxmlformats.org/officeDocument/2006/relationships" ref="AI121" display="Open in EEF" r:id="rId301"/>
    <hyperlink xmlns:r="http://schemas.openxmlformats.org/officeDocument/2006/relationships" ref="AB122" display="https://www.sorbonne-universite.fr/actualites/le-conseil-dadministration-de-sorbonne-universite-vote-lunanimite-le-7-juillet-2026-sa" r:id="rId302"/>
    <hyperlink xmlns:r="http://schemas.openxmlformats.org/officeDocument/2006/relationships" ref="AG122" display="https://masters-sdi.sorbonne-universite.fr/electronique-energie-electrique-automatique" r:id="rId303"/>
    <hyperlink xmlns:r="http://schemas.openxmlformats.org/officeDocument/2006/relationships" ref="AI122" display="Open in EEF" r:id="rId304"/>
    <hyperlink xmlns:r="http://schemas.openxmlformats.org/officeDocument/2006/relationships" ref="AB123" display="https://www.sorbonne-universite.fr/actualites/le-conseil-dadministration-de-sorbonne-universite-vote-lunanimite-le-7-juillet-2026-sa" r:id="rId305"/>
    <hyperlink xmlns:r="http://schemas.openxmlformats.org/officeDocument/2006/relationships" ref="AG123" display="https://masters-sdi.sorbonne-universite.fr/electronique-energie-electrique-automatique" r:id="rId306"/>
    <hyperlink xmlns:r="http://schemas.openxmlformats.org/officeDocument/2006/relationships" ref="AI123" display="Open in EEF" r:id="rId307"/>
    <hyperlink xmlns:r="http://schemas.openxmlformats.org/officeDocument/2006/relationships" ref="AB124" display="https://www.umlp.fr/sites/default/files/2026-07-02-page-droits-differencies-vf.pdf" r:id="rId308"/>
    <hyperlink xmlns:r="http://schemas.openxmlformats.org/officeDocument/2006/relationships" ref="AG124" display="https://stgi.umlp.fr/" r:id="rId309"/>
    <hyperlink xmlns:r="http://schemas.openxmlformats.org/officeDocument/2006/relationships" ref="AI124" display="Open in EEF" r:id="rId310"/>
    <hyperlink xmlns:r="http://schemas.openxmlformats.org/officeDocument/2006/relationships" ref="AG125" display="http://www.enseeiht.fr/fr/formation/masters-internationaux-masters-of-science/ees-electrical-energy-systems.html" r:id="rId311"/>
    <hyperlink xmlns:r="http://schemas.openxmlformats.org/officeDocument/2006/relationships" ref="AI125" display="Open in EEF" r:id="rId312"/>
    <hyperlink xmlns:r="http://schemas.openxmlformats.org/officeDocument/2006/relationships" ref="AB126" display="https://www.sorbonne-universite.fr/actualites/le-conseil-dadministration-de-sorbonne-universite-vote-lunanimite-le-7-juillet-2026-sa" r:id="rId313"/>
    <hyperlink xmlns:r="http://schemas.openxmlformats.org/officeDocument/2006/relationships" ref="AG126" display="https://sciences.sorbonne-universite.fr/formation-sciences/offre-de-formation/masters/master-informatique/parcours-ima" r:id="rId314"/>
    <hyperlink xmlns:r="http://schemas.openxmlformats.org/officeDocument/2006/relationships" ref="AI126" display="Open in EEF" r:id="rId315"/>
    <hyperlink xmlns:r="http://schemas.openxmlformats.org/officeDocument/2006/relationships" ref="AB127" display="https://u-paris.fr/droits-dinscription-tarifs-exonerations/" r:id="rId316"/>
    <hyperlink xmlns:r="http://schemas.openxmlformats.org/officeDocument/2006/relationships" ref="AG127" display="https://odf.u-paris.fr/fr/offre-de-formation/master-XB/sciences-technologies-sante-STS/neurosciences-K2NDMRJL.html" r:id="rId317"/>
    <hyperlink xmlns:r="http://schemas.openxmlformats.org/officeDocument/2006/relationships" ref="AI127" display="Open in EEF" r:id="rId318"/>
    <hyperlink xmlns:r="http://schemas.openxmlformats.org/officeDocument/2006/relationships" ref="AB128" display="https://www.umlp.fr/sites/default/files/2026-07-02-page-droits-differencies-vf.pdf" r:id="rId319"/>
    <hyperlink xmlns:r="http://schemas.openxmlformats.org/officeDocument/2006/relationships" ref="AG128" display="https://stgi.umlp.fr/" r:id="rId320"/>
    <hyperlink xmlns:r="http://schemas.openxmlformats.org/officeDocument/2006/relationships" ref="AI128" display="Open in EEF" r:id="rId321"/>
    <hyperlink xmlns:r="http://schemas.openxmlformats.org/officeDocument/2006/relationships" ref="AG129" display="https://www.univ-reims.fr/ufrsciences" r:id="rId322"/>
    <hyperlink xmlns:r="http://schemas.openxmlformats.org/officeDocument/2006/relationships" ref="AI129" display="Open in EEF" r:id="rId323"/>
    <hyperlink xmlns:r="http://schemas.openxmlformats.org/officeDocument/2006/relationships" ref="AI130" display="Open in EEF" r:id="rId324"/>
    <hyperlink xmlns:r="http://schemas.openxmlformats.org/officeDocument/2006/relationships" ref="AG131" display="https://istic.univ-rennes.fr/master-2-eeea-parcours-signal-vision-ondes-systemes-sivos" r:id="rId325"/>
    <hyperlink xmlns:r="http://schemas.openxmlformats.org/officeDocument/2006/relationships" ref="AI131" display="Open in EEF" r:id="rId326"/>
    <hyperlink xmlns:r="http://schemas.openxmlformats.org/officeDocument/2006/relationships" ref="AG132" display="http://www.univ-brest.fr/ufr-sciences" r:id="rId327"/>
    <hyperlink xmlns:r="http://schemas.openxmlformats.org/officeDocument/2006/relationships" ref="AI132" display="Open in EEF" r:id="rId328"/>
    <hyperlink xmlns:r="http://schemas.openxmlformats.org/officeDocument/2006/relationships" ref="AG133" display="http://scifa.univ-lorraine.fr/" r:id="rId329"/>
    <hyperlink xmlns:r="http://schemas.openxmlformats.org/officeDocument/2006/relationships" ref="AI133" display="Open in EEF" r:id="rId330"/>
    <hyperlink xmlns:r="http://schemas.openxmlformats.org/officeDocument/2006/relationships" ref="AG134" display="http://scifa.univ-lorraine.fr/" r:id="rId331"/>
    <hyperlink xmlns:r="http://schemas.openxmlformats.org/officeDocument/2006/relationships" ref="AI134" display="Open in EEF" r:id="rId332"/>
    <hyperlink xmlns:r="http://schemas.openxmlformats.org/officeDocument/2006/relationships" ref="AG135" display="http://scifa.univ-lorraine.fr/" r:id="rId333"/>
    <hyperlink xmlns:r="http://schemas.openxmlformats.org/officeDocument/2006/relationships" ref="AI135" display="Open in EEF" r:id="rId334"/>
    <hyperlink xmlns:r="http://schemas.openxmlformats.org/officeDocument/2006/relationships" ref="AG136" display="https://ufr-st.univ-lehavre.fr" r:id="rId335"/>
    <hyperlink xmlns:r="http://schemas.openxmlformats.org/officeDocument/2006/relationships" ref="AI136" display="Open in EEF" r:id="rId336"/>
    <hyperlink xmlns:r="http://schemas.openxmlformats.org/officeDocument/2006/relationships" ref="AG137" display="https://iut-roanne.univ-st-etienne.fr/fr/formations/master-XB/master-XB/master-electronique-energie-electrique-automatique-parcours-traitement-de-l-information-et-instrumentation-pour-l-ingenieur-5_14_07_0003_FR.html" r:id="rId337"/>
    <hyperlink xmlns:r="http://schemas.openxmlformats.org/officeDocument/2006/relationships" ref="AI137" display="Open in EEF" r:id="rId338"/>
    <hyperlink xmlns:r="http://schemas.openxmlformats.org/officeDocument/2006/relationships" ref="AG138" display="https://ufr-st.univ-lehavre.fr" r:id="rId339"/>
    <hyperlink xmlns:r="http://schemas.openxmlformats.org/officeDocument/2006/relationships" ref="AI138" display="Open in EEF" r:id="rId340"/>
    <hyperlink xmlns:r="http://schemas.openxmlformats.org/officeDocument/2006/relationships" ref="AG139" display="https://sciences.u-picardie.fr/accueil-ufr-sciences" r:id="rId341"/>
    <hyperlink xmlns:r="http://schemas.openxmlformats.org/officeDocument/2006/relationships" ref="AI139" display="Open in EEF" r:id="rId342"/>
    <hyperlink xmlns:r="http://schemas.openxmlformats.org/officeDocument/2006/relationships" ref="AG140" display="https://sciences.u-picardie.fr/accueil-ufr-sciences" r:id="rId343"/>
    <hyperlink xmlns:r="http://schemas.openxmlformats.org/officeDocument/2006/relationships" ref="AI140" display="Open in EEF" r:id="rId344"/>
    <hyperlink xmlns:r="http://schemas.openxmlformats.org/officeDocument/2006/relationships" ref="AG141" display="https://sciences.u-picardie.fr/accueil-ufr-sciences" r:id="rId345"/>
    <hyperlink xmlns:r="http://schemas.openxmlformats.org/officeDocument/2006/relationships" ref="AI141" display="Open in EEF" r:id="rId346"/>
    <hyperlink xmlns:r="http://schemas.openxmlformats.org/officeDocument/2006/relationships" ref="AG142" display="https://sfa.univ-poitiers.fr/formation/offre-de-formation-sciences-technologies-sante/" r:id="rId347"/>
    <hyperlink xmlns:r="http://schemas.openxmlformats.org/officeDocument/2006/relationships" ref="AI142" display="Open in EEF" r:id="rId348"/>
    <hyperlink xmlns:r="http://schemas.openxmlformats.org/officeDocument/2006/relationships" ref="AB143" display="https://www.unistra.fr/fr/node/8168" r:id="rId349"/>
    <hyperlink xmlns:r="http://schemas.openxmlformats.org/officeDocument/2006/relationships" ref="AG143" display="http://mathinfo.unistra.fr" r:id="rId350"/>
    <hyperlink xmlns:r="http://schemas.openxmlformats.org/officeDocument/2006/relationships" ref="AI143" display="Open in EEF" r:id="rId351"/>
    <hyperlink xmlns:r="http://schemas.openxmlformats.org/officeDocument/2006/relationships" ref="AG144" display="http://www.sciences.unilim.fr/" r:id="rId352"/>
    <hyperlink xmlns:r="http://schemas.openxmlformats.org/officeDocument/2006/relationships" ref="AI144" display="Open in EEF" r:id="rId353"/>
    <hyperlink xmlns:r="http://schemas.openxmlformats.org/officeDocument/2006/relationships" ref="AG145" display="http://www.univ-brest.fr/ufr-sciences" r:id="rId354"/>
    <hyperlink xmlns:r="http://schemas.openxmlformats.org/officeDocument/2006/relationships" ref="AI145" display="Open in EEF" r:id="rId355"/>
    <hyperlink xmlns:r="http://schemas.openxmlformats.org/officeDocument/2006/relationships" ref="AG146" display="https://formations.univ-tln.fr/fr/offre-de-formation/master-XB/master-ingenierie-des-systemes-complexes-LO8RGPP1/master-ingenierie-des-systemes-complexes-parcours-vision-signal-trajectographie-et-automatique-LPZS1DK9.html" r:id="rId356"/>
    <hyperlink xmlns:r="http://schemas.openxmlformats.org/officeDocument/2006/relationships" ref="AI146" display="Open in EEF" r:id="rId357"/>
    <hyperlink xmlns:r="http://schemas.openxmlformats.org/officeDocument/2006/relationships" ref="AG147" display="https://fst.univ-lorraine.fr/formations/" r:id="rId358"/>
    <hyperlink xmlns:r="http://schemas.openxmlformats.org/officeDocument/2006/relationships" ref="AI147" display="Open in EEF" r:id="rId359"/>
    <hyperlink xmlns:r="http://schemas.openxmlformats.org/officeDocument/2006/relationships" ref="AI148" display="Open in EEF" r:id="rId360"/>
    <hyperlink xmlns:r="http://schemas.openxmlformats.org/officeDocument/2006/relationships" ref="AG149" display="http://www-galilee.univ-paris13.fr/" r:id="rId361"/>
    <hyperlink xmlns:r="http://schemas.openxmlformats.org/officeDocument/2006/relationships" ref="AI149" display="Open in EEF" r:id="rId362"/>
    <hyperlink xmlns:r="http://schemas.openxmlformats.org/officeDocument/2006/relationships" ref="AI150" display="Open in EEF" r:id="rId363"/>
    <hyperlink xmlns:r="http://schemas.openxmlformats.org/officeDocument/2006/relationships" ref="AB151" display="https://www.unistra.fr/fr/node/8168" r:id="rId364"/>
    <hyperlink xmlns:r="http://schemas.openxmlformats.org/officeDocument/2006/relationships" ref="AG151" display="http://www.physique-ingenierie.unistra.fr/" r:id="rId365"/>
    <hyperlink xmlns:r="http://schemas.openxmlformats.org/officeDocument/2006/relationships" ref="AI151" display="Open in EEF" r:id="rId366"/>
    <hyperlink xmlns:r="http://schemas.openxmlformats.org/officeDocument/2006/relationships" ref="AG152" display="https://www.univ-orleans.fr/fr/sciences-techniques/formation/physique" r:id="rId367"/>
    <hyperlink xmlns:r="http://schemas.openxmlformats.org/officeDocument/2006/relationships" ref="AI152" display="Open in EEF" r:id="rId368"/>
    <hyperlink xmlns:r="http://schemas.openxmlformats.org/officeDocument/2006/relationships" ref="AG153" display="https://www.univ-angers.fr/fr/acces-directs/facultes-et-instituts/faculte-des-sciences.html" r:id="rId369"/>
    <hyperlink xmlns:r="http://schemas.openxmlformats.org/officeDocument/2006/relationships" ref="AI153" display="Open in EEF" r:id="rId370"/>
    <hyperlink xmlns:r="http://schemas.openxmlformats.org/officeDocument/2006/relationships" ref="AB154" display="https://www.unistra.fr/fr/node/8168" r:id="rId371"/>
    <hyperlink xmlns:r="http://schemas.openxmlformats.org/officeDocument/2006/relationships" ref="AG154" display="http://www.physique-ingenierie.unistra.fr/" r:id="rId372"/>
    <hyperlink xmlns:r="http://schemas.openxmlformats.org/officeDocument/2006/relationships" ref="AI154" display="Open in EEF" r:id="rId373"/>
    <hyperlink xmlns:r="http://schemas.openxmlformats.org/officeDocument/2006/relationships" ref="AG155" display="https://www.insa-hautsdefrance.fr/sites/default/files/media/2024-10/master_cdsi.pdf" r:id="rId374"/>
    <hyperlink xmlns:r="http://schemas.openxmlformats.org/officeDocument/2006/relationships" ref="AI155" display="Open in EEF" r:id="rId375"/>
    <hyperlink xmlns:r="http://schemas.openxmlformats.org/officeDocument/2006/relationships" ref="AG156" display="http://www.univ-brest.fr/ufr-sciences" r:id="rId376"/>
    <hyperlink xmlns:r="http://schemas.openxmlformats.org/officeDocument/2006/relationships" ref="AI156" display="Open in EEF" r:id="rId377"/>
    <hyperlink xmlns:r="http://schemas.openxmlformats.org/officeDocument/2006/relationships" ref="AG157" display="https://sciences-techniques.univ-nantes.fr/" r:id="rId378"/>
    <hyperlink xmlns:r="http://schemas.openxmlformats.org/officeDocument/2006/relationships" ref="AI157" display="Open in EEF" r:id="rId379"/>
    <hyperlink xmlns:r="http://schemas.openxmlformats.org/officeDocument/2006/relationships" ref="AG158" display="https://www.univ-reims.fr/eisine/" r:id="rId380"/>
    <hyperlink xmlns:r="http://schemas.openxmlformats.org/officeDocument/2006/relationships" ref="AI158" display="Open in EEF" r:id="rId381"/>
    <hyperlink xmlns:r="http://schemas.openxmlformats.org/officeDocument/2006/relationships" ref="AB159" display="https://www.univ-rouen.fr/actualites/application-des-droits-dinscription-differencies-a-luniversite-de-rouen-normandie-a-compter-de-la-rentree-universitaire-2026-2027/" r:id="rId382"/>
    <hyperlink xmlns:r="http://schemas.openxmlformats.org/officeDocument/2006/relationships" ref="AG159" display="https://sciences-techniques.univ-rouen.fr/" r:id="rId383"/>
    <hyperlink xmlns:r="http://schemas.openxmlformats.org/officeDocument/2006/relationships" ref="AI159" display="Open in EEF" r:id="rId384"/>
    <hyperlink xmlns:r="http://schemas.openxmlformats.org/officeDocument/2006/relationships" ref="AG160" display="http://ufr-phillia.parisnanterre.fr" r:id="rId385"/>
    <hyperlink xmlns:r="http://schemas.openxmlformats.org/officeDocument/2006/relationships" ref="AI160" display="Open in EEF" r:id="rId386"/>
    <hyperlink xmlns:r="http://schemas.openxmlformats.org/officeDocument/2006/relationships" ref="AB161" display="https://observalgerie.com/2026/06/13/misc/frais-dinscription-en-france-lille-maintient-un-avantage-pour-les-etudiants-etrangers/" r:id="rId387"/>
    <hyperlink xmlns:r="http://schemas.openxmlformats.org/officeDocument/2006/relationships" ref="AG161" display="https://formation.univ-lille.fr/fr/offre-de-formation/master-lmd-XB/master-automatique-et-systemes-electriques-MG001978/automatique-et-systemes-electriques-m1-tronc-commun-MX002023.html" r:id="rId388"/>
    <hyperlink xmlns:r="http://schemas.openxmlformats.org/officeDocument/2006/relationships" ref="AI161" display="Open in EEF" r:id="rId389"/>
    <hyperlink xmlns:r="http://schemas.openxmlformats.org/officeDocument/2006/relationships" ref="AB162" display="https://www.univ-lyon1.fr/formation/inscription-et-scolarite/etudiantes-et-etudiants-internationaux-droits-dinscription-differencies-et-exonerations" r:id="rId390"/>
    <hyperlink xmlns:r="http://schemas.openxmlformats.org/officeDocument/2006/relationships" ref="AG162" display="http://fst-meca.univ-lyon1.fr/" r:id="rId391"/>
    <hyperlink xmlns:r="http://schemas.openxmlformats.org/officeDocument/2006/relationships" ref="AI162" display="Open in EEF" r:id="rId392"/>
    <hyperlink xmlns:r="http://schemas.openxmlformats.org/officeDocument/2006/relationships" ref="AG163" display="https://www.univ-orleans.fr/fr/polytech/formations/les-autres-formations-de-lecole/master-mars" r:id="rId393"/>
    <hyperlink xmlns:r="http://schemas.openxmlformats.org/officeDocument/2006/relationships" ref="AI163" display="Open in EEF" r:id="rId394"/>
    <hyperlink xmlns:r="http://schemas.openxmlformats.org/officeDocument/2006/relationships" ref="AG164" display="http://www.fsa.univ-artois.fr/les-fiches-formations" r:id="rId395"/>
    <hyperlink xmlns:r="http://schemas.openxmlformats.org/officeDocument/2006/relationships" ref="AI164" display="Open in EEF" r:id="rId396"/>
    <hyperlink xmlns:r="http://schemas.openxmlformats.org/officeDocument/2006/relationships" ref="AG165" display="https://fst.univ-lorraine.fr/formations/" r:id="rId397"/>
    <hyperlink xmlns:r="http://schemas.openxmlformats.org/officeDocument/2006/relationships" ref="AI165" display="Open in EEF" r:id="rId398"/>
    <hyperlink xmlns:r="http://schemas.openxmlformats.org/officeDocument/2006/relationships" ref="AG166" display="http://www.univ-brest.fr/ufr-sciences" r:id="rId399"/>
    <hyperlink xmlns:r="http://schemas.openxmlformats.org/officeDocument/2006/relationships" ref="AI166" display="Open in EEF" r:id="rId400"/>
    <hyperlink xmlns:r="http://schemas.openxmlformats.org/officeDocument/2006/relationships" ref="AG167" display="https://www.insset.u-picardie.fr/" r:id="rId401"/>
    <hyperlink xmlns:r="http://schemas.openxmlformats.org/officeDocument/2006/relationships" ref="AI167" display="Open in EEF" r:id="rId402"/>
    <hyperlink xmlns:r="http://schemas.openxmlformats.org/officeDocument/2006/relationships" ref="AG168" display="https://www.utbm.fr/formations/masters" r:id="rId403"/>
    <hyperlink xmlns:r="http://schemas.openxmlformats.org/officeDocument/2006/relationships" ref="AI168" display="Open in EEF" r:id="rId404"/>
    <hyperlink xmlns:r="http://schemas.openxmlformats.org/officeDocument/2006/relationships" ref="AG169" display="https://galilee.univ-paris13.fr/master/master-ingenierie-innovation-images-reseaux-m3ir/" r:id="rId405"/>
    <hyperlink xmlns:r="http://schemas.openxmlformats.org/officeDocument/2006/relationships" ref="AI169" display="Open in EEF" r:id="rId406"/>
    <hyperlink xmlns:r="http://schemas.openxmlformats.org/officeDocument/2006/relationships" ref="AB170" display="https://www.unistra.fr/fr/node/8168" r:id="rId407"/>
    <hyperlink xmlns:r="http://schemas.openxmlformats.org/officeDocument/2006/relationships" ref="AG170" display="https://www.master-iriv.fr" r:id="rId408"/>
    <hyperlink xmlns:r="http://schemas.openxmlformats.org/officeDocument/2006/relationships" ref="AI170" display="Open in EEF" r:id="rId409"/>
    <hyperlink xmlns:r="http://schemas.openxmlformats.org/officeDocument/2006/relationships" ref="AI171" display="Open in EEF" r:id="rId410"/>
    <hyperlink xmlns:r="http://schemas.openxmlformats.org/officeDocument/2006/relationships" ref="AG172" display="https://www.univ-littoral.fr/" r:id="rId411"/>
    <hyperlink xmlns:r="http://schemas.openxmlformats.org/officeDocument/2006/relationships" ref="AI172" display="Open in EEF" r:id="rId412"/>
    <hyperlink xmlns:r="http://schemas.openxmlformats.org/officeDocument/2006/relationships" ref="AG173" display="https://www.inalco.fr/" r:id="rId413"/>
    <hyperlink xmlns:r="http://schemas.openxmlformats.org/officeDocument/2006/relationships" ref="AI173" display="Open in EEF" r:id="rId414"/>
    <hyperlink xmlns:r="http://schemas.openxmlformats.org/officeDocument/2006/relationships" ref="AG174" display="http://sciences-techniques.u-bourgogne.fr" r:id="rId415"/>
    <hyperlink xmlns:r="http://schemas.openxmlformats.org/officeDocument/2006/relationships" ref="AI174" display="Open in EEF" r:id="rId416"/>
    <hyperlink xmlns:r="http://schemas.openxmlformats.org/officeDocument/2006/relationships" ref="AB175" display="https://www.umlp.fr/sites/default/files/2026-07-02-page-droits-differencies-vf.pdf" r:id="rId417"/>
    <hyperlink xmlns:r="http://schemas.openxmlformats.org/officeDocument/2006/relationships" ref="AG175" display="https://formations.univ-fcomte.fr/fr/index/formations/feuilleter-le-catalogue/master-lmd-XB/master-biologie-sante-M3PNGH7Y/master-biologie-sante-signalisation-cellulaire-et-moleculaire-M3PNHB5T.html" r:id="rId418"/>
    <hyperlink xmlns:r="http://schemas.openxmlformats.org/officeDocument/2006/relationships" ref="AI175" display="Open in EEF" r:id="rId419"/>
    <hyperlink xmlns:r="http://schemas.openxmlformats.org/officeDocument/2006/relationships" ref="AB176" display="https://www.univ-amu.fr/fr/actualites/aix-marseille-universite-mobilise-pleinement-capacite-dexoneration-continuer-accueillir" r:id="rId420"/>
    <hyperlink xmlns:r="http://schemas.openxmlformats.org/officeDocument/2006/relationships" ref="AG176" display="https://formations.univ-amu.fr/fr/master/5SEA/PRSEA5C1" r:id="rId421"/>
    <hyperlink xmlns:r="http://schemas.openxmlformats.org/officeDocument/2006/relationships" ref="AI176" display="Open in EEF" r:id="rId422"/>
    <hyperlink xmlns:r="http://schemas.openxmlformats.org/officeDocument/2006/relationships" ref="AB177" display="https://www.uca.fr/medias/fichier/delib-ca-20251205-15-tarifs-differencies_1765204050111-pdf" r:id="rId423"/>
    <hyperlink xmlns:r="http://schemas.openxmlformats.org/officeDocument/2006/relationships" ref="AG177" display="https://eupi.uca.fr/" r:id="rId424"/>
    <hyperlink xmlns:r="http://schemas.openxmlformats.org/officeDocument/2006/relationships" ref="AI177" display="Open in EEF" r:id="rId425"/>
    <hyperlink xmlns:r="http://schemas.openxmlformats.org/officeDocument/2006/relationships" ref="AB178" display="https://www.uca.fr/medias/fichier/delib-ca-20251205-15-tarifs-differencies_1765204050111-pdf" r:id="rId426"/>
    <hyperlink xmlns:r="http://schemas.openxmlformats.org/officeDocument/2006/relationships" ref="AG178" display="https://eupi.uca.fr/" r:id="rId427"/>
    <hyperlink xmlns:r="http://schemas.openxmlformats.org/officeDocument/2006/relationships" ref="AI178" display="Open in EEF" r:id="rId428"/>
    <hyperlink xmlns:r="http://schemas.openxmlformats.org/officeDocument/2006/relationships" ref="AB179" display="https://www.univ-tours.fr/international/etudes-stages-a-tours/droits-dinscription-differencies-pour-les-etudiants-extra-communautaires-2026-2027" r:id="rId429"/>
    <hyperlink xmlns:r="http://schemas.openxmlformats.org/officeDocument/2006/relationships" ref="AI179" display="Open in EEF" r:id="rId430"/>
    <hyperlink xmlns:r="http://schemas.openxmlformats.org/officeDocument/2006/relationships" ref="AB180" display="https://www.umontpellier.fr/en/international/etudier-a-letranger/etudiants-internationaux-annee-universitaire-2026-2027/" r:id="rId431"/>
    <hyperlink xmlns:r="http://schemas.openxmlformats.org/officeDocument/2006/relationships" ref="AG180" display="https://formations.umontpellier.fr/fr/formations/master-XB/master-biologie-sante-KJMN3CNB/neuroprotheses-sensorielles-et-motrices-KJMOP5GH.html" r:id="rId432"/>
    <hyperlink xmlns:r="http://schemas.openxmlformats.org/officeDocument/2006/relationships" ref="AI180" display="Open in EEF" r:id="rId433"/>
    <hyperlink xmlns:r="http://schemas.openxmlformats.org/officeDocument/2006/relationships" ref="AB181" display="https://www.uca.fr/medias/fichier/delib-ca-20251205-15-tarifs-differencies_1765204050111-pdf" r:id="rId434"/>
    <hyperlink xmlns:r="http://schemas.openxmlformats.org/officeDocument/2006/relationships" ref="AG181" display="https://eupi.uca.fr/" r:id="rId435"/>
    <hyperlink xmlns:r="http://schemas.openxmlformats.org/officeDocument/2006/relationships" ref="AI181" display="Open in EEF" r:id="rId436"/>
    <hyperlink xmlns:r="http://schemas.openxmlformats.org/officeDocument/2006/relationships" ref="AB182" display="https://www.univ-grenoble-alpes.fr/actualites/a-la-une/actualites-universite/etudiants-internationaux-ce-que-change-le-nouveau-decret-sur-les-droits-d-inscription-a-l-uga-1775870.kjsp" r:id="rId437"/>
    <hyperlink xmlns:r="http://schemas.openxmlformats.org/officeDocument/2006/relationships" ref="AG182" display="https://formations.univ-grenoble-alpes.fr/fr/catalogue-2021/master-XB/master-electronique-energie-electrique-automatique-IFZ3DRB9/parcours-conception-des-systemes-d-energie-electrique-csee-1re-et-2e-annees-IFZ42B5H.html" r:id="rId438"/>
    <hyperlink xmlns:r="http://schemas.openxmlformats.org/officeDocument/2006/relationships" ref="AI182" display="Open in EEF" r:id="rId439"/>
    <hyperlink xmlns:r="http://schemas.openxmlformats.org/officeDocument/2006/relationships" ref="AB183" display="https://www.umontpellier.fr/en/international/etudier-a-letranger/etudiants-internationaux-annee-universitaire-2026-2027/" r:id="rId440"/>
    <hyperlink xmlns:r="http://schemas.openxmlformats.org/officeDocument/2006/relationships" ref="AG183" display="http://sciences.edu.umontpellier.fr/" r:id="rId441"/>
    <hyperlink xmlns:r="http://schemas.openxmlformats.org/officeDocument/2006/relationships" ref="AI183" display="Open in EEF" r:id="rId442"/>
    <hyperlink xmlns:r="http://schemas.openxmlformats.org/officeDocument/2006/relationships" ref="AB184" display="https://www.umontpellier.fr/en/international/etudier-a-letranger/etudiants-internationaux-annee-universitaire-2026-2027/" r:id="rId443"/>
    <hyperlink xmlns:r="http://schemas.openxmlformats.org/officeDocument/2006/relationships" ref="AG184" display="https://hermes.edu.umontpellier.fr/enseignement/" r:id="rId444"/>
    <hyperlink xmlns:r="http://schemas.openxmlformats.org/officeDocument/2006/relationships" ref="AI184" display="Open in EEF" r:id="rId445"/>
    <hyperlink xmlns:r="http://schemas.openxmlformats.org/officeDocument/2006/relationships" ref="AG185" display="https://univ-cotedazur.fr/formation/offre-de-formation/master-electronique-energie-electrique-automatique" r:id="rId446"/>
    <hyperlink xmlns:r="http://schemas.openxmlformats.org/officeDocument/2006/relationships" ref="AI185" display="Open in EEF" r:id="rId447"/>
    <hyperlink xmlns:r="http://schemas.openxmlformats.org/officeDocument/2006/relationships" ref="AB186" display="https://www.utoulouse.fr/medias/fichier/2026-02-ca-075_1774430647495-pdf" r:id="rId448"/>
    <hyperlink xmlns:r="http://schemas.openxmlformats.org/officeDocument/2006/relationships" ref="AG186" display="http://www.univ-tlse3.fr/" r:id="rId449"/>
    <hyperlink xmlns:r="http://schemas.openxmlformats.org/officeDocument/2006/relationships" ref="AI186" display="Open in EEF" r:id="rId450"/>
    <hyperlink xmlns:r="http://schemas.openxmlformats.org/officeDocument/2006/relationships" ref="AB187" display="https://www.utoulouse.fr/medias/fichier/2026-02-ca-075_1774430647495-pdf" r:id="rId451"/>
    <hyperlink xmlns:r="http://schemas.openxmlformats.org/officeDocument/2006/relationships" ref="AG187" display="http://www.univ-tlse3.fr/" r:id="rId452"/>
    <hyperlink xmlns:r="http://schemas.openxmlformats.org/officeDocument/2006/relationships" ref="AI187" display="Open in EEF" r:id="rId453"/>
    <hyperlink xmlns:r="http://schemas.openxmlformats.org/officeDocument/2006/relationships" ref="AB188" display="https://www.sorbonne-universite.fr/actualites/le-conseil-dadministration-de-sorbonne-universite-vote-lunanimite-le-7-juillet-2026-sa" r:id="rId454"/>
    <hyperlink xmlns:r="http://schemas.openxmlformats.org/officeDocument/2006/relationships" ref="AG188" display="https://sciences.sorbonne-universite.fr/formation-sciences/offre-de-formation/masters/master-informatique/parcours-res" r:id="rId455"/>
    <hyperlink xmlns:r="http://schemas.openxmlformats.org/officeDocument/2006/relationships" ref="AI188" display="Open in EEF" r:id="rId456"/>
    <hyperlink xmlns:r="http://schemas.openxmlformats.org/officeDocument/2006/relationships" ref="AB189" display="https://www.sorbonne-universite.fr/actualites/le-conseil-dadministration-de-sorbonne-universite-vote-lunanimite-le-7-juillet-2026-sa" r:id="rId457"/>
    <hyperlink xmlns:r="http://schemas.openxmlformats.org/officeDocument/2006/relationships" ref="AG189" display="https://sciences.sorbonne-universite.fr/formation-sciences/masters/master-informatique/parcours-sesi" r:id="rId458"/>
    <hyperlink xmlns:r="http://schemas.openxmlformats.org/officeDocument/2006/relationships" ref="AI189" display="Open in EEF" r:id="rId459"/>
    <hyperlink xmlns:r="http://schemas.openxmlformats.org/officeDocument/2006/relationships" ref="AB190" display="https://www.univ-grenoble-alpes.fr/actualites/a-la-une/actualites-universite/etudiants-internationaux-ce-que-change-le-nouveau-decret-sur-les-droits-d-inscription-a-l-uga-1775870.kjsp" r:id="rId460"/>
    <hyperlink xmlns:r="http://schemas.openxmlformats.org/officeDocument/2006/relationships" ref="AG190" display="https://formations.univ-grenoble-alpes.fr/fr/catalogue-2021/master-XB/master-mecanique-IAQK579W/parcours-simulation-et-instrumentation-en-mecanique-1re-et-2e-annees-IAS8R70F.html" r:id="rId461"/>
    <hyperlink xmlns:r="http://schemas.openxmlformats.org/officeDocument/2006/relationships" ref="AI190" display="Open in EEF" r:id="rId462"/>
    <hyperlink xmlns:r="http://schemas.openxmlformats.org/officeDocument/2006/relationships" ref="AB191" display="https://www.umontpellier.fr/en/international/etudier-a-letranger/etudiants-internationaux-annee-universitaire-2026-2027/" r:id="rId463"/>
    <hyperlink xmlns:r="http://schemas.openxmlformats.org/officeDocument/2006/relationships" ref="AG191" display="http://www.fdsweb.univ-montp2.fr/etudier-a-la-fds/catalogue-de-formation-675" r:id="rId464"/>
    <hyperlink xmlns:r="http://schemas.openxmlformats.org/officeDocument/2006/relationships" ref="AI191" display="Open in EEF" r:id="rId465"/>
    <hyperlink xmlns:r="http://schemas.openxmlformats.org/officeDocument/2006/relationships" ref="AB192" display="https://www.univ-amu.fr/fr/actualites/aix-marseille-universite-mobilise-pleinement-capacite-dexoneration-continuer-accueillir" r:id="rId466"/>
    <hyperlink xmlns:r="http://schemas.openxmlformats.org/officeDocument/2006/relationships" ref="AG192" display="https://formations.univ-amu.fr/fr/master/5SEA" r:id="rId467"/>
    <hyperlink xmlns:r="http://schemas.openxmlformats.org/officeDocument/2006/relationships" ref="AI192" display="Open in EEF" r:id="rId468"/>
    <hyperlink xmlns:r="http://schemas.openxmlformats.org/officeDocument/2006/relationships" ref="AB193" display="https://www.univ-amu.fr/fr/actualites/aix-marseille-universite-mobilise-pleinement-capacite-dexoneration-continuer-accueillir" r:id="rId469"/>
    <hyperlink xmlns:r="http://schemas.openxmlformats.org/officeDocument/2006/relationships" ref="AG193" display="https://formations.univ-amu.fr/fr/master/5SMI" r:id="rId470"/>
    <hyperlink xmlns:r="http://schemas.openxmlformats.org/officeDocument/2006/relationships" ref="AI193" display="Open in EEF" r:id="rId471"/>
    <hyperlink xmlns:r="http://schemas.openxmlformats.org/officeDocument/2006/relationships" ref="AB194" display="https://www.univ-amu.fr/fr/actualites/aix-marseille-universite-mobilise-pleinement-capacite-dexoneration-continuer-accueillir" r:id="rId472"/>
    <hyperlink xmlns:r="http://schemas.openxmlformats.org/officeDocument/2006/relationships" ref="AG194" display="https://formations.univ-amu.fr/fr/master/5SNN/PRSNN5C2" r:id="rId473"/>
    <hyperlink xmlns:r="http://schemas.openxmlformats.org/officeDocument/2006/relationships" ref="AI194" display="Open in EEF" r:id="rId474"/>
    <hyperlink xmlns:r="http://schemas.openxmlformats.org/officeDocument/2006/relationships" ref="AB195" display="https://www.univ-amu.fr/fr/actualites/aix-marseille-universite-mobilise-pleinement-capacite-dexoneration-continuer-accueillir" r:id="rId475"/>
    <hyperlink xmlns:r="http://schemas.openxmlformats.org/officeDocument/2006/relationships" ref="AG195" display="https://formations.univ-amu.fr/fr/master/5SRT" r:id="rId476"/>
    <hyperlink xmlns:r="http://schemas.openxmlformats.org/officeDocument/2006/relationships" ref="AI195" display="Open in EEF" r:id="rId477"/>
    <hyperlink xmlns:r="http://schemas.openxmlformats.org/officeDocument/2006/relationships" ref="AB196" display="https://www.univ-amu.fr/fr/actualites/aix-marseille-universite-mobilise-pleinement-capacite-dexoneration-continuer-accueillir" r:id="rId478"/>
    <hyperlink xmlns:r="http://schemas.openxmlformats.org/officeDocument/2006/relationships" ref="AG196" display="https://formations.univ-amu.fr/fr/master/5STS" r:id="rId479"/>
    <hyperlink xmlns:r="http://schemas.openxmlformats.org/officeDocument/2006/relationships" ref="AI196" display="Open in EEF" r:id="rId480"/>
    <hyperlink xmlns:r="http://schemas.openxmlformats.org/officeDocument/2006/relationships" ref="AB197" display="https://www.sorbonne-universite.fr/actualites/le-conseil-dadministration-de-sorbonne-universite-vote-lunanimite-le-7-juillet-2026-sa" r:id="rId481"/>
    <hyperlink xmlns:r="http://schemas.openxmlformats.org/officeDocument/2006/relationships" ref="AG197" display="https://masters-sdi.sorbonne-universite.fr/automatique-robotique" r:id="rId482"/>
    <hyperlink xmlns:r="http://schemas.openxmlformats.org/officeDocument/2006/relationships" ref="AI197" display="Open in EEF" r:id="rId483"/>
    <hyperlink xmlns:r="http://schemas.openxmlformats.org/officeDocument/2006/relationships" ref="AB198" display="https://www.uca.fr/medias/fichier/delib-ca-20251205-15-tarifs-differencies_1765204050111-pdf" r:id="rId484"/>
    <hyperlink xmlns:r="http://schemas.openxmlformats.org/officeDocument/2006/relationships" ref="AG198" display="https://eupi.uca.fr/" r:id="rId485"/>
    <hyperlink xmlns:r="http://schemas.openxmlformats.org/officeDocument/2006/relationships" ref="AI198" display="Open in EEF" r:id="rId486"/>
    <hyperlink xmlns:r="http://schemas.openxmlformats.org/officeDocument/2006/relationships" ref="AI199" display="Open in EEF" r:id="rId487"/>
    <hyperlink xmlns:r="http://schemas.openxmlformats.org/officeDocument/2006/relationships" ref="AG200" display="https://igm.univ-gustave-eiffel.fr/" r:id="rId488"/>
    <hyperlink xmlns:r="http://schemas.openxmlformats.org/officeDocument/2006/relationships" ref="AI200" display="Open in EEF" r:id="rId489"/>
    <hyperlink xmlns:r="http://schemas.openxmlformats.org/officeDocument/2006/relationships" ref="AG201" display="http://www.fst.uha.fr" r:id="rId490"/>
    <hyperlink xmlns:r="http://schemas.openxmlformats.org/officeDocument/2006/relationships" ref="AI201" display="Open in EEF" r:id="rId491"/>
    <hyperlink xmlns:r="http://schemas.openxmlformats.org/officeDocument/2006/relationships" ref="AB202" display="https://u-paris.fr/droits-dinscription-tarifs-exonerations/" r:id="rId492"/>
    <hyperlink xmlns:r="http://schemas.openxmlformats.org/officeDocument/2006/relationships" ref="AG202" display="https://math-info.u-paris.fr/" r:id="rId493"/>
    <hyperlink xmlns:r="http://schemas.openxmlformats.org/officeDocument/2006/relationships" ref="AI202" display="Open in EEF" r:id="rId494"/>
    <hyperlink xmlns:r="http://schemas.openxmlformats.org/officeDocument/2006/relationships" ref="AB203" display="https://www.sorbonne-universite.fr/actualites/le-conseil-dadministration-de-sorbonne-universite-vote-lunanimite-le-7-juillet-2026-sa" r:id="rId495"/>
    <hyperlink xmlns:r="http://schemas.openxmlformats.org/officeDocument/2006/relationships" ref="AG203" display="https://sciences.sorbonne-universite.fr/formation-sciences/offre-de-formation/masters/master-neurosciences" r:id="rId496"/>
    <hyperlink xmlns:r="http://schemas.openxmlformats.org/officeDocument/2006/relationships" ref="AI203" display="Open in EEF" r:id="rId497"/>
    <hyperlink xmlns:r="http://schemas.openxmlformats.org/officeDocument/2006/relationships" ref="AI204" display="Open in EEF" r:id="rId498"/>
    <hyperlink xmlns:r="http://schemas.openxmlformats.org/officeDocument/2006/relationships" ref="AI205" display="Open in EEF" r:id="rId499"/>
    <hyperlink xmlns:r="http://schemas.openxmlformats.org/officeDocument/2006/relationships" ref="AG206" display="https://univ-cotedazur.fr/formation/offre-de-formation/master-physique-fondamentale-et-applications" r:id="rId500"/>
    <hyperlink xmlns:r="http://schemas.openxmlformats.org/officeDocument/2006/relationships" ref="AI206" display="Open in EEF" r:id="rId501"/>
    <hyperlink xmlns:r="http://schemas.openxmlformats.org/officeDocument/2006/relationships" ref="AG207" display="http://www.polytech.upmc.fr" r:id="rId502"/>
    <hyperlink xmlns:r="http://schemas.openxmlformats.org/officeDocument/2006/relationships" ref="AI207" display="Open in EEF" r:id="rId503"/>
    <hyperlink xmlns:r="http://schemas.openxmlformats.org/officeDocument/2006/relationships" ref="AG208" display="http://www.polytech.upmc.fr" r:id="rId504"/>
    <hyperlink xmlns:r="http://schemas.openxmlformats.org/officeDocument/2006/relationships" ref="AI208" display="Open in EEF" r:id="rId505"/>
    <hyperlink xmlns:r="http://schemas.openxmlformats.org/officeDocument/2006/relationships" ref="AG209" display="http://www.eia.univ-artois.fr" r:id="rId506"/>
    <hyperlink xmlns:r="http://schemas.openxmlformats.org/officeDocument/2006/relationships" ref="AI209" display="Open in EEF" r:id="rId507"/>
    <hyperlink xmlns:r="http://schemas.openxmlformats.org/officeDocument/2006/relationships" ref="AG210" display="http://www.sup-galilee.univ-paris13.fr/" r:id="rId508"/>
    <hyperlink xmlns:r="http://schemas.openxmlformats.org/officeDocument/2006/relationships" ref="AI210" display="Open in EEF" r:id="rId509"/>
    <hyperlink xmlns:r="http://schemas.openxmlformats.org/officeDocument/2006/relationships" ref="AG211" display="http://www.insa-rennes.fr" r:id="rId510"/>
    <hyperlink xmlns:r="http://schemas.openxmlformats.org/officeDocument/2006/relationships" ref="AI211" display="Open in EEF" r:id="rId511"/>
    <hyperlink xmlns:r="http://schemas.openxmlformats.org/officeDocument/2006/relationships" ref="AG212" display="http://www.insa-rennes.fr" r:id="rId512"/>
    <hyperlink xmlns:r="http://schemas.openxmlformats.org/officeDocument/2006/relationships" ref="AI212" display="Open in EEF" r:id="rId513"/>
    <hyperlink xmlns:r="http://schemas.openxmlformats.org/officeDocument/2006/relationships" ref="AG213" display="http://www.insa-rennes.fr" r:id="rId514"/>
    <hyperlink xmlns:r="http://schemas.openxmlformats.org/officeDocument/2006/relationships" ref="AI213" display="Open in EEF" r:id="rId515"/>
    <hyperlink xmlns:r="http://schemas.openxmlformats.org/officeDocument/2006/relationships" ref="AG214" display="http://www.utt.fr" r:id="rId516"/>
    <hyperlink xmlns:r="http://schemas.openxmlformats.org/officeDocument/2006/relationships" ref="AI214" display="Open in EEF" r:id="rId517"/>
    <hyperlink xmlns:r="http://schemas.openxmlformats.org/officeDocument/2006/relationships" ref="AG215" display="http://www.ensisa.uha.fr" r:id="rId518"/>
    <hyperlink xmlns:r="http://schemas.openxmlformats.org/officeDocument/2006/relationships" ref="AI215" display="Open in EEF" r:id="rId519"/>
    <hyperlink xmlns:r="http://schemas.openxmlformats.org/officeDocument/2006/relationships" ref="AI216" display="Open in EEF" r:id="rId520"/>
    <hyperlink xmlns:r="http://schemas.openxmlformats.org/officeDocument/2006/relationships" ref="AG217" display="https://www.polytech-lille.fr/formation/instrumentation-et-ingenierie-d-affaires/" r:id="rId521"/>
    <hyperlink xmlns:r="http://schemas.openxmlformats.org/officeDocument/2006/relationships" ref="AI217" display="Open in EEF" r:id="rId522"/>
    <hyperlink xmlns:r="http://schemas.openxmlformats.org/officeDocument/2006/relationships" ref="AB218" display="https://www.univ-amu.fr/fr/actualites/aix-marseille-universite-mobilise-pleinement-capacite-dexoneration-continuer-accueillir" r:id="rId523"/>
    <hyperlink xmlns:r="http://schemas.openxmlformats.org/officeDocument/2006/relationships" ref="AG218" display="https://polytech.univ-amu.fr/fr/formations/cycle-ingenieur/microelectronique-telecommunications" r:id="rId524"/>
    <hyperlink xmlns:r="http://schemas.openxmlformats.org/officeDocument/2006/relationships" ref="AI218" display="Open in EEF" r:id="rId525"/>
    <hyperlink xmlns:r="http://schemas.openxmlformats.org/officeDocument/2006/relationships" ref="AG219" display="https://www.univ-smb.fr/polytech/" r:id="rId526"/>
    <hyperlink xmlns:r="http://schemas.openxmlformats.org/officeDocument/2006/relationships" ref="AI219" display="Open in EEF" r:id="rId527"/>
    <hyperlink xmlns:r="http://schemas.openxmlformats.org/officeDocument/2006/relationships" ref="AG220" display="https://www.univ-smb.fr/polytech/" r:id="rId528"/>
    <hyperlink xmlns:r="http://schemas.openxmlformats.org/officeDocument/2006/relationships" ref="AI220" display="Open in EEF" r:id="rId529"/>
    <hyperlink xmlns:r="http://schemas.openxmlformats.org/officeDocument/2006/relationships" ref="AG221" display="http://www.insa-rennes.fr" r:id="rId530"/>
    <hyperlink xmlns:r="http://schemas.openxmlformats.org/officeDocument/2006/relationships" ref="AI221" display="Open in EEF" r:id="rId531"/>
    <hyperlink xmlns:r="http://schemas.openxmlformats.org/officeDocument/2006/relationships" ref="AB222" display="https://www.unistra.fr/fr/node/8168" r:id="rId532"/>
    <hyperlink xmlns:r="http://schemas.openxmlformats.org/officeDocument/2006/relationships" ref="AG222" display="https://www.insa-strasbourg.fr/fr/candidats/" r:id="rId533"/>
    <hyperlink xmlns:r="http://schemas.openxmlformats.org/officeDocument/2006/relationships" ref="AI222" display="Open in EEF" r:id="rId534"/>
    <hyperlink xmlns:r="http://schemas.openxmlformats.org/officeDocument/2006/relationships" ref="AB223" display="https://www.unistra.fr/fr/node/8168" r:id="rId535"/>
    <hyperlink xmlns:r="http://schemas.openxmlformats.org/officeDocument/2006/relationships" ref="AG223" display="https://www.insa-strasbourg.fr/fr/candidats/" r:id="rId536"/>
    <hyperlink xmlns:r="http://schemas.openxmlformats.org/officeDocument/2006/relationships" ref="AI223" display="Open in EEF" r:id="rId537"/>
    <hyperlink xmlns:r="http://schemas.openxmlformats.org/officeDocument/2006/relationships" ref="AB224" display="https://www.univ-grenoble-alpes.fr/actualites/a-la-une/actualites-universite/etudiants-internationaux-ce-que-change-le-nouveau-decret-sur-les-droits-d-inscription-a-l-uga-1775870.kjsp" r:id="rId538"/>
    <hyperlink xmlns:r="http://schemas.openxmlformats.org/officeDocument/2006/relationships" ref="AG224" display="https://phelma.grenoble-inp.fr/fr/formation/admission" r:id="rId539"/>
    <hyperlink xmlns:r="http://schemas.openxmlformats.org/officeDocument/2006/relationships" ref="AI224" display="Open in EEF" r:id="rId540"/>
    <hyperlink xmlns:r="http://schemas.openxmlformats.org/officeDocument/2006/relationships" ref="AG225" display="http://www.polytech-angers.fr" r:id="rId541"/>
    <hyperlink xmlns:r="http://schemas.openxmlformats.org/officeDocument/2006/relationships" ref="AI225" display="Open in EEF" r:id="rId542"/>
    <hyperlink xmlns:r="http://schemas.openxmlformats.org/officeDocument/2006/relationships" ref="AG226" display="https://polytech.u-bourgogne.fr/robotique-cobotique" r:id="rId543"/>
    <hyperlink xmlns:r="http://schemas.openxmlformats.org/officeDocument/2006/relationships" ref="AI226" display="Open in EEF" r:id="rId544"/>
    <hyperlink xmlns:r="http://schemas.openxmlformats.org/officeDocument/2006/relationships" ref="AG227" display="https://imt-nord-europe.fr/annuaire-formations/telecommunications-et-informatique/" r:id="rId545"/>
    <hyperlink xmlns:r="http://schemas.openxmlformats.org/officeDocument/2006/relationships" ref="AI227" display="Open in EEF" r:id="rId546"/>
    <hyperlink xmlns:r="http://schemas.openxmlformats.org/officeDocument/2006/relationships" ref="AI228" display="Open in EEF" r:id="rId547"/>
    <hyperlink xmlns:r="http://schemas.openxmlformats.org/officeDocument/2006/relationships" ref="AI229" display="Open in EEF" r:id="rId548"/>
    <hyperlink xmlns:r="http://schemas.openxmlformats.org/officeDocument/2006/relationships" ref="AG230" display="http://www.mines-stetienne.fr/formation-mines-saint-etienne/" r:id="rId549"/>
    <hyperlink xmlns:r="http://schemas.openxmlformats.org/officeDocument/2006/relationships" ref="AI230" display="Open in EEF" r:id="rId550"/>
    <hyperlink xmlns:r="http://schemas.openxmlformats.org/officeDocument/2006/relationships" ref="AG231" display="https://polytech.u-bourgogne.fr/electronique-systemes-numeriques" r:id="rId551"/>
    <hyperlink xmlns:r="http://schemas.openxmlformats.org/officeDocument/2006/relationships" ref="AI231" display="Open in EEF" r:id="rId552"/>
    <hyperlink xmlns:r="http://schemas.openxmlformats.org/officeDocument/2006/relationships" ref="AG232" display="http://www.ensil-ensci.unilim.fr/accueil/admissions/cycle-ingenieur/" r:id="rId553"/>
    <hyperlink xmlns:r="http://schemas.openxmlformats.org/officeDocument/2006/relationships" ref="AI232" display="Open in EEF" r:id="rId554"/>
    <hyperlink xmlns:r="http://schemas.openxmlformats.org/officeDocument/2006/relationships" ref="AG233" display="http://www.ensil-ensci.unilim.fr/accueil/admissions/cycle-ingenieur/" r:id="rId555"/>
    <hyperlink xmlns:r="http://schemas.openxmlformats.org/officeDocument/2006/relationships" ref="AI233" display="Open in EEF" r:id="rId556"/>
    <hyperlink xmlns:r="http://schemas.openxmlformats.org/officeDocument/2006/relationships" ref="AG234" display="https://www.ensil-ensci.unilim.fr/" r:id="rId557"/>
    <hyperlink xmlns:r="http://schemas.openxmlformats.org/officeDocument/2006/relationships" ref="AI234" display="Open in EEF" r:id="rId558"/>
    <hyperlink xmlns:r="http://schemas.openxmlformats.org/officeDocument/2006/relationships" ref="AG235" display="http://www.polytech.univ-nantes.fr" r:id="rId559"/>
    <hyperlink xmlns:r="http://schemas.openxmlformats.org/officeDocument/2006/relationships" ref="AI235" display="Open in EEF" r:id="rId560"/>
    <hyperlink xmlns:r="http://schemas.openxmlformats.org/officeDocument/2006/relationships" ref="AB236" display="https://www.univ-tours.fr/international/etudes-stages-a-tours/droits-dinscription-differencies-pour-les-etudiants-extra-communautaires-2026-2027" r:id="rId561"/>
    <hyperlink xmlns:r="http://schemas.openxmlformats.org/officeDocument/2006/relationships" ref="AG236" display="http://polytech.univ-tours.fr/electronique" r:id="rId562"/>
    <hyperlink xmlns:r="http://schemas.openxmlformats.org/officeDocument/2006/relationships" ref="AI236" display="Open in EEF" r:id="rId563"/>
    <hyperlink xmlns:r="http://schemas.openxmlformats.org/officeDocument/2006/relationships" ref="AG237" display="http://www.polytech.univ-nantes.fr" r:id="rId564"/>
    <hyperlink xmlns:r="http://schemas.openxmlformats.org/officeDocument/2006/relationships" ref="AI237" display="Open in EEF" r:id="rId565"/>
    <hyperlink xmlns:r="http://schemas.openxmlformats.org/officeDocument/2006/relationships" ref="AG238" display="http://www.polytech.umontpellier.fr/" r:id="rId566"/>
    <hyperlink xmlns:r="http://schemas.openxmlformats.org/officeDocument/2006/relationships" ref="AI238" display="Open in EEF" r:id="rId567"/>
    <hyperlink xmlns:r="http://schemas.openxmlformats.org/officeDocument/2006/relationships" ref="AG239" display="http://www.polytech-orleans.fr" r:id="rId568"/>
    <hyperlink xmlns:r="http://schemas.openxmlformats.org/officeDocument/2006/relationships" ref="AI239" display="Open in EEF" r:id="rId569"/>
    <hyperlink xmlns:r="http://schemas.openxmlformats.org/officeDocument/2006/relationships" ref="AG240" display="http://www.enseeiht.fr" r:id="rId570"/>
    <hyperlink xmlns:r="http://schemas.openxmlformats.org/officeDocument/2006/relationships" ref="AI240" display="Open in EEF" r:id="rId571"/>
    <hyperlink xmlns:r="http://schemas.openxmlformats.org/officeDocument/2006/relationships" ref="AG241" display="http://www.enseeiht.fr" r:id="rId572"/>
    <hyperlink xmlns:r="http://schemas.openxmlformats.org/officeDocument/2006/relationships" ref="AI241" display="Open in EEF" r:id="rId573"/>
    <hyperlink xmlns:r="http://schemas.openxmlformats.org/officeDocument/2006/relationships" ref="AG242" display="http://www.enseeiht.fr" r:id="rId574"/>
    <hyperlink xmlns:r="http://schemas.openxmlformats.org/officeDocument/2006/relationships" ref="AI242" display="Open in EEF" r:id="rId575"/>
    <hyperlink xmlns:r="http://schemas.openxmlformats.org/officeDocument/2006/relationships" ref="AG243" display="https://www.ens2m.fr/" r:id="rId576"/>
    <hyperlink xmlns:r="http://schemas.openxmlformats.org/officeDocument/2006/relationships" ref="AI243" display="Open in EEF" r:id="rId577"/>
    <hyperlink xmlns:r="http://schemas.openxmlformats.org/officeDocument/2006/relationships" ref="AG244" display="https://www.cpe.fr/" r:id="rId578"/>
    <hyperlink xmlns:r="http://schemas.openxmlformats.org/officeDocument/2006/relationships" ref="AI244" display="Open in EEF" r:id="rId579"/>
    <hyperlink xmlns:r="http://schemas.openxmlformats.org/officeDocument/2006/relationships" ref="AG245" display="http://www.enseirb-matmeca.fr" r:id="rId580"/>
    <hyperlink xmlns:r="http://schemas.openxmlformats.org/officeDocument/2006/relationships" ref="AI245" display="Open in EEF" r:id="rId581"/>
    <hyperlink xmlns:r="http://schemas.openxmlformats.org/officeDocument/2006/relationships" ref="AG246" display="http://www.enseirb-matmeca.fr" r:id="rId582"/>
    <hyperlink xmlns:r="http://schemas.openxmlformats.org/officeDocument/2006/relationships" ref="AI246" display="Open in EEF" r:id="rId583"/>
    <hyperlink xmlns:r="http://schemas.openxmlformats.org/officeDocument/2006/relationships" ref="AG247" display="http://www.enseirb-matmeca.fr" r:id="rId584"/>
    <hyperlink xmlns:r="http://schemas.openxmlformats.org/officeDocument/2006/relationships" ref="AI247" display="Open in EEF" r:id="rId585"/>
    <hyperlink xmlns:r="http://schemas.openxmlformats.org/officeDocument/2006/relationships" ref="AG248" display="http://www.enseirb-matmeca.fr" r:id="rId586"/>
    <hyperlink xmlns:r="http://schemas.openxmlformats.org/officeDocument/2006/relationships" ref="AI248" display="Open in EEF" r:id="rId587"/>
    <hyperlink xmlns:r="http://schemas.openxmlformats.org/officeDocument/2006/relationships" ref="AI249" display="Open in EEF" r:id="rId588"/>
    <hyperlink xmlns:r="http://schemas.openxmlformats.org/officeDocument/2006/relationships" ref="AG250" display="http://www.esiee-amiens.fr" r:id="rId589"/>
    <hyperlink xmlns:r="http://schemas.openxmlformats.org/officeDocument/2006/relationships" ref="AI250" display="Open in EEF" r:id="rId590"/>
    <hyperlink xmlns:r="http://schemas.openxmlformats.org/officeDocument/2006/relationships" ref="AG251" display="https://polytech.univ-cotedazur.fr/" r:id="rId591"/>
    <hyperlink xmlns:r="http://schemas.openxmlformats.org/officeDocument/2006/relationships" ref="AI251" display="Open in EEF" r:id="rId592"/>
    <hyperlink xmlns:r="http://schemas.openxmlformats.org/officeDocument/2006/relationships" ref="AG252" display="https://www.insa-lyon.fr/fr/formation/" r:id="rId593"/>
    <hyperlink xmlns:r="http://schemas.openxmlformats.org/officeDocument/2006/relationships" ref="AI252" display="Open in EEF" r:id="rId594"/>
    <hyperlink xmlns:r="http://schemas.openxmlformats.org/officeDocument/2006/relationships" ref="AG253" display="https://www.insa-hautsdefrance.fr/formation-ingenieurs" r:id="rId595"/>
    <hyperlink xmlns:r="http://schemas.openxmlformats.org/officeDocument/2006/relationships" ref="AI253" display="Open in EEF" r:id="rId596"/>
    <hyperlink xmlns:r="http://schemas.openxmlformats.org/officeDocument/2006/relationships" ref="AG254" display="https://www.insa-lyon.fr/fr/formation/" r:id="rId597"/>
    <hyperlink xmlns:r="http://schemas.openxmlformats.org/officeDocument/2006/relationships" ref="AI254" display="Open in EEF" r:id="rId598"/>
    <hyperlink xmlns:r="http://schemas.openxmlformats.org/officeDocument/2006/relationships" ref="AG255" display="https://www.insa-hautsdefrance.fr/formation-ingenieurs" r:id="rId599"/>
    <hyperlink xmlns:r="http://schemas.openxmlformats.org/officeDocument/2006/relationships" ref="AI255" display="Open in EEF" r:id="rId600"/>
    <hyperlink xmlns:r="http://schemas.openxmlformats.org/officeDocument/2006/relationships" ref="AG256" display="https://www.insa-hautsdefrance.fr/formation-ingenieurs" r:id="rId601"/>
    <hyperlink xmlns:r="http://schemas.openxmlformats.org/officeDocument/2006/relationships" ref="AI256" display="Open in EEF" r:id="rId602"/>
    <hyperlink xmlns:r="http://schemas.openxmlformats.org/officeDocument/2006/relationships" ref="AG257" display="https://www.utbm.fr/formations/ingenieur/energie-genie-electrique/" r:id="rId603"/>
    <hyperlink xmlns:r="http://schemas.openxmlformats.org/officeDocument/2006/relationships" ref="AI257" display="Open in EEF" r:id="rId604"/>
    <hyperlink xmlns:r="http://schemas.openxmlformats.org/officeDocument/2006/relationships" ref="AG258" display="http://www.telecomnancy.eu" r:id="rId605"/>
    <hyperlink xmlns:r="http://schemas.openxmlformats.org/officeDocument/2006/relationships" ref="AI258" display="Open in EEF" r:id="rId606"/>
    <hyperlink xmlns:r="http://schemas.openxmlformats.org/officeDocument/2006/relationships" ref="AG259" display="http://imt-nord-europe.fr" r:id="rId607"/>
    <hyperlink xmlns:r="http://schemas.openxmlformats.org/officeDocument/2006/relationships" ref="AI259" display="Open in EEF" r:id="rId608"/>
    <hyperlink xmlns:r="http://schemas.openxmlformats.org/officeDocument/2006/relationships" ref="AG260" display="https://univ-cotedazur.eu/msc/modeling-for-neuronal-and-cognitive-systems" r:id="rId609"/>
    <hyperlink xmlns:r="http://schemas.openxmlformats.org/officeDocument/2006/relationships" ref="AI260" display="Open in EEF" r:id="rId610"/>
    <hyperlink xmlns:r="http://schemas.openxmlformats.org/officeDocument/2006/relationships" ref="AG261" display="https://www.telecom-sudparis.eu/en/formation/master-of-science-electrical-and-optical-engineering/" r:id="rId611"/>
    <hyperlink xmlns:r="http://schemas.openxmlformats.org/officeDocument/2006/relationships" ref="AI261" display="Open in EEF" r:id="rId612"/>
    <hyperlink xmlns:r="http://schemas.openxmlformats.org/officeDocument/2006/relationships" ref="AG262" display="https://www.telecom-sudparis.eu/en/formation/master-of-science-electrical-and-optical-engineering/" r:id="rId613"/>
    <hyperlink xmlns:r="http://schemas.openxmlformats.org/officeDocument/2006/relationships" ref="AI262" display="Open in EEF" r:id="rId6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615"/>
  </tableParts>
</worksheet>
</file>

<file path=xl/worksheets/sheet3.xml><?xml version="1.0" encoding="utf-8"?>
<worksheet xmlns="http://schemas.openxmlformats.org/spreadsheetml/2006/main">
  <sheetPr filterMode="0">
    <outlinePr summaryBelow="1" summaryRight="1"/>
    <pageSetUpPr fitToPage="0"/>
  </sheetPr>
  <dimension ref="A1:G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18" min="1" max="1"/>
    <col width="22" customWidth="1" style="18" min="2" max="7"/>
  </cols>
  <sheetData>
    <row r="1" ht="15" customHeight="1" s="19">
      <c r="A1" s="29" t="inlineStr">
        <is>
          <t>Field</t>
        </is>
      </c>
      <c r="B1" s="29" t="inlineStr">
        <is>
          <t>Programs</t>
        </is>
      </c>
      <c r="C1" s="29" t="inlineStr">
        <is>
          <t>Eligible on level</t>
        </is>
      </c>
      <c r="D1" s="29" t="inlineStr">
        <is>
          <t>Taught in English (incl. FR&amp;EN)</t>
        </is>
      </c>
      <c r="E1" s="29" t="inlineStr">
        <is>
          <t>Est. fee ≤ €4,000</t>
        </is>
      </c>
      <c r="F1" s="29" t="inlineStr">
        <is>
          <t>Est. fee &gt; €6,000</t>
        </is>
      </c>
      <c r="G1" s="29" t="inlineStr">
        <is>
          <t>Cheapest est. fee (€, excl. apprenticeship €0)</t>
        </is>
      </c>
    </row>
    <row r="2" ht="15" customHeight="1" s="19">
      <c r="A2" s="30" t="inlineStr">
        <is>
          <t>AI / Data science</t>
        </is>
      </c>
      <c r="B2" s="30">
        <f>COUNTIF('All Programs'!$D$2:$D$1000,A2)</f>
        <v/>
      </c>
      <c r="C2" s="30">
        <f>COUNTIFS('All Programs'!$D$2:$D$1000,A2,'All Programs'!$P$2:$P$1000,"Eligible*")</f>
        <v/>
      </c>
      <c r="D2" s="30">
        <f>COUNTIFS('All Programs'!$D$2:$D$1000,A2,'All Programs'!$M$2:$M$1000,"*English*")</f>
        <v/>
      </c>
      <c r="E2" s="30">
        <f>COUNTIFS('All Programs'!$D$2:$D$1000,A2,'All Programs'!$S$2:$S$1000,"&lt;=4000")</f>
        <v/>
      </c>
      <c r="F2" s="30">
        <f>COUNTIFS('All Programs'!$D$2:$D$1000,A2,'All Programs'!$S$2:$S$1000,"&gt;6000")</f>
        <v/>
      </c>
      <c r="G2" s="31">
        <f>_xlfn.MINIFS('All Programs'!$S$2:$S$1000,'All Programs'!$D$2:$D$1000,A2,'All Programs'!$S$2:$S$1000,"&gt;0")</f>
        <v/>
      </c>
    </row>
    <row r="3" ht="15" customHeight="1" s="19">
      <c r="A3" s="30" t="inlineStr">
        <is>
          <t>Bioinformatics</t>
        </is>
      </c>
      <c r="B3" s="30">
        <f>COUNTIF('All Programs'!$D$2:$D$1000,A3)</f>
        <v/>
      </c>
      <c r="C3" s="30">
        <f>COUNTIFS('All Programs'!$D$2:$D$1000,A3,'All Programs'!$P$2:$P$1000,"Eligible*")</f>
        <v/>
      </c>
      <c r="D3" s="30">
        <f>COUNTIFS('All Programs'!$D$2:$D$1000,A3,'All Programs'!$M$2:$M$1000,"*English*")</f>
        <v/>
      </c>
      <c r="E3" s="30">
        <f>COUNTIFS('All Programs'!$D$2:$D$1000,A3,'All Programs'!$S$2:$S$1000,"&lt;=4000")</f>
        <v/>
      </c>
      <c r="F3" s="30">
        <f>COUNTIFS('All Programs'!$D$2:$D$1000,A3,'All Programs'!$S$2:$S$1000,"&gt;6000")</f>
        <v/>
      </c>
      <c r="G3" s="31">
        <f>_xlfn.MINIFS('All Programs'!$S$2:$S$1000,'All Programs'!$D$2:$D$1000,A3,'All Programs'!$S$2:$S$1000,"&gt;0")</f>
        <v/>
      </c>
    </row>
    <row r="4" ht="15" customHeight="1" s="19">
      <c r="A4" s="30" t="inlineStr">
        <is>
          <t>Biomedical / Health tech</t>
        </is>
      </c>
      <c r="B4" s="30">
        <f>COUNTIF('All Programs'!$D$2:$D$1000,A4)</f>
        <v/>
      </c>
      <c r="C4" s="30">
        <f>COUNTIFS('All Programs'!$D$2:$D$1000,A4,'All Programs'!$P$2:$P$1000,"Eligible*")</f>
        <v/>
      </c>
      <c r="D4" s="30">
        <f>COUNTIFS('All Programs'!$D$2:$D$1000,A4,'All Programs'!$M$2:$M$1000,"*English*")</f>
        <v/>
      </c>
      <c r="E4" s="30">
        <f>COUNTIFS('All Programs'!$D$2:$D$1000,A4,'All Programs'!$S$2:$S$1000,"&lt;=4000")</f>
        <v/>
      </c>
      <c r="F4" s="30">
        <f>COUNTIFS('All Programs'!$D$2:$D$1000,A4,'All Programs'!$S$2:$S$1000,"&gt;6000")</f>
        <v/>
      </c>
      <c r="G4" s="31">
        <f>_xlfn.MINIFS('All Programs'!$S$2:$S$1000,'All Programs'!$D$2:$D$1000,A4,'All Programs'!$S$2:$S$1000,"&gt;0")</f>
        <v/>
      </c>
    </row>
    <row r="5" ht="15" customHeight="1" s="19">
      <c r="A5" s="30" t="inlineStr">
        <is>
          <t>Computer science / Software</t>
        </is>
      </c>
      <c r="B5" s="30">
        <f>COUNTIF('All Programs'!$D$2:$D$1000,A5)</f>
        <v/>
      </c>
      <c r="C5" s="30">
        <f>COUNTIFS('All Programs'!$D$2:$D$1000,A5,'All Programs'!$P$2:$P$1000,"Eligible*")</f>
        <v/>
      </c>
      <c r="D5" s="30">
        <f>COUNTIFS('All Programs'!$D$2:$D$1000,A5,'All Programs'!$M$2:$M$1000,"*English*")</f>
        <v/>
      </c>
      <c r="E5" s="30">
        <f>COUNTIFS('All Programs'!$D$2:$D$1000,A5,'All Programs'!$S$2:$S$1000,"&lt;=4000")</f>
        <v/>
      </c>
      <c r="F5" s="30">
        <f>COUNTIFS('All Programs'!$D$2:$D$1000,A5,'All Programs'!$S$2:$S$1000,"&gt;6000")</f>
        <v/>
      </c>
      <c r="G5" s="31">
        <f>_xlfn.MINIFS('All Programs'!$S$2:$S$1000,'All Programs'!$D$2:$D$1000,A5,'All Programs'!$S$2:$S$1000,"&gt;0")</f>
        <v/>
      </c>
    </row>
    <row r="6" ht="15" customHeight="1" s="19">
      <c r="A6" s="30" t="inlineStr">
        <is>
          <t>Cybersecurity</t>
        </is>
      </c>
      <c r="B6" s="30">
        <f>COUNTIF('All Programs'!$D$2:$D$1000,A6)</f>
        <v/>
      </c>
      <c r="C6" s="30">
        <f>COUNTIFS('All Programs'!$D$2:$D$1000,A6,'All Programs'!$P$2:$P$1000,"Eligible*")</f>
        <v/>
      </c>
      <c r="D6" s="30">
        <f>COUNTIFS('All Programs'!$D$2:$D$1000,A6,'All Programs'!$M$2:$M$1000,"*English*")</f>
        <v/>
      </c>
      <c r="E6" s="30">
        <f>COUNTIFS('All Programs'!$D$2:$D$1000,A6,'All Programs'!$S$2:$S$1000,"&lt;=4000")</f>
        <v/>
      </c>
      <c r="F6" s="30">
        <f>COUNTIFS('All Programs'!$D$2:$D$1000,A6,'All Programs'!$S$2:$S$1000,"&gt;6000")</f>
        <v/>
      </c>
      <c r="G6" s="31">
        <f>_xlfn.MINIFS('All Programs'!$S$2:$S$1000,'All Programs'!$D$2:$D$1000,A6,'All Programs'!$S$2:$S$1000,"&gt;0")</f>
        <v/>
      </c>
    </row>
    <row r="7" ht="15" customHeight="1" s="19">
      <c r="A7" s="30" t="inlineStr">
        <is>
          <t>Electrical energy</t>
        </is>
      </c>
      <c r="B7" s="30">
        <f>COUNTIF('All Programs'!$D$2:$D$1000,A7)</f>
        <v/>
      </c>
      <c r="C7" s="30">
        <f>COUNTIFS('All Programs'!$D$2:$D$1000,A7,'All Programs'!$P$2:$P$1000,"Eligible*")</f>
        <v/>
      </c>
      <c r="D7" s="30">
        <f>COUNTIFS('All Programs'!$D$2:$D$1000,A7,'All Programs'!$M$2:$M$1000,"*English*")</f>
        <v/>
      </c>
      <c r="E7" s="30">
        <f>COUNTIFS('All Programs'!$D$2:$D$1000,A7,'All Programs'!$S$2:$S$1000,"&lt;=4000")</f>
        <v/>
      </c>
      <c r="F7" s="30">
        <f>COUNTIFS('All Programs'!$D$2:$D$1000,A7,'All Programs'!$S$2:$S$1000,"&gt;6000")</f>
        <v/>
      </c>
      <c r="G7" s="31">
        <f>_xlfn.MINIFS('All Programs'!$S$2:$S$1000,'All Programs'!$D$2:$D$1000,A7,'All Programs'!$S$2:$S$1000,"&gt;0")</f>
        <v/>
      </c>
    </row>
    <row r="8" ht="15" customHeight="1" s="19">
      <c r="A8" s="30" t="inlineStr">
        <is>
          <t>Embedded systems / Electronics</t>
        </is>
      </c>
      <c r="B8" s="30">
        <f>COUNTIF('All Programs'!$D$2:$D$1000,A8)</f>
        <v/>
      </c>
      <c r="C8" s="30">
        <f>COUNTIFS('All Programs'!$D$2:$D$1000,A8,'All Programs'!$P$2:$P$1000,"Eligible*")</f>
        <v/>
      </c>
      <c r="D8" s="30">
        <f>COUNTIFS('All Programs'!$D$2:$D$1000,A8,'All Programs'!$M$2:$M$1000,"*English*")</f>
        <v/>
      </c>
      <c r="E8" s="30">
        <f>COUNTIFS('All Programs'!$D$2:$D$1000,A8,'All Programs'!$S$2:$S$1000,"&lt;=4000")</f>
        <v/>
      </c>
      <c r="F8" s="30">
        <f>COUNTIFS('All Programs'!$D$2:$D$1000,A8,'All Programs'!$S$2:$S$1000,"&gt;6000")</f>
        <v/>
      </c>
      <c r="G8" s="31">
        <f>_xlfn.MINIFS('All Programs'!$S$2:$S$1000,'All Programs'!$D$2:$D$1000,A8,'All Programs'!$S$2:$S$1000,"&gt;0")</f>
        <v/>
      </c>
    </row>
    <row r="9" ht="15" customHeight="1" s="19">
      <c r="A9" s="30" t="inlineStr">
        <is>
          <t>IoT / Telecom / Networks</t>
        </is>
      </c>
      <c r="B9" s="30">
        <f>COUNTIF('All Programs'!$D$2:$D$1000,A9)</f>
        <v/>
      </c>
      <c r="C9" s="30">
        <f>COUNTIFS('All Programs'!$D$2:$D$1000,A9,'All Programs'!$P$2:$P$1000,"Eligible*")</f>
        <v/>
      </c>
      <c r="D9" s="30">
        <f>COUNTIFS('All Programs'!$D$2:$D$1000,A9,'All Programs'!$M$2:$M$1000,"*English*")</f>
        <v/>
      </c>
      <c r="E9" s="30">
        <f>COUNTIFS('All Programs'!$D$2:$D$1000,A9,'All Programs'!$S$2:$S$1000,"&lt;=4000")</f>
        <v/>
      </c>
      <c r="F9" s="30">
        <f>COUNTIFS('All Programs'!$D$2:$D$1000,A9,'All Programs'!$S$2:$S$1000,"&gt;6000")</f>
        <v/>
      </c>
      <c r="G9" s="31">
        <f>_xlfn.MINIFS('All Programs'!$S$2:$S$1000,'All Programs'!$D$2:$D$1000,A9,'All Programs'!$S$2:$S$1000,"&gt;0")</f>
        <v/>
      </c>
    </row>
    <row r="10" ht="15" customHeight="1" s="19">
      <c r="A10" s="30" t="inlineStr">
        <is>
          <t>Neuroscience / Neuro-engineering</t>
        </is>
      </c>
      <c r="B10" s="30">
        <f>COUNTIF('All Programs'!$D$2:$D$1000,A10)</f>
        <v/>
      </c>
      <c r="C10" s="30">
        <f>COUNTIFS('All Programs'!$D$2:$D$1000,A10,'All Programs'!$P$2:$P$1000,"Eligible*")</f>
        <v/>
      </c>
      <c r="D10" s="30">
        <f>COUNTIFS('All Programs'!$D$2:$D$1000,A10,'All Programs'!$M$2:$M$1000,"*English*")</f>
        <v/>
      </c>
      <c r="E10" s="30">
        <f>COUNTIFS('All Programs'!$D$2:$D$1000,A10,'All Programs'!$S$2:$S$1000,"&lt;=4000")</f>
        <v/>
      </c>
      <c r="F10" s="30">
        <f>COUNTIFS('All Programs'!$D$2:$D$1000,A10,'All Programs'!$S$2:$S$1000,"&gt;6000")</f>
        <v/>
      </c>
      <c r="G10" s="31">
        <f>_xlfn.MINIFS('All Programs'!$S$2:$S$1000,'All Programs'!$D$2:$D$1000,A10,'All Programs'!$S$2:$S$1000,"&gt;0")</f>
        <v/>
      </c>
    </row>
    <row r="11" ht="15" customHeight="1" s="19">
      <c r="A11" s="30" t="inlineStr">
        <is>
          <t>Other engineering / maths</t>
        </is>
      </c>
      <c r="B11" s="30">
        <f>COUNTIF('All Programs'!$D$2:$D$1000,A11)</f>
        <v/>
      </c>
      <c r="C11" s="30">
        <f>COUNTIFS('All Programs'!$D$2:$D$1000,A11,'All Programs'!$P$2:$P$1000,"Eligible*")</f>
        <v/>
      </c>
      <c r="D11" s="30">
        <f>COUNTIFS('All Programs'!$D$2:$D$1000,A11,'All Programs'!$M$2:$M$1000,"*English*")</f>
        <v/>
      </c>
      <c r="E11" s="30">
        <f>COUNTIFS('All Programs'!$D$2:$D$1000,A11,'All Programs'!$S$2:$S$1000,"&lt;=4000")</f>
        <v/>
      </c>
      <c r="F11" s="30">
        <f>COUNTIFS('All Programs'!$D$2:$D$1000,A11,'All Programs'!$S$2:$S$1000,"&gt;6000")</f>
        <v/>
      </c>
      <c r="G11" s="31">
        <f>_xlfn.MINIFS('All Programs'!$S$2:$S$1000,'All Programs'!$D$2:$D$1000,A11,'All Programs'!$S$2:$S$1000,"&gt;0")</f>
        <v/>
      </c>
    </row>
    <row r="12" ht="15" customHeight="1" s="19">
      <c r="A12" s="30" t="inlineStr">
        <is>
          <t>Robotics / Automation / Mechatronics</t>
        </is>
      </c>
      <c r="B12" s="30">
        <f>COUNTIF('All Programs'!$D$2:$D$1000,A12)</f>
        <v/>
      </c>
      <c r="C12" s="30">
        <f>COUNTIFS('All Programs'!$D$2:$D$1000,A12,'All Programs'!$P$2:$P$1000,"Eligible*")</f>
        <v/>
      </c>
      <c r="D12" s="30">
        <f>COUNTIFS('All Programs'!$D$2:$D$1000,A12,'All Programs'!$M$2:$M$1000,"*English*")</f>
        <v/>
      </c>
      <c r="E12" s="30">
        <f>COUNTIFS('All Programs'!$D$2:$D$1000,A12,'All Programs'!$S$2:$S$1000,"&lt;=4000")</f>
        <v/>
      </c>
      <c r="F12" s="30">
        <f>COUNTIFS('All Programs'!$D$2:$D$1000,A12,'All Programs'!$S$2:$S$1000,"&gt;6000")</f>
        <v/>
      </c>
      <c r="G12" s="31">
        <f>_xlfn.MINIFS('All Programs'!$S$2:$S$1000,'All Programs'!$D$2:$D$1000,A12,'All Programs'!$S$2:$S$1000,"&gt;0")</f>
        <v/>
      </c>
    </row>
    <row r="13" ht="15" customHeight="1" s="19">
      <c r="A13" s="30" t="inlineStr">
        <is>
          <t>Sensors / Instrumentation / Micro-Nano / Photonics</t>
        </is>
      </c>
      <c r="B13" s="30">
        <f>COUNTIF('All Programs'!$D$2:$D$1000,A13)</f>
        <v/>
      </c>
      <c r="C13" s="30">
        <f>COUNTIFS('All Programs'!$D$2:$D$1000,A13,'All Programs'!$P$2:$P$1000,"Eligible*")</f>
        <v/>
      </c>
      <c r="D13" s="30">
        <f>COUNTIFS('All Programs'!$D$2:$D$1000,A13,'All Programs'!$M$2:$M$1000,"*English*")</f>
        <v/>
      </c>
      <c r="E13" s="30">
        <f>COUNTIFS('All Programs'!$D$2:$D$1000,A13,'All Programs'!$S$2:$S$1000,"&lt;=4000")</f>
        <v/>
      </c>
      <c r="F13" s="30">
        <f>COUNTIFS('All Programs'!$D$2:$D$1000,A13,'All Programs'!$S$2:$S$1000,"&gt;6000")</f>
        <v/>
      </c>
      <c r="G13" s="31">
        <f>_xlfn.MINIFS('All Programs'!$S$2:$S$1000,'All Programs'!$D$2:$D$1000,A13,'All Programs'!$S$2:$S$1000,"&gt;0")</f>
        <v/>
      </c>
    </row>
    <row r="14" ht="15" customHeight="1" s="19">
      <c r="A14" s="30" t="inlineStr">
        <is>
          <t>Signal / Image / Vision</t>
        </is>
      </c>
      <c r="B14" s="30">
        <f>COUNTIF('All Programs'!$D$2:$D$1000,A14)</f>
        <v/>
      </c>
      <c r="C14" s="30">
        <f>COUNTIFS('All Programs'!$D$2:$D$1000,A14,'All Programs'!$P$2:$P$1000,"Eligible*")</f>
        <v/>
      </c>
      <c r="D14" s="30">
        <f>COUNTIFS('All Programs'!$D$2:$D$1000,A14,'All Programs'!$M$2:$M$1000,"*English*")</f>
        <v/>
      </c>
      <c r="E14" s="30">
        <f>COUNTIFS('All Programs'!$D$2:$D$1000,A14,'All Programs'!$S$2:$S$1000,"&lt;=4000")</f>
        <v/>
      </c>
      <c r="F14" s="30">
        <f>COUNTIFS('All Programs'!$D$2:$D$1000,A14,'All Programs'!$S$2:$S$1000,"&gt;6000")</f>
        <v/>
      </c>
      <c r="G14" s="31">
        <f>_xlfn.MINIFS('All Programs'!$S$2:$S$1000,'All Programs'!$D$2:$D$1000,A14,'All Programs'!$S$2:$S$1000,"&gt;0")</f>
        <v/>
      </c>
    </row>
    <row r="15" ht="15" customHeight="1" s="19">
      <c r="A15" s="32" t="inlineStr">
        <is>
          <t>TOTAL</t>
        </is>
      </c>
      <c r="B15" s="32">
        <f>SUM(B2:B14)</f>
        <v/>
      </c>
      <c r="C15" s="32">
        <f>SUM(C2:C14)</f>
        <v/>
      </c>
      <c r="D15" s="32">
        <f>SUM(D2:D14)</f>
        <v/>
      </c>
      <c r="E15" s="32">
        <f>SUM(E2:E14)</f>
        <v/>
      </c>
      <c r="F15" s="32">
        <f>SUM(F2:F14)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I193"/>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18" min="1" max="1"/>
    <col width="10" customWidth="1" style="18" min="2" max="2"/>
    <col width="30" customWidth="1" style="18" min="3" max="3"/>
    <col width="26" customWidth="1" style="18" min="4" max="4"/>
    <col width="60" customWidth="1" style="18" min="5" max="5"/>
    <col width="55" customWidth="1" style="18" min="6" max="6"/>
    <col width="24" customWidth="1" style="18" min="7" max="7"/>
    <col width="38" customWidth="1" style="18" min="8" max="8"/>
    <col width="30" customWidth="1" style="18" min="9" max="9"/>
    <col width="22" customWidth="1" style="18" min="10" max="10"/>
    <col width="18" customWidth="1" style="18" min="11" max="11"/>
    <col width="20" customWidth="1" style="18" min="12" max="12"/>
    <col width="14" customWidth="1" style="18" min="13" max="14"/>
    <col width="16" customWidth="1" style="18" min="15" max="15"/>
    <col width="40" customWidth="1" style="18" min="16" max="16"/>
    <col width="9" customWidth="1" style="18" min="17" max="17"/>
    <col width="12" customWidth="1" style="18" min="18" max="18"/>
    <col width="14" customWidth="1" style="18" min="19" max="20"/>
    <col width="9" customWidth="1" style="18" min="21" max="21"/>
    <col width="14" customWidth="1" style="18" min="22" max="22"/>
    <col width="60" customWidth="1" style="18" min="23" max="23"/>
    <col width="11" customWidth="1" style="18" min="24" max="24"/>
    <col width="14" customWidth="1" style="18" min="25" max="25"/>
    <col width="50" customWidth="1" style="18" min="26" max="26"/>
    <col width="60" customWidth="1" style="18" min="27" max="27"/>
    <col width="30" customWidth="1" style="18" min="28" max="28"/>
    <col width="9" customWidth="1" style="18" min="29" max="29"/>
    <col width="11" customWidth="1" style="18" min="30" max="31"/>
    <col width="12" customWidth="1" style="18" min="32" max="32"/>
    <col width="40" customWidth="1" style="18" min="33" max="33"/>
    <col width="60" customWidth="1" style="18" min="34" max="34"/>
    <col width="30" customWidth="1" style="18" min="35" max="35"/>
  </cols>
  <sheetData>
    <row r="1" ht="45" customHeight="1" s="19">
      <c r="A1" s="24" t="inlineStr">
        <is>
          <t>#</t>
        </is>
      </c>
      <c r="B1" s="24" t="inlineStr">
        <is>
          <t>Relevance</t>
        </is>
      </c>
      <c r="C1" s="24" t="inlineStr">
        <is>
          <t>Relevance note</t>
        </is>
      </c>
      <c r="D1" s="24" t="inlineStr">
        <is>
          <t>Field (category)</t>
        </is>
      </c>
      <c r="E1" s="24" t="inlineStr">
        <is>
          <t>Program title (as in Études en France)</t>
        </is>
      </c>
      <c r="F1" s="24" t="inlineStr">
        <is>
          <t>Approx. English title (auto-translated)</t>
        </is>
      </c>
      <c r="G1" s="24" t="inlineStr">
        <is>
          <t>Degree type</t>
        </is>
      </c>
      <c r="H1" s="24" t="inlineStr">
        <is>
          <t>Institution / faculty</t>
        </is>
      </c>
      <c r="I1" s="24" t="inlineStr">
        <is>
          <t>University / group</t>
        </is>
      </c>
      <c r="J1" s="24" t="inlineStr">
        <is>
          <t>Campus / site</t>
        </is>
      </c>
      <c r="K1" s="24" t="inlineStr">
        <is>
          <t>City / postcode</t>
        </is>
      </c>
      <c r="L1" s="24" t="inlineStr">
        <is>
          <t>Institution type</t>
        </is>
      </c>
      <c r="M1" s="24" t="inlineStr">
        <is>
          <t>Teaching language</t>
        </is>
      </c>
      <c r="N1" s="24" t="inlineStr">
        <is>
          <t>Catalogue</t>
        </is>
      </c>
      <c r="O1" s="24" t="inlineStr">
        <is>
          <t>Entry level required</t>
        </is>
      </c>
      <c r="P1" s="24" t="inlineStr">
        <is>
          <t>Your eligibility (4-yr BS, 3 yrs exp.)</t>
        </is>
      </c>
      <c r="Q1" s="24" t="inlineStr">
        <is>
          <t>Entry year(s)</t>
        </is>
      </c>
      <c r="R1" s="24" t="inlineStr">
        <is>
          <t>Duration (months, per catalogue)</t>
        </is>
      </c>
      <c r="S1" s="24" t="inlineStr">
        <is>
          <t>Est. tuition / year non-EU (€)</t>
        </is>
      </c>
      <c r="T1" s="24" t="inlineStr">
        <is>
          <t>Lowest possible with exemption (€)</t>
        </is>
      </c>
      <c r="U1" s="24" t="inlineStr">
        <is>
          <t>Years to finish (est.)</t>
        </is>
      </c>
      <c r="V1" s="24" t="inlineStr">
        <is>
          <t>Est. total tuition (€)</t>
        </is>
      </c>
      <c r="W1" s="24" t="inlineStr">
        <is>
          <t>Fee basis &amp; source</t>
        </is>
      </c>
      <c r="X1" s="24" t="inlineStr">
        <is>
          <t>Fee confidence</t>
        </is>
      </c>
      <c r="Y1" s="24" t="inlineStr">
        <is>
          <t>Fees found in catalogue (€)</t>
        </is>
      </c>
      <c r="Z1" s="24" t="inlineStr">
        <is>
          <t>Fee note from catalogue text</t>
        </is>
      </c>
      <c r="AA1" s="24" t="inlineStr">
        <is>
          <t>University exemption policy 2026-27</t>
        </is>
      </c>
      <c r="AB1" s="24" t="inlineStr">
        <is>
          <t>Policy source</t>
        </is>
      </c>
      <c r="AC1" s="24" t="inlineStr">
        <is>
          <t>EEF status</t>
        </is>
      </c>
      <c r="AD1" s="24" t="inlineStr">
        <is>
          <t>Apply from</t>
        </is>
      </c>
      <c r="AE1" s="24" t="inlineStr">
        <is>
          <t>Apply until (EEF)</t>
        </is>
      </c>
      <c r="AF1" s="24" t="inlineStr">
        <is>
          <t>Extra school application required?</t>
        </is>
      </c>
      <c r="AG1" s="24" t="inlineStr">
        <is>
          <t>Program website</t>
        </is>
      </c>
      <c r="AH1" s="24" t="inlineStr">
        <is>
          <t>Requirements (excerpt)</t>
        </is>
      </c>
      <c r="AI1" s="24" t="inlineStr">
        <is>
          <t>Catalogue link</t>
        </is>
      </c>
    </row>
    <row r="2" ht="32.8" customHeight="1" s="19">
      <c r="A2" s="25" t="n">
        <v>1</v>
      </c>
      <c r="B2" s="25" t="inlineStr">
        <is>
          <t>★★★★★</t>
        </is>
      </c>
      <c r="C2" s="25" t="inlineStr">
        <is>
          <t>5 – Core fit (embedded/biomedical/health tech)</t>
        </is>
      </c>
      <c r="D2" s="25" t="inlineStr">
        <is>
          <t>IoT / Telecom / Networks</t>
        </is>
      </c>
      <c r="E2" s="26" t="inlineStr">
        <is>
          <t>Master indifférencié (recherche et professionnel) Master Computer Networks and IoT Systems</t>
        </is>
      </c>
      <c r="F2" s="26" t="inlineStr">
        <is>
          <t>Master Computer Networks and IoT Systems</t>
        </is>
      </c>
      <c r="G2" s="25" t="inlineStr">
        <is>
          <t>Master indifférencié (recherche et professionnel)</t>
        </is>
      </c>
      <c r="H2" s="25" t="inlineStr">
        <is>
          <t>Conservatoire national des arts et métiers - CNAM</t>
        </is>
      </c>
      <c r="I2" s="25" t="n"/>
      <c r="J2" s="25" t="inlineStr">
        <is>
          <t>Cnam Etablissement Public - EPN5 Computer Science</t>
        </is>
      </c>
      <c r="K2" s="25" t="inlineStr">
        <is>
          <t>75003 Paris</t>
        </is>
      </c>
      <c r="L2" s="25" t="inlineStr">
        <is>
          <t>Public school / institute</t>
        </is>
      </c>
      <c r="M2" s="25" t="inlineStr">
        <is>
          <t>English</t>
        </is>
      </c>
      <c r="N2" s="25" t="inlineStr">
        <is>
          <t>Taught in English</t>
        </is>
      </c>
      <c r="O2" s="25" t="inlineStr">
        <is>
          <t>Bac +4 / Bac +5</t>
        </is>
      </c>
      <c r="P2" s="26" t="inlineStr">
        <is>
          <t>Eligible on level (4-yr BS ≈ Bac+4)</t>
        </is>
      </c>
      <c r="Q2" s="25" t="inlineStr">
        <is>
          <t>1/2</t>
        </is>
      </c>
      <c r="R2" s="25" t="inlineStr">
        <is>
          <t>12</t>
        </is>
      </c>
      <c r="S2" s="27" t="n">
        <v>3950</v>
      </c>
      <c r="T2" s="27" t="n">
        <v>255</v>
      </c>
      <c r="U2" s="25" t="n">
        <v>2</v>
      </c>
      <c r="V2" s="27">
        <f>IF(S2="","",S2*U2)</f>
        <v/>
      </c>
      <c r="W2" s="26" t="inlineStr">
        <is>
          <t>Catalogue: €3,770. = national differentiated master fee (2026-27: €3,950). Exemption to ~€255 possible (university quota).</t>
        </is>
      </c>
      <c r="X2" s="25" t="inlineStr">
        <is>
          <t>High</t>
        </is>
      </c>
      <c r="Y2" s="25" t="inlineStr">
        <is>
          <t>3770</t>
        </is>
      </c>
      <c r="Z2" s="26" t="n"/>
      <c r="AA2" s="26" t="n"/>
      <c r="AB2" s="25" t="n"/>
      <c r="AC2" s="25" t="inlineStr">
        <is>
          <t>Open</t>
        </is>
      </c>
      <c r="AD2" s="25" t="inlineStr">
        <is>
          <t>2026-10-01</t>
        </is>
      </c>
      <c r="AE2" s="25" t="inlineStr">
        <is>
          <t>2027-03-15</t>
        </is>
      </c>
      <c r="AF2" s="25" t="inlineStr">
        <is>
          <t>Yes</t>
        </is>
      </c>
      <c r="AG2" s="28" t="inlineStr">
        <is>
          <t>https://master.roc.cnam.fr</t>
        </is>
      </c>
      <c r="AH2" s="26" t="inlineStr">
        <is>
          <t>International, European and French students willing to pursue a master degree in English, and possessing a Bachelor-level degree in one of these fields: Computer Science, Electronics, Computer Engineering, Electrical Eng</t>
        </is>
      </c>
      <c r="AI2" s="28" t="inlineStr">
        <is>
          <t>Open in EEF</t>
        </is>
      </c>
    </row>
    <row r="3" ht="32.8" customHeight="1" s="19">
      <c r="A3" s="25" t="n">
        <v>2</v>
      </c>
      <c r="B3" s="25" t="inlineStr">
        <is>
          <t>★★★★★</t>
        </is>
      </c>
      <c r="C3" s="25" t="inlineStr">
        <is>
          <t>5 – Core fit (embedded/biomedical/health tech)</t>
        </is>
      </c>
      <c r="D3" s="25" t="inlineStr">
        <is>
          <t>Biomedical / Health tech</t>
        </is>
      </c>
      <c r="E3" s="26" t="inlineStr">
        <is>
          <t>Master indifférencié (recherche et professionnel) mention Biomedical Engineering (BME)</t>
        </is>
      </c>
      <c r="F3" s="26" t="inlineStr">
        <is>
          <t>major: Biomedical Engineering (BME)</t>
        </is>
      </c>
      <c r="G3" s="25" t="inlineStr">
        <is>
          <t>Master indifférencié (recherche et professionnel)</t>
        </is>
      </c>
      <c r="H3" s="25" t="inlineStr">
        <is>
          <t>UFR des Sciences pharmaceutiques et biologiques</t>
        </is>
      </c>
      <c r="I3" s="25" t="inlineStr">
        <is>
          <t>Université de Montpellier</t>
        </is>
      </c>
      <c r="J3" s="25" t="inlineStr">
        <is>
          <t>Site de Montpellier</t>
        </is>
      </c>
      <c r="K3" s="25" t="inlineStr">
        <is>
          <t>34090 Montpellier</t>
        </is>
      </c>
      <c r="L3" s="25" t="inlineStr">
        <is>
          <t>Public university</t>
        </is>
      </c>
      <c r="M3" s="25" t="inlineStr">
        <is>
          <t>English</t>
        </is>
      </c>
      <c r="N3" s="25" t="inlineStr">
        <is>
          <t>Taught in English</t>
        </is>
      </c>
      <c r="O3" s="25" t="inlineStr">
        <is>
          <t>Bac +4</t>
        </is>
      </c>
      <c r="P3" s="26" t="inlineStr">
        <is>
          <t>Eligible on level (4-yr BS ≈ Bac+4)</t>
        </is>
      </c>
      <c r="Q3" s="25" t="inlineStr">
        <is>
          <t>1</t>
        </is>
      </c>
      <c r="R3" s="25" t="inlineStr">
        <is>
          <t>12</t>
        </is>
      </c>
      <c r="S3" s="27" t="n">
        <v>3950</v>
      </c>
      <c r="T3" s="27" t="n">
        <v>255</v>
      </c>
      <c r="U3" s="25" t="n">
        <v>2</v>
      </c>
      <c r="V3" s="27">
        <f>IF(S3="","",S3*U3)</f>
        <v/>
      </c>
      <c r="W3" s="26" t="inlineStr">
        <is>
          <t>Not in catalogue. Public national master → 2026-27 differentiated fee €3,950; exemption to ~€254-255 depends on university quota (25% cap in 2027-28).</t>
        </is>
      </c>
      <c r="X3" s="25" t="inlineStr">
        <is>
          <t>Medium</t>
        </is>
      </c>
      <c r="Y3" s="25" t="n"/>
      <c r="Z3" s="26" t="n"/>
      <c r="AA3" s="26" t="inlineStr">
        <is>
          <t>Montpellier 2026-27: new non-EU entrants pay the differentiated fee unless individual exemption (limited).</t>
        </is>
      </c>
      <c r="AB3" s="28" t="inlineStr">
        <is>
          <t>https://www.umontpellier.fr/en/international/etudier-a-letranger/etudiants-internationaux-annee-universitaire-2026-2027/</t>
        </is>
      </c>
      <c r="AC3" s="25" t="inlineStr">
        <is>
          <t>Open</t>
        </is>
      </c>
      <c r="AD3" s="25" t="inlineStr">
        <is>
          <t>2026-10-01</t>
        </is>
      </c>
      <c r="AE3" s="25" t="inlineStr">
        <is>
          <t>2027-03-15</t>
        </is>
      </c>
      <c r="AF3" s="25" t="inlineStr">
        <is>
          <t>No</t>
        </is>
      </c>
      <c r="AG3" s="28" t="inlineStr">
        <is>
          <t>https://idil.edu.umontpellier.fr/master-idil/les-parcours/</t>
        </is>
      </c>
      <c r="AH3" s="26" t="inlineStr">
        <is>
          <t>Conditions d’accès Diplôme de licence dans la discipline choisie IDIL Niveau d’anglais B2 minimum CV et lettre de motivation 2 lettres de soutien d’un chercheur et/ou professeur (recommandé, mais non obligatoire) Estimat</t>
        </is>
      </c>
      <c r="AI3" s="28" t="inlineStr">
        <is>
          <t>Open in EEF</t>
        </is>
      </c>
    </row>
    <row r="4" ht="32.8" customHeight="1" s="19">
      <c r="A4" s="25" t="n">
        <v>3</v>
      </c>
      <c r="B4" s="25" t="inlineStr">
        <is>
          <t>★★★★★</t>
        </is>
      </c>
      <c r="C4" s="25" t="inlineStr">
        <is>
          <t>5 – Core fit (embedded/biomedical/health tech)</t>
        </is>
      </c>
      <c r="D4" s="25" t="inlineStr">
        <is>
          <t>Embedded systems / Electronics</t>
        </is>
      </c>
      <c r="E4" s="26" t="inlineStr">
        <is>
          <t>Master indifférencié (recherche et professionnel) mention Electronique, énergies électriques et automatique* parcours Electronique, Outils Libres pour l'instrumentation et les Systèmes Embarqués (ELISE) *</t>
        </is>
      </c>
      <c r="F4" s="26" t="inlineStr">
        <is>
          <t>major: Electronics, Energies Electrical &amp; Automation* – track: Electronics, Outils Libres for Instrumentation &amp; the Embedded Systems (ELISE) *</t>
        </is>
      </c>
      <c r="G4" s="25" t="inlineStr">
        <is>
          <t>Master indifférencié (recherche et professionnel)</t>
        </is>
      </c>
      <c r="H4" s="25" t="inlineStr">
        <is>
          <t>UFR Sciences et Techniques</t>
        </is>
      </c>
      <c r="I4" s="25" t="inlineStr">
        <is>
          <t>Université Marie et Louis Pasteur</t>
        </is>
      </c>
      <c r="J4" s="25" t="inlineStr">
        <is>
          <t>Site de Besançon</t>
        </is>
      </c>
      <c r="K4" s="25" t="inlineStr">
        <is>
          <t>25030 BESANCON CEDEX</t>
        </is>
      </c>
      <c r="L4" s="25" t="inlineStr">
        <is>
          <t>Public university</t>
        </is>
      </c>
      <c r="M4" s="25" t="inlineStr">
        <is>
          <t>English</t>
        </is>
      </c>
      <c r="N4" s="25" t="inlineStr">
        <is>
          <t>Taught in English</t>
        </is>
      </c>
      <c r="O4" s="25" t="inlineStr">
        <is>
          <t>Bac +4</t>
        </is>
      </c>
      <c r="P4" s="26" t="inlineStr">
        <is>
          <t>Eligible on level (4-yr BS ≈ Bac+4)</t>
        </is>
      </c>
      <c r="Q4" s="25" t="inlineStr">
        <is>
          <t>1</t>
        </is>
      </c>
      <c r="R4" s="25" t="n"/>
      <c r="S4" s="27" t="n">
        <v>3950</v>
      </c>
      <c r="T4" s="27" t="n">
        <v>255</v>
      </c>
      <c r="U4" s="25" t="n">
        <v>2</v>
      </c>
      <c r="V4" s="27">
        <f>IF(S4="","",S4*U4)</f>
        <v/>
      </c>
      <c r="W4" s="26" t="inlineStr">
        <is>
          <t>Not in catalogue. Public national master → 2026-27 differentiated fee €3,950; exemption to ~€254-255 depends on university quota (25% cap in 2027-28).</t>
        </is>
      </c>
      <c r="X4" s="25" t="inlineStr">
        <is>
          <t>Medium</t>
        </is>
      </c>
      <c r="Y4" s="25" t="n"/>
      <c r="Z4" s="26" t="n"/>
      <c r="AA4" s="26" t="inlineStr">
        <is>
          <t>UMLP: individual exemption requests assessed on personal resources.</t>
        </is>
      </c>
      <c r="AB4" s="28" t="inlineStr">
        <is>
          <t>https://www.umlp.fr/sites/default/files/2026-07-02-page-droits-differencies-vf.pdf</t>
        </is>
      </c>
      <c r="AC4" s="25" t="inlineStr">
        <is>
          <t>Open</t>
        </is>
      </c>
      <c r="AD4" s="25" t="inlineStr">
        <is>
          <t>2026-10-01</t>
        </is>
      </c>
      <c r="AE4" s="25" t="inlineStr">
        <is>
          <t>2027-03-15</t>
        </is>
      </c>
      <c r="AF4" s="25" t="inlineStr">
        <is>
          <t>No</t>
        </is>
      </c>
      <c r="AG4" s="28" t="inlineStr">
        <is>
          <t>https://formations.univ-fcomte.fr/fr/formations/feuilleter-le-catalogue/master-lmd-XB/master-electronique-energie-electrique-automatique-M4QUAZ0D.html</t>
        </is>
      </c>
      <c r="AH4" s="26" t="inlineStr">
        <is>
          <t>C langage programming, digital electronics, microcontroller programming, analog electronics, instrumentation, Python programming, signal processing, mathematics (basic algebra and analysis), Linux operating system Langue</t>
        </is>
      </c>
      <c r="AI4" s="28" t="inlineStr">
        <is>
          <t>Open in EEF</t>
        </is>
      </c>
    </row>
    <row r="5" ht="32.8" customHeight="1" s="19">
      <c r="A5" s="25" t="n">
        <v>4</v>
      </c>
      <c r="B5" s="25" t="inlineStr">
        <is>
          <t>★★★★★</t>
        </is>
      </c>
      <c r="C5" s="25" t="inlineStr">
        <is>
          <t>5 – Core fit (embedded/biomedical/health tech)</t>
        </is>
      </c>
      <c r="D5" s="25" t="inlineStr">
        <is>
          <t>Biomedical / Health tech</t>
        </is>
      </c>
      <c r="E5" s="26" t="inlineStr">
        <is>
          <t>Master indifférencié (recherche et professionnel) Sciences, Technologies, Santé mention Biologie Santé parcours Bioingénierie Moléculaire et Cellulaire</t>
        </is>
      </c>
      <c r="F5" s="26" t="inlineStr">
        <is>
          <t>Science, Technology, Health (STS) – major: Biology-Health – track: Bioengineering Molecular &amp; Cellular</t>
        </is>
      </c>
      <c r="G5" s="25" t="inlineStr">
        <is>
          <t>Master indifférencié (recherche et professionnel)</t>
        </is>
      </c>
      <c r="H5" s="25" t="inlineStr">
        <is>
          <t>UFR de Chimie et Biologie</t>
        </is>
      </c>
      <c r="I5" s="25" t="inlineStr">
        <is>
          <t>Université de Grenoble Alpes</t>
        </is>
      </c>
      <c r="J5" s="25" t="inlineStr">
        <is>
          <t>Site de Grenoble - Campus de Saint Martin d'Hères</t>
        </is>
      </c>
      <c r="K5" s="25" t="n"/>
      <c r="L5" s="25" t="inlineStr">
        <is>
          <t>Public university</t>
        </is>
      </c>
      <c r="M5" s="25" t="inlineStr">
        <is>
          <t>English</t>
        </is>
      </c>
      <c r="N5" s="25" t="inlineStr">
        <is>
          <t>Taught in English</t>
        </is>
      </c>
      <c r="O5" s="25" t="inlineStr">
        <is>
          <t>Bac +4</t>
        </is>
      </c>
      <c r="P5" s="26" t="inlineStr">
        <is>
          <t>Eligible on level (4-yr BS ≈ Bac+4)</t>
        </is>
      </c>
      <c r="Q5" s="25" t="inlineStr">
        <is>
          <t>1</t>
        </is>
      </c>
      <c r="R5" s="25" t="n"/>
      <c r="S5" s="27" t="n">
        <v>3950</v>
      </c>
      <c r="T5" s="27" t="n">
        <v>255</v>
      </c>
      <c r="U5" s="25" t="n">
        <v>2</v>
      </c>
      <c r="V5" s="27">
        <f>IF(S5="","",S5*U5)</f>
        <v/>
      </c>
      <c r="W5" s="26" t="inlineStr">
        <is>
          <t>Not in catalogue. Public national master → 2026-27 differentiated fee €3,950; exemption to ~€254-255 depends on university quota (25% cap in 2027-28).</t>
        </is>
      </c>
      <c r="X5" s="25" t="inlineStr">
        <is>
          <t>Medium</t>
        </is>
      </c>
      <c r="Y5" s="25" t="n"/>
      <c r="Z5" s="26" t="n"/>
      <c r="AA5" s="26" t="inlineStr">
        <is>
          <t>UGA (incl. Grenoble INP masters): 2026-27 broad exemptions on request (pay national €254). From 2027-28 the decree caps apply; exemptions based on resources.</t>
        </is>
      </c>
      <c r="AB5" s="28" t="inlineStr">
        <is>
          <t>https://www.univ-grenoble-alpes.fr/actualites/a-la-une/actualites-universite/etudiants-internationaux-ce-que-change-le-nouveau-decret-sur-les-droits-d-inscription-a-l-uga-1775870.kjsp</t>
        </is>
      </c>
      <c r="AC5" s="25" t="inlineStr">
        <is>
          <t>Open</t>
        </is>
      </c>
      <c r="AD5" s="25" t="inlineStr">
        <is>
          <t>2026-10-01</t>
        </is>
      </c>
      <c r="AE5" s="25" t="inlineStr">
        <is>
          <t>2027-03-15</t>
        </is>
      </c>
      <c r="AF5" s="25" t="inlineStr">
        <is>
          <t>No</t>
        </is>
      </c>
      <c r="AG5" s="28" t="inlineStr">
        <is>
          <t>https://formations.univ-grenoble-alpes.fr/fr/offre-de-formation/master-XB/master-biologie-sante-IAQKB0GE/parcours-molecular-and-cellular-biology-1re-annee-IK43J2QV.html</t>
        </is>
      </c>
      <c r="AH5" s="26" t="inlineStr">
        <is>
          <t>The "Bioingénierie Moléculaire et Cellulaire" M1 program is open to students having completed a bachelor’s degree in Sciences or are enrolled in the ﬁnal semester of a bachelor’s program in Sciences with a solid backgrou</t>
        </is>
      </c>
      <c r="AI5" s="28" t="inlineStr">
        <is>
          <t>Open in EEF</t>
        </is>
      </c>
    </row>
    <row r="6" ht="32.8" customHeight="1" s="19">
      <c r="A6" s="25" t="n">
        <v>5</v>
      </c>
      <c r="B6" s="25" t="inlineStr">
        <is>
          <t>★★★★★</t>
        </is>
      </c>
      <c r="C6" s="25" t="inlineStr">
        <is>
          <t>5 – Core fit (embedded/biomedical/health tech)</t>
        </is>
      </c>
      <c r="D6" s="25" t="inlineStr">
        <is>
          <t>Biomedical / Health tech</t>
        </is>
      </c>
      <c r="E6" s="26" t="inlineStr">
        <is>
          <t>Master indifférencié (recherche et professionnel) Sciences, Technologies, Santé mention Ingénierie de la santé parcours Bio Health Engineering</t>
        </is>
      </c>
      <c r="F6" s="26" t="inlineStr">
        <is>
          <t>Science, Technology, Health (STS) – major: Health Engineering – track: Bio Health Engineering</t>
        </is>
      </c>
      <c r="G6" s="25" t="inlineStr">
        <is>
          <t>Master indifférencié (recherche et professionnel)</t>
        </is>
      </c>
      <c r="H6" s="25" t="inlineStr">
        <is>
          <t>UFR Médecine - Pharmacie</t>
        </is>
      </c>
      <c r="I6" s="25" t="inlineStr">
        <is>
          <t>Université de Grenoble Alpes</t>
        </is>
      </c>
      <c r="J6" s="25" t="inlineStr">
        <is>
          <t>Site de Grenoble - Campus de La Merci - La Tronche</t>
        </is>
      </c>
      <c r="K6" s="25" t="n"/>
      <c r="L6" s="25" t="inlineStr">
        <is>
          <t>Public university</t>
        </is>
      </c>
      <c r="M6" s="25" t="inlineStr">
        <is>
          <t>English</t>
        </is>
      </c>
      <c r="N6" s="25" t="inlineStr">
        <is>
          <t>Taught in English</t>
        </is>
      </c>
      <c r="O6" s="25" t="inlineStr">
        <is>
          <t>Bac +4 / Bac +5</t>
        </is>
      </c>
      <c r="P6" s="26" t="inlineStr">
        <is>
          <t>Eligible on level (4-yr BS ≈ Bac+4)</t>
        </is>
      </c>
      <c r="Q6" s="25" t="inlineStr">
        <is>
          <t>1/2</t>
        </is>
      </c>
      <c r="R6" s="25" t="n"/>
      <c r="S6" s="27" t="n">
        <v>3950</v>
      </c>
      <c r="T6" s="27" t="n">
        <v>255</v>
      </c>
      <c r="U6" s="25" t="n">
        <v>2</v>
      </c>
      <c r="V6" s="27">
        <f>IF(S6="","",S6*U6)</f>
        <v/>
      </c>
      <c r="W6" s="26" t="inlineStr">
        <is>
          <t>Not in catalogue. Public national master → 2026-27 differentiated fee €3,950; exemption to ~€254-255 depends on university quota (25% cap in 2027-28).</t>
        </is>
      </c>
      <c r="X6" s="25" t="inlineStr">
        <is>
          <t>Medium</t>
        </is>
      </c>
      <c r="Y6" s="25" t="n"/>
      <c r="Z6" s="26" t="n"/>
      <c r="AA6" s="26" t="inlineStr">
        <is>
          <t>UGA (incl. Grenoble INP masters): 2026-27 broad exemptions on request (pay national €254). From 2027-28 the decree caps apply; exemptions based on resources.</t>
        </is>
      </c>
      <c r="AB6" s="28" t="inlineStr">
        <is>
          <t>https://www.univ-grenoble-alpes.fr/actualites/a-la-une/actualites-universite/etudiants-internationaux-ce-que-change-le-nouveau-decret-sur-les-droits-d-inscription-a-l-uga-1775870.kjsp</t>
        </is>
      </c>
      <c r="AC6" s="25" t="inlineStr">
        <is>
          <t>Open</t>
        </is>
      </c>
      <c r="AD6" s="25" t="inlineStr">
        <is>
          <t>2026-10-01</t>
        </is>
      </c>
      <c r="AE6" s="25" t="inlineStr">
        <is>
          <t>2027-03-15</t>
        </is>
      </c>
      <c r="AF6" s="25" t="inlineStr">
        <is>
          <t>No</t>
        </is>
      </c>
      <c r="AG6" s="28" t="inlineStr">
        <is>
          <t>https://formations.univ-grenoble-alpes.fr/fr/catalogue-2021/master-XB/master-ingenierie-de-la-sante-IAQKSXOB.html</t>
        </is>
      </c>
      <c r="AH6" s="26" t="inlineStr">
        <is>
          <t>Requirement M1: - Strong theoritical and practical skills in biology or biochemistry or pharmaceutical sciences or biotechnologies. - B2 level in english mandatory. Requirement M2: - Strong theoritical and practical skil</t>
        </is>
      </c>
      <c r="AI6" s="28" t="inlineStr">
        <is>
          <t>Open in EEF</t>
        </is>
      </c>
    </row>
    <row r="7" ht="32.8" customHeight="1" s="19">
      <c r="A7" s="25" t="n">
        <v>6</v>
      </c>
      <c r="B7" s="25" t="inlineStr">
        <is>
          <t>★★★★★</t>
        </is>
      </c>
      <c r="C7" s="25" t="inlineStr">
        <is>
          <t>5 – Core fit (embedded/biomedical/health tech)</t>
        </is>
      </c>
      <c r="D7" s="25" t="inlineStr">
        <is>
          <t>Biomedical / Health tech</t>
        </is>
      </c>
      <c r="E7" s="26" t="inlineStr">
        <is>
          <t>Master indifférencié (recherche et professionnel) Sciences, technologies, santé mention sciences du vivant parcours Biomedical and Computational Sciences in Ageing (imAGEin)</t>
        </is>
      </c>
      <c r="F7" s="26" t="inlineStr">
        <is>
          <t>Science, Technology, Health (STS) – major: Sciences of Life – track: Biomedical and Computational Sciences in Ageing (imAGEin)</t>
        </is>
      </c>
      <c r="G7" s="25" t="inlineStr">
        <is>
          <t>Master indifférencié (recherche et professionnel)</t>
        </is>
      </c>
      <c r="H7" s="25" t="inlineStr">
        <is>
          <t>Sciences</t>
        </is>
      </c>
      <c r="I7" s="25" t="inlineStr">
        <is>
          <t>Université Côte d'Azur</t>
        </is>
      </c>
      <c r="J7" s="25" t="inlineStr">
        <is>
          <t>Site de Nice</t>
        </is>
      </c>
      <c r="K7" s="25" t="n"/>
      <c r="L7" s="25" t="inlineStr">
        <is>
          <t>Public university</t>
        </is>
      </c>
      <c r="M7" s="25" t="inlineStr">
        <is>
          <t>English</t>
        </is>
      </c>
      <c r="N7" s="25" t="inlineStr">
        <is>
          <t>General</t>
        </is>
      </c>
      <c r="O7" s="25" t="inlineStr">
        <is>
          <t>Bac +3</t>
        </is>
      </c>
      <c r="P7" s="26" t="inlineStr">
        <is>
          <t>Eligible on level (4-yr BS ≈ Bac+4)</t>
        </is>
      </c>
      <c r="Q7" s="25" t="inlineStr">
        <is>
          <t>1</t>
        </is>
      </c>
      <c r="R7" s="25" t="n"/>
      <c r="S7" s="27" t="n">
        <v>3950</v>
      </c>
      <c r="T7" s="27" t="n">
        <v>255</v>
      </c>
      <c r="U7" s="25" t="n">
        <v>2</v>
      </c>
      <c r="V7" s="27">
        <f>IF(S7="","",S7*U7)</f>
        <v/>
      </c>
      <c r="W7" s="26" t="inlineStr">
        <is>
          <t>Not in catalogue. Public national master → 2026-27 differentiated fee €3,950; exemption to ~€254-255 depends on university quota (25% cap in 2027-28).</t>
        </is>
      </c>
      <c r="X7" s="25" t="inlineStr">
        <is>
          <t>Medium</t>
        </is>
      </c>
      <c r="Y7" s="25" t="n"/>
      <c r="Z7" s="26" t="n"/>
      <c r="AA7" s="26" t="n"/>
      <c r="AB7" s="25" t="n"/>
      <c r="AC7" s="25" t="inlineStr">
        <is>
          <t>Open</t>
        </is>
      </c>
      <c r="AD7" s="25" t="inlineStr">
        <is>
          <t>2026-10-01</t>
        </is>
      </c>
      <c r="AE7" s="25" t="inlineStr">
        <is>
          <t>2027-03-15</t>
        </is>
      </c>
      <c r="AF7" s="25" t="inlineStr">
        <is>
          <t>Yes</t>
        </is>
      </c>
      <c r="AG7" s="28" t="inlineStr">
        <is>
          <t>https://life.univ-cotedazur.fr/international/imagein</t>
        </is>
      </c>
      <c r="AH7" s="26" t="inlineStr">
        <is>
          <t>Consulter le site web</t>
        </is>
      </c>
      <c r="AI7" s="28" t="inlineStr">
        <is>
          <t>Open in EEF</t>
        </is>
      </c>
    </row>
    <row r="8" ht="32.8" customHeight="1" s="19">
      <c r="A8" s="25" t="n">
        <v>7</v>
      </c>
      <c r="B8" s="25" t="inlineStr">
        <is>
          <t>★★★★★</t>
        </is>
      </c>
      <c r="C8" s="25" t="inlineStr">
        <is>
          <t>5 – Core fit (embedded/biomedical/health tech)</t>
        </is>
      </c>
      <c r="D8" s="25" t="inlineStr">
        <is>
          <t>IoT / Telecom / Networks</t>
        </is>
      </c>
      <c r="E8" s="26" t="inlineStr">
        <is>
          <t>Master Sciences, technologies, santé mention informatique parcours Internet of Things</t>
        </is>
      </c>
      <c r="F8" s="26" t="inlineStr">
        <is>
          <t>Master Science, Technology, Health (STS) – major: Computer Science – track: Internet of Things</t>
        </is>
      </c>
      <c r="G8" s="25" t="inlineStr">
        <is>
          <t>Master indifférencié (recherche et professionnel)</t>
        </is>
      </c>
      <c r="H8" s="25" t="inlineStr">
        <is>
          <t>UFR Sciences, Techniques et Gestion de l'Industrie</t>
        </is>
      </c>
      <c r="I8" s="25" t="inlineStr">
        <is>
          <t>Université Marie et Louis Pasteur</t>
        </is>
      </c>
      <c r="J8" s="25" t="inlineStr">
        <is>
          <t>Site de Montbéliard</t>
        </is>
      </c>
      <c r="K8" s="25" t="inlineStr">
        <is>
          <t>25211 MONTBELIARD CEDEX</t>
        </is>
      </c>
      <c r="L8" s="25" t="inlineStr">
        <is>
          <t>Public university</t>
        </is>
      </c>
      <c r="M8" s="25" t="inlineStr">
        <is>
          <t>English</t>
        </is>
      </c>
      <c r="N8" s="25" t="inlineStr">
        <is>
          <t>General</t>
        </is>
      </c>
      <c r="O8" s="25" t="inlineStr">
        <is>
          <t>Bac +4 / Bac +5</t>
        </is>
      </c>
      <c r="P8" s="26" t="inlineStr">
        <is>
          <t>Eligible on level (4-yr BS ≈ Bac+4)</t>
        </is>
      </c>
      <c r="Q8" s="25" t="inlineStr">
        <is>
          <t>1/2</t>
        </is>
      </c>
      <c r="R8" s="25" t="inlineStr">
        <is>
          <t>12</t>
        </is>
      </c>
      <c r="S8" s="27" t="n">
        <v>3950</v>
      </c>
      <c r="T8" s="27" t="n">
        <v>255</v>
      </c>
      <c r="U8" s="25" t="n">
        <v>2</v>
      </c>
      <c r="V8" s="27">
        <f>IF(S8="","",S8*U8)</f>
        <v/>
      </c>
      <c r="W8" s="26" t="inlineStr">
        <is>
          <t>Not in catalogue. Public national master → 2026-27 differentiated fee €3,950; exemption to ~€254-255 depends on university quota (25% cap in 2027-28).</t>
        </is>
      </c>
      <c r="X8" s="25" t="inlineStr">
        <is>
          <t>Medium</t>
        </is>
      </c>
      <c r="Y8" s="25" t="n"/>
      <c r="Z8" s="26" t="inlineStr">
        <is>
          <t>(Pour information, le montant de la CVEC, pour la rentrée 2026-2027, était de 105€) … (Pour information, le montant de la CVEC, pour la rentrée 2025-2026, était de 105€)</t>
        </is>
      </c>
      <c r="AA8" s="26" t="inlineStr">
        <is>
          <t>UMLP: individual exemption requests assessed on personal resources.</t>
        </is>
      </c>
      <c r="AB8" s="28" t="inlineStr">
        <is>
          <t>https://www.umlp.fr/sites/default/files/2026-07-02-page-droits-differencies-vf.pdf</t>
        </is>
      </c>
      <c r="AC8" s="25" t="inlineStr">
        <is>
          <t>Open</t>
        </is>
      </c>
      <c r="AD8" s="25" t="inlineStr">
        <is>
          <t>2026-10-01</t>
        </is>
      </c>
      <c r="AE8" s="25" t="inlineStr">
        <is>
          <t>2027-03-15</t>
        </is>
      </c>
      <c r="AF8" s="25" t="inlineStr">
        <is>
          <t>No</t>
        </is>
      </c>
      <c r="AG8" s="28" t="inlineStr">
        <is>
          <t>https://stgi.umlp.fr/</t>
        </is>
      </c>
      <c r="AH8" s="26" t="inlineStr">
        <is>
          <t>Le Master Internet of Things (IOT) est un Master en Informatique spécialisé dans le développement des objets communiquants. Il est attendu des candidats en M1 : Licence Informatique avec de bonnes connaissances en algori</t>
        </is>
      </c>
      <c r="AI8" s="28" t="inlineStr">
        <is>
          <t>Open in EEF</t>
        </is>
      </c>
    </row>
    <row r="9" ht="32.8" customHeight="1" s="19">
      <c r="A9" s="25" t="n">
        <v>8</v>
      </c>
      <c r="B9" s="25" t="inlineStr">
        <is>
          <t>★★★★★</t>
        </is>
      </c>
      <c r="C9" s="25" t="inlineStr">
        <is>
          <t>5 – Core fit (embedded/biomedical/health tech)</t>
        </is>
      </c>
      <c r="D9" s="25" t="inlineStr">
        <is>
          <t>Biomedical / Health tech</t>
        </is>
      </c>
      <c r="E9" s="26" t="inlineStr">
        <is>
          <t>Master indifférencié (recherche et professionnel) Sciences, technologies, santé mention Biotechnologies parcours Biomédicaments : conception et production</t>
        </is>
      </c>
      <c r="F9" s="26" t="inlineStr">
        <is>
          <t>Science, Technology, Health (STS) – major: Biotechnologies – track: Biodrugs : Design &amp; Production</t>
        </is>
      </c>
      <c r="G9" s="25" t="inlineStr">
        <is>
          <t>Master indifférencié (recherche et professionnel)</t>
        </is>
      </c>
      <c r="H9" s="25" t="inlineStr">
        <is>
          <t>Faculté de pharmacie</t>
        </is>
      </c>
      <c r="I9" s="25" t="inlineStr">
        <is>
          <t>Université de Strasbourg</t>
        </is>
      </c>
      <c r="J9" s="25" t="inlineStr">
        <is>
          <t>Site de Illkirch-Graffenstaden</t>
        </is>
      </c>
      <c r="K9" s="25" t="n"/>
      <c r="L9" s="25" t="inlineStr">
        <is>
          <t>Public university</t>
        </is>
      </c>
      <c r="M9" s="25" t="inlineStr">
        <is>
          <t>French &amp; English</t>
        </is>
      </c>
      <c r="N9" s="25" t="inlineStr">
        <is>
          <t>General</t>
        </is>
      </c>
      <c r="O9" s="25" t="inlineStr">
        <is>
          <t>Bac +4</t>
        </is>
      </c>
      <c r="P9" s="26" t="inlineStr">
        <is>
          <t>Eligible on level (4-yr BS ≈ Bac+4)</t>
        </is>
      </c>
      <c r="Q9" s="25" t="inlineStr">
        <is>
          <t>1</t>
        </is>
      </c>
      <c r="R9" s="25" t="n"/>
      <c r="S9" s="27" t="n">
        <v>3950</v>
      </c>
      <c r="T9" s="27" t="n">
        <v>255</v>
      </c>
      <c r="U9" s="25" t="n">
        <v>2</v>
      </c>
      <c r="V9" s="27">
        <f>IF(S9="","",S9*U9)</f>
        <v/>
      </c>
      <c r="W9" s="26" t="inlineStr">
        <is>
          <t>Catalogue: €3,950. = national differentiated master fee (2026-27: €3,950). Exemption to ~€255 possible (university quota).</t>
        </is>
      </c>
      <c r="X9" s="25" t="inlineStr">
        <is>
          <t>High</t>
        </is>
      </c>
      <c r="Y9" s="25" t="inlineStr">
        <is>
          <t>3950</t>
        </is>
      </c>
      <c r="Z9" s="26" t="n"/>
      <c r="AA9" s="26" t="inlineStr">
        <is>
          <t>Unistra: master entrants who did not do their licence at Unistra pay the differentiated fee (€3,950).</t>
        </is>
      </c>
      <c r="AB9" s="28" t="inlineStr">
        <is>
          <t>https://www.unistra.fr/fr/node/8168</t>
        </is>
      </c>
      <c r="AC9" s="25" t="inlineStr">
        <is>
          <t>Open</t>
        </is>
      </c>
      <c r="AD9" s="25" t="inlineStr">
        <is>
          <t>2026-10-01</t>
        </is>
      </c>
      <c r="AE9" s="25" t="inlineStr">
        <is>
          <t>2027-03-15</t>
        </is>
      </c>
      <c r="AF9" s="25" t="inlineStr">
        <is>
          <t>No</t>
        </is>
      </c>
      <c r="AG9" s="28" t="inlineStr">
        <is>
          <t>https://pharmacie.unistra.fr</t>
        </is>
      </c>
      <c r="AH9" s="26" t="inlineStr">
        <is>
          <t>Entrée en M1 avoir effectué un curus en : - biologie cellulaire et moléculaire, biochimie, - avoir des bases en chimie Entrée en M2 avoir effectué un cursus en - biologie moléculaire et cellulaire avancée, - avoir des ba</t>
        </is>
      </c>
      <c r="AI9" s="28" t="inlineStr">
        <is>
          <t>Open in EEF</t>
        </is>
      </c>
    </row>
    <row r="10" ht="32.8" customHeight="1" s="19">
      <c r="A10" s="25" t="n">
        <v>9</v>
      </c>
      <c r="B10" s="25" t="inlineStr">
        <is>
          <t>★★★★★</t>
        </is>
      </c>
      <c r="C10" s="25" t="inlineStr">
        <is>
          <t>5 – Core fit (embedded/biomedical/health tech)</t>
        </is>
      </c>
      <c r="D10" s="25" t="inlineStr">
        <is>
          <t>Biomedical / Health tech</t>
        </is>
      </c>
      <c r="E10" s="26" t="inlineStr">
        <is>
          <t>Master indifférencié (recherche et professionnel) Sciences, technologies, santé mention sciences du vivant parcours Bioinformatique et Bioimagerie Structurale</t>
        </is>
      </c>
      <c r="F10" s="26" t="inlineStr">
        <is>
          <t>Science, Technology, Health (STS) – major: Sciences of Life – track: Bioinformatics &amp; Bioimagerie Structural</t>
        </is>
      </c>
      <c r="G10" s="25" t="inlineStr">
        <is>
          <t>Master indifférencié (recherche et professionnel)</t>
        </is>
      </c>
      <c r="H10" s="25" t="inlineStr">
        <is>
          <t>Faculté des sciences de la vie</t>
        </is>
      </c>
      <c r="I10" s="25" t="inlineStr">
        <is>
          <t>Université de Strasbourg</t>
        </is>
      </c>
      <c r="J10" s="25" t="inlineStr">
        <is>
          <t>Site de Strasbourg</t>
        </is>
      </c>
      <c r="K10" s="25" t="inlineStr">
        <is>
          <t>67000 Strasbourg</t>
        </is>
      </c>
      <c r="L10" s="25" t="inlineStr">
        <is>
          <t>Public university</t>
        </is>
      </c>
      <c r="M10" s="25" t="inlineStr">
        <is>
          <t>French &amp; English</t>
        </is>
      </c>
      <c r="N10" s="25" t="inlineStr">
        <is>
          <t>General</t>
        </is>
      </c>
      <c r="O10" s="25" t="inlineStr">
        <is>
          <t>Bac +4 / Bac +5</t>
        </is>
      </c>
      <c r="P10" s="26" t="inlineStr">
        <is>
          <t>Eligible on level (4-yr BS ≈ Bac+4)</t>
        </is>
      </c>
      <c r="Q10" s="25" t="inlineStr">
        <is>
          <t>1/2</t>
        </is>
      </c>
      <c r="R10" s="25" t="n"/>
      <c r="S10" s="27" t="n">
        <v>3950</v>
      </c>
      <c r="T10" s="27" t="n">
        <v>255</v>
      </c>
      <c r="U10" s="25" t="n">
        <v>2</v>
      </c>
      <c r="V10" s="27">
        <f>IF(S10="","",S10*U10)</f>
        <v/>
      </c>
      <c r="W10" s="26" t="inlineStr">
        <is>
          <t>Catalogue: €3,950. = national differentiated master fee (2026-27: €3,950). Exemption to ~€255 possible (university quota).</t>
        </is>
      </c>
      <c r="X10" s="25" t="inlineStr">
        <is>
          <t>High</t>
        </is>
      </c>
      <c r="Y10" s="25" t="inlineStr">
        <is>
          <t>3950</t>
        </is>
      </c>
      <c r="Z10" s="26" t="n"/>
      <c r="AA10" s="26" t="inlineStr">
        <is>
          <t>Unistra: master entrants who did not do their licence at Unistra pay the differentiated fee (€3,950).</t>
        </is>
      </c>
      <c r="AB10" s="28" t="inlineStr">
        <is>
          <t>https://www.unistra.fr/fr/node/8168</t>
        </is>
      </c>
      <c r="AC10" s="25" t="inlineStr">
        <is>
          <t>Open</t>
        </is>
      </c>
      <c r="AD10" s="25" t="inlineStr">
        <is>
          <t>2026-10-01</t>
        </is>
      </c>
      <c r="AE10" s="25" t="inlineStr">
        <is>
          <t>2027-03-15</t>
        </is>
      </c>
      <c r="AF10" s="25" t="inlineStr">
        <is>
          <t>No</t>
        </is>
      </c>
      <c r="AG10" s="28" t="inlineStr">
        <is>
          <t>http://sciencesvie.unistra.fr/</t>
        </is>
      </c>
      <c r="AH10" s="26" t="inlineStr">
        <is>
          <t>M1 : Cette formation s’adresse aux étudiants désirant acquérir une formation pluridisciplinaire alliant une culture biologique à une maîtrise ou une expertise de plusieurs outils et méthodes informatiques, bioinformatiqu</t>
        </is>
      </c>
      <c r="AI10" s="28" t="inlineStr">
        <is>
          <t>Open in EEF</t>
        </is>
      </c>
    </row>
    <row r="11" ht="32.8" customHeight="1" s="19">
      <c r="A11" s="25" t="n">
        <v>10</v>
      </c>
      <c r="B11" s="25" t="inlineStr">
        <is>
          <t>★★★★★</t>
        </is>
      </c>
      <c r="C11" s="25" t="inlineStr">
        <is>
          <t>5 – Core fit (embedded/biomedical/health tech)</t>
        </is>
      </c>
      <c r="D11" s="25" t="inlineStr">
        <is>
          <t>IoT / Telecom / Networks</t>
        </is>
      </c>
      <c r="E11" s="26" t="inlineStr">
        <is>
          <t>Master indifférencié (recherche et professionnel) Sciences, technologies, santé mention Traitement du signal et des images parcours EUR Smart IoT</t>
        </is>
      </c>
      <c r="F11" s="26" t="inlineStr">
        <is>
          <t>Science, Technology, Health (STS) – major: Signal &amp; Image Processing – track: EUR Smart IoT</t>
        </is>
      </c>
      <c r="G11" s="25" t="inlineStr">
        <is>
          <t>Master indifférencié (recherche et professionnel)</t>
        </is>
      </c>
      <c r="H11" s="25" t="inlineStr">
        <is>
          <t>UFR de sciences fondamentales et appliquées - Université de Poitiers</t>
        </is>
      </c>
      <c r="I11" s="25" t="inlineStr">
        <is>
          <t>Université de Poitiers</t>
        </is>
      </c>
      <c r="J11" s="25" t="inlineStr">
        <is>
          <t>Site de Poitiers</t>
        </is>
      </c>
      <c r="K11" s="25" t="n"/>
      <c r="L11" s="25" t="inlineStr">
        <is>
          <t>Public university</t>
        </is>
      </c>
      <c r="M11" s="25" t="inlineStr">
        <is>
          <t>French &amp; English</t>
        </is>
      </c>
      <c r="N11" s="25" t="inlineStr">
        <is>
          <t>Taught in English</t>
        </is>
      </c>
      <c r="O11" s="25" t="inlineStr">
        <is>
          <t>Bac +4 / Bac +5</t>
        </is>
      </c>
      <c r="P11" s="26" t="inlineStr">
        <is>
          <t>Eligible on level (4-yr BS ≈ Bac+4)</t>
        </is>
      </c>
      <c r="Q11" s="25" t="inlineStr">
        <is>
          <t>1/2</t>
        </is>
      </c>
      <c r="R11" s="25" t="n"/>
      <c r="S11" s="27" t="n">
        <v>3950</v>
      </c>
      <c r="T11" s="27" t="n">
        <v>255</v>
      </c>
      <c r="U11" s="25" t="n">
        <v>2</v>
      </c>
      <c r="V11" s="27">
        <f>IF(S11="","",S11*U11)</f>
        <v/>
      </c>
      <c r="W11" s="26" t="inlineStr">
        <is>
          <t>Catalogue: €3,950. = national differentiated master fee (2026-27: €3,950). Exemption to ~€255 possible (university quota).</t>
        </is>
      </c>
      <c r="X11" s="25" t="inlineStr">
        <is>
          <t>High</t>
        </is>
      </c>
      <c r="Y11" s="25" t="inlineStr">
        <is>
          <t>3950</t>
        </is>
      </c>
      <c r="Z11" s="26" t="n"/>
      <c r="AA11" s="26" t="n"/>
      <c r="AB11" s="25" t="n"/>
      <c r="AC11" s="25" t="inlineStr">
        <is>
          <t>Open</t>
        </is>
      </c>
      <c r="AD11" s="25" t="inlineStr">
        <is>
          <t>2026-10-01</t>
        </is>
      </c>
      <c r="AE11" s="25" t="inlineStr">
        <is>
          <t>2027-03-15</t>
        </is>
      </c>
      <c r="AF11" s="25" t="inlineStr">
        <is>
          <t>No</t>
        </is>
      </c>
      <c r="AG11" s="28" t="inlineStr">
        <is>
          <t>https://www.unilim.fr/gradschool-ceramics-ict/formation/smart-iot/</t>
        </is>
      </c>
      <c r="AH11" s="26" t="inlineStr">
        <is>
          <t>Year 1 The admissions committee will focus in particular on the candidate’s grades in subjects related to the intended field of study and on the candidate’s ability to articulate their motivations and career goals. Minim</t>
        </is>
      </c>
      <c r="AI11" s="28" t="inlineStr">
        <is>
          <t>Open in EEF</t>
        </is>
      </c>
    </row>
    <row r="12" ht="22.35" customHeight="1" s="19">
      <c r="A12" s="25" t="n">
        <v>11</v>
      </c>
      <c r="B12" s="25" t="inlineStr">
        <is>
          <t>★★★★★</t>
        </is>
      </c>
      <c r="C12" s="25" t="inlineStr">
        <is>
          <t>5 – Core fit (embedded/biomedical/health tech)</t>
        </is>
      </c>
      <c r="D12" s="25" t="inlineStr">
        <is>
          <t>Biomedical / Health tech</t>
        </is>
      </c>
      <c r="E12" s="26" t="inlineStr">
        <is>
          <t>Master Sciences, technologies, santé, mention Ingéniérie de la santé parcours Biomatériaux et bio ingénierie pour la santé</t>
        </is>
      </c>
      <c r="F12" s="26" t="inlineStr">
        <is>
          <t>Master Science, Technology, Health (STS), – major: Engineering of the Health – track: Biomaterials &amp; bio Engineering for Health</t>
        </is>
      </c>
      <c r="G12" s="25" t="inlineStr">
        <is>
          <t>Master indifférencié (recherche et professionnel)</t>
        </is>
      </c>
      <c r="H12" s="25" t="inlineStr">
        <is>
          <t>Faculté de chirurgie dentaire</t>
        </is>
      </c>
      <c r="I12" s="25" t="inlineStr">
        <is>
          <t>Université de Strasbourg</t>
        </is>
      </c>
      <c r="J12" s="25" t="inlineStr">
        <is>
          <t>Site de Strasbourg</t>
        </is>
      </c>
      <c r="K12" s="25" t="n"/>
      <c r="L12" s="25" t="inlineStr">
        <is>
          <t>Public university</t>
        </is>
      </c>
      <c r="M12" s="25" t="inlineStr">
        <is>
          <t>French &amp; English</t>
        </is>
      </c>
      <c r="N12" s="25" t="inlineStr">
        <is>
          <t>General</t>
        </is>
      </c>
      <c r="O12" s="25" t="inlineStr">
        <is>
          <t>Bac +4 / Bac +5</t>
        </is>
      </c>
      <c r="P12" s="26" t="inlineStr">
        <is>
          <t>Eligible on level (4-yr BS ≈ Bac+4)</t>
        </is>
      </c>
      <c r="Q12" s="25" t="inlineStr">
        <is>
          <t>1/2</t>
        </is>
      </c>
      <c r="R12" s="25" t="n"/>
      <c r="S12" s="27" t="n">
        <v>3950</v>
      </c>
      <c r="T12" s="27" t="n">
        <v>255</v>
      </c>
      <c r="U12" s="25" t="n">
        <v>2</v>
      </c>
      <c r="V12" s="27">
        <f>IF(S12="","",S12*U12)</f>
        <v/>
      </c>
      <c r="W12" s="26" t="inlineStr">
        <is>
          <t>Catalogue: €3,950. = national differentiated master fee (2026-27: €3,950). Exemption to ~€255 possible (university quota).</t>
        </is>
      </c>
      <c r="X12" s="25" t="inlineStr">
        <is>
          <t>High</t>
        </is>
      </c>
      <c r="Y12" s="25" t="inlineStr">
        <is>
          <t>3950</t>
        </is>
      </c>
      <c r="Z12" s="26" t="n"/>
      <c r="AA12" s="26" t="inlineStr">
        <is>
          <t>Unistra: master entrants who did not do their licence at Unistra pay the differentiated fee (€3,950).</t>
        </is>
      </c>
      <c r="AB12" s="28" t="inlineStr">
        <is>
          <t>https://www.unistra.fr/fr/node/8168</t>
        </is>
      </c>
      <c r="AC12" s="25" t="inlineStr">
        <is>
          <t>Open</t>
        </is>
      </c>
      <c r="AD12" s="25" t="inlineStr">
        <is>
          <t>2026-10-01</t>
        </is>
      </c>
      <c r="AE12" s="25" t="inlineStr">
        <is>
          <t>2027-03-15</t>
        </is>
      </c>
      <c r="AF12" s="25" t="inlineStr">
        <is>
          <t>No</t>
        </is>
      </c>
      <c r="AG12" s="28" t="inlineStr">
        <is>
          <t>https://chirurgie-dentaire.unistra.fr/</t>
        </is>
      </c>
      <c r="AH12" s="26" t="inlineStr">
        <is>
          <t>Formation à enseignement mixte : français/anglais. Niveau de langue (anglais B1, français C1)</t>
        </is>
      </c>
      <c r="AI12" s="28" t="inlineStr">
        <is>
          <t>Open in EEF</t>
        </is>
      </c>
    </row>
    <row r="13" ht="32.8" customHeight="1" s="19">
      <c r="A13" s="25" t="n">
        <v>12</v>
      </c>
      <c r="B13" s="25" t="inlineStr">
        <is>
          <t>★★★★★</t>
        </is>
      </c>
      <c r="C13" s="25" t="inlineStr">
        <is>
          <t>5 – Core fit (embedded/biomedical/health tech)</t>
        </is>
      </c>
      <c r="D13" s="25" t="inlineStr">
        <is>
          <t>Biomedical / Health tech</t>
        </is>
      </c>
      <c r="E13" s="26" t="inlineStr">
        <is>
          <t>Master Sciences, technologies, santé, mention Ingénierie de la santé parcours Jumeaux numériques pour la santé</t>
        </is>
      </c>
      <c r="F13" s="26" t="inlineStr">
        <is>
          <t>Master Science, Technology, Health (STS), – major: Health Engineering – track: Jumeaux Digital for the Health</t>
        </is>
      </c>
      <c r="G13" s="25" t="inlineStr">
        <is>
          <t>Master indifférencié (recherche et professionnel)</t>
        </is>
      </c>
      <c r="H13" s="25" t="inlineStr">
        <is>
          <t>Université de technologie de Compiègne</t>
        </is>
      </c>
      <c r="I13" s="25" t="n"/>
      <c r="J13" s="25" t="inlineStr">
        <is>
          <t>Site de Compiègne</t>
        </is>
      </c>
      <c r="K13" s="25" t="n"/>
      <c r="L13" s="25" t="inlineStr">
        <is>
          <t>Public university</t>
        </is>
      </c>
      <c r="M13" s="25" t="inlineStr">
        <is>
          <t>French &amp; English</t>
        </is>
      </c>
      <c r="N13" s="25" t="inlineStr">
        <is>
          <t>General</t>
        </is>
      </c>
      <c r="O13" s="25" t="inlineStr">
        <is>
          <t>Bac +4 / Bac +5</t>
        </is>
      </c>
      <c r="P13" s="26" t="inlineStr">
        <is>
          <t>Eligible on level (4-yr BS ≈ Bac+4)</t>
        </is>
      </c>
      <c r="Q13" s="25" t="inlineStr">
        <is>
          <t>1/2</t>
        </is>
      </c>
      <c r="R13" s="25" t="n"/>
      <c r="S13" s="27" t="n">
        <v>3950</v>
      </c>
      <c r="T13" s="27" t="n">
        <v>255</v>
      </c>
      <c r="U13" s="25" t="n">
        <v>2</v>
      </c>
      <c r="V13" s="27">
        <f>IF(S13="","",S13*U13)</f>
        <v/>
      </c>
      <c r="W13" s="26" t="inlineStr">
        <is>
          <t>Catalogue: €3,950. = national differentiated master fee (2026-27: €3,950). Exemption to ~€255 possible (university quota).</t>
        </is>
      </c>
      <c r="X13" s="25" t="inlineStr">
        <is>
          <t>High</t>
        </is>
      </c>
      <c r="Y13" s="25" t="inlineStr">
        <is>
          <t>3950</t>
        </is>
      </c>
      <c r="Z13" s="26" t="n"/>
      <c r="AA13" s="26" t="n"/>
      <c r="AB13" s="25" t="n"/>
      <c r="AC13" s="25" t="inlineStr">
        <is>
          <t>Open</t>
        </is>
      </c>
      <c r="AD13" s="25" t="inlineStr">
        <is>
          <t>2026-10-01</t>
        </is>
      </c>
      <c r="AE13" s="25" t="inlineStr">
        <is>
          <t>2027-03-15</t>
        </is>
      </c>
      <c r="AF13" s="25" t="inlineStr">
        <is>
          <t>No</t>
        </is>
      </c>
      <c r="AG13" s="25" t="n"/>
      <c r="AH13" s="26" t="inlineStr">
        <is>
          <t>Parcours DTH Mentions de licences conseillées : Informatique Mathématiques Physique Mécanique Sciences et technologies Sciences pour l'ingénieur Attendus : Avoir des compétences en mathématiques appliquées, en mécanique</t>
        </is>
      </c>
      <c r="AI13" s="28" t="inlineStr">
        <is>
          <t>Open in EEF</t>
        </is>
      </c>
    </row>
    <row r="14" ht="32.8" customHeight="1" s="19">
      <c r="A14" s="25" t="n">
        <v>13</v>
      </c>
      <c r="B14" s="25" t="inlineStr">
        <is>
          <t>★★★★★</t>
        </is>
      </c>
      <c r="C14" s="25" t="inlineStr">
        <is>
          <t>5 – Core fit (embedded/biomedical/health tech)</t>
        </is>
      </c>
      <c r="D14" s="25" t="inlineStr">
        <is>
          <t>Biomedical / Health tech</t>
        </is>
      </c>
      <c r="E14" s="26" t="inlineStr">
        <is>
          <t>Master indifférencié (recherche et professionnel) Sciences, technologies, santé mention Electronique, énergie électrique, automatique parcours Ingénierie pour la santé</t>
        </is>
      </c>
      <c r="F14" s="26" t="inlineStr">
        <is>
          <t>Science, Technology, Health (STS) – major: Electronics, Electrical Energy &amp; Automation (EEA) – track: Engineering for Health</t>
        </is>
      </c>
      <c r="G14" s="25" t="inlineStr">
        <is>
          <t>Master indifférencié (recherche et professionnel)</t>
        </is>
      </c>
      <c r="H14" s="25" t="inlineStr">
        <is>
          <t>Sciences et Ingénierie</t>
        </is>
      </c>
      <c r="I14" s="25" t="inlineStr">
        <is>
          <t>Sorbonne Université</t>
        </is>
      </c>
      <c r="J14" s="25" t="inlineStr">
        <is>
          <t>Site de Paris</t>
        </is>
      </c>
      <c r="K14" s="25" t="n"/>
      <c r="L14" s="25" t="inlineStr">
        <is>
          <t>Public university</t>
        </is>
      </c>
      <c r="M14" s="25" t="inlineStr">
        <is>
          <t>French &amp; English</t>
        </is>
      </c>
      <c r="N14" s="25" t="inlineStr">
        <is>
          <t>General</t>
        </is>
      </c>
      <c r="O14" s="25" t="inlineStr">
        <is>
          <t>Bac +4 / Bac +5</t>
        </is>
      </c>
      <c r="P14" s="26" t="inlineStr">
        <is>
          <t>Eligible on level (4-yr BS ≈ Bac+4)</t>
        </is>
      </c>
      <c r="Q14" s="25" t="inlineStr">
        <is>
          <t>1/2</t>
        </is>
      </c>
      <c r="R14" s="25" t="n"/>
      <c r="S14" s="27" t="n">
        <v>3950</v>
      </c>
      <c r="T14" s="27" t="n">
        <v>255</v>
      </c>
      <c r="U14" s="25" t="n">
        <v>2</v>
      </c>
      <c r="V14" s="27">
        <f>IF(S14="","",S14*U14)</f>
        <v/>
      </c>
      <c r="W14" s="26" t="inlineStr">
        <is>
          <t>Not in catalogue. Public national master → 2026-27 differentiated fee €3,950; exemption to ~€254-255 depends on university quota (25% cap in 2027-28).</t>
        </is>
      </c>
      <c r="X14" s="25" t="inlineStr">
        <is>
          <t>Medium</t>
        </is>
      </c>
      <c r="Y14" s="25" t="n"/>
      <c r="Z14" s="26" t="n"/>
      <c r="AA14" s="26" t="inlineStr">
        <is>
          <t>Board vote 7 Jul 2026: Sorbonne Université says it can exempt all eligible non-EU applicants (pay same as EU, ~€254) for 2026-27.</t>
        </is>
      </c>
      <c r="AB14" s="28" t="inlineStr">
        <is>
          <t>https://www.sorbonne-universite.fr/actualites/le-conseil-dadministration-de-sorbonne-universite-vote-lunanimite-le-7-juillet-2026-sa</t>
        </is>
      </c>
      <c r="AC14" s="25" t="inlineStr">
        <is>
          <t>Open</t>
        </is>
      </c>
      <c r="AD14" s="25" t="inlineStr">
        <is>
          <t>2026-10-01</t>
        </is>
      </c>
      <c r="AE14" s="25" t="inlineStr">
        <is>
          <t>2027-03-15</t>
        </is>
      </c>
      <c r="AF14" s="25" t="inlineStr">
        <is>
          <t>No</t>
        </is>
      </c>
      <c r="AG14" s="28" t="inlineStr">
        <is>
          <t>https://masters-sdi.sorbonne-universite.fr/electronique-energie-electrique-automatique</t>
        </is>
      </c>
      <c r="AH14" s="26" t="n"/>
      <c r="AI14" s="28" t="inlineStr">
        <is>
          <t>Open in EEF</t>
        </is>
      </c>
    </row>
    <row r="15" ht="43.25" customHeight="1" s="19">
      <c r="A15" s="25" t="n">
        <v>14</v>
      </c>
      <c r="B15" s="25" t="inlineStr">
        <is>
          <t>★★★★★</t>
        </is>
      </c>
      <c r="C15" s="25" t="inlineStr">
        <is>
          <t>5 – Core fit (embedded/biomedical/health tech)</t>
        </is>
      </c>
      <c r="D15" s="25" t="inlineStr">
        <is>
          <t>Embedded systems / Electronics</t>
        </is>
      </c>
      <c r="E15" s="26" t="inlineStr">
        <is>
          <t>Master indifférencié (recherche et professionnel) Sciences, technologies, santé mention Electronique, énergie électrique, automatique parcours Microélectronique Intégration des Systèmes Temps Réels et Embarqués (EEA MISTRE)</t>
        </is>
      </c>
      <c r="F15" s="26" t="inlineStr">
        <is>
          <t>Science, Technology, Health (STS) – major: Electronics, Electrical Energy &amp; Automation (EEA) – track: Microelectronics Integration of Systems Real-Times &amp; Embedded (EEA MISTRE)</t>
        </is>
      </c>
      <c r="G15" s="25" t="inlineStr">
        <is>
          <t>Master indifférencié (recherche et professionnel)</t>
        </is>
      </c>
      <c r="H15" s="25" t="inlineStr">
        <is>
          <t>UFR de Physique, ingénierie, terre, environnement, mécanique</t>
        </is>
      </c>
      <c r="I15" s="25" t="inlineStr">
        <is>
          <t>Université de Grenoble Alpes</t>
        </is>
      </c>
      <c r="J15" s="25" t="inlineStr">
        <is>
          <t>Site de Grenoble - Polygone scientifique - GreEn-ER</t>
        </is>
      </c>
      <c r="K15" s="25" t="n"/>
      <c r="L15" s="25" t="inlineStr">
        <is>
          <t>Public university</t>
        </is>
      </c>
      <c r="M15" s="25" t="inlineStr">
        <is>
          <t>French &amp; English</t>
        </is>
      </c>
      <c r="N15" s="25" t="inlineStr">
        <is>
          <t>General</t>
        </is>
      </c>
      <c r="O15" s="25" t="inlineStr">
        <is>
          <t>Bac +4 / Bac +5</t>
        </is>
      </c>
      <c r="P15" s="26" t="inlineStr">
        <is>
          <t>Eligible on level (4-yr BS ≈ Bac+4)</t>
        </is>
      </c>
      <c r="Q15" s="25" t="inlineStr">
        <is>
          <t>1/2</t>
        </is>
      </c>
      <c r="R15" s="25" t="n"/>
      <c r="S15" s="27" t="n">
        <v>3950</v>
      </c>
      <c r="T15" s="27" t="n">
        <v>255</v>
      </c>
      <c r="U15" s="25" t="n">
        <v>2</v>
      </c>
      <c r="V15" s="27">
        <f>IF(S15="","",S15*U15)</f>
        <v/>
      </c>
      <c r="W15" s="26" t="inlineStr">
        <is>
          <t>Not in catalogue. Public national master → 2026-27 differentiated fee €3,950; exemption to ~€254-255 depends on university quota (25% cap in 2027-28).</t>
        </is>
      </c>
      <c r="X15" s="25" t="inlineStr">
        <is>
          <t>Medium</t>
        </is>
      </c>
      <c r="Y15" s="25" t="n"/>
      <c r="Z15" s="26" t="n"/>
      <c r="AA15" s="26" t="inlineStr">
        <is>
          <t>UGA (incl. Grenoble INP masters): 2026-27 broad exemptions on request (pay national €254). From 2027-28 the decree caps apply; exemptions based on resources.</t>
        </is>
      </c>
      <c r="AB15" s="28" t="inlineStr">
        <is>
          <t>https://www.univ-grenoble-alpes.fr/actualites/a-la-une/actualites-universite/etudiants-internationaux-ce-que-change-le-nouveau-decret-sur-les-droits-d-inscription-a-l-uga-1775870.kjsp</t>
        </is>
      </c>
      <c r="AC15" s="25" t="inlineStr">
        <is>
          <t>Open</t>
        </is>
      </c>
      <c r="AD15" s="25" t="inlineStr">
        <is>
          <t>2026-10-01</t>
        </is>
      </c>
      <c r="AE15" s="25" t="inlineStr">
        <is>
          <t>2027-03-15</t>
        </is>
      </c>
      <c r="AF15" s="25" t="inlineStr">
        <is>
          <t>No</t>
        </is>
      </c>
      <c r="AG15" s="28" t="inlineStr">
        <is>
          <t>https://formations.univ-grenoble-alpes.fr/fr/catalogue-2021/master-XB/master-electronique-energie-electrique-automatique-IFZ3DRB9/parcours-microelectronique-integration-des-systemes-temps-reels-embarques-mistre-1re-et-2e-annees-IFZ5TP7C.html</t>
        </is>
      </c>
      <c r="AH15" s="26" t="inlineStr">
        <is>
          <t>Master 1 : - Les candidats titulaires d'un diplôme de BAC+5 au moment de la candidature ne seront pas admis en master 1. Seules les candidatures de BAC+3 ou BAC+4 seront considérées. - Prérequis : Electronique, automatiq</t>
        </is>
      </c>
      <c r="AI15" s="28" t="inlineStr">
        <is>
          <t>Open in EEF</t>
        </is>
      </c>
    </row>
    <row r="16" ht="32.8" customHeight="1" s="19">
      <c r="A16" s="25" t="n">
        <v>15</v>
      </c>
      <c r="B16" s="25" t="inlineStr">
        <is>
          <t>★★★★★</t>
        </is>
      </c>
      <c r="C16" s="25" t="inlineStr">
        <is>
          <t>5 – Core fit (embedded/biomedical/health tech)</t>
        </is>
      </c>
      <c r="D16" s="25" t="inlineStr">
        <is>
          <t>Embedded systems / Electronics</t>
        </is>
      </c>
      <c r="E16" s="26" t="inlineStr">
        <is>
          <t>Master indifférencié (recherche et professionnel) Sciences, technologies, santé mention Electronique, énergie électrique, automatique parcours Systèmes Communicants</t>
        </is>
      </c>
      <c r="F16" s="26" t="inlineStr">
        <is>
          <t>Science, Technology, Health (STS) – major: Electronics, Electrical Energy &amp; Automation (EEA) – track: Systems Communicating</t>
        </is>
      </c>
      <c r="G16" s="25" t="inlineStr">
        <is>
          <t>Master indifférencié (recherche et professionnel)</t>
        </is>
      </c>
      <c r="H16" s="25" t="inlineStr">
        <is>
          <t>Sciences et Ingénierie</t>
        </is>
      </c>
      <c r="I16" s="25" t="inlineStr">
        <is>
          <t>Sorbonne Université</t>
        </is>
      </c>
      <c r="J16" s="25" t="inlineStr">
        <is>
          <t>Site de Paris</t>
        </is>
      </c>
      <c r="K16" s="25" t="n"/>
      <c r="L16" s="25" t="inlineStr">
        <is>
          <t>Public university</t>
        </is>
      </c>
      <c r="M16" s="25" t="inlineStr">
        <is>
          <t>French &amp; English</t>
        </is>
      </c>
      <c r="N16" s="25" t="inlineStr">
        <is>
          <t>General</t>
        </is>
      </c>
      <c r="O16" s="25" t="inlineStr">
        <is>
          <t>Bac +4 / Bac +5</t>
        </is>
      </c>
      <c r="P16" s="26" t="inlineStr">
        <is>
          <t>Eligible on level (4-yr BS ≈ Bac+4)</t>
        </is>
      </c>
      <c r="Q16" s="25" t="inlineStr">
        <is>
          <t>1/2</t>
        </is>
      </c>
      <c r="R16" s="25" t="n"/>
      <c r="S16" s="27" t="n">
        <v>3950</v>
      </c>
      <c r="T16" s="27" t="n">
        <v>255</v>
      </c>
      <c r="U16" s="25" t="n">
        <v>2</v>
      </c>
      <c r="V16" s="27">
        <f>IF(S16="","",S16*U16)</f>
        <v/>
      </c>
      <c r="W16" s="26" t="inlineStr">
        <is>
          <t>Not in catalogue. Public national master → 2026-27 differentiated fee €3,950; exemption to ~€254-255 depends on university quota (25% cap in 2027-28).</t>
        </is>
      </c>
      <c r="X16" s="25" t="inlineStr">
        <is>
          <t>Medium</t>
        </is>
      </c>
      <c r="Y16" s="25" t="n"/>
      <c r="Z16" s="26" t="n"/>
      <c r="AA16" s="26" t="inlineStr">
        <is>
          <t>Board vote 7 Jul 2026: Sorbonne Université says it can exempt all eligible non-EU applicants (pay same as EU, ~€254) for 2026-27.</t>
        </is>
      </c>
      <c r="AB16" s="28" t="inlineStr">
        <is>
          <t>https://www.sorbonne-universite.fr/actualites/le-conseil-dadministration-de-sorbonne-universite-vote-lunanimite-le-7-juillet-2026-sa</t>
        </is>
      </c>
      <c r="AC16" s="25" t="inlineStr">
        <is>
          <t>Open</t>
        </is>
      </c>
      <c r="AD16" s="25" t="inlineStr">
        <is>
          <t>2026-10-01</t>
        </is>
      </c>
      <c r="AE16" s="25" t="inlineStr">
        <is>
          <t>2027-03-15</t>
        </is>
      </c>
      <c r="AF16" s="25" t="inlineStr">
        <is>
          <t>No</t>
        </is>
      </c>
      <c r="AG16" s="28" t="inlineStr">
        <is>
          <t>https://masters-sdi.sorbonne-universite.fr/electronique-energie-electrique-automatique</t>
        </is>
      </c>
      <c r="AH16" s="26" t="n"/>
      <c r="AI16" s="28" t="inlineStr">
        <is>
          <t>Open in EEF</t>
        </is>
      </c>
    </row>
    <row r="17" ht="32.8" customHeight="1" s="19">
      <c r="A17" s="25" t="n">
        <v>16</v>
      </c>
      <c r="B17" s="25" t="inlineStr">
        <is>
          <t>★★★★★</t>
        </is>
      </c>
      <c r="C17" s="25" t="inlineStr">
        <is>
          <t>5 – Core fit (embedded/biomedical/health tech)</t>
        </is>
      </c>
      <c r="D17" s="25" t="inlineStr">
        <is>
          <t>Biomedical / Health tech</t>
        </is>
      </c>
      <c r="E17" s="26" t="inlineStr">
        <is>
          <t>Master Sciences de la santé mention Ingénierie de la santé</t>
        </is>
      </c>
      <c r="F17" s="26" t="inlineStr">
        <is>
          <t>Master Sciences of the Health – major: Health Engineering</t>
        </is>
      </c>
      <c r="G17" s="25" t="inlineStr">
        <is>
          <t>Master indifférencié (recherche et professionnel)</t>
        </is>
      </c>
      <c r="H17" s="25" t="inlineStr">
        <is>
          <t>UFR des Sciences Fondamentales et Biomédicales</t>
        </is>
      </c>
      <c r="I17" s="25" t="inlineStr">
        <is>
          <t>Université Paris Cité</t>
        </is>
      </c>
      <c r="J17" s="25" t="inlineStr">
        <is>
          <t>Site de Paris</t>
        </is>
      </c>
      <c r="K17" s="25" t="inlineStr">
        <is>
          <t>75006 Paris</t>
        </is>
      </c>
      <c r="L17" s="25" t="inlineStr">
        <is>
          <t>Public university</t>
        </is>
      </c>
      <c r="M17" s="25" t="inlineStr">
        <is>
          <t>French &amp; English</t>
        </is>
      </c>
      <c r="N17" s="25" t="inlineStr">
        <is>
          <t>General</t>
        </is>
      </c>
      <c r="O17" s="25" t="inlineStr">
        <is>
          <t>Bac +4</t>
        </is>
      </c>
      <c r="P17" s="26" t="inlineStr">
        <is>
          <t>Eligible on level (4-yr BS ≈ Bac+4)</t>
        </is>
      </c>
      <c r="Q17" s="25" t="inlineStr">
        <is>
          <t>1</t>
        </is>
      </c>
      <c r="R17" s="25" t="n"/>
      <c r="S17" s="27" t="n">
        <v>3950</v>
      </c>
      <c r="T17" s="27" t="n">
        <v>255</v>
      </c>
      <c r="U17" s="25" t="n">
        <v>2</v>
      </c>
      <c r="V17" s="27">
        <f>IF(S17="","",S17*U17)</f>
        <v/>
      </c>
      <c r="W17" s="26" t="inlineStr">
        <is>
          <t>Not in catalogue. Public national master → 2026-27 differentiated fee €3,950; exemption to ~€254-255 depends on university quota (25% cap in 2027-28).</t>
        </is>
      </c>
      <c r="X17" s="25" t="inlineStr">
        <is>
          <t>Medium</t>
        </is>
      </c>
      <c r="Y17" s="25" t="n"/>
      <c r="Z17" s="26" t="n"/>
      <c r="AA17" s="26" t="inlineStr">
        <is>
          <t>Paris Cité historically exempted non-EU master students (paid EU rate). 2026-27/2027-28 policy not yet published – confirm.</t>
        </is>
      </c>
      <c r="AB17" s="28" t="inlineStr">
        <is>
          <t>https://u-paris.fr/droits-dinscription-tarifs-exonerations/</t>
        </is>
      </c>
      <c r="AC17" s="25" t="inlineStr">
        <is>
          <t>Open</t>
        </is>
      </c>
      <c r="AD17" s="25" t="inlineStr">
        <is>
          <t>2026-10-01</t>
        </is>
      </c>
      <c r="AE17" s="25" t="inlineStr">
        <is>
          <t>2027-03-15</t>
        </is>
      </c>
      <c r="AF17" s="25" t="inlineStr">
        <is>
          <t>Yes</t>
        </is>
      </c>
      <c r="AG17" s="28" t="inlineStr">
        <is>
          <t>https://odf.u-paris.fr/fr/offre-de-formation/master-XB/sciences-technologies-sante-STS/ingenierie-de-la-sante-K2NDJ7KW.html</t>
        </is>
      </c>
      <c r="AH17" s="26" t="inlineStr">
        <is>
          <t>All courses are taught in English, so candidates must demonstrate a perfect command of English (C1 level certificate required) with no French prerequisites for non-French speaking students. Candidates must: - excel in th</t>
        </is>
      </c>
      <c r="AI17" s="28" t="inlineStr">
        <is>
          <t>Open in EEF</t>
        </is>
      </c>
    </row>
    <row r="18" ht="32.8" customHeight="1" s="19">
      <c r="A18" s="25" t="n">
        <v>17</v>
      </c>
      <c r="B18" s="25" t="inlineStr">
        <is>
          <t>★★★★★</t>
        </is>
      </c>
      <c r="C18" s="25" t="inlineStr">
        <is>
          <t>5 – Core fit (embedded/biomedical/health tech)</t>
        </is>
      </c>
      <c r="D18" s="25" t="inlineStr">
        <is>
          <t>Cybersecurity</t>
        </is>
      </c>
      <c r="E18" s="26" t="inlineStr">
        <is>
          <t>Master of science Cyber-Physical Social Systems</t>
        </is>
      </c>
      <c r="F18" s="26" t="inlineStr">
        <is>
          <t>Master of science Cyber-Physical Social Systems</t>
        </is>
      </c>
      <c r="G18" s="25" t="inlineStr">
        <is>
          <t>Master of Science (MSc)</t>
        </is>
      </c>
      <c r="H18" s="25" t="inlineStr">
        <is>
          <t>Ecole nationale supérieure des mines de Saint-Etienne</t>
        </is>
      </c>
      <c r="I18" s="25" t="n"/>
      <c r="J18" s="25" t="inlineStr">
        <is>
          <t>Site de Saint-Etienne</t>
        </is>
      </c>
      <c r="K18" s="25" t="n"/>
      <c r="L18" s="25" t="inlineStr">
        <is>
          <t>Public school / institute</t>
        </is>
      </c>
      <c r="M18" s="25" t="inlineStr">
        <is>
          <t>English</t>
        </is>
      </c>
      <c r="N18" s="25" t="inlineStr">
        <is>
          <t>Taught in English</t>
        </is>
      </c>
      <c r="O18" s="25" t="inlineStr">
        <is>
          <t>Bac +4</t>
        </is>
      </c>
      <c r="P18" s="26" t="inlineStr">
        <is>
          <t>Eligible on level (4-yr BS ≈ Bac+4)</t>
        </is>
      </c>
      <c r="Q18" s="25" t="inlineStr">
        <is>
          <t>1</t>
        </is>
      </c>
      <c r="R18" s="25" t="inlineStr">
        <is>
          <t>24</t>
        </is>
      </c>
      <c r="S18" s="27" t="n">
        <v>4150</v>
      </c>
      <c r="T18" s="27" t="n"/>
      <c r="U18" s="25" t="n">
        <v>2</v>
      </c>
      <c r="V18" s="27">
        <f>IF(S18="","",S18*U18)</f>
        <v/>
      </c>
      <c r="W18" s="26" t="inlineStr">
        <is>
          <t>Not in catalogue. Mastersportal lists €4,150/yr for Mines Saint-Étienne MSc (verify with school).</t>
        </is>
      </c>
      <c r="X18" s="25" t="inlineStr">
        <is>
          <t>Low</t>
        </is>
      </c>
      <c r="Y18" s="25" t="n"/>
      <c r="Z18" s="26" t="n"/>
      <c r="AA18" s="26" t="n"/>
      <c r="AB18" s="25" t="n"/>
      <c r="AC18" s="25" t="inlineStr">
        <is>
          <t>Open</t>
        </is>
      </c>
      <c r="AD18" s="25" t="inlineStr">
        <is>
          <t>2026-10-01</t>
        </is>
      </c>
      <c r="AE18" s="25" t="inlineStr">
        <is>
          <t>2027-03-15</t>
        </is>
      </c>
      <c r="AF18" s="25" t="inlineStr">
        <is>
          <t>Yes</t>
        </is>
      </c>
      <c r="AG18" s="28" t="inlineStr">
        <is>
          <t>https://www.mines-stetienne.fr/en/academic/msc-cyber-physical-social-systems-cps2/</t>
        </is>
      </c>
      <c r="AH18" s="26" t="inlineStr">
        <is>
          <t>Applicants with at least a Bachelor degree level (180 ECTS) or M1 degree level (240 ECTS) in computer science or equivalent are invited to apply. A good command of English is mandatory. International students’ applicatio</t>
        </is>
      </c>
      <c r="AI18" s="28" t="inlineStr">
        <is>
          <t>Open in EEF</t>
        </is>
      </c>
    </row>
    <row r="19" ht="15" customHeight="1" s="19">
      <c r="A19" s="25" t="n">
        <v>18</v>
      </c>
      <c r="B19" s="25" t="inlineStr">
        <is>
          <t>★★★★★</t>
        </is>
      </c>
      <c r="C19" s="25" t="inlineStr">
        <is>
          <t>5 – Core fit (embedded/biomedical/health tech)</t>
        </is>
      </c>
      <c r="D19" s="25" t="inlineStr">
        <is>
          <t>Biomedical / Health tech</t>
        </is>
      </c>
      <c r="E19" s="26" t="inlineStr">
        <is>
          <t>Master BioMedical Engineering</t>
        </is>
      </c>
      <c r="F19" s="26" t="inlineStr">
        <is>
          <t>Master BioMedical Engineering</t>
        </is>
      </c>
      <c r="G19" s="25" t="inlineStr">
        <is>
          <t>Master indifférencié (recherche et professionnel)</t>
        </is>
      </c>
      <c r="H19" s="25" t="inlineStr">
        <is>
          <t>Institut Supérieur d'Ingénieurs de Franche-Comté</t>
        </is>
      </c>
      <c r="I19" s="25" t="inlineStr">
        <is>
          <t>Université Marie et Louis Pasteur</t>
        </is>
      </c>
      <c r="J19" s="25" t="inlineStr">
        <is>
          <t>Site de Besançon</t>
        </is>
      </c>
      <c r="K19" s="25" t="n"/>
      <c r="L19" s="25" t="inlineStr">
        <is>
          <t>Public school / institute</t>
        </is>
      </c>
      <c r="M19" s="25" t="inlineStr">
        <is>
          <t>English</t>
        </is>
      </c>
      <c r="N19" s="25" t="inlineStr">
        <is>
          <t>General</t>
        </is>
      </c>
      <c r="O19" s="25" t="inlineStr">
        <is>
          <t>Bac +4 / Bac +5</t>
        </is>
      </c>
      <c r="P19" s="26" t="inlineStr">
        <is>
          <t>Eligible on level (4-yr BS ≈ Bac+4)</t>
        </is>
      </c>
      <c r="Q19" s="25" t="inlineStr">
        <is>
          <t>1/2</t>
        </is>
      </c>
      <c r="R19" s="25" t="n"/>
      <c r="S19" s="27" t="n">
        <v>5000</v>
      </c>
      <c r="T19" s="27" t="n"/>
      <c r="U19" s="25" t="n">
        <v>2</v>
      </c>
      <c r="V19" s="27">
        <f>IF(S19="","",S19*U19)</f>
        <v/>
      </c>
      <c r="W19" s="26" t="inlineStr">
        <is>
          <t>Catalogue fee €5,000/yr (entered by institution).</t>
        </is>
      </c>
      <c r="X19" s="25" t="inlineStr">
        <is>
          <t>High</t>
        </is>
      </c>
      <c r="Y19" s="25" t="inlineStr">
        <is>
          <t>5000</t>
        </is>
      </c>
      <c r="Z19" s="26" t="n"/>
      <c r="AA19" s="26" t="inlineStr">
        <is>
          <t>UMLP: individual exemption requests assessed on personal resources.</t>
        </is>
      </c>
      <c r="AB19" s="28" t="inlineStr">
        <is>
          <t>https://www.umlp.fr/sites/default/files/2026-07-02-page-droits-differencies-vf.pdf</t>
        </is>
      </c>
      <c r="AC19" s="25" t="inlineStr">
        <is>
          <t>Open</t>
        </is>
      </c>
      <c r="AD19" s="25" t="inlineStr">
        <is>
          <t>2026-10-01</t>
        </is>
      </c>
      <c r="AE19" s="25" t="inlineStr">
        <is>
          <t>2027-03-15</t>
        </is>
      </c>
      <c r="AF19" s="25" t="inlineStr">
        <is>
          <t>Yes</t>
        </is>
      </c>
      <c r="AG19" s="28" t="inlineStr">
        <is>
          <t>http://isifc.univ-fcomte.fr</t>
        </is>
      </c>
      <c r="AH19" s="26" t="n"/>
      <c r="AI19" s="28" t="inlineStr">
        <is>
          <t>Open in EEF</t>
        </is>
      </c>
    </row>
    <row r="20" ht="15" customHeight="1" s="19">
      <c r="A20" s="25" t="n">
        <v>19</v>
      </c>
      <c r="B20" s="25" t="inlineStr">
        <is>
          <t>★★★★★</t>
        </is>
      </c>
      <c r="C20" s="25" t="inlineStr">
        <is>
          <t>5 – Core fit (embedded/biomedical/health tech)</t>
        </is>
      </c>
      <c r="D20" s="25" t="inlineStr">
        <is>
          <t>Embedded systems / Electronics</t>
        </is>
      </c>
      <c r="E20" s="26" t="inlineStr">
        <is>
          <t>MSc. "Connected Embedded Intelligent Systems"</t>
        </is>
      </c>
      <c r="F20" s="26" t="inlineStr">
        <is>
          <t>MSc. "Connected Embedded Intelligent Systems"</t>
        </is>
      </c>
      <c r="G20" s="25" t="inlineStr">
        <is>
          <t>Mastère en sciences (MSc)</t>
        </is>
      </c>
      <c r="H20" s="25" t="inlineStr">
        <is>
          <t>Ecole supérieure d'ingénieurs en génie électrique</t>
        </is>
      </c>
      <c r="I20" s="25" t="n"/>
      <c r="J20" s="25" t="inlineStr">
        <is>
          <t>Site de Saint-Etienne-du-Rouvray</t>
        </is>
      </c>
      <c r="K20" s="25" t="n"/>
      <c r="L20" s="25" t="inlineStr">
        <is>
          <t>Private / EESPIG</t>
        </is>
      </c>
      <c r="M20" s="25" t="inlineStr">
        <is>
          <t>English</t>
        </is>
      </c>
      <c r="N20" s="25" t="inlineStr">
        <is>
          <t>General</t>
        </is>
      </c>
      <c r="O20" s="25" t="inlineStr">
        <is>
          <t>Bac +3 / Bac +4</t>
        </is>
      </c>
      <c r="P20" s="26" t="inlineStr">
        <is>
          <t>Eligible on level (4-yr BS ≈ Bac+4)</t>
        </is>
      </c>
      <c r="Q20" s="25" t="inlineStr">
        <is>
          <t>1/2</t>
        </is>
      </c>
      <c r="R20" s="25" t="n"/>
      <c r="S20" s="27" t="n">
        <v>6100</v>
      </c>
      <c r="T20" s="27" t="n"/>
      <c r="U20" s="25" t="n">
        <v>2</v>
      </c>
      <c r="V20" s="27">
        <f>IF(S20="","",S20*U20)</f>
        <v/>
      </c>
      <c r="W20" s="26" t="inlineStr">
        <is>
          <t>Catalogue fee €6,100/yr (entered by institution).</t>
        </is>
      </c>
      <c r="X20" s="25" t="inlineStr">
        <is>
          <t>High</t>
        </is>
      </c>
      <c r="Y20" s="25" t="inlineStr">
        <is>
          <t>6100</t>
        </is>
      </c>
      <c r="Z20" s="26" t="n"/>
      <c r="AA20" s="26" t="n"/>
      <c r="AB20" s="25" t="n"/>
      <c r="AC20" s="25" t="inlineStr">
        <is>
          <t>Open</t>
        </is>
      </c>
      <c r="AD20" s="25" t="inlineStr">
        <is>
          <t>2026-10-01</t>
        </is>
      </c>
      <c r="AE20" s="25" t="inlineStr">
        <is>
          <t>2027-03-15</t>
        </is>
      </c>
      <c r="AF20" s="25" t="inlineStr">
        <is>
          <t>Yes</t>
        </is>
      </c>
      <c r="AG20" s="28" t="inlineStr">
        <is>
          <t>http://www.esigelec.fr</t>
        </is>
      </c>
      <c r="AH20" s="26" t="inlineStr">
        <is>
          <t>Merci de contacter directement vidya.suresh@esigelec.fr</t>
        </is>
      </c>
      <c r="AI20" s="28" t="inlineStr">
        <is>
          <t>Open in EEF</t>
        </is>
      </c>
    </row>
    <row r="21" ht="32.8" customHeight="1" s="19">
      <c r="A21" s="25" t="n">
        <v>20</v>
      </c>
      <c r="B21" s="25" t="inlineStr">
        <is>
          <t>★★★★★</t>
        </is>
      </c>
      <c r="C21" s="25" t="inlineStr">
        <is>
          <t>5 – Core fit (embedded/biomedical/health tech)</t>
        </is>
      </c>
      <c r="D21" s="25" t="inlineStr">
        <is>
          <t>Embedded systems / Electronics</t>
        </is>
      </c>
      <c r="E21" s="26" t="inlineStr">
        <is>
          <t>Master indifférencié (recherche et professionnel) MSc in Information Technology (IT), track in Embedded AI (EMBAI)</t>
        </is>
      </c>
      <c r="F21" s="26" t="inlineStr">
        <is>
          <t>MSc in Information Technology (IT), track in Embedded AI (EMBAI)</t>
        </is>
      </c>
      <c r="G21" s="25" t="inlineStr">
        <is>
          <t>Master indifférencié (recherche et professionnel)</t>
        </is>
      </c>
      <c r="H21" s="25" t="inlineStr">
        <is>
          <t>IMT Atlantique</t>
        </is>
      </c>
      <c r="I21" s="25" t="inlineStr">
        <is>
          <t>IMT Atlantique</t>
        </is>
      </c>
      <c r="J21" s="25" t="inlineStr">
        <is>
          <t>Campus de Brest</t>
        </is>
      </c>
      <c r="K21" s="25" t="inlineStr">
        <is>
          <t>83818</t>
        </is>
      </c>
      <c r="L21" s="25" t="inlineStr">
        <is>
          <t>Public school / institute</t>
        </is>
      </c>
      <c r="M21" s="25" t="inlineStr">
        <is>
          <t>English</t>
        </is>
      </c>
      <c r="N21" s="25" t="inlineStr">
        <is>
          <t>Taught in English</t>
        </is>
      </c>
      <c r="O21" s="25" t="inlineStr">
        <is>
          <t>Bac +4</t>
        </is>
      </c>
      <c r="P21" s="26" t="inlineStr">
        <is>
          <t>Eligible on level (4-yr BS ≈ Bac+4)</t>
        </is>
      </c>
      <c r="Q21" s="25" t="inlineStr">
        <is>
          <t>1</t>
        </is>
      </c>
      <c r="R21" s="25" t="n"/>
      <c r="S21" s="27" t="n">
        <v>6500</v>
      </c>
      <c r="T21" s="27" t="n"/>
      <c r="U21" s="25" t="n">
        <v>2</v>
      </c>
      <c r="V21" s="27">
        <f>IF(S21="","",S21*U21)</f>
        <v/>
      </c>
      <c r="W21" s="26" t="inlineStr">
        <is>
          <t>Catalogue fee €6,500/yr (entered by institution).</t>
        </is>
      </c>
      <c r="X21" s="25" t="inlineStr">
        <is>
          <t>High</t>
        </is>
      </c>
      <c r="Y21" s="25" t="inlineStr">
        <is>
          <t>6500</t>
        </is>
      </c>
      <c r="Z21" s="26" t="n"/>
      <c r="AA21" s="26" t="n"/>
      <c r="AB21" s="25" t="n"/>
      <c r="AC21" s="25" t="inlineStr">
        <is>
          <t>Open</t>
        </is>
      </c>
      <c r="AD21" s="25" t="inlineStr">
        <is>
          <t>2026-10-01</t>
        </is>
      </c>
      <c r="AE21" s="25" t="inlineStr">
        <is>
          <t>2027-03-15</t>
        </is>
      </c>
      <c r="AF21" s="25" t="inlineStr">
        <is>
          <t>Yes</t>
        </is>
      </c>
      <c r="AG21" s="28" t="inlineStr">
        <is>
          <t>https://www.imt-atlantique.fr/en/study/masters/msc/it-embedded-ai</t>
        </is>
      </c>
      <c r="AH21" s="26" t="inlineStr">
        <is>
          <t>100% taught in English Admission This program is aimed at graduates with a Bachelor of Science or equivalent degree obtained after 4 years' higher education in fields such as Computer Science, Electronics, Telecommunicat</t>
        </is>
      </c>
      <c r="AI21" s="28" t="inlineStr">
        <is>
          <t>Open in EEF</t>
        </is>
      </c>
    </row>
    <row r="22" ht="32.8" customHeight="1" s="19">
      <c r="A22" s="25" t="n">
        <v>21</v>
      </c>
      <c r="B22" s="25" t="inlineStr">
        <is>
          <t>★★★★★</t>
        </is>
      </c>
      <c r="C22" s="25" t="inlineStr">
        <is>
          <t>5 – Core fit (embedded/biomedical/health tech)</t>
        </is>
      </c>
      <c r="D22" s="25" t="inlineStr">
        <is>
          <t>IoT / Telecom / Networks</t>
        </is>
      </c>
      <c r="E22" s="26" t="inlineStr">
        <is>
          <t>Master of Science in Information technology (IT), track in Next-generation Networks for Agentic systems and IoT (NETAI)</t>
        </is>
      </c>
      <c r="F22" s="26" t="inlineStr">
        <is>
          <t>Master of Science in Information technology (IT), track in Next-generation Networks for Agentic systems and IoT (NETAI)</t>
        </is>
      </c>
      <c r="G22" s="25" t="inlineStr">
        <is>
          <t>Master indifférencié (recherche et professionnel)</t>
        </is>
      </c>
      <c r="H22" s="25" t="inlineStr">
        <is>
          <t>IMT Atlantique</t>
        </is>
      </c>
      <c r="I22" s="25" t="inlineStr">
        <is>
          <t>IMT Atlantique</t>
        </is>
      </c>
      <c r="J22" s="25" t="inlineStr">
        <is>
          <t>Campus de Rennes</t>
        </is>
      </c>
      <c r="K22" s="25" t="n"/>
      <c r="L22" s="25" t="inlineStr">
        <is>
          <t>Public school / institute</t>
        </is>
      </c>
      <c r="M22" s="25" t="inlineStr">
        <is>
          <t>English</t>
        </is>
      </c>
      <c r="N22" s="25" t="inlineStr">
        <is>
          <t>Taught in English</t>
        </is>
      </c>
      <c r="O22" s="25" t="inlineStr">
        <is>
          <t>Bac +4 / Bac +5</t>
        </is>
      </c>
      <c r="P22" s="26" t="inlineStr">
        <is>
          <t>Eligible on level (4-yr BS ≈ Bac+4)</t>
        </is>
      </c>
      <c r="Q22" s="25" t="inlineStr">
        <is>
          <t>1/2</t>
        </is>
      </c>
      <c r="R22" s="25" t="n"/>
      <c r="S22" s="27" t="n">
        <v>6500</v>
      </c>
      <c r="T22" s="27" t="n"/>
      <c r="U22" s="25" t="n">
        <v>2</v>
      </c>
      <c r="V22" s="27">
        <f>IF(S22="","",S22*U22)</f>
        <v/>
      </c>
      <c r="W22" s="26" t="inlineStr">
        <is>
          <t>Catalogue fee €6,500/yr (entered by institution).</t>
        </is>
      </c>
      <c r="X22" s="25" t="inlineStr">
        <is>
          <t>High</t>
        </is>
      </c>
      <c r="Y22" s="25" t="inlineStr">
        <is>
          <t>6500</t>
        </is>
      </c>
      <c r="Z22" s="26" t="n"/>
      <c r="AA22" s="26" t="n"/>
      <c r="AB22" s="25" t="n"/>
      <c r="AC22" s="25" t="inlineStr">
        <is>
          <t>Open</t>
        </is>
      </c>
      <c r="AD22" s="25" t="inlineStr">
        <is>
          <t>2026-10-01</t>
        </is>
      </c>
      <c r="AE22" s="25" t="inlineStr">
        <is>
          <t>2027-03-15</t>
        </is>
      </c>
      <c r="AF22" s="25" t="inlineStr">
        <is>
          <t>Yes</t>
        </is>
      </c>
      <c r="AG22" s="28" t="inlineStr">
        <is>
          <t>https://www.imt-atlantique.fr/en/study/masters/msc/it-aeiot</t>
        </is>
      </c>
      <c r="AH22" s="26" t="inlineStr">
        <is>
          <t>100% taught in English Admission This program is aimed at graduates with a Bachelor of Science or equivalent degree obtained after 4 years' higher education in Electronics and/or Computer Science. A good background in Ma</t>
        </is>
      </c>
      <c r="AI22" s="28" t="inlineStr">
        <is>
          <t>Open in EEF</t>
        </is>
      </c>
    </row>
    <row r="23" ht="32.8" customHeight="1" s="19">
      <c r="A23" s="25" t="n">
        <v>22</v>
      </c>
      <c r="B23" s="25" t="inlineStr">
        <is>
          <t>★★★★★</t>
        </is>
      </c>
      <c r="C23" s="25" t="inlineStr">
        <is>
          <t>5 – Core fit (embedded/biomedical/health tech)</t>
        </is>
      </c>
      <c r="D23" s="25" t="inlineStr">
        <is>
          <t>Biomedical / Health tech</t>
        </is>
      </c>
      <c r="E23" s="26" t="inlineStr">
        <is>
          <t>Master recherche mention International Master in BioMedical Engineering</t>
        </is>
      </c>
      <c r="F23" s="26" t="inlineStr">
        <is>
          <t>Research Master – major: International Master in BioMedical Engineering</t>
        </is>
      </c>
      <c r="G23" s="25" t="inlineStr">
        <is>
          <t>Master recherche</t>
        </is>
      </c>
      <c r="H23" s="25" t="inlineStr">
        <is>
          <t>Centrale Lille Institut</t>
        </is>
      </c>
      <c r="I23" s="25" t="inlineStr">
        <is>
          <t>Centrale Lille Institut</t>
        </is>
      </c>
      <c r="J23" s="25" t="inlineStr">
        <is>
          <t>Site de Villeneuve d'Ascq</t>
        </is>
      </c>
      <c r="K23" s="25" t="inlineStr">
        <is>
          <t>20048 F</t>
        </is>
      </c>
      <c r="L23" s="25" t="inlineStr">
        <is>
          <t>Public school / institute</t>
        </is>
      </c>
      <c r="M23" s="25" t="inlineStr">
        <is>
          <t>English</t>
        </is>
      </c>
      <c r="N23" s="25" t="inlineStr">
        <is>
          <t>Taught in English</t>
        </is>
      </c>
      <c r="O23" s="25" t="inlineStr">
        <is>
          <t>Bac +4</t>
        </is>
      </c>
      <c r="P23" s="26" t="inlineStr">
        <is>
          <t>Eligible on level (4-yr BS ≈ Bac+4)</t>
        </is>
      </c>
      <c r="Q23" s="25" t="inlineStr">
        <is>
          <t>1</t>
        </is>
      </c>
      <c r="R23" s="25" t="inlineStr">
        <is>
          <t>12</t>
        </is>
      </c>
      <c r="S23" s="27" t="n">
        <v>7500</v>
      </c>
      <c r="T23" s="27" t="n"/>
      <c r="U23" s="25" t="n">
        <v>1</v>
      </c>
      <c r="V23" s="27">
        <f>IF(S23="","",S23*U23)</f>
        <v/>
      </c>
      <c r="W23" s="26" t="inlineStr">
        <is>
          <t>Catalogue fee €7,500/yr (entered by institution).</t>
        </is>
      </c>
      <c r="X23" s="25" t="inlineStr">
        <is>
          <t>High</t>
        </is>
      </c>
      <c r="Y23" s="25" t="inlineStr">
        <is>
          <t>7500</t>
        </is>
      </c>
      <c r="Z23" s="26" t="inlineStr">
        <is>
          <t>Fees: 5 000€ including a personal laptop, project material, pe</t>
        </is>
      </c>
      <c r="AA23" s="26" t="n"/>
      <c r="AB23" s="25" t="n"/>
      <c r="AC23" s="25" t="inlineStr">
        <is>
          <t>Open</t>
        </is>
      </c>
      <c r="AD23" s="25" t="inlineStr">
        <is>
          <t>2026-10-01</t>
        </is>
      </c>
      <c r="AE23" s="25" t="inlineStr">
        <is>
          <t>2027-03-15</t>
        </is>
      </c>
      <c r="AF23" s="25" t="inlineStr">
        <is>
          <t>Yes</t>
        </is>
      </c>
      <c r="AG23" s="28" t="inlineStr">
        <is>
          <t>https://centralelille.fr/en/formation/masters/master-biomedical-engineering/</t>
        </is>
      </c>
      <c r="AH23" s="26" t="inlineStr">
        <is>
          <t>Background in Physics or Mechanical Engineering or Electronics is expected but students with Medical, Biotech or Computer Sciences skills are eligible and may also apply. Applicants must be fluent in English - written an</t>
        </is>
      </c>
      <c r="AI23" s="28" t="inlineStr">
        <is>
          <t>Open in EEF</t>
        </is>
      </c>
    </row>
    <row r="24" ht="22.35" customHeight="1" s="19">
      <c r="A24" s="25" t="n">
        <v>23</v>
      </c>
      <c r="B24" s="25" t="inlineStr">
        <is>
          <t>★★★★★</t>
        </is>
      </c>
      <c r="C24" s="25" t="inlineStr">
        <is>
          <t>5 – Core fit (embedded/biomedical/health tech)</t>
        </is>
      </c>
      <c r="D24" s="25" t="inlineStr">
        <is>
          <t>Embedded systems / Electronics</t>
        </is>
      </c>
      <c r="E24" s="26" t="inlineStr">
        <is>
          <t>Master of Science (MSc) parcours MSc-Master of Science® in Intelligent Embedded Systems Engineering</t>
        </is>
      </c>
      <c r="F24" s="26" t="inlineStr">
        <is>
          <t>Master of Science (MSc) parcours MSc-Master of Science® in Intelligent Embedded Systems Engineering</t>
        </is>
      </c>
      <c r="G24" s="25" t="inlineStr">
        <is>
          <t>Master of Science (MSc)</t>
        </is>
      </c>
      <c r="H24" s="25" t="inlineStr">
        <is>
          <t>Institut supérieur de l'électronique et du numérique Toulon</t>
        </is>
      </c>
      <c r="I24" s="25" t="n"/>
      <c r="J24" s="25" t="inlineStr">
        <is>
          <t>ISEN Méditerranée - Campus Toulon</t>
        </is>
      </c>
      <c r="K24" s="25" t="inlineStr">
        <is>
          <t>83000 France</t>
        </is>
      </c>
      <c r="L24" s="25" t="inlineStr">
        <is>
          <t>Private / EESPIG</t>
        </is>
      </c>
      <c r="M24" s="25" t="inlineStr">
        <is>
          <t>English</t>
        </is>
      </c>
      <c r="N24" s="25" t="inlineStr">
        <is>
          <t>Taught in English</t>
        </is>
      </c>
      <c r="O24" s="25" t="inlineStr">
        <is>
          <t>Bac +3</t>
        </is>
      </c>
      <c r="P24" s="26" t="inlineStr">
        <is>
          <t>Eligible on level (4-yr BS ≈ Bac+4)</t>
        </is>
      </c>
      <c r="Q24" s="25" t="inlineStr">
        <is>
          <t>1</t>
        </is>
      </c>
      <c r="R24" s="25" t="inlineStr">
        <is>
          <t>15</t>
        </is>
      </c>
      <c r="S24" s="27" t="n">
        <v>8800</v>
      </c>
      <c r="T24" s="27" t="n"/>
      <c r="U24" s="25" t="n">
        <v>2</v>
      </c>
      <c r="V24" s="27">
        <f>IF(S24="","",S24*U24)</f>
        <v/>
      </c>
      <c r="W24" s="26" t="inlineStr">
        <is>
          <t>Catalogue fee €8,800/yr (entered by institution).</t>
        </is>
      </c>
      <c r="X24" s="25" t="inlineStr">
        <is>
          <t>High</t>
        </is>
      </c>
      <c r="Y24" s="25" t="inlineStr">
        <is>
          <t>8800</t>
        </is>
      </c>
      <c r="Z24" s="26" t="n"/>
      <c r="AA24" s="26" t="n"/>
      <c r="AB24" s="25" t="n"/>
      <c r="AC24" s="25" t="inlineStr">
        <is>
          <t>Open</t>
        </is>
      </c>
      <c r="AD24" s="25" t="inlineStr">
        <is>
          <t>2026-10-01</t>
        </is>
      </c>
      <c r="AE24" s="25" t="inlineStr">
        <is>
          <t>2027-03-15</t>
        </is>
      </c>
      <c r="AF24" s="25" t="inlineStr">
        <is>
          <t>Yes</t>
        </is>
      </c>
      <c r="AG24" s="28" t="inlineStr">
        <is>
          <t>https://isen-mediterranee.fr/en/formation/msc-master-of-science-in-intelligent-embedded-systems-engineering/</t>
        </is>
      </c>
      <c r="AH24" s="26" t="inlineStr">
        <is>
          <t>Admission This program is open to students who have completed a three-year degree in a field related to the program, or who hold an RNCP 6 qualification.</t>
        </is>
      </c>
      <c r="AI24" s="28" t="inlineStr">
        <is>
          <t>Open in EEF</t>
        </is>
      </c>
    </row>
    <row r="25" ht="43.25" customHeight="1" s="19">
      <c r="A25" s="25" t="n">
        <v>24</v>
      </c>
      <c r="B25" s="25" t="inlineStr">
        <is>
          <t>★★★★★</t>
        </is>
      </c>
      <c r="C25" s="25" t="inlineStr">
        <is>
          <t>5 – Core fit (embedded/biomedical/health tech)</t>
        </is>
      </c>
      <c r="D25" s="25" t="inlineStr">
        <is>
          <t>Embedded systems / Electronics</t>
        </is>
      </c>
      <c r="E25" s="26" t="inlineStr">
        <is>
          <t>International Master of Science in Electronics for Embedded ApplicationS</t>
        </is>
      </c>
      <c r="F25" s="26" t="inlineStr">
        <is>
          <t>International Master of Science in Electronics for Embedded ApplicationS</t>
        </is>
      </c>
      <c r="G25" s="25" t="inlineStr">
        <is>
          <t>Master indifférencié (recherche et professionnel)</t>
        </is>
      </c>
      <c r="H25" s="25" t="inlineStr">
        <is>
          <t>Institut national des sciences appliquées de Toulouse</t>
        </is>
      </c>
      <c r="I25" s="25" t="n"/>
      <c r="J25" s="25" t="inlineStr">
        <is>
          <t>Site de Toulouse</t>
        </is>
      </c>
      <c r="K25" s="25" t="inlineStr">
        <is>
          <t>31077 Toulouse Cedex</t>
        </is>
      </c>
      <c r="L25" s="25" t="inlineStr">
        <is>
          <t>Public school / institute</t>
        </is>
      </c>
      <c r="M25" s="25" t="inlineStr">
        <is>
          <t>English</t>
        </is>
      </c>
      <c r="N25" s="25" t="inlineStr">
        <is>
          <t>Taught in English</t>
        </is>
      </c>
      <c r="O25" s="25" t="inlineStr">
        <is>
          <t>Bac +4 / Bac +5</t>
        </is>
      </c>
      <c r="P25" s="26" t="inlineStr">
        <is>
          <t>Eligible on level (4-yr BS ≈ Bac+4)</t>
        </is>
      </c>
      <c r="Q25" s="25" t="inlineStr">
        <is>
          <t>1/2</t>
        </is>
      </c>
      <c r="R25" s="25" t="inlineStr">
        <is>
          <t>9</t>
        </is>
      </c>
      <c r="S25" s="27" t="n">
        <v>9000</v>
      </c>
      <c r="T25" s="27" t="n"/>
      <c r="U25" s="25" t="n">
        <v>2</v>
      </c>
      <c r="V25" s="27">
        <f>IF(S25="","",S25*U25)</f>
        <v/>
      </c>
      <c r="W25" s="26" t="inlineStr">
        <is>
          <t>Catalogue fee €9,000/yr (entered by institution).</t>
        </is>
      </c>
      <c r="X25" s="25" t="inlineStr">
        <is>
          <t>High</t>
        </is>
      </c>
      <c r="Y25" s="25" t="inlineStr">
        <is>
          <t>9000</t>
        </is>
      </c>
      <c r="Z25" s="26" t="inlineStr">
        <is>
          <t>ucation English proficiency Fluent French proficiency Not required Tuition fees are 9 000 € including administrative registration and health … Fees can be reduced to 5 000 € under specific conditions : - top level stud</t>
        </is>
      </c>
      <c r="AA25" s="26" t="n"/>
      <c r="AB25" s="25" t="n"/>
      <c r="AC25" s="25" t="inlineStr">
        <is>
          <t>Open</t>
        </is>
      </c>
      <c r="AD25" s="25" t="inlineStr">
        <is>
          <t>2026-10-01</t>
        </is>
      </c>
      <c r="AE25" s="25" t="inlineStr">
        <is>
          <t>2027-03-15</t>
        </is>
      </c>
      <c r="AF25" s="25" t="inlineStr">
        <is>
          <t>Yes</t>
        </is>
      </c>
      <c r="AG25" s="28" t="inlineStr">
        <is>
          <t>http://www.insa-toulouse.fr/fr/formation.html</t>
        </is>
      </c>
      <c r="AH25" s="26" t="inlineStr">
        <is>
          <t>All courses are taught in English Admission Bachelor of Sciences or Engineering degree or 4 years in higher education English proficiency Fluent French proficiency Not required Tuition fees are 9 000 € including administ</t>
        </is>
      </c>
      <c r="AI25" s="28" t="inlineStr">
        <is>
          <t>Open in EEF</t>
        </is>
      </c>
    </row>
    <row r="26" ht="32.8" customHeight="1" s="19">
      <c r="A26" s="25" t="n">
        <v>25</v>
      </c>
      <c r="B26" s="25" t="inlineStr">
        <is>
          <t>★★★★★</t>
        </is>
      </c>
      <c r="C26" s="25" t="inlineStr">
        <is>
          <t>5 – Core fit (embedded/biomedical/health tech)</t>
        </is>
      </c>
      <c r="D26" s="25" t="inlineStr">
        <is>
          <t>Embedded systems / Electronics</t>
        </is>
      </c>
      <c r="E26" s="26" t="inlineStr">
        <is>
          <t>Master indifférencié (recherche et professionnel) MSc - Electronic Systems for Embedded and Communicating Applications (ESECA)</t>
        </is>
      </c>
      <c r="F26" s="26" t="inlineStr">
        <is>
          <t>MSc - Electronic Systems for Embedded and Communicating Applications (ESECA)</t>
        </is>
      </c>
      <c r="G26" s="25" t="inlineStr">
        <is>
          <t>Master indifférencié (recherche et professionnel)</t>
        </is>
      </c>
      <c r="H26" s="25" t="inlineStr">
        <is>
          <t>École nationale supérieure d'électrotechnique, d'électronique, d'informatique, d'hydraulique et des télécommunications</t>
        </is>
      </c>
      <c r="I26" s="25" t="inlineStr">
        <is>
          <t>Institut national polytechnique de Toulouse</t>
        </is>
      </c>
      <c r="J26" s="25" t="inlineStr">
        <is>
          <t>Site de Toulouse</t>
        </is>
      </c>
      <c r="K26" s="25" t="inlineStr">
        <is>
          <t>31071 Toulouse Cedex</t>
        </is>
      </c>
      <c r="L26" s="25" t="inlineStr">
        <is>
          <t>Public school / institute</t>
        </is>
      </c>
      <c r="M26" s="25" t="inlineStr">
        <is>
          <t>English</t>
        </is>
      </c>
      <c r="N26" s="25" t="inlineStr">
        <is>
          <t>Taught in English</t>
        </is>
      </c>
      <c r="O26" s="25" t="inlineStr">
        <is>
          <t>Bac +4 / Bac +5</t>
        </is>
      </c>
      <c r="P26" s="26" t="inlineStr">
        <is>
          <t>Eligible on level (4-yr BS ≈ Bac+4)</t>
        </is>
      </c>
      <c r="Q26" s="25" t="inlineStr">
        <is>
          <t>1/2</t>
        </is>
      </c>
      <c r="R26" s="25" t="inlineStr">
        <is>
          <t>12</t>
        </is>
      </c>
      <c r="S26" s="27" t="n">
        <v>9000</v>
      </c>
      <c r="T26" s="27" t="n"/>
      <c r="U26" s="25" t="n">
        <v>2</v>
      </c>
      <c r="V26" s="27">
        <f>IF(S26="","",S26*U26)</f>
        <v/>
      </c>
      <c r="W26" s="26" t="inlineStr">
        <is>
          <t>Catalogue fee €9,000/yr (entered by institution).</t>
        </is>
      </c>
      <c r="X26" s="25" t="inlineStr">
        <is>
          <t>High</t>
        </is>
      </c>
      <c r="Y26" s="25" t="inlineStr">
        <is>
          <t>9000</t>
        </is>
      </c>
      <c r="Z26" s="26" t="inlineStr">
        <is>
          <t>excellent level, or coming from associated universities, the fees are lowered to 5 , 473 €/year … excellent level, or coming from associated universities, the fees are lowered to 5 , 473 €/year</t>
        </is>
      </c>
      <c r="AA26" s="26" t="n"/>
      <c r="AB26" s="25" t="n"/>
      <c r="AC26" s="25" t="inlineStr">
        <is>
          <t>Open</t>
        </is>
      </c>
      <c r="AD26" s="25" t="inlineStr">
        <is>
          <t>2026-10-01</t>
        </is>
      </c>
      <c r="AE26" s="25" t="inlineStr">
        <is>
          <t>2027-03-15</t>
        </is>
      </c>
      <c r="AF26" s="25" t="inlineStr">
        <is>
          <t>Yes</t>
        </is>
      </c>
      <c r="AG26" s="25" t="n"/>
      <c r="AH26" s="26" t="n"/>
      <c r="AI26" s="28" t="inlineStr">
        <is>
          <t>Open in EEF</t>
        </is>
      </c>
    </row>
    <row r="27" ht="32.8" customHeight="1" s="19">
      <c r="A27" s="25" t="n">
        <v>26</v>
      </c>
      <c r="B27" s="25" t="inlineStr">
        <is>
          <t>★★★★★</t>
        </is>
      </c>
      <c r="C27" s="25" t="inlineStr">
        <is>
          <t>5 – Core fit (embedded/biomedical/health tech)</t>
        </is>
      </c>
      <c r="D27" s="25" t="inlineStr">
        <is>
          <t>Biomedical / Health tech</t>
        </is>
      </c>
      <c r="E27" s="26" t="inlineStr">
        <is>
          <t>Master of Science (MSc) Biomedical and Health Engineering</t>
        </is>
      </c>
      <c r="F27" s="26" t="inlineStr">
        <is>
          <t>Master of Science (MSc) Biomedical and Health Engineering</t>
        </is>
      </c>
      <c r="G27" s="25" t="inlineStr">
        <is>
          <t>Master of Science (MSc)</t>
        </is>
      </c>
      <c r="H27" s="25" t="inlineStr">
        <is>
          <t>JUNIA</t>
        </is>
      </c>
      <c r="I27" s="25" t="inlineStr">
        <is>
          <t>Université catholique de Lille</t>
        </is>
      </c>
      <c r="J27" s="25" t="inlineStr">
        <is>
          <t>Lille</t>
        </is>
      </c>
      <c r="K27" s="25" t="n"/>
      <c r="L27" s="25" t="inlineStr">
        <is>
          <t>Private / EESPIG</t>
        </is>
      </c>
      <c r="M27" s="25" t="inlineStr">
        <is>
          <t>English</t>
        </is>
      </c>
      <c r="N27" s="25" t="inlineStr">
        <is>
          <t>Taught in English</t>
        </is>
      </c>
      <c r="O27" s="25" t="inlineStr">
        <is>
          <t>Bac +4</t>
        </is>
      </c>
      <c r="P27" s="26" t="inlineStr">
        <is>
          <t>Eligible on level (4-yr BS ≈ Bac+4)</t>
        </is>
      </c>
      <c r="Q27" s="25" t="inlineStr">
        <is>
          <t>1</t>
        </is>
      </c>
      <c r="R27" s="25" t="inlineStr">
        <is>
          <t>12</t>
        </is>
      </c>
      <c r="S27" s="27" t="n">
        <v>9527</v>
      </c>
      <c r="T27" s="27" t="n"/>
      <c r="U27" s="25" t="n">
        <v>1</v>
      </c>
      <c r="V27" s="27">
        <f>IF(S27="","",S27*U27)</f>
        <v/>
      </c>
      <c r="W27" s="26" t="inlineStr">
        <is>
          <t>Catalogue fee €9,527/yr (entered by institution).</t>
        </is>
      </c>
      <c r="X27" s="25" t="inlineStr">
        <is>
          <t>High</t>
        </is>
      </c>
      <c r="Y27" s="25" t="inlineStr">
        <is>
          <t>9527</t>
        </is>
      </c>
      <c r="Z27" s="26" t="n"/>
      <c r="AA27" s="26" t="n"/>
      <c r="AB27" s="25" t="n"/>
      <c r="AC27" s="25" t="inlineStr">
        <is>
          <t>Open</t>
        </is>
      </c>
      <c r="AD27" s="25" t="inlineStr">
        <is>
          <t>2026-10-01</t>
        </is>
      </c>
      <c r="AE27" s="25" t="inlineStr">
        <is>
          <t>2027-03-15</t>
        </is>
      </c>
      <c r="AF27" s="25" t="inlineStr">
        <is>
          <t>Yes</t>
        </is>
      </c>
      <c r="AG27" s="28" t="inlineStr">
        <is>
          <t>https://www.junia.com/en/home/</t>
        </is>
      </c>
      <c r="AH27" s="26" t="inlineStr">
        <is>
          <t>Minimum Bachelor degree in Life sciences (biology, health science or any related field), general engineering, physics. B2 level in English certified by an official test score (TOEFL, TOEIC, IELTS) except for students fro</t>
        </is>
      </c>
      <c r="AI27" s="28" t="inlineStr">
        <is>
          <t>Open in EEF</t>
        </is>
      </c>
    </row>
    <row r="28" ht="32.8" customHeight="1" s="19">
      <c r="A28" s="25" t="n">
        <v>27</v>
      </c>
      <c r="B28" s="25" t="inlineStr">
        <is>
          <t>★★★★★</t>
        </is>
      </c>
      <c r="C28" s="25" t="inlineStr">
        <is>
          <t>5 – Core fit (embedded/biomedical/health tech)</t>
        </is>
      </c>
      <c r="D28" s="25" t="inlineStr">
        <is>
          <t>Embedded systems / Electronics</t>
        </is>
      </c>
      <c r="E28" s="26" t="inlineStr">
        <is>
          <t>Diplôme d'ingénieur Master of Science and Engineering ISEN – Electronics and Embedded systems</t>
        </is>
      </c>
      <c r="F28" s="26" t="inlineStr">
        <is>
          <t>Engineering diploma Master of Science and Engineering ISEN – Electronics and Embedded systems</t>
        </is>
      </c>
      <c r="G28" s="25" t="inlineStr">
        <is>
          <t>Diplôme d'ingénieur</t>
        </is>
      </c>
      <c r="H28" s="25" t="inlineStr">
        <is>
          <t>JUNIA</t>
        </is>
      </c>
      <c r="I28" s="25" t="inlineStr">
        <is>
          <t>Université catholique de Lille</t>
        </is>
      </c>
      <c r="J28" s="25" t="inlineStr">
        <is>
          <t>Lille</t>
        </is>
      </c>
      <c r="K28" s="25" t="n"/>
      <c r="L28" s="25" t="inlineStr">
        <is>
          <t>Private / EESPIG</t>
        </is>
      </c>
      <c r="M28" s="25" t="inlineStr">
        <is>
          <t>English</t>
        </is>
      </c>
      <c r="N28" s="25" t="inlineStr">
        <is>
          <t>Taught in English</t>
        </is>
      </c>
      <c r="O28" s="25" t="inlineStr">
        <is>
          <t>Bac +4</t>
        </is>
      </c>
      <c r="P28" s="26" t="inlineStr">
        <is>
          <t>Eligible on level (4-yr BS ≈ Bac+4)</t>
        </is>
      </c>
      <c r="Q28" s="25" t="inlineStr">
        <is>
          <t>1</t>
        </is>
      </c>
      <c r="R28" s="25" t="inlineStr">
        <is>
          <t>12</t>
        </is>
      </c>
      <c r="S28" s="27" t="n">
        <v>9527</v>
      </c>
      <c r="T28" s="27" t="n"/>
      <c r="U28" s="25" t="n">
        <v>2</v>
      </c>
      <c r="V28" s="27">
        <f>IF(S28="","",S28*U28)</f>
        <v/>
      </c>
      <c r="W28" s="26" t="inlineStr">
        <is>
          <t>Catalogue fee €9,527/yr (entered by institution).</t>
        </is>
      </c>
      <c r="X28" s="25" t="inlineStr">
        <is>
          <t>High</t>
        </is>
      </c>
      <c r="Y28" s="25" t="inlineStr">
        <is>
          <t>9527</t>
        </is>
      </c>
      <c r="Z28" s="26" t="n"/>
      <c r="AA28" s="26" t="n"/>
      <c r="AB28" s="25" t="n"/>
      <c r="AC28" s="25" t="inlineStr">
        <is>
          <t>Open</t>
        </is>
      </c>
      <c r="AD28" s="25" t="inlineStr">
        <is>
          <t>2026-10-01</t>
        </is>
      </c>
      <c r="AE28" s="25" t="inlineStr">
        <is>
          <t>2027-03-15</t>
        </is>
      </c>
      <c r="AF28" s="25" t="inlineStr">
        <is>
          <t>Yes</t>
        </is>
      </c>
      <c r="AG28" s="28" t="inlineStr">
        <is>
          <t>https://www.junia.com/en/academics/master-of-science-and-engineering-in-electronics-and-embedded-systems/</t>
        </is>
      </c>
      <c r="AH28" s="26" t="inlineStr">
        <is>
          <t>Minimum Bachelor degree in Physics, Electronics, IT engineering or equivalent. B2 level in English certified by an official test score (TOEFL, TOEIC, IELTS or equivalent) except for students from countries where English</t>
        </is>
      </c>
      <c r="AI28" s="28" t="inlineStr">
        <is>
          <t>Open in EEF</t>
        </is>
      </c>
    </row>
    <row r="29" ht="43.25" customHeight="1" s="19">
      <c r="A29" s="25" t="n">
        <v>28</v>
      </c>
      <c r="B29" s="25" t="inlineStr">
        <is>
          <t>★★★★★</t>
        </is>
      </c>
      <c r="C29" s="25" t="inlineStr">
        <is>
          <t>5 – Core fit (embedded/biomedical/health tech)</t>
        </is>
      </c>
      <c r="D29" s="25" t="inlineStr">
        <is>
          <t>Biomedical / Health tech</t>
        </is>
      </c>
      <c r="E29" s="26" t="inlineStr">
        <is>
          <t>Master of Science and Technology: Complex Systems Engineering track Biomedical Engineering</t>
        </is>
      </c>
      <c r="F29" s="26" t="inlineStr">
        <is>
          <t>Master of Science and Technology: Complex Systems Engineering track Biomedical Engineering</t>
        </is>
      </c>
      <c r="G29" s="25" t="inlineStr">
        <is>
          <t>Master indifférencié (recherche et professionnel)</t>
        </is>
      </c>
      <c r="H29" s="25" t="inlineStr">
        <is>
          <t>Ecole centrale de Marseille</t>
        </is>
      </c>
      <c r="I29" s="25" t="n"/>
      <c r="J29" s="25" t="inlineStr">
        <is>
          <t>Ecole Centrale de Marseille</t>
        </is>
      </c>
      <c r="K29" s="25" t="inlineStr">
        <is>
          <t>13013 MARSEILLE</t>
        </is>
      </c>
      <c r="L29" s="25" t="inlineStr">
        <is>
          <t>Public school / institute</t>
        </is>
      </c>
      <c r="M29" s="25" t="inlineStr">
        <is>
          <t>English</t>
        </is>
      </c>
      <c r="N29" s="25" t="inlineStr">
        <is>
          <t>Taught in English</t>
        </is>
      </c>
      <c r="O29" s="25" t="inlineStr">
        <is>
          <t>Bac +4 / Bac +5</t>
        </is>
      </c>
      <c r="P29" s="26" t="inlineStr">
        <is>
          <t>Eligible on level (4-yr BS ≈ Bac+4)</t>
        </is>
      </c>
      <c r="Q29" s="25" t="inlineStr">
        <is>
          <t>1/2</t>
        </is>
      </c>
      <c r="R29" s="25" t="inlineStr">
        <is>
          <t>24/12</t>
        </is>
      </c>
      <c r="S29" s="27" t="n">
        <v>10270</v>
      </c>
      <c r="T29" s="27" t="n"/>
      <c r="U29" s="25" t="n">
        <v>2</v>
      </c>
      <c r="V29" s="27">
        <f>IF(S29="","",S29*U29)</f>
        <v/>
      </c>
      <c r="W29" s="26" t="inlineStr">
        <is>
          <t>Catalogue fee €10,270/yr (entered by institution).</t>
        </is>
      </c>
      <c r="X29" s="25" t="inlineStr">
        <is>
          <t>High</t>
        </is>
      </c>
      <c r="Y29" s="25" t="inlineStr">
        <is>
          <t>10270</t>
        </is>
      </c>
      <c r="Z29" s="26" t="inlineStr">
        <is>
          <t>you about our decision Deadline for applications: June 1st, 2026 Fees European Students: €6 750 / year* Non-European Students: €10 270 € / y … you about our decision Deadline for applications: June 1st, 2026 Fees Europ</t>
        </is>
      </c>
      <c r="AA29" s="26" t="n"/>
      <c r="AB29" s="25" t="n"/>
      <c r="AC29" s="25" t="inlineStr">
        <is>
          <t>Open</t>
        </is>
      </c>
      <c r="AD29" s="25" t="inlineStr">
        <is>
          <t>2026-10-01</t>
        </is>
      </c>
      <c r="AE29" s="25" t="inlineStr">
        <is>
          <t>2027-03-15</t>
        </is>
      </c>
      <c r="AF29" s="25" t="inlineStr">
        <is>
          <t>Yes</t>
        </is>
      </c>
      <c r="AG29" s="28" t="inlineStr">
        <is>
          <t>https://www.centrale-mediterranee.fr/fr/formation/masters/master-biomedical-engineering</t>
        </is>
      </c>
      <c r="AH29" s="26" t="inlineStr">
        <is>
          <t>The master’s course is fully taught in English - B2 level (independent user) is required. Entry level: Undergraduate / Bachelor's degree (180 ECTS) - with a strong background in sciences: physics, mechanics, applied math</t>
        </is>
      </c>
      <c r="AI29" s="28" t="inlineStr">
        <is>
          <t>Open in EEF</t>
        </is>
      </c>
    </row>
    <row r="30" ht="32.8" customHeight="1" s="19">
      <c r="A30" s="25" t="n">
        <v>29</v>
      </c>
      <c r="B30" s="25" t="inlineStr">
        <is>
          <t>★★★★★</t>
        </is>
      </c>
      <c r="C30" s="25" t="inlineStr">
        <is>
          <t>5 – Core fit (embedded/biomedical/health tech)</t>
        </is>
      </c>
      <c r="D30" s="25" t="inlineStr">
        <is>
          <t>Embedded systems / Electronics</t>
        </is>
      </c>
      <c r="E30" s="26" t="inlineStr">
        <is>
          <t>Mastère spécialisé© Embedded systems</t>
        </is>
      </c>
      <c r="F30" s="26" t="inlineStr">
        <is>
          <t>Specialised Master (MS)© Embedded systems</t>
        </is>
      </c>
      <c r="G30" s="25" t="inlineStr">
        <is>
          <t>Mastère spécialisé</t>
        </is>
      </c>
      <c r="H30" s="25" t="inlineStr">
        <is>
          <t>École nationale supérieure d'électrotechnique, d'électronique, d'informatique, d'hydraulique et des télécommunications</t>
        </is>
      </c>
      <c r="I30" s="25" t="inlineStr">
        <is>
          <t>Institut national polytechnique de Toulouse</t>
        </is>
      </c>
      <c r="J30" s="25" t="inlineStr">
        <is>
          <t>Site de Toulouse</t>
        </is>
      </c>
      <c r="K30" s="25" t="inlineStr">
        <is>
          <t>31071 Toulouse Cedex</t>
        </is>
      </c>
      <c r="L30" s="25" t="inlineStr">
        <is>
          <t>Public school / institute</t>
        </is>
      </c>
      <c r="M30" s="25" t="inlineStr">
        <is>
          <t>English</t>
        </is>
      </c>
      <c r="N30" s="25" t="inlineStr">
        <is>
          <t>General</t>
        </is>
      </c>
      <c r="O30" s="25" t="inlineStr">
        <is>
          <t>Bac +5</t>
        </is>
      </c>
      <c r="P30" s="26" t="inlineStr">
        <is>
          <t>Possible – MS rules allow Bac+4 + ≥3 yrs work experience (you have 3)</t>
        </is>
      </c>
      <c r="Q30" s="25" t="inlineStr">
        <is>
          <t>1</t>
        </is>
      </c>
      <c r="R30" s="25" t="inlineStr">
        <is>
          <t>12</t>
        </is>
      </c>
      <c r="S30" s="27" t="n">
        <v>13500</v>
      </c>
      <c r="T30" s="27" t="n"/>
      <c r="U30" s="25" t="n">
        <v>1</v>
      </c>
      <c r="V30" s="27">
        <f>IF(S30="","",S30*U30)</f>
        <v/>
      </c>
      <c r="W30" s="26" t="inlineStr">
        <is>
          <t>Catalogue fee €13,500/yr (entered by institution).</t>
        </is>
      </c>
      <c r="X30" s="25" t="inlineStr">
        <is>
          <t>High</t>
        </is>
      </c>
      <c r="Y30" s="25" t="inlineStr">
        <is>
          <t>13500</t>
        </is>
      </c>
      <c r="Z30" s="26" t="n"/>
      <c r="AA30" s="26" t="n"/>
      <c r="AB30" s="25" t="n"/>
      <c r="AC30" s="25" t="inlineStr">
        <is>
          <t>Open</t>
        </is>
      </c>
      <c r="AD30" s="25" t="inlineStr">
        <is>
          <t>2026-10-01</t>
        </is>
      </c>
      <c r="AE30" s="25" t="inlineStr">
        <is>
          <t>2027-03-15</t>
        </is>
      </c>
      <c r="AF30" s="25" t="inlineStr">
        <is>
          <t>Yes</t>
        </is>
      </c>
      <c r="AG30" s="28" t="inlineStr">
        <is>
          <t>http://www.enseeiht.fr</t>
        </is>
      </c>
      <c r="AH30" s="26" t="inlineStr">
        <is>
          <t>Niveau d’étude exigé : Bac+5 (Diplôme de Grande École d'ingénieur, DEA, master 2…) ou Bac+4 (maîtrise ou master1 avec expérience professionnelle d'au moins 3 années dans une fonction à responsabilités)</t>
        </is>
      </c>
      <c r="AI30" s="28" t="inlineStr">
        <is>
          <t>Open in EEF</t>
        </is>
      </c>
    </row>
    <row r="31" ht="32.8" customHeight="1" s="19">
      <c r="A31" s="25" t="n">
        <v>30</v>
      </c>
      <c r="B31" s="25" t="inlineStr">
        <is>
          <t>★★★★★</t>
        </is>
      </c>
      <c r="C31" s="25" t="inlineStr">
        <is>
          <t>5 – Core fit (embedded/biomedical/health tech)</t>
        </is>
      </c>
      <c r="D31" s="25" t="inlineStr">
        <is>
          <t>Embedded systems / Electronics</t>
        </is>
      </c>
      <c r="E31" s="26" t="inlineStr">
        <is>
          <t>Master recherche Master in Science and Technology, Electronic Embedded Systems</t>
        </is>
      </c>
      <c r="F31" s="26" t="inlineStr">
        <is>
          <t>Research Master Master in Science and Technology, Electronic Embedded Systems</t>
        </is>
      </c>
      <c r="G31" s="25" t="inlineStr">
        <is>
          <t>Master recherche</t>
        </is>
      </c>
      <c r="H31" s="25" t="inlineStr">
        <is>
          <t>Ecole supérieure d'ingénieurs en génie électrique</t>
        </is>
      </c>
      <c r="I31" s="25" t="n"/>
      <c r="J31" s="25" t="inlineStr">
        <is>
          <t>Site de Saint-Etienne-du-Rouvray</t>
        </is>
      </c>
      <c r="K31" s="25" t="n"/>
      <c r="L31" s="25" t="inlineStr">
        <is>
          <t>Private / EESPIG</t>
        </is>
      </c>
      <c r="M31" s="25" t="inlineStr">
        <is>
          <t>English</t>
        </is>
      </c>
      <c r="N31" s="25" t="inlineStr">
        <is>
          <t>Taught in English</t>
        </is>
      </c>
      <c r="O31" s="25" t="inlineStr">
        <is>
          <t>Bac +4 / Bac +5</t>
        </is>
      </c>
      <c r="P31" s="26" t="inlineStr">
        <is>
          <t>Eligible on level (4-yr BS ≈ Bac+4)</t>
        </is>
      </c>
      <c r="Q31" s="25" t="inlineStr">
        <is>
          <t>1/2</t>
        </is>
      </c>
      <c r="R31" s="25" t="inlineStr">
        <is>
          <t>24/18</t>
        </is>
      </c>
      <c r="S31" s="27" t="n">
        <v>14000</v>
      </c>
      <c r="T31" s="27" t="n"/>
      <c r="U31" s="25" t="n">
        <v>2</v>
      </c>
      <c r="V31" s="27">
        <f>IF(S31="","",S31*U31)</f>
        <v/>
      </c>
      <c r="W31" s="26" t="inlineStr">
        <is>
          <t>Catalogue fee €14,000/yr (entered by institution).</t>
        </is>
      </c>
      <c r="X31" s="25" t="inlineStr">
        <is>
          <t>High</t>
        </is>
      </c>
      <c r="Y31" s="25" t="inlineStr">
        <is>
          <t>17000/14000</t>
        </is>
      </c>
      <c r="Z31" s="26" t="n"/>
      <c r="AA31" s="26" t="n"/>
      <c r="AB31" s="25" t="n"/>
      <c r="AC31" s="25" t="inlineStr">
        <is>
          <t>Open</t>
        </is>
      </c>
      <c r="AD31" s="25" t="inlineStr">
        <is>
          <t>2026-10-01</t>
        </is>
      </c>
      <c r="AE31" s="25" t="inlineStr">
        <is>
          <t>2027-03-15</t>
        </is>
      </c>
      <c r="AF31" s="25" t="inlineStr">
        <is>
          <t>Yes</t>
        </is>
      </c>
      <c r="AG31" s="28" t="inlineStr">
        <is>
          <t>https://esigelec.fr/fr</t>
        </is>
      </c>
      <c r="AH31" s="26" t="inlineStr">
        <is>
          <t>All courses are taught in English Admission Bachelor degree in engineering domains (Electronics, Computer Science,..) English proficiency Level equivalent to 6.0 at IELTS Interview in english with a representative of the</t>
        </is>
      </c>
      <c r="AI31" s="28" t="inlineStr">
        <is>
          <t>Open in EEF</t>
        </is>
      </c>
    </row>
    <row r="32" ht="32.8" customHeight="1" s="19">
      <c r="A32" s="25" t="n">
        <v>31</v>
      </c>
      <c r="B32" s="25" t="inlineStr">
        <is>
          <t>★★★★★</t>
        </is>
      </c>
      <c r="C32" s="25" t="inlineStr">
        <is>
          <t>5 – Core fit (embedded/biomedical/health tech)</t>
        </is>
      </c>
      <c r="D32" s="25" t="inlineStr">
        <is>
          <t>IoT / Telecom / Networks</t>
        </is>
      </c>
      <c r="E32" s="26" t="inlineStr">
        <is>
          <t>MSc&amp;T Internet of Things: Innovation and Management Program</t>
        </is>
      </c>
      <c r="F32" s="26" t="inlineStr">
        <is>
          <t>MSc&amp;T Internet of Things: Innovation and Management Program</t>
        </is>
      </c>
      <c r="G32" s="25" t="inlineStr">
        <is>
          <t>Master indifférencié (recherche et professionnel)</t>
        </is>
      </c>
      <c r="H32" s="25" t="inlineStr">
        <is>
          <t>Ecole polytechnique</t>
        </is>
      </c>
      <c r="I32" s="25" t="n"/>
      <c r="J32" s="25" t="inlineStr">
        <is>
          <t>Site de Palaiseau</t>
        </is>
      </c>
      <c r="K32" s="25" t="n"/>
      <c r="L32" s="25" t="inlineStr">
        <is>
          <t>Public school / institute</t>
        </is>
      </c>
      <c r="M32" s="25" t="inlineStr">
        <is>
          <t>English</t>
        </is>
      </c>
      <c r="N32" s="25" t="inlineStr">
        <is>
          <t>Taught in English</t>
        </is>
      </c>
      <c r="O32" s="25" t="inlineStr">
        <is>
          <t>Bac +4</t>
        </is>
      </c>
      <c r="P32" s="26" t="inlineStr">
        <is>
          <t>Eligible on level (4-yr BS ≈ Bac+4)</t>
        </is>
      </c>
      <c r="Q32" s="25" t="inlineStr">
        <is>
          <t>1</t>
        </is>
      </c>
      <c r="R32" s="25" t="n"/>
      <c r="S32" s="27" t="n">
        <v>15500</v>
      </c>
      <c r="T32" s="27" t="n"/>
      <c r="U32" s="25" t="n">
        <v>2</v>
      </c>
      <c r="V32" s="27">
        <f>IF(S32="","",S32*U32)</f>
        <v/>
      </c>
      <c r="W32" s="26" t="inlineStr">
        <is>
          <t>Not in catalogue. École polytechnique MSc&amp;T programs cost €15,500–19,200/yr (official page); IoT fee not published – verify.</t>
        </is>
      </c>
      <c r="X32" s="25" t="inlineStr">
        <is>
          <t>Low</t>
        </is>
      </c>
      <c r="Y32" s="25" t="n"/>
      <c r="Z32" s="26" t="n"/>
      <c r="AA32" s="26" t="n"/>
      <c r="AB32" s="25" t="n"/>
      <c r="AC32" s="25" t="inlineStr">
        <is>
          <t>Open</t>
        </is>
      </c>
      <c r="AD32" s="25" t="inlineStr">
        <is>
          <t>2026-10-01</t>
        </is>
      </c>
      <c r="AE32" s="25" t="inlineStr">
        <is>
          <t>2027-03-15</t>
        </is>
      </c>
      <c r="AF32" s="25" t="inlineStr">
        <is>
          <t>Yes</t>
        </is>
      </c>
      <c r="AG32" s="28" t="inlineStr">
        <is>
          <t>https://bit.ly/3sYFUba</t>
        </is>
      </c>
      <c r="AH32" s="26" t="inlineStr">
        <is>
          <t>Les candidats doivent être diplômés d’un Bachelor ( licence ) en science, technologie, ingénierie, mathématiques . Des candidats issus d’autres formations peuvent être pris en considération, à condition qu’ils aient de s</t>
        </is>
      </c>
      <c r="AI32" s="28" t="inlineStr">
        <is>
          <t>Open in EEF</t>
        </is>
      </c>
    </row>
    <row r="33" ht="32.8" customHeight="1" s="19">
      <c r="A33" s="25" t="n">
        <v>32</v>
      </c>
      <c r="B33" s="25" t="inlineStr">
        <is>
          <t>★★★★★</t>
        </is>
      </c>
      <c r="C33" s="25" t="inlineStr">
        <is>
          <t>5 – Core fit (embedded/biomedical/health tech)</t>
        </is>
      </c>
      <c r="D33" s="25" t="inlineStr">
        <is>
          <t>Embedded systems / Electronics</t>
        </is>
      </c>
      <c r="E33" s="26" t="inlineStr">
        <is>
          <t>Master in Sciences &amp; Technology, major "Embedded Electronic Systems"</t>
        </is>
      </c>
      <c r="F33" s="26" t="inlineStr">
        <is>
          <t>Master in Sciences &amp; Technology, major "Embedded Electronic Systems"</t>
        </is>
      </c>
      <c r="G33" s="25" t="inlineStr">
        <is>
          <t>Master indifférencié (recherche et professionnel)</t>
        </is>
      </c>
      <c r="H33" s="25" t="inlineStr">
        <is>
          <t>Ecole supérieure d'ingénieurs en génie électrique</t>
        </is>
      </c>
      <c r="I33" s="25" t="n"/>
      <c r="J33" s="25" t="inlineStr">
        <is>
          <t>Site de Saint-Etienne-du-Rouvray</t>
        </is>
      </c>
      <c r="K33" s="25" t="n"/>
      <c r="L33" s="25" t="inlineStr">
        <is>
          <t>Private / EESPIG</t>
        </is>
      </c>
      <c r="M33" s="25" t="inlineStr">
        <is>
          <t>English</t>
        </is>
      </c>
      <c r="N33" s="25" t="inlineStr">
        <is>
          <t>Taught in English</t>
        </is>
      </c>
      <c r="O33" s="25" t="inlineStr">
        <is>
          <t>Bac +4 / Bac +5</t>
        </is>
      </c>
      <c r="P33" s="26" t="inlineStr">
        <is>
          <t>Eligible on level (4-yr BS ≈ Bac+4)</t>
        </is>
      </c>
      <c r="Q33" s="25" t="inlineStr">
        <is>
          <t>1/2</t>
        </is>
      </c>
      <c r="R33" s="25" t="inlineStr">
        <is>
          <t>24</t>
        </is>
      </c>
      <c r="S33" s="27" t="n">
        <v>17000</v>
      </c>
      <c r="T33" s="27" t="n"/>
      <c r="U33" s="25" t="n">
        <v>2</v>
      </c>
      <c r="V33" s="27">
        <f>IF(S33="","",S33*U33)</f>
        <v/>
      </c>
      <c r="W33" s="26" t="inlineStr">
        <is>
          <t>Catalogue fee €17,000/yr (entered by institution).</t>
        </is>
      </c>
      <c r="X33" s="25" t="inlineStr">
        <is>
          <t>High</t>
        </is>
      </c>
      <c r="Y33" s="25" t="inlineStr">
        <is>
          <t>17000</t>
        </is>
      </c>
      <c r="Z33" s="26" t="n"/>
      <c r="AA33" s="26" t="n"/>
      <c r="AB33" s="25" t="n"/>
      <c r="AC33" s="25" t="inlineStr">
        <is>
          <t>Open</t>
        </is>
      </c>
      <c r="AD33" s="25" t="inlineStr">
        <is>
          <t>2026-10-01</t>
        </is>
      </c>
      <c r="AE33" s="25" t="inlineStr">
        <is>
          <t>2027-03-15</t>
        </is>
      </c>
      <c r="AF33" s="25" t="inlineStr">
        <is>
          <t>Yes</t>
        </is>
      </c>
      <c r="AG33" s="28" t="inlineStr">
        <is>
          <t>http://www.esigelec.fr</t>
        </is>
      </c>
      <c r="AH33" s="26" t="inlineStr">
        <is>
          <t>All courses are taught in English Admission Bachelor degree in engineering domains (Electronics, Computer Science,..) English proficiency Level equivalent to 6.0 at IELTS Interview in english with a representative of the</t>
        </is>
      </c>
      <c r="AI33" s="28" t="inlineStr">
        <is>
          <t>Open in EEF</t>
        </is>
      </c>
    </row>
    <row r="34" ht="43.25" customHeight="1" s="19">
      <c r="A34" s="25" t="n">
        <v>33</v>
      </c>
      <c r="B34" s="25" t="inlineStr">
        <is>
          <t>★★★★★</t>
        </is>
      </c>
      <c r="C34" s="25" t="inlineStr">
        <is>
          <t>5 – Core fit (embedded/biomedical/health tech)</t>
        </is>
      </c>
      <c r="D34" s="25" t="inlineStr">
        <is>
          <t>Embedded systems / Electronics</t>
        </is>
      </c>
      <c r="E34" s="26" t="inlineStr">
        <is>
          <t>Mastère Spécialisé® / Advanced Master EMS Embedded Systems</t>
        </is>
      </c>
      <c r="F34" s="26" t="inlineStr">
        <is>
          <t>Mastère Spécialisé® / Advanced Master EMS Embedded Systems</t>
        </is>
      </c>
      <c r="G34" s="25" t="inlineStr">
        <is>
          <t>Mastère spécialisé</t>
        </is>
      </c>
      <c r="H34" s="25" t="inlineStr">
        <is>
          <t>Institut supérieur de l'aéronautique et de l'espace</t>
        </is>
      </c>
      <c r="I34" s="25" t="n"/>
      <c r="J34" s="25" t="inlineStr">
        <is>
          <t>Site de Toulouse</t>
        </is>
      </c>
      <c r="K34" s="25" t="n"/>
      <c r="L34" s="25" t="inlineStr">
        <is>
          <t>Public school / institute</t>
        </is>
      </c>
      <c r="M34" s="25" t="inlineStr">
        <is>
          <t>English</t>
        </is>
      </c>
      <c r="N34" s="25" t="inlineStr">
        <is>
          <t>General</t>
        </is>
      </c>
      <c r="O34" s="25" t="inlineStr">
        <is>
          <t>Bac +6</t>
        </is>
      </c>
      <c r="P34" s="26" t="inlineStr">
        <is>
          <t>Possible – MS rules allow Bac+4 + ≥3 yrs work experience (you have 3)</t>
        </is>
      </c>
      <c r="Q34" s="25" t="inlineStr">
        <is>
          <t>1</t>
        </is>
      </c>
      <c r="R34" s="25" t="inlineStr">
        <is>
          <t>12</t>
        </is>
      </c>
      <c r="S34" s="27" t="n">
        <v>17000</v>
      </c>
      <c r="T34" s="27" t="n"/>
      <c r="U34" s="25" t="n">
        <v>1</v>
      </c>
      <c r="V34" s="27">
        <f>IF(S34="","",S34*U34)</f>
        <v/>
      </c>
      <c r="W34" s="26" t="inlineStr">
        <is>
          <t>ISAE-SUPAERO Advanced Master: €17,000 (non-EU self-funded) / €23,000 company-funded – 2025-26 rates (official site).</t>
        </is>
      </c>
      <c r="X34" s="25" t="inlineStr">
        <is>
          <t>High</t>
        </is>
      </c>
      <c r="Y34" s="25" t="n"/>
      <c r="Z34" s="26" t="n"/>
      <c r="AA34" s="26" t="n"/>
      <c r="AB34" s="25" t="n"/>
      <c r="AC34" s="25" t="inlineStr">
        <is>
          <t>Open</t>
        </is>
      </c>
      <c r="AD34" s="25" t="inlineStr">
        <is>
          <t>2026-10-01</t>
        </is>
      </c>
      <c r="AE34" s="25" t="inlineStr">
        <is>
          <t>2027-03-15</t>
        </is>
      </c>
      <c r="AF34" s="25" t="inlineStr">
        <is>
          <t>Yes</t>
        </is>
      </c>
      <c r="AG34" s="28" t="inlineStr">
        <is>
          <t>https://www.tsaae.fr/</t>
        </is>
      </c>
      <c r="AH34" s="26" t="inlineStr">
        <is>
          <t>Candidates can apply for our programme with the following backgrounds: Engineering degree Master 2 Master 1 with three years’ post-graduate professional experience A Master’s degree from a business school that is a membe</t>
        </is>
      </c>
      <c r="AI34" s="28" t="inlineStr">
        <is>
          <t>Open in EEF</t>
        </is>
      </c>
    </row>
    <row r="35" ht="43.25" customHeight="1" s="19">
      <c r="A35" s="25" t="n">
        <v>34</v>
      </c>
      <c r="B35" s="25" t="inlineStr">
        <is>
          <t>★★★★★</t>
        </is>
      </c>
      <c r="C35" s="25" t="inlineStr">
        <is>
          <t>5 – Core fit (embedded/biomedical/health tech)</t>
        </is>
      </c>
      <c r="D35" s="25" t="inlineStr">
        <is>
          <t>Embedded systems / Electronics</t>
        </is>
      </c>
      <c r="E35" s="26" t="inlineStr">
        <is>
          <t>Mastère Spécialisé® / Advanced Master EMS Embedded Systems</t>
        </is>
      </c>
      <c r="F35" s="26" t="inlineStr">
        <is>
          <t>Mastère Spécialisé® / Advanced Master EMS Embedded Systems</t>
        </is>
      </c>
      <c r="G35" s="25" t="inlineStr">
        <is>
          <t>Mastère spécialisé</t>
        </is>
      </c>
      <c r="H35" s="25" t="inlineStr">
        <is>
          <t>Institut supérieur de l'aéronautique et de l'espace</t>
        </is>
      </c>
      <c r="I35" s="25" t="n"/>
      <c r="J35" s="25" t="inlineStr">
        <is>
          <t>Site de Toulouse</t>
        </is>
      </c>
      <c r="K35" s="25" t="n"/>
      <c r="L35" s="25" t="inlineStr">
        <is>
          <t>Public school / institute</t>
        </is>
      </c>
      <c r="M35" s="25" t="inlineStr">
        <is>
          <t>English</t>
        </is>
      </c>
      <c r="N35" s="25" t="inlineStr">
        <is>
          <t>Taught in English</t>
        </is>
      </c>
      <c r="O35" s="25" t="inlineStr">
        <is>
          <t>Bac +6</t>
        </is>
      </c>
      <c r="P35" s="26" t="inlineStr">
        <is>
          <t>Possible – MS rules allow Bac+4 + ≥3 yrs work experience (you have 3)</t>
        </is>
      </c>
      <c r="Q35" s="25" t="inlineStr">
        <is>
          <t>1</t>
        </is>
      </c>
      <c r="R35" s="25" t="inlineStr">
        <is>
          <t>12</t>
        </is>
      </c>
      <c r="S35" s="27" t="n">
        <v>17000</v>
      </c>
      <c r="T35" s="27" t="n"/>
      <c r="U35" s="25" t="n">
        <v>1</v>
      </c>
      <c r="V35" s="27">
        <f>IF(S35="","",S35*U35)</f>
        <v/>
      </c>
      <c r="W35" s="26" t="inlineStr">
        <is>
          <t>ISAE-SUPAERO Advanced Master: €17,000 (non-EU self-funded) / €23,000 company-funded – 2025-26 rates (official site).</t>
        </is>
      </c>
      <c r="X35" s="25" t="inlineStr">
        <is>
          <t>High</t>
        </is>
      </c>
      <c r="Y35" s="25" t="n"/>
      <c r="Z35" s="26" t="n"/>
      <c r="AA35" s="26" t="n"/>
      <c r="AB35" s="25" t="n"/>
      <c r="AC35" s="25" t="inlineStr">
        <is>
          <t>Open</t>
        </is>
      </c>
      <c r="AD35" s="25" t="inlineStr">
        <is>
          <t>2026-10-01</t>
        </is>
      </c>
      <c r="AE35" s="25" t="inlineStr">
        <is>
          <t>2027-03-15</t>
        </is>
      </c>
      <c r="AF35" s="25" t="inlineStr">
        <is>
          <t>Yes</t>
        </is>
      </c>
      <c r="AG35" s="28" t="inlineStr">
        <is>
          <t>https://www.tsaae.fr/</t>
        </is>
      </c>
      <c r="AH35" s="26" t="inlineStr">
        <is>
          <t>Candidates can apply for our programme with the following backgrounds: Engineering degree Master 2 Master 1 with three years’ post-graduate professional experience A Master’s degree from a business school that is a membe</t>
        </is>
      </c>
      <c r="AI35" s="28" t="inlineStr">
        <is>
          <t>Open in EEF</t>
        </is>
      </c>
    </row>
    <row r="36" ht="32.8" customHeight="1" s="19">
      <c r="A36" s="25" t="n">
        <v>35</v>
      </c>
      <c r="B36" s="25" t="inlineStr">
        <is>
          <t>★★★★★</t>
        </is>
      </c>
      <c r="C36" s="25" t="inlineStr">
        <is>
          <t>5 – Core fit (embedded/biomedical/health tech)</t>
        </is>
      </c>
      <c r="D36" s="25" t="inlineStr">
        <is>
          <t>IoT / Telecom / Networks</t>
        </is>
      </c>
      <c r="E36" s="26" t="inlineStr">
        <is>
          <t>Master Sciences, technologies et santé mention Réseaux et Télécommunication parcours Internet des Objets</t>
        </is>
      </c>
      <c r="F36" s="26" t="inlineStr">
        <is>
          <t>Master Sciences, Technologies &amp; Health – major: Networks &amp; Telecommunication – track: Internet of Things</t>
        </is>
      </c>
      <c r="G36" s="25" t="inlineStr">
        <is>
          <t>Master indifférencié (recherche et professionnel)</t>
        </is>
      </c>
      <c r="H36" s="25" t="inlineStr">
        <is>
          <t>EURECOM</t>
        </is>
      </c>
      <c r="I36" s="25" t="n"/>
      <c r="J36" s="25" t="inlineStr">
        <is>
          <t>EURECOM</t>
        </is>
      </c>
      <c r="K36" s="25" t="inlineStr">
        <is>
          <t>06410 Biot - Sophia Antipolis</t>
        </is>
      </c>
      <c r="L36" s="25" t="inlineStr">
        <is>
          <t>Private / EESPIG</t>
        </is>
      </c>
      <c r="M36" s="25" t="inlineStr">
        <is>
          <t>English</t>
        </is>
      </c>
      <c r="N36" s="25" t="inlineStr">
        <is>
          <t>General</t>
        </is>
      </c>
      <c r="O36" s="25" t="inlineStr">
        <is>
          <t>Bac +4</t>
        </is>
      </c>
      <c r="P36" s="26" t="inlineStr">
        <is>
          <t>Eligible on level (4-yr BS ≈ Bac+4)</t>
        </is>
      </c>
      <c r="Q36" s="25" t="inlineStr">
        <is>
          <t>1</t>
        </is>
      </c>
      <c r="R36" s="25" t="inlineStr">
        <is>
          <t>24</t>
        </is>
      </c>
      <c r="S36" s="27" t="n">
        <v>18000</v>
      </c>
      <c r="T36" s="27" t="n"/>
      <c r="U36" s="25" t="n">
        <v>2</v>
      </c>
      <c r="V36" s="27">
        <f>IF(S36="","",S36*U36)</f>
        <v/>
      </c>
      <c r="W36" s="26" t="inlineStr">
        <is>
          <t>Catalogue fee €18,000/yr (entered by institution).</t>
        </is>
      </c>
      <c r="X36" s="25" t="inlineStr">
        <is>
          <t>High</t>
        </is>
      </c>
      <c r="Y36" s="25" t="inlineStr">
        <is>
          <t>18000</t>
        </is>
      </c>
      <c r="Z36" s="26" t="inlineStr">
        <is>
          <t>dmission définitive dans le programme est conditionnée à la réception d’un acompte de 1000€ sur les frais de formation</t>
        </is>
      </c>
      <c r="AA36" s="26" t="n"/>
      <c r="AB36" s="25" t="n"/>
      <c r="AC36" s="25" t="inlineStr">
        <is>
          <t>Open</t>
        </is>
      </c>
      <c r="AD36" s="25" t="inlineStr">
        <is>
          <t>2026-10-01</t>
        </is>
      </c>
      <c r="AE36" s="25" t="inlineStr">
        <is>
          <t>2027-03-15</t>
        </is>
      </c>
      <c r="AF36" s="25" t="inlineStr">
        <is>
          <t>Yes</t>
        </is>
      </c>
      <c r="AG36" s="28" t="inlineStr">
        <is>
          <t>https://www.eurecom.fr/fr/les-formations/master-en-reseaux-et-telecommunication/master-en-reseaux-et-telecommunication-1</t>
        </is>
      </c>
      <c r="AH36" s="26" t="inlineStr">
        <is>
          <t>Pour être éligibles, les candidats doivent être titulaires: un diplôme de grade de Licence/Bachelor ou diplôme équivalent à 3 années minimum d'études supérieures d'une université réputée dans le domaine des technologies</t>
        </is>
      </c>
      <c r="AI36" s="28" t="inlineStr">
        <is>
          <t>Open in EEF</t>
        </is>
      </c>
    </row>
    <row r="37" ht="32.8" customHeight="1" s="19">
      <c r="A37" s="25" t="n">
        <v>36</v>
      </c>
      <c r="B37" s="25" t="inlineStr">
        <is>
          <t>★★★★★</t>
        </is>
      </c>
      <c r="C37" s="25" t="inlineStr">
        <is>
          <t>5 – Core fit (embedded/biomedical/health tech)</t>
        </is>
      </c>
      <c r="D37" s="25" t="inlineStr">
        <is>
          <t>Biomedical / Health tech</t>
        </is>
      </c>
      <c r="E37" s="26" t="inlineStr">
        <is>
          <t>Master Sciences, Technologies &amp; Health in Networks &amp; Telecommunication - Internet of Things track</t>
        </is>
      </c>
      <c r="F37" s="26" t="inlineStr">
        <is>
          <t>Master Sciences, Technologies &amp; Health in Networks &amp; Telecommunication - Internet of Things track</t>
        </is>
      </c>
      <c r="G37" s="25" t="inlineStr">
        <is>
          <t>Master indifférencié (recherche et professionnel)</t>
        </is>
      </c>
      <c r="H37" s="25" t="inlineStr">
        <is>
          <t>EURECOM</t>
        </is>
      </c>
      <c r="I37" s="25" t="n"/>
      <c r="J37" s="25" t="inlineStr">
        <is>
          <t>EURECOM</t>
        </is>
      </c>
      <c r="K37" s="25" t="inlineStr">
        <is>
          <t>06410 Biot - Sophia Antipolis</t>
        </is>
      </c>
      <c r="L37" s="25" t="inlineStr">
        <is>
          <t>Private / EESPIG</t>
        </is>
      </c>
      <c r="M37" s="25" t="inlineStr">
        <is>
          <t>English</t>
        </is>
      </c>
      <c r="N37" s="25" t="inlineStr">
        <is>
          <t>Taught in English</t>
        </is>
      </c>
      <c r="O37" s="25" t="inlineStr">
        <is>
          <t>Bac +4</t>
        </is>
      </c>
      <c r="P37" s="26" t="inlineStr">
        <is>
          <t>Eligible on level (4-yr BS ≈ Bac+4)</t>
        </is>
      </c>
      <c r="Q37" s="25" t="inlineStr">
        <is>
          <t>1</t>
        </is>
      </c>
      <c r="R37" s="25" t="inlineStr">
        <is>
          <t>24</t>
        </is>
      </c>
      <c r="S37" s="27" t="n">
        <v>18000</v>
      </c>
      <c r="T37" s="27" t="n"/>
      <c r="U37" s="25" t="n">
        <v>2</v>
      </c>
      <c r="V37" s="27">
        <f>IF(S37="","",S37*U37)</f>
        <v/>
      </c>
      <c r="W37" s="26" t="inlineStr">
        <is>
          <t>Catalogue fee €18,000/yr (entered by institution).</t>
        </is>
      </c>
      <c r="X37" s="25" t="inlineStr">
        <is>
          <t>High</t>
        </is>
      </c>
      <c r="Y37" s="25" t="inlineStr">
        <is>
          <t>18000</t>
        </is>
      </c>
      <c r="Z37" s="26" t="inlineStr">
        <is>
          <t>h or French Final admission to the program is contingent upon the receipt of a deposit of €1000 on tuition fees</t>
        </is>
      </c>
      <c r="AA37" s="26" t="n"/>
      <c r="AB37" s="25" t="n"/>
      <c r="AC37" s="25" t="inlineStr">
        <is>
          <t>Open</t>
        </is>
      </c>
      <c r="AD37" s="25" t="inlineStr">
        <is>
          <t>2026-10-01</t>
        </is>
      </c>
      <c r="AE37" s="25" t="inlineStr">
        <is>
          <t>2027-03-15</t>
        </is>
      </c>
      <c r="AF37" s="25" t="inlineStr">
        <is>
          <t>Yes</t>
        </is>
      </c>
      <c r="AG37" s="28" t="inlineStr">
        <is>
          <t>https://www.eurecom.fr/en/teaching/master-networks-and-telecommunication/msc-networks-and-telecommunication-internet-things</t>
        </is>
      </c>
      <c r="AH37" s="26" t="inlineStr">
        <is>
          <t>To be eligible, candidates must hold: a Bachelor's degree or diploma equivalent to at least 3 years of higher education from a reputable university in the field of information and communication technologies. (Computer sc</t>
        </is>
      </c>
      <c r="AI37" s="28" t="inlineStr">
        <is>
          <t>Open in EEF</t>
        </is>
      </c>
    </row>
    <row r="38" ht="32.8" customHeight="1" s="19">
      <c r="A38" s="25" t="n">
        <v>37</v>
      </c>
      <c r="B38" s="25" t="inlineStr">
        <is>
          <t>★★★★☆</t>
        </is>
      </c>
      <c r="C38" s="25" t="inlineStr">
        <is>
          <t>4 – Strong fit (electronics/signal/robotics/IoT/sensors)</t>
        </is>
      </c>
      <c r="D38" s="25" t="inlineStr">
        <is>
          <t>Robotics / Automation / Mechatronics</t>
        </is>
      </c>
      <c r="E38" s="26" t="inlineStr">
        <is>
          <t>Master indifférencié (recherche et professionnel) mention Automatique et Systèmes Électriques1 parcours Energie électrique et développement durable / electrical engineering for sustainable development.</t>
        </is>
      </c>
      <c r="F38" s="26" t="inlineStr">
        <is>
          <t>major: Automation &amp; Systems Electrical1 – track: Energy Electrical &amp; Development Sustainable / electrical engineering for sustainable development.</t>
        </is>
      </c>
      <c r="G38" s="25" t="inlineStr">
        <is>
          <t>Master indifférencié (recherche et professionnel)</t>
        </is>
      </c>
      <c r="H38" s="25" t="inlineStr">
        <is>
          <t>Faculté des sciences et technologies</t>
        </is>
      </c>
      <c r="I38" s="25" t="inlineStr">
        <is>
          <t>Université de Lille</t>
        </is>
      </c>
      <c r="J38" s="25" t="inlineStr">
        <is>
          <t>Département Electronique, électrotechnique et automatique</t>
        </is>
      </c>
      <c r="K38" s="25" t="n"/>
      <c r="L38" s="25" t="inlineStr">
        <is>
          <t>Public university</t>
        </is>
      </c>
      <c r="M38" s="25" t="inlineStr">
        <is>
          <t>English</t>
        </is>
      </c>
      <c r="N38" s="25" t="inlineStr">
        <is>
          <t>Taught in English</t>
        </is>
      </c>
      <c r="O38" s="25" t="inlineStr">
        <is>
          <t>Bac +4 / Bac +5</t>
        </is>
      </c>
      <c r="P38" s="26" t="inlineStr">
        <is>
          <t>Eligible on level (4-yr BS ≈ Bac+4)</t>
        </is>
      </c>
      <c r="Q38" s="25" t="inlineStr">
        <is>
          <t>1/2</t>
        </is>
      </c>
      <c r="R38" s="25" t="inlineStr">
        <is>
          <t>12</t>
        </is>
      </c>
      <c r="S38" s="27" t="n">
        <v>255</v>
      </c>
      <c r="T38" s="27" t="n"/>
      <c r="U38" s="25" t="n">
        <v>2</v>
      </c>
      <c r="V38" s="27">
        <f>IF(S38="","",S38*U38)</f>
        <v/>
      </c>
      <c r="W38" s="26" t="inlineStr">
        <is>
          <t>Catalogue lists €255 (EU/national rate). Confirm whether non-EU surcharge applies.</t>
        </is>
      </c>
      <c r="X38" s="25" t="inlineStr">
        <is>
          <t>Medium</t>
        </is>
      </c>
      <c r="Y38" s="25" t="inlineStr">
        <is>
          <t>255/3950</t>
        </is>
      </c>
      <c r="Z38" s="26" t="n"/>
      <c r="AA38" s="26" t="inlineStr">
        <is>
          <t>Lille opposed the decree; continues exemptions for part of non-EU students (master €254 if exempted). Apply for exemption early.</t>
        </is>
      </c>
      <c r="AB38" s="28" t="inlineStr">
        <is>
          <t>https://observalgerie.com/2026/06/13/misc/frais-dinscription-en-france-lille-maintient-un-avantage-pour-les-etudiants-etrangers/</t>
        </is>
      </c>
      <c r="AC38" s="25" t="inlineStr">
        <is>
          <t>Open</t>
        </is>
      </c>
      <c r="AD38" s="25" t="inlineStr">
        <is>
          <t>2026-10-01</t>
        </is>
      </c>
      <c r="AE38" s="25" t="inlineStr">
        <is>
          <t>2027-03-15</t>
        </is>
      </c>
      <c r="AF38" s="25" t="inlineStr">
        <is>
          <t>No</t>
        </is>
      </c>
      <c r="AG38" s="28" t="inlineStr">
        <is>
          <t>https://formation.univ-lille.fr/fr/offre-de-formation/master-lmd-XB/master-automatique-et-systemes-electriques-MG001978/energie-electrique-et-developpement-durable-electrical-engineering-for-sustainable-development-m2-MX002024.html</t>
        </is>
      </c>
      <c r="AH38" s="26" t="inlineStr">
        <is>
          <t>Le candidat doit avoir un niveau M1 ou équivalent en EEA (Electronique, Electrotechique et Automatique). Niveau d'anglais C1 exigé.</t>
        </is>
      </c>
      <c r="AI38" s="28" t="inlineStr">
        <is>
          <t>Open in EEF</t>
        </is>
      </c>
    </row>
    <row r="39" ht="32.8" customHeight="1" s="19">
      <c r="A39" s="25" t="n">
        <v>38</v>
      </c>
      <c r="B39" s="25" t="inlineStr">
        <is>
          <t>★★★★☆</t>
        </is>
      </c>
      <c r="C39" s="25" t="inlineStr">
        <is>
          <t>4 – Strong fit (electronics/signal/robotics/IoT/sensors)</t>
        </is>
      </c>
      <c r="D39" s="25" t="inlineStr">
        <is>
          <t>Neuroscience / Neuro-engineering</t>
        </is>
      </c>
      <c r="E39" s="26" t="inlineStr">
        <is>
          <t>Euro-mediterranean Master in Neurosciences Online -</t>
        </is>
      </c>
      <c r="F39" s="26" t="inlineStr">
        <is>
          <t>Euro-mediterranean Master in Neuroscience Online</t>
        </is>
      </c>
      <c r="G39" s="25" t="inlineStr">
        <is>
          <t>Master indifférencié (recherche et professionnel)</t>
        </is>
      </c>
      <c r="H39" s="25" t="inlineStr">
        <is>
          <t>Faculté des sciences de la vie</t>
        </is>
      </c>
      <c r="I39" s="25" t="inlineStr">
        <is>
          <t>Université de Strasbourg</t>
        </is>
      </c>
      <c r="J39" s="25" t="inlineStr">
        <is>
          <t>Site de Strasbourg</t>
        </is>
      </c>
      <c r="K39" s="25" t="inlineStr">
        <is>
          <t>67000 Strasbourg</t>
        </is>
      </c>
      <c r="L39" s="25" t="inlineStr">
        <is>
          <t>Public university</t>
        </is>
      </c>
      <c r="M39" s="25" t="inlineStr">
        <is>
          <t>English</t>
        </is>
      </c>
      <c r="N39" s="25" t="inlineStr">
        <is>
          <t>General</t>
        </is>
      </c>
      <c r="O39" s="25" t="inlineStr">
        <is>
          <t>Bac +4</t>
        </is>
      </c>
      <c r="P39" s="26" t="inlineStr">
        <is>
          <t>Eligible on level (4-yr BS ≈ Bac+4)</t>
        </is>
      </c>
      <c r="Q39" s="25" t="inlineStr">
        <is>
          <t>1</t>
        </is>
      </c>
      <c r="R39" s="25" t="n"/>
      <c r="S39" s="27" t="n">
        <v>3950</v>
      </c>
      <c r="T39" s="27" t="n">
        <v>255</v>
      </c>
      <c r="U39" s="25" t="n">
        <v>2</v>
      </c>
      <c r="V39" s="27">
        <f>IF(S39="","",S39*U39)</f>
        <v/>
      </c>
      <c r="W39" s="26" t="inlineStr">
        <is>
          <t>Catalogue: €3,950. = national differentiated master fee (2026-27: €3,950). Exemption to ~€255 possible (university quota).</t>
        </is>
      </c>
      <c r="X39" s="25" t="inlineStr">
        <is>
          <t>High</t>
        </is>
      </c>
      <c r="Y39" s="25" t="inlineStr">
        <is>
          <t>3950</t>
        </is>
      </c>
      <c r="Z39" s="26" t="n"/>
      <c r="AA39" s="26" t="inlineStr">
        <is>
          <t>Unistra: master entrants who did not do their licence at Unistra pay the differentiated fee (€3,950).</t>
        </is>
      </c>
      <c r="AB39" s="28" t="inlineStr">
        <is>
          <t>https://www.unistra.fr/fr/node/8168</t>
        </is>
      </c>
      <c r="AC39" s="25" t="inlineStr">
        <is>
          <t>Open</t>
        </is>
      </c>
      <c r="AD39" s="25" t="inlineStr">
        <is>
          <t>2026-10-01</t>
        </is>
      </c>
      <c r="AE39" s="25" t="inlineStr">
        <is>
          <t>2027-03-15</t>
        </is>
      </c>
      <c r="AF39" s="25" t="inlineStr">
        <is>
          <t>No</t>
        </is>
      </c>
      <c r="AG39" s="28" t="inlineStr">
        <is>
          <t>http://sciencesvie.unistra.fr/</t>
        </is>
      </c>
      <c r="AH39" s="26" t="inlineStr">
        <is>
          <t>Le programme propose un cursus international en neuroscience, avec des cours et des évaluations identiques dispensés par chacune des 4 Universités Françaises ainsi que 14 partenaires issus d’Europe et de la zone méditerr</t>
        </is>
      </c>
      <c r="AI39" s="28" t="inlineStr">
        <is>
          <t>Open in EEF</t>
        </is>
      </c>
    </row>
    <row r="40" ht="32.8" customHeight="1" s="19">
      <c r="A40" s="25" t="n">
        <v>39</v>
      </c>
      <c r="B40" s="25" t="inlineStr">
        <is>
          <t>★★★★☆</t>
        </is>
      </c>
      <c r="C40" s="25" t="inlineStr">
        <is>
          <t>4 – Strong fit (electronics/signal/robotics/IoT/sensors)</t>
        </is>
      </c>
      <c r="D40" s="25" t="inlineStr">
        <is>
          <t>Neuroscience / Neuro-engineering</t>
        </is>
      </c>
      <c r="E40" s="26" t="inlineStr">
        <is>
          <t>Interdisciplinary trainining in Neuroscience and Pain</t>
        </is>
      </c>
      <c r="F40" s="26" t="inlineStr">
        <is>
          <t>Interdisciplinary trainining in Neuroscience and Pain</t>
        </is>
      </c>
      <c r="G40" s="25" t="inlineStr">
        <is>
          <t>Master indifférencié (recherche et professionnel)</t>
        </is>
      </c>
      <c r="H40" s="25" t="inlineStr">
        <is>
          <t>Faculté des sciences de la vie</t>
        </is>
      </c>
      <c r="I40" s="25" t="inlineStr">
        <is>
          <t>Université de Strasbourg</t>
        </is>
      </c>
      <c r="J40" s="25" t="inlineStr">
        <is>
          <t>Site de Strasbourg</t>
        </is>
      </c>
      <c r="K40" s="25" t="inlineStr">
        <is>
          <t>67000 Strasbourg</t>
        </is>
      </c>
      <c r="L40" s="25" t="inlineStr">
        <is>
          <t>Public university</t>
        </is>
      </c>
      <c r="M40" s="25" t="inlineStr">
        <is>
          <t>English</t>
        </is>
      </c>
      <c r="N40" s="25" t="inlineStr">
        <is>
          <t>General</t>
        </is>
      </c>
      <c r="O40" s="25" t="inlineStr">
        <is>
          <t>Bac +4 / Bac +5</t>
        </is>
      </c>
      <c r="P40" s="26" t="inlineStr">
        <is>
          <t>Eligible on level (4-yr BS ≈ Bac+4)</t>
        </is>
      </c>
      <c r="Q40" s="25" t="inlineStr">
        <is>
          <t>1/2</t>
        </is>
      </c>
      <c r="R40" s="25" t="n"/>
      <c r="S40" s="27" t="n">
        <v>3950</v>
      </c>
      <c r="T40" s="27" t="n">
        <v>255</v>
      </c>
      <c r="U40" s="25" t="n">
        <v>2</v>
      </c>
      <c r="V40" s="27">
        <f>IF(S40="","",S40*U40)</f>
        <v/>
      </c>
      <c r="W40" s="26" t="inlineStr">
        <is>
          <t>Catalogue: €3,950. = national differentiated master fee (2026-27: €3,950). Exemption to ~€255 possible (university quota).</t>
        </is>
      </c>
      <c r="X40" s="25" t="inlineStr">
        <is>
          <t>High</t>
        </is>
      </c>
      <c r="Y40" s="25" t="inlineStr">
        <is>
          <t>3950</t>
        </is>
      </c>
      <c r="Z40" s="26" t="n"/>
      <c r="AA40" s="26" t="inlineStr">
        <is>
          <t>Unistra: master entrants who did not do their licence at Unistra pay the differentiated fee (€3,950).</t>
        </is>
      </c>
      <c r="AB40" s="28" t="inlineStr">
        <is>
          <t>https://www.unistra.fr/fr/node/8168</t>
        </is>
      </c>
      <c r="AC40" s="25" t="inlineStr">
        <is>
          <t>Open</t>
        </is>
      </c>
      <c r="AD40" s="25" t="inlineStr">
        <is>
          <t>2026-10-01</t>
        </is>
      </c>
      <c r="AE40" s="25" t="inlineStr">
        <is>
          <t>2027-03-15</t>
        </is>
      </c>
      <c r="AF40" s="25" t="inlineStr">
        <is>
          <t>No</t>
        </is>
      </c>
      <c r="AG40" s="28" t="inlineStr">
        <is>
          <t>http://sciencesvie.unistra.fr/</t>
        </is>
      </c>
      <c r="AH40" s="26" t="inlineStr">
        <is>
          <t>M1 : La sélection et le classement des dossiers de candidature reposeront sur l'examen des résultats académiques de l'ensemble de la licence, permettant de justifier d'un niveau suffisant pour une poursuite en master dan</t>
        </is>
      </c>
      <c r="AI40" s="28" t="inlineStr">
        <is>
          <t>Open in EEF</t>
        </is>
      </c>
    </row>
    <row r="41" ht="32.8" customHeight="1" s="19">
      <c r="A41" s="25" t="n">
        <v>40</v>
      </c>
      <c r="B41" s="25" t="inlineStr">
        <is>
          <t>★★★★☆</t>
        </is>
      </c>
      <c r="C41" s="25" t="inlineStr">
        <is>
          <t>4 – Strong fit (electronics/signal/robotics/IoT/sensors)</t>
        </is>
      </c>
      <c r="D41" s="25" t="inlineStr">
        <is>
          <t>Signal / Image / Vision</t>
        </is>
      </c>
      <c r="E41" s="26" t="inlineStr">
        <is>
          <t>Master indifférencié (recherche et professionnel) Sciences, technologies, santé mention Optique, image, vision, mutlimédia parcours international biométrie et vision intelligente (I-BVI)</t>
        </is>
      </c>
      <c r="F41" s="26" t="inlineStr">
        <is>
          <t>Science, Technology, Health (STS) – major: Optics, Image, Vision, Multimedia – track: international biométrie &amp; Vision intelligente (I-BVI)</t>
        </is>
      </c>
      <c r="G41" s="25" t="inlineStr">
        <is>
          <t>Master indifférencié (recherche et professionnel)</t>
        </is>
      </c>
      <c r="H41" s="25" t="inlineStr">
        <is>
          <t>UFR des sciences et technologie</t>
        </is>
      </c>
      <c r="I41" s="25" t="inlineStr">
        <is>
          <t>Université Paris-Est Créteil Val-de-Marne</t>
        </is>
      </c>
      <c r="J41" s="25" t="inlineStr">
        <is>
          <t>Site de Créteil</t>
        </is>
      </c>
      <c r="K41" s="25" t="n"/>
      <c r="L41" s="25" t="inlineStr">
        <is>
          <t>Public university</t>
        </is>
      </c>
      <c r="M41" s="25" t="inlineStr">
        <is>
          <t>English</t>
        </is>
      </c>
      <c r="N41" s="25" t="inlineStr">
        <is>
          <t>General</t>
        </is>
      </c>
      <c r="O41" s="25" t="inlineStr">
        <is>
          <t>Bac +4 / Bac +5</t>
        </is>
      </c>
      <c r="P41" s="26" t="inlineStr">
        <is>
          <t>Eligible on level (4-yr BS ≈ Bac+4)</t>
        </is>
      </c>
      <c r="Q41" s="25" t="inlineStr">
        <is>
          <t>1/2</t>
        </is>
      </c>
      <c r="R41" s="25" t="inlineStr">
        <is>
          <t>10</t>
        </is>
      </c>
      <c r="S41" s="27" t="n">
        <v>3950</v>
      </c>
      <c r="T41" s="27" t="n">
        <v>255</v>
      </c>
      <c r="U41" s="25" t="n">
        <v>2</v>
      </c>
      <c r="V41" s="27">
        <f>IF(S41="","",S41*U41)</f>
        <v/>
      </c>
      <c r="W41" s="26" t="inlineStr">
        <is>
          <t>Catalogue: €3,950. = national differentiated master fee (2026-27: €3,950). Exemption to ~€255 possible (university quota).</t>
        </is>
      </c>
      <c r="X41" s="25" t="inlineStr">
        <is>
          <t>High</t>
        </is>
      </c>
      <c r="Y41" s="25" t="inlineStr">
        <is>
          <t>3950</t>
        </is>
      </c>
      <c r="Z41" s="26" t="n"/>
      <c r="AA41" s="26" t="n"/>
      <c r="AB41" s="25" t="n"/>
      <c r="AC41" s="25" t="inlineStr">
        <is>
          <t>Open</t>
        </is>
      </c>
      <c r="AD41" s="25" t="inlineStr">
        <is>
          <t>2026-10-01</t>
        </is>
      </c>
      <c r="AE41" s="25" t="inlineStr">
        <is>
          <t>2027-03-15</t>
        </is>
      </c>
      <c r="AF41" s="25" t="inlineStr">
        <is>
          <t>No</t>
        </is>
      </c>
      <c r="AG41" s="28" t="inlineStr">
        <is>
          <t>http://sciences-tech.u-pec.fr</t>
        </is>
      </c>
      <c r="AH41" s="26" t="inlineStr">
        <is>
          <t>traitement d'image, programmation Python</t>
        </is>
      </c>
      <c r="AI41" s="28" t="inlineStr">
        <is>
          <t>Open in EEF</t>
        </is>
      </c>
    </row>
    <row r="42" ht="32.8" customHeight="1" s="19">
      <c r="A42" s="25" t="n">
        <v>41</v>
      </c>
      <c r="B42" s="25" t="inlineStr">
        <is>
          <t>★★★★☆</t>
        </is>
      </c>
      <c r="C42" s="25" t="inlineStr">
        <is>
          <t>4 – Strong fit (electronics/signal/robotics/IoT/sensors)</t>
        </is>
      </c>
      <c r="D42" s="25" t="inlineStr">
        <is>
          <t>Neuroscience / Neuro-engineering</t>
        </is>
      </c>
      <c r="E42" s="26" t="inlineStr">
        <is>
          <t>Master indifférencié (recherche et professionnel) Sciences, technologies, santé mention sciences du vivant parcours Dual Master in Neuroscience</t>
        </is>
      </c>
      <c r="F42" s="26" t="inlineStr">
        <is>
          <t>Science, Technology, Health (STS) – major: Sciences of Life – track: Dual Master in Neuroscience</t>
        </is>
      </c>
      <c r="G42" s="25" t="inlineStr">
        <is>
          <t>Master indifférencié (recherche et professionnel)</t>
        </is>
      </c>
      <c r="H42" s="25" t="inlineStr">
        <is>
          <t>Faculté des sciences de la vie</t>
        </is>
      </c>
      <c r="I42" s="25" t="inlineStr">
        <is>
          <t>Université de Strasbourg</t>
        </is>
      </c>
      <c r="J42" s="25" t="inlineStr">
        <is>
          <t>Site de Strasbourg</t>
        </is>
      </c>
      <c r="K42" s="25" t="inlineStr">
        <is>
          <t>67000 Strasbourg</t>
        </is>
      </c>
      <c r="L42" s="25" t="inlineStr">
        <is>
          <t>Public university</t>
        </is>
      </c>
      <c r="M42" s="25" t="inlineStr">
        <is>
          <t>English</t>
        </is>
      </c>
      <c r="N42" s="25" t="inlineStr">
        <is>
          <t>General</t>
        </is>
      </c>
      <c r="O42" s="25" t="inlineStr">
        <is>
          <t>Bac +4</t>
        </is>
      </c>
      <c r="P42" s="26" t="inlineStr">
        <is>
          <t>Eligible on level (4-yr BS ≈ Bac+4)</t>
        </is>
      </c>
      <c r="Q42" s="25" t="inlineStr">
        <is>
          <t>1</t>
        </is>
      </c>
      <c r="R42" s="25" t="n"/>
      <c r="S42" s="27" t="n">
        <v>3950</v>
      </c>
      <c r="T42" s="27" t="n">
        <v>255</v>
      </c>
      <c r="U42" s="25" t="n">
        <v>2</v>
      </c>
      <c r="V42" s="27">
        <f>IF(S42="","",S42*U42)</f>
        <v/>
      </c>
      <c r="W42" s="26" t="inlineStr">
        <is>
          <t>Catalogue: €3,950. = national differentiated master fee (2026-27: €3,950). Exemption to ~€255 possible (university quota).</t>
        </is>
      </c>
      <c r="X42" s="25" t="inlineStr">
        <is>
          <t>High</t>
        </is>
      </c>
      <c r="Y42" s="25" t="inlineStr">
        <is>
          <t>3950</t>
        </is>
      </c>
      <c r="Z42" s="26" t="n"/>
      <c r="AA42" s="26" t="inlineStr">
        <is>
          <t>Unistra: master entrants who did not do their licence at Unistra pay the differentiated fee (€3,950).</t>
        </is>
      </c>
      <c r="AB42" s="28" t="inlineStr">
        <is>
          <t>https://www.unistra.fr/fr/node/8168</t>
        </is>
      </c>
      <c r="AC42" s="25" t="inlineStr">
        <is>
          <t>Open</t>
        </is>
      </c>
      <c r="AD42" s="25" t="inlineStr">
        <is>
          <t>2026-10-01</t>
        </is>
      </c>
      <c r="AE42" s="25" t="inlineStr">
        <is>
          <t>2027-03-15</t>
        </is>
      </c>
      <c r="AF42" s="25" t="inlineStr">
        <is>
          <t>No</t>
        </is>
      </c>
      <c r="AG42" s="28" t="inlineStr">
        <is>
          <t>http://sciencesvie.unistra.fr/</t>
        </is>
      </c>
      <c r="AH42" s="26" t="inlineStr">
        <is>
          <t>Le parcours DMN est un parcours international de formation avancée en neuroscience organise conjointement par l’université du Manitoba (Canada) et celle de Strasbourg (France). Ce programme délivre un double diplôme de n</t>
        </is>
      </c>
      <c r="AI42" s="28" t="inlineStr">
        <is>
          <t>Open in EEF</t>
        </is>
      </c>
    </row>
    <row r="43" ht="32.8" customHeight="1" s="19">
      <c r="A43" s="25" t="n">
        <v>42</v>
      </c>
      <c r="B43" s="25" t="inlineStr">
        <is>
          <t>★★★★☆</t>
        </is>
      </c>
      <c r="C43" s="25" t="inlineStr">
        <is>
          <t>4 – Strong fit (electronics/signal/robotics/IoT/sensors)</t>
        </is>
      </c>
      <c r="D43" s="25" t="inlineStr">
        <is>
          <t>Robotics / Automation / Mechatronics</t>
        </is>
      </c>
      <c r="E43" s="26" t="inlineStr">
        <is>
          <t>Master indifférencié (recherche et professionnel) Sciences, technologies, santé mention Traitement Automatique des Langues (TAL)</t>
        </is>
      </c>
      <c r="F43" s="26" t="inlineStr">
        <is>
          <t>Science, Technology, Health (STS) – major: Processing Automation of Languages (TAL)</t>
        </is>
      </c>
      <c r="G43" s="25" t="inlineStr">
        <is>
          <t>Master indifférencié (recherche et professionnel)</t>
        </is>
      </c>
      <c r="H43" s="25" t="inlineStr">
        <is>
          <t>Institut des Sciences du Digital, Management et Cognition</t>
        </is>
      </c>
      <c r="I43" s="25" t="inlineStr">
        <is>
          <t>Université de Lorraine</t>
        </is>
      </c>
      <c r="J43" s="25" t="inlineStr">
        <is>
          <t>Site de Nancy</t>
        </is>
      </c>
      <c r="K43" s="25" t="n"/>
      <c r="L43" s="25" t="inlineStr">
        <is>
          <t>Public school / institute</t>
        </is>
      </c>
      <c r="M43" s="25" t="inlineStr">
        <is>
          <t>English</t>
        </is>
      </c>
      <c r="N43" s="25" t="inlineStr">
        <is>
          <t>Taught in English</t>
        </is>
      </c>
      <c r="O43" s="25" t="inlineStr">
        <is>
          <t>Bac +4</t>
        </is>
      </c>
      <c r="P43" s="26" t="inlineStr">
        <is>
          <t>Eligible on level (4-yr BS ≈ Bac+4)</t>
        </is>
      </c>
      <c r="Q43" s="25" t="inlineStr">
        <is>
          <t>1</t>
        </is>
      </c>
      <c r="R43" s="25" t="n"/>
      <c r="S43" s="27" t="n">
        <v>3950</v>
      </c>
      <c r="T43" s="27" t="n">
        <v>255</v>
      </c>
      <c r="U43" s="25" t="n">
        <v>2</v>
      </c>
      <c r="V43" s="27">
        <f>IF(S43="","",S43*U43)</f>
        <v/>
      </c>
      <c r="W43" s="26" t="inlineStr">
        <is>
          <t>Catalogue: €3,950. = national differentiated master fee (2026-27: €3,950). Exemption to ~€255 possible (university quota).</t>
        </is>
      </c>
      <c r="X43" s="25" t="inlineStr">
        <is>
          <t>High</t>
        </is>
      </c>
      <c r="Y43" s="25" t="inlineStr">
        <is>
          <t>3950</t>
        </is>
      </c>
      <c r="Z43" s="26" t="inlineStr">
        <is>
          <t>• Application fees for Msc 1 = 3950€ + Student Life and Campus Contribution (CVEC) whi … ch came to 105€ in 2026/2027</t>
        </is>
      </c>
      <c r="AA43" s="26" t="n"/>
      <c r="AB43" s="25" t="n"/>
      <c r="AC43" s="25" t="inlineStr">
        <is>
          <t>Open</t>
        </is>
      </c>
      <c r="AD43" s="25" t="inlineStr">
        <is>
          <t>2026-10-01</t>
        </is>
      </c>
      <c r="AE43" s="25" t="inlineStr">
        <is>
          <t>2027-03-15</t>
        </is>
      </c>
      <c r="AF43" s="25" t="inlineStr">
        <is>
          <t>No</t>
        </is>
      </c>
      <c r="AG43" s="28" t="inlineStr">
        <is>
          <t>https://idmc.univ-lorraine.fr/idmc-master-degree-in-natural-language-processing/</t>
        </is>
      </c>
      <c r="AH43" s="26" t="inlineStr">
        <is>
          <t>Deadline for transmitting the application form: ( date to be confirmed by the ambassy) Deadline for attending courses: September 01st 2027 Fluency in English required : C1 Academic qualifications : You must hold a « Bac+</t>
        </is>
      </c>
      <c r="AI43" s="28" t="inlineStr">
        <is>
          <t>Open in EEF</t>
        </is>
      </c>
    </row>
    <row r="44" ht="32.8" customHeight="1" s="19">
      <c r="A44" s="25" t="n">
        <v>43</v>
      </c>
      <c r="B44" s="25" t="inlineStr">
        <is>
          <t>★★★★☆</t>
        </is>
      </c>
      <c r="C44" s="25" t="inlineStr">
        <is>
          <t>4 – Strong fit (electronics/signal/robotics/IoT/sensors)</t>
        </is>
      </c>
      <c r="D44" s="25" t="inlineStr">
        <is>
          <t>Sensors / Instrumentation / Micro-Nano / Photonics</t>
        </is>
      </c>
      <c r="E44" s="26" t="inlineStr">
        <is>
          <t>Master indifférencié (recherche et professionnel) spécialité Physique fondamentale et applications parcours Quantum and Photonic Technologies</t>
        </is>
      </c>
      <c r="F44" s="26" t="inlineStr">
        <is>
          <t>specialisation: Physics Fundamental &amp; Applications – track: Quantum and Photonic Technologies</t>
        </is>
      </c>
      <c r="G44" s="25" t="inlineStr">
        <is>
          <t>Master indifférencié (recherche et professionnel)</t>
        </is>
      </c>
      <c r="H44" s="25" t="inlineStr">
        <is>
          <t>Faculté des sciences et technologies</t>
        </is>
      </c>
      <c r="I44" s="25" t="inlineStr">
        <is>
          <t>Université de Lille</t>
        </is>
      </c>
      <c r="J44" s="25" t="inlineStr">
        <is>
          <t>Département Physique</t>
        </is>
      </c>
      <c r="K44" s="25" t="n"/>
      <c r="L44" s="25" t="inlineStr">
        <is>
          <t>Public university</t>
        </is>
      </c>
      <c r="M44" s="25" t="inlineStr">
        <is>
          <t>English</t>
        </is>
      </c>
      <c r="N44" s="25" t="inlineStr">
        <is>
          <t>Taught in English</t>
        </is>
      </c>
      <c r="O44" s="25" t="inlineStr">
        <is>
          <t>Bac +4 / Bac +5</t>
        </is>
      </c>
      <c r="P44" s="26" t="inlineStr">
        <is>
          <t>Eligible on level (4-yr BS ≈ Bac+4)</t>
        </is>
      </c>
      <c r="Q44" s="25" t="inlineStr">
        <is>
          <t>1/2</t>
        </is>
      </c>
      <c r="R44" s="25" t="inlineStr">
        <is>
          <t>12</t>
        </is>
      </c>
      <c r="S44" s="27" t="n">
        <v>3950</v>
      </c>
      <c r="T44" s="27" t="n">
        <v>255</v>
      </c>
      <c r="U44" s="25" t="n">
        <v>2</v>
      </c>
      <c r="V44" s="27">
        <f>IF(S44="","",S44*U44)</f>
        <v/>
      </c>
      <c r="W44" s="26" t="inlineStr">
        <is>
          <t>Catalogue: €3,950. = national differentiated master fee (2026-27: €3,950). Exemption to ~€255 possible (university quota).</t>
        </is>
      </c>
      <c r="X44" s="25" t="inlineStr">
        <is>
          <t>High</t>
        </is>
      </c>
      <c r="Y44" s="25" t="inlineStr">
        <is>
          <t>3950</t>
        </is>
      </c>
      <c r="Z44" s="26" t="n"/>
      <c r="AA44" s="26" t="inlineStr">
        <is>
          <t>Lille opposed the decree; continues exemptions for part of non-EU students (master €254 if exempted). Apply for exemption early.</t>
        </is>
      </c>
      <c r="AB44" s="28" t="inlineStr">
        <is>
          <t>https://observalgerie.com/2026/06/13/misc/frais-dinscription-en-france-lille-maintient-un-avantage-pour-les-etudiants-etrangers/</t>
        </is>
      </c>
      <c r="AC44" s="25" t="inlineStr">
        <is>
          <t>Open</t>
        </is>
      </c>
      <c r="AD44" s="25" t="inlineStr">
        <is>
          <t>2026-10-01</t>
        </is>
      </c>
      <c r="AE44" s="25" t="inlineStr">
        <is>
          <t>2027-03-15</t>
        </is>
      </c>
      <c r="AF44" s="25" t="inlineStr">
        <is>
          <t>No</t>
        </is>
      </c>
      <c r="AG44" s="28" t="inlineStr">
        <is>
          <t>https://formation.univ-lille.fr/fr/offre-de-formation/master-lmd-XB/master-physique-fondamentale-et-applications-MG001988/quantum-and-photonic-technologies-m1-m2-MX195427.html</t>
        </is>
      </c>
      <c r="AH44" s="26" t="inlineStr">
        <is>
          <t>M1 : Bachelor degree in physics with courses on quantum theory, statistical physics, electromagnetism, optics, waves, thermodynamics, mechanics and mathematical tools for physics M2 : Equivalent to a first year graduate</t>
        </is>
      </c>
      <c r="AI44" s="28" t="inlineStr">
        <is>
          <t>Open in EEF</t>
        </is>
      </c>
    </row>
    <row r="45" ht="32.8" customHeight="1" s="19">
      <c r="A45" s="25" t="n">
        <v>44</v>
      </c>
      <c r="B45" s="25" t="inlineStr">
        <is>
          <t>★★★★☆</t>
        </is>
      </c>
      <c r="C45" s="25" t="inlineStr">
        <is>
          <t>4 – Strong fit (electronics/signal/robotics/IoT/sensors)</t>
        </is>
      </c>
      <c r="D45" s="25" t="inlineStr">
        <is>
          <t>Neuroscience / Neuro-engineering</t>
        </is>
      </c>
      <c r="E45" s="26" t="inlineStr">
        <is>
          <t>Master Sciences, technologies, santé, mention Neurosciences</t>
        </is>
      </c>
      <c r="F45" s="26" t="inlineStr">
        <is>
          <t>Master Science, Technology, Health (STS), – major: Neuroscience</t>
        </is>
      </c>
      <c r="G45" s="25" t="inlineStr">
        <is>
          <t>Master indifférencié (recherche et professionnel)</t>
        </is>
      </c>
      <c r="H45" s="25" t="inlineStr">
        <is>
          <t>UFR Biosciences (Biologie, Biochimie)</t>
        </is>
      </c>
      <c r="I45" s="25" t="inlineStr">
        <is>
          <t>Université Claude Bernard - Lyon 1</t>
        </is>
      </c>
      <c r="J45" s="25" t="inlineStr">
        <is>
          <t>Site de Villeurbanne</t>
        </is>
      </c>
      <c r="K45" s="25" t="n"/>
      <c r="L45" s="25" t="inlineStr">
        <is>
          <t>Public university</t>
        </is>
      </c>
      <c r="M45" s="25" t="inlineStr">
        <is>
          <t>English</t>
        </is>
      </c>
      <c r="N45" s="25" t="inlineStr">
        <is>
          <t>General</t>
        </is>
      </c>
      <c r="O45" s="25" t="inlineStr">
        <is>
          <t>Bac +4</t>
        </is>
      </c>
      <c r="P45" s="26" t="inlineStr">
        <is>
          <t>Eligible on level (4-yr BS ≈ Bac+4)</t>
        </is>
      </c>
      <c r="Q45" s="25" t="inlineStr">
        <is>
          <t>1</t>
        </is>
      </c>
      <c r="R45" s="25" t="n"/>
      <c r="S45" s="27" t="n">
        <v>3950</v>
      </c>
      <c r="T45" s="27" t="n">
        <v>255</v>
      </c>
      <c r="U45" s="25" t="n">
        <v>2</v>
      </c>
      <c r="V45" s="27">
        <f>IF(S45="","",S45*U45)</f>
        <v/>
      </c>
      <c r="W45" s="26" t="inlineStr">
        <is>
          <t>Catalogue: €3,950. = national differentiated master fee (2026-27: €3,950). Exemption to ~€255 possible (university quota).</t>
        </is>
      </c>
      <c r="X45" s="25" t="inlineStr">
        <is>
          <t>High</t>
        </is>
      </c>
      <c r="Y45" s="25" t="inlineStr">
        <is>
          <t>3950</t>
        </is>
      </c>
      <c r="Z45" s="26" t="inlineStr">
        <is>
          <t>Pour les pré-requis, consulter le site web https://masterneuro</t>
        </is>
      </c>
      <c r="AA45" s="26" t="inlineStr">
        <is>
          <t>Lyon 1: individual exemptions within the 30% quota (2026-27), apply via eCandidat.</t>
        </is>
      </c>
      <c r="AB45" s="28" t="inlineStr">
        <is>
          <t>https://www.univ-lyon1.fr/formation/inscription-et-scolarite/etudiantes-et-etudiants-internationaux-droits-dinscription-differencies-et-exonerations</t>
        </is>
      </c>
      <c r="AC45" s="25" t="inlineStr">
        <is>
          <t>Open</t>
        </is>
      </c>
      <c r="AD45" s="25" t="inlineStr">
        <is>
          <t>2026-10-01</t>
        </is>
      </c>
      <c r="AE45" s="25" t="inlineStr">
        <is>
          <t>2027-03-15</t>
        </is>
      </c>
      <c r="AF45" s="25" t="inlineStr">
        <is>
          <t>No</t>
        </is>
      </c>
      <c r="AG45" s="28" t="inlineStr">
        <is>
          <t>https://ufr-biosciences.univ-lyon1.fr</t>
        </is>
      </c>
      <c r="AH45" s="26" t="inlineStr">
        <is>
          <t>La formation est intégralement en anglais et nécessite donc la justification d'un niveau B2 en Anglais. Pour les pré-requis, consulter le site web: https://masterneuro.univ-lyon1.fr/paths/m1-main/m1-admission/ Il est ess</t>
        </is>
      </c>
      <c r="AI45" s="28" t="inlineStr">
        <is>
          <t>Open in EEF</t>
        </is>
      </c>
    </row>
    <row r="46" ht="32.8" customHeight="1" s="19">
      <c r="A46" s="25" t="n">
        <v>45</v>
      </c>
      <c r="B46" s="25" t="inlineStr">
        <is>
          <t>★★★★☆</t>
        </is>
      </c>
      <c r="C46" s="25" t="inlineStr">
        <is>
          <t>4 – Strong fit (electronics/signal/robotics/IoT/sensors)</t>
        </is>
      </c>
      <c r="D46" s="25" t="inlineStr">
        <is>
          <t>IoT / Telecom / Networks</t>
        </is>
      </c>
      <c r="E46" s="26" t="inlineStr">
        <is>
          <t>Master's degree in Telecommunications and Networks</t>
        </is>
      </c>
      <c r="F46" s="26" t="inlineStr">
        <is>
          <t>Master's degree in Telecommunications and Networks</t>
        </is>
      </c>
      <c r="G46" s="25" t="inlineStr">
        <is>
          <t>Master indifférencié (recherche et professionnel)</t>
        </is>
      </c>
      <c r="H46" s="25" t="inlineStr">
        <is>
          <t>Conservatoire national des arts et métiers - CNAM</t>
        </is>
      </c>
      <c r="I46" s="25" t="n"/>
      <c r="J46" s="25" t="inlineStr">
        <is>
          <t>Cnam Etablissement Public - EPN3 Electronics, Electrical engineering, Applied physics</t>
        </is>
      </c>
      <c r="K46" s="25" t="n"/>
      <c r="L46" s="25" t="inlineStr">
        <is>
          <t>Public school / institute</t>
        </is>
      </c>
      <c r="M46" s="25" t="inlineStr">
        <is>
          <t>English</t>
        </is>
      </c>
      <c r="N46" s="25" t="inlineStr">
        <is>
          <t>Taught in English</t>
        </is>
      </c>
      <c r="O46" s="25" t="inlineStr">
        <is>
          <t>Bac +4 / Bac +5</t>
        </is>
      </c>
      <c r="P46" s="26" t="inlineStr">
        <is>
          <t>Eligible on level (4-yr BS ≈ Bac+4)</t>
        </is>
      </c>
      <c r="Q46" s="25" t="inlineStr">
        <is>
          <t>1/2</t>
        </is>
      </c>
      <c r="R46" s="25" t="inlineStr">
        <is>
          <t>12</t>
        </is>
      </c>
      <c r="S46" s="27" t="n">
        <v>3950</v>
      </c>
      <c r="T46" s="27" t="n">
        <v>255</v>
      </c>
      <c r="U46" s="25" t="n">
        <v>2</v>
      </c>
      <c r="V46" s="27">
        <f>IF(S46="","",S46*U46)</f>
        <v/>
      </c>
      <c r="W46" s="26" t="inlineStr">
        <is>
          <t>Catalogue: €3,950. = national differentiated master fee (2026-27: €3,950). Exemption to ~€255 possible (university quota).</t>
        </is>
      </c>
      <c r="X46" s="25" t="inlineStr">
        <is>
          <t>High</t>
        </is>
      </c>
      <c r="Y46" s="25" t="inlineStr">
        <is>
          <t>3950</t>
        </is>
      </c>
      <c r="Z46" s="26" t="n"/>
      <c r="AA46" s="26" t="n"/>
      <c r="AB46" s="25" t="n"/>
      <c r="AC46" s="25" t="inlineStr">
        <is>
          <t>Open</t>
        </is>
      </c>
      <c r="AD46" s="25" t="inlineStr">
        <is>
          <t>2026-10-01</t>
        </is>
      </c>
      <c r="AE46" s="25" t="inlineStr">
        <is>
          <t>2027-03-15</t>
        </is>
      </c>
      <c r="AF46" s="25" t="inlineStr">
        <is>
          <t>Yes</t>
        </is>
      </c>
      <c r="AG46" s="28" t="inlineStr">
        <is>
          <t>https://eeap.cnam.fr</t>
        </is>
      </c>
      <c r="AH46" s="26" t="inlineStr">
        <is>
          <t>This program is aimed at graduates with a Bachelor of Science or equivalent degree obtained after 4 years' higher education in Telecommunications and Networks. Application procedure opens from early April to late June. A</t>
        </is>
      </c>
      <c r="AI46" s="28" t="inlineStr">
        <is>
          <t>Open in EEF</t>
        </is>
      </c>
    </row>
    <row r="47" ht="32.8" customHeight="1" s="19">
      <c r="A47" s="25" t="n">
        <v>46</v>
      </c>
      <c r="B47" s="25" t="inlineStr">
        <is>
          <t>★★★★☆</t>
        </is>
      </c>
      <c r="C47" s="25" t="inlineStr">
        <is>
          <t>4 – Strong fit (electronics/signal/robotics/IoT/sensors)</t>
        </is>
      </c>
      <c r="D47" s="25" t="inlineStr">
        <is>
          <t>Embedded systems / Electronics</t>
        </is>
      </c>
      <c r="E47" s="26" t="inlineStr">
        <is>
          <t>mention Nanosciences and Nanotechnologies parcours Electronic technologies for smart communicating systems</t>
        </is>
      </c>
      <c r="F47" s="26" t="inlineStr">
        <is>
          <t>major: Nanosciences and Nanotechnologies – track: Electronic Technologies for smart communicating systems</t>
        </is>
      </c>
      <c r="G47" s="25" t="inlineStr">
        <is>
          <t>Master indifférencié (recherche et professionnel)</t>
        </is>
      </c>
      <c r="H47" s="25" t="inlineStr">
        <is>
          <t>Faculté des sciences et technologies</t>
        </is>
      </c>
      <c r="I47" s="25" t="inlineStr">
        <is>
          <t>Université de Lille</t>
        </is>
      </c>
      <c r="J47" s="25" t="inlineStr">
        <is>
          <t>Département Electronique, électrotechnique et automatique</t>
        </is>
      </c>
      <c r="K47" s="25" t="n"/>
      <c r="L47" s="25" t="inlineStr">
        <is>
          <t>Public university</t>
        </is>
      </c>
      <c r="M47" s="25" t="inlineStr">
        <is>
          <t>English</t>
        </is>
      </c>
      <c r="N47" s="25" t="inlineStr">
        <is>
          <t>Taught in English</t>
        </is>
      </c>
      <c r="O47" s="25" t="inlineStr">
        <is>
          <t>Bac +4 / Bac +5</t>
        </is>
      </c>
      <c r="P47" s="26" t="inlineStr">
        <is>
          <t>Eligible on level (4-yr BS ≈ Bac+4)</t>
        </is>
      </c>
      <c r="Q47" s="25" t="inlineStr">
        <is>
          <t>1/2</t>
        </is>
      </c>
      <c r="R47" s="25" t="inlineStr">
        <is>
          <t>12</t>
        </is>
      </c>
      <c r="S47" s="27" t="n">
        <v>3950</v>
      </c>
      <c r="T47" s="27" t="n">
        <v>255</v>
      </c>
      <c r="U47" s="25" t="n">
        <v>2</v>
      </c>
      <c r="V47" s="27">
        <f>IF(S47="","",S47*U47)</f>
        <v/>
      </c>
      <c r="W47" s="26" t="inlineStr">
        <is>
          <t>Catalogue: €3,950. = national differentiated master fee (2026-27: €3,950). Exemption to ~€255 possible (university quota).</t>
        </is>
      </c>
      <c r="X47" s="25" t="inlineStr">
        <is>
          <t>High</t>
        </is>
      </c>
      <c r="Y47" s="25" t="inlineStr">
        <is>
          <t>3950</t>
        </is>
      </c>
      <c r="Z47" s="26" t="n"/>
      <c r="AA47" s="26" t="inlineStr">
        <is>
          <t>Lille opposed the decree; continues exemptions for part of non-EU students (master €254 if exempted). Apply for exemption early.</t>
        </is>
      </c>
      <c r="AB47" s="28" t="inlineStr">
        <is>
          <t>https://observalgerie.com/2026/06/13/misc/frais-dinscription-en-france-lille-maintient-un-avantage-pour-les-etudiants-etrangers/</t>
        </is>
      </c>
      <c r="AC47" s="25" t="inlineStr">
        <is>
          <t>Open</t>
        </is>
      </c>
      <c r="AD47" s="25" t="inlineStr">
        <is>
          <t>2026-10-01</t>
        </is>
      </c>
      <c r="AE47" s="25" t="inlineStr">
        <is>
          <t>2027-03-15</t>
        </is>
      </c>
      <c r="AF47" s="25" t="inlineStr">
        <is>
          <t>No</t>
        </is>
      </c>
      <c r="AG47" s="28" t="inlineStr">
        <is>
          <t>https://www.univ-lille.fr/formations/fr-00002031</t>
        </is>
      </c>
      <c r="AH47" s="26" t="inlineStr">
        <is>
          <t>Prérequis affichés aux étudiants : Bachelor in Electronic, Electrical Engineering, applied physics, physics, Engineering school. Physics of semiconductor, microelectronic, nanoelectronic, Electronic devices, circuits, mi</t>
        </is>
      </c>
      <c r="AI47" s="28" t="inlineStr">
        <is>
          <t>Open in EEF</t>
        </is>
      </c>
    </row>
    <row r="48" ht="32.8" customHeight="1" s="19">
      <c r="A48" s="25" t="n">
        <v>47</v>
      </c>
      <c r="B48" s="25" t="inlineStr">
        <is>
          <t>★★★★☆</t>
        </is>
      </c>
      <c r="C48" s="25" t="inlineStr">
        <is>
          <t>4 – Strong fit (electronics/signal/robotics/IoT/sensors)</t>
        </is>
      </c>
      <c r="D48" s="25" t="inlineStr">
        <is>
          <t>Sensors / Instrumentation / Micro-Nano / Photonics</t>
        </is>
      </c>
      <c r="E48" s="26" t="inlineStr">
        <is>
          <t>Master rech. Sciences, technologies, santé mention micro et nanotechnologies</t>
        </is>
      </c>
      <c r="F48" s="26" t="inlineStr">
        <is>
          <t>Research Master Science, Technology, Health (STS) – major: micro &amp; Nanotechnologies</t>
        </is>
      </c>
      <c r="G48" s="25" t="inlineStr">
        <is>
          <t>Master recherche</t>
        </is>
      </c>
      <c r="H48" s="25" t="inlineStr">
        <is>
          <t>Institut national des sciences appliquées de Lyon</t>
        </is>
      </c>
      <c r="I48" s="25" t="n"/>
      <c r="J48" s="25" t="inlineStr">
        <is>
          <t>Site de Villeurbanne</t>
        </is>
      </c>
      <c r="K48" s="25" t="n"/>
      <c r="L48" s="25" t="inlineStr">
        <is>
          <t>Public school / institute</t>
        </is>
      </c>
      <c r="M48" s="25" t="inlineStr">
        <is>
          <t>English</t>
        </is>
      </c>
      <c r="N48" s="25" t="inlineStr">
        <is>
          <t>General</t>
        </is>
      </c>
      <c r="O48" s="25" t="inlineStr">
        <is>
          <t>Bac +4</t>
        </is>
      </c>
      <c r="P48" s="26" t="inlineStr">
        <is>
          <t>Eligible on level (4-yr BS ≈ Bac+4)</t>
        </is>
      </c>
      <c r="Q48" s="25" t="inlineStr">
        <is>
          <t>1</t>
        </is>
      </c>
      <c r="R48" s="25" t="inlineStr">
        <is>
          <t>12</t>
        </is>
      </c>
      <c r="S48" s="27" t="n">
        <v>3950</v>
      </c>
      <c r="T48" s="27" t="n">
        <v>255</v>
      </c>
      <c r="U48" s="25" t="n">
        <v>1</v>
      </c>
      <c r="V48" s="27">
        <f>IF(S48="","",S48*U48)</f>
        <v/>
      </c>
      <c r="W48" s="26" t="inlineStr">
        <is>
          <t>Catalogue: €3,941. = national differentiated master fee (2026-27: €3,950). Exemption to ~€255 possible (university quota).</t>
        </is>
      </c>
      <c r="X48" s="25" t="inlineStr">
        <is>
          <t>High</t>
        </is>
      </c>
      <c r="Y48" s="25" t="inlineStr">
        <is>
          <t>3941</t>
        </is>
      </c>
      <c r="Z48" s="26" t="n"/>
      <c r="AA48" s="26" t="n"/>
      <c r="AB48" s="25" t="n"/>
      <c r="AC48" s="25" t="inlineStr">
        <is>
          <t>Open</t>
        </is>
      </c>
      <c r="AD48" s="25" t="inlineStr">
        <is>
          <t>2026-10-01</t>
        </is>
      </c>
      <c r="AE48" s="25" t="inlineStr">
        <is>
          <t>2027-03-15</t>
        </is>
      </c>
      <c r="AF48" s="25" t="inlineStr">
        <is>
          <t>Yes</t>
        </is>
      </c>
      <c r="AG48" s="28" t="inlineStr">
        <is>
          <t>https://www.ec-lyon.fr/formation/international-master-nanoscale-engineering</t>
        </is>
      </c>
      <c r="AH48" s="26" t="inlineStr">
        <is>
          <t>Le Master est accessible en M1 à tous les étudiants titulaires d’une Licence de Sciences et Technologies (physique, chimie, sciences des matériaux, biologie…) ou directement au niveau M2 aux élèves-ingénieurs/étudiants a</t>
        </is>
      </c>
      <c r="AI48" s="28" t="inlineStr">
        <is>
          <t>Open in EEF</t>
        </is>
      </c>
    </row>
    <row r="49" ht="32.8" customHeight="1" s="19">
      <c r="A49" s="25" t="n">
        <v>48</v>
      </c>
      <c r="B49" s="25" t="inlineStr">
        <is>
          <t>★★★★☆</t>
        </is>
      </c>
      <c r="C49" s="25" t="inlineStr">
        <is>
          <t>4 – Strong fit (electronics/signal/robotics/IoT/sensors)</t>
        </is>
      </c>
      <c r="D49" s="25" t="inlineStr">
        <is>
          <t>Sensors / Instrumentation / Micro-Nano / Photonics</t>
        </is>
      </c>
      <c r="E49" s="26" t="inlineStr">
        <is>
          <t>Master rech. Sciences, technologies, santé, mention Nanosciences Nanotechnologies</t>
        </is>
      </c>
      <c r="F49" s="26" t="inlineStr">
        <is>
          <t>Research Master Science, Technology, Health (STS), – major: Nanosciences Nanotechnologies</t>
        </is>
      </c>
      <c r="G49" s="25" t="inlineStr">
        <is>
          <t>Master recherche</t>
        </is>
      </c>
      <c r="H49" s="25" t="inlineStr">
        <is>
          <t>Institut national des sciences appliquées de Lyon</t>
        </is>
      </c>
      <c r="I49" s="25" t="n"/>
      <c r="J49" s="25" t="inlineStr">
        <is>
          <t>Site de Villeurbanne</t>
        </is>
      </c>
      <c r="K49" s="25" t="n"/>
      <c r="L49" s="25" t="inlineStr">
        <is>
          <t>Public school / institute</t>
        </is>
      </c>
      <c r="M49" s="25" t="inlineStr">
        <is>
          <t>English</t>
        </is>
      </c>
      <c r="N49" s="25" t="inlineStr">
        <is>
          <t>General</t>
        </is>
      </c>
      <c r="O49" s="25" t="inlineStr">
        <is>
          <t>Bac +4</t>
        </is>
      </c>
      <c r="P49" s="26" t="inlineStr">
        <is>
          <t>Eligible on level (4-yr BS ≈ Bac+4)</t>
        </is>
      </c>
      <c r="Q49" s="25" t="inlineStr">
        <is>
          <t>2</t>
        </is>
      </c>
      <c r="R49" s="25" t="inlineStr">
        <is>
          <t>12</t>
        </is>
      </c>
      <c r="S49" s="27" t="n">
        <v>3950</v>
      </c>
      <c r="T49" s="27" t="n">
        <v>255</v>
      </c>
      <c r="U49" s="25" t="n">
        <v>1</v>
      </c>
      <c r="V49" s="27">
        <f>IF(S49="","",S49*U49)</f>
        <v/>
      </c>
      <c r="W49" s="26" t="inlineStr">
        <is>
          <t>Catalogue: €3,941. = national differentiated master fee (2026-27: €3,950). Exemption to ~€255 possible (university quota).</t>
        </is>
      </c>
      <c r="X49" s="25" t="inlineStr">
        <is>
          <t>High</t>
        </is>
      </c>
      <c r="Y49" s="25" t="inlineStr">
        <is>
          <t>3941</t>
        </is>
      </c>
      <c r="Z49" s="26" t="n"/>
      <c r="AA49" s="26" t="n"/>
      <c r="AB49" s="25" t="n"/>
      <c r="AC49" s="25" t="inlineStr">
        <is>
          <t>Open</t>
        </is>
      </c>
      <c r="AD49" s="25" t="inlineStr">
        <is>
          <t>2026-10-01</t>
        </is>
      </c>
      <c r="AE49" s="25" t="inlineStr">
        <is>
          <t>2027-03-15</t>
        </is>
      </c>
      <c r="AF49" s="25" t="inlineStr">
        <is>
          <t>Yes</t>
        </is>
      </c>
      <c r="AG49" s="28" t="inlineStr">
        <is>
          <t>https://www.ec-lyon.fr/formation/international-master-nanoscale-engineering</t>
        </is>
      </c>
      <c r="AH49" s="26" t="inlineStr">
        <is>
          <t>Le Master est accessible en M1 à tous les étudiants titulaires d’une Licence de Sciences et Technologies (physique, chimie, sciences des matériaux, biologie…) ou directement au niveau M2 aux élèves-ingénieurs/étudiants a</t>
        </is>
      </c>
      <c r="AI49" s="28" t="inlineStr">
        <is>
          <t>Open in EEF</t>
        </is>
      </c>
    </row>
    <row r="50" ht="32.8" customHeight="1" s="19">
      <c r="A50" s="25" t="n">
        <v>49</v>
      </c>
      <c r="B50" s="25" t="inlineStr">
        <is>
          <t>★★★★☆</t>
        </is>
      </c>
      <c r="C50" s="25" t="inlineStr">
        <is>
          <t>4 – Strong fit (electronics/signal/robotics/IoT/sensors)</t>
        </is>
      </c>
      <c r="D50" s="25" t="inlineStr">
        <is>
          <t>Electrical energy</t>
        </is>
      </c>
      <c r="E50" s="26" t="inlineStr">
        <is>
          <t>International Master of Science in Electrical Engineering for Smart Grids and Buildings (SGB)</t>
        </is>
      </c>
      <c r="F50" s="26" t="inlineStr">
        <is>
          <t>International Master of Science in Electrical Engineering for Smart Grids and Buildings (SGB)</t>
        </is>
      </c>
      <c r="G50" s="25" t="inlineStr">
        <is>
          <t>Master indifférencié (recherche et professionnel)</t>
        </is>
      </c>
      <c r="H50" s="25" t="inlineStr">
        <is>
          <t>Ecole nationale supérieure de l'énergie, l'eau et l'environnement - Grenoble INP</t>
        </is>
      </c>
      <c r="I50" s="25" t="inlineStr">
        <is>
          <t>Grenoble INP</t>
        </is>
      </c>
      <c r="J50" s="25" t="inlineStr">
        <is>
          <t>Site de Grenoble</t>
        </is>
      </c>
      <c r="K50" s="25" t="n"/>
      <c r="L50" s="25" t="inlineStr">
        <is>
          <t>Public school / institute</t>
        </is>
      </c>
      <c r="M50" s="25" t="inlineStr">
        <is>
          <t>English</t>
        </is>
      </c>
      <c r="N50" s="25" t="inlineStr">
        <is>
          <t>Taught in English</t>
        </is>
      </c>
      <c r="O50" s="25" t="inlineStr">
        <is>
          <t>Bac +4 / Bac +5</t>
        </is>
      </c>
      <c r="P50" s="26" t="inlineStr">
        <is>
          <t>Eligible on level (4-yr BS ≈ Bac+4)</t>
        </is>
      </c>
      <c r="Q50" s="25" t="inlineStr">
        <is>
          <t>1/2</t>
        </is>
      </c>
      <c r="R50" s="25" t="n"/>
      <c r="S50" s="27" t="n">
        <v>3950</v>
      </c>
      <c r="T50" s="27" t="n">
        <v>255</v>
      </c>
      <c r="U50" s="25" t="n">
        <v>2</v>
      </c>
      <c r="V50" s="27">
        <f>IF(S50="","",S50*U50)</f>
        <v/>
      </c>
      <c r="W50" s="26" t="inlineStr">
        <is>
          <t>Not in catalogue. Public national master → 2026-27 differentiated fee €3,950; exemption to ~€254-255 depends on university quota (25% cap in 2027-28).</t>
        </is>
      </c>
      <c r="X50" s="25" t="inlineStr">
        <is>
          <t>Medium</t>
        </is>
      </c>
      <c r="Y50" s="25" t="n"/>
      <c r="Z50" s="26" t="n"/>
      <c r="AA50" s="26" t="inlineStr">
        <is>
          <t>UGA (incl. Grenoble INP masters): 2026-27 broad exemptions on request (pay national €254). From 2027-28 the decree caps apply; exemptions based on resources.</t>
        </is>
      </c>
      <c r="AB50" s="28" t="inlineStr">
        <is>
          <t>https://www.univ-grenoble-alpes.fr/actualites/a-la-une/actualites-universite/etudiants-internationaux-ce-que-change-le-nouveau-decret-sur-les-droits-d-inscription-a-l-uga-1775870.kjsp</t>
        </is>
      </c>
      <c r="AC50" s="25" t="inlineStr">
        <is>
          <t>Open</t>
        </is>
      </c>
      <c r="AD50" s="25" t="inlineStr">
        <is>
          <t>2026-10-01</t>
        </is>
      </c>
      <c r="AE50" s="25" t="inlineStr">
        <is>
          <t>2027-03-15</t>
        </is>
      </c>
      <c r="AF50" s="25" t="inlineStr">
        <is>
          <t>Yes</t>
        </is>
      </c>
      <c r="AG50" s="28" t="inlineStr">
        <is>
          <t>https://ense3.grenoble-inp.fr/en/study-at-ense3/masters-in-english</t>
        </is>
      </c>
      <c r="AH50" s="26" t="inlineStr">
        <is>
          <t>***PAGE CURRENTLY BEING UPDATED FOR THE 2027–2028 ACADEMIC YEAR*** Before applying, it is important to check the cost of the programme as well as the level of financial resources required for your year of study in France</t>
        </is>
      </c>
      <c r="AI50" s="28" t="inlineStr">
        <is>
          <t>Open in EEF</t>
        </is>
      </c>
    </row>
    <row r="51" ht="32.8" customHeight="1" s="19">
      <c r="A51" s="25" t="n">
        <v>50</v>
      </c>
      <c r="B51" s="25" t="inlineStr">
        <is>
          <t>★★★★☆</t>
        </is>
      </c>
      <c r="C51" s="25" t="inlineStr">
        <is>
          <t>4 – Strong fit (electronics/signal/robotics/IoT/sensors)</t>
        </is>
      </c>
      <c r="D51" s="25" t="inlineStr">
        <is>
          <t>Embedded systems / Electronics</t>
        </is>
      </c>
      <c r="E51" s="26" t="inlineStr">
        <is>
          <t>Master indifférencié (recherche et professionnel) mention Master EMIMEP : European Master for Industry in Microwave Electronics and Photonics</t>
        </is>
      </c>
      <c r="F51" s="26" t="inlineStr">
        <is>
          <t>major: Master EMIMEP : European Master for Industry in Microwave Electronics and Photonics</t>
        </is>
      </c>
      <c r="G51" s="25" t="inlineStr">
        <is>
          <t>Master indifférencié (recherche et professionnel)</t>
        </is>
      </c>
      <c r="H51" s="25" t="inlineStr">
        <is>
          <t>Faculté des Sciences et Techniques</t>
        </is>
      </c>
      <c r="I51" s="25" t="inlineStr">
        <is>
          <t>Université de Limoges</t>
        </is>
      </c>
      <c r="J51" s="25" t="inlineStr">
        <is>
          <t>Campus de la Borie Limoges</t>
        </is>
      </c>
      <c r="K51" s="25" t="n"/>
      <c r="L51" s="25" t="inlineStr">
        <is>
          <t>Public university</t>
        </is>
      </c>
      <c r="M51" s="25" t="inlineStr">
        <is>
          <t>English</t>
        </is>
      </c>
      <c r="N51" s="25" t="inlineStr">
        <is>
          <t>Taught in English</t>
        </is>
      </c>
      <c r="O51" s="25" t="inlineStr">
        <is>
          <t>Bac +4 / Bac +5</t>
        </is>
      </c>
      <c r="P51" s="26" t="inlineStr">
        <is>
          <t>Eligible on level (4-yr BS ≈ Bac+4)</t>
        </is>
      </c>
      <c r="Q51" s="25" t="inlineStr">
        <is>
          <t>1/2</t>
        </is>
      </c>
      <c r="R51" s="25" t="inlineStr">
        <is>
          <t>10</t>
        </is>
      </c>
      <c r="S51" s="27" t="n">
        <v>3950</v>
      </c>
      <c r="T51" s="27" t="n">
        <v>255</v>
      </c>
      <c r="U51" s="25" t="n">
        <v>2</v>
      </c>
      <c r="V51" s="27">
        <f>IF(S51="","",S51*U51)</f>
        <v/>
      </c>
      <c r="W51" s="26" t="inlineStr">
        <is>
          <t>Not in catalogue. Public national master → 2026-27 differentiated fee €3,950; exemption to ~€254-255 depends on university quota (25% cap in 2027-28).</t>
        </is>
      </c>
      <c r="X51" s="25" t="inlineStr">
        <is>
          <t>Medium</t>
        </is>
      </c>
      <c r="Y51" s="25" t="n"/>
      <c r="Z51" s="26" t="n"/>
      <c r="AA51" s="26" t="n"/>
      <c r="AB51" s="25" t="n"/>
      <c r="AC51" s="25" t="inlineStr">
        <is>
          <t>Open</t>
        </is>
      </c>
      <c r="AD51" s="25" t="inlineStr">
        <is>
          <t>2026-10-01</t>
        </is>
      </c>
      <c r="AE51" s="25" t="inlineStr">
        <is>
          <t>2027-03-15</t>
        </is>
      </c>
      <c r="AF51" s="25" t="inlineStr">
        <is>
          <t>Yes</t>
        </is>
      </c>
      <c r="AG51" s="28" t="inlineStr">
        <is>
          <t>https://www.erasmus-mundus.emimep.eu/</t>
        </is>
      </c>
      <c r="AH51" s="26" t="inlineStr">
        <is>
          <t>Bachelor diploma in Electronic Engineering, telecommunication engineering, or applied physics with solid bases in signal processing, electromagnetism, telecommunications, embedded systems, analogue and digital electronic</t>
        </is>
      </c>
      <c r="AI51" s="28" t="inlineStr">
        <is>
          <t>Open in EEF</t>
        </is>
      </c>
    </row>
    <row r="52" ht="32.8" customHeight="1" s="19">
      <c r="A52" s="25" t="n">
        <v>51</v>
      </c>
      <c r="B52" s="25" t="inlineStr">
        <is>
          <t>★★★★☆</t>
        </is>
      </c>
      <c r="C52" s="25" t="inlineStr">
        <is>
          <t>4 – Strong fit (electronics/signal/robotics/IoT/sensors)</t>
        </is>
      </c>
      <c r="D52" s="25" t="inlineStr">
        <is>
          <t>Sensors / Instrumentation / Micro-Nano / Photonics</t>
        </is>
      </c>
      <c r="E52" s="26" t="inlineStr">
        <is>
          <t>Master indifférencié (recherche et professionnel) mention Physique fondamentale et applications parcours Engineering Physics &amp; Advanced Photonics Technologies</t>
        </is>
      </c>
      <c r="F52" s="26" t="inlineStr">
        <is>
          <t>major: Physics Fundamental &amp; Applications – track: Engineering Physics &amp; Advanced Photonics Technologies</t>
        </is>
      </c>
      <c r="G52" s="25" t="inlineStr">
        <is>
          <t>Master indifférencié (recherche et professionnel)</t>
        </is>
      </c>
      <c r="H52" s="25" t="inlineStr">
        <is>
          <t>UFR Sciences et Techniques</t>
        </is>
      </c>
      <c r="I52" s="25" t="inlineStr">
        <is>
          <t>Université Marie et Louis Pasteur</t>
        </is>
      </c>
      <c r="J52" s="25" t="inlineStr">
        <is>
          <t>Site de Besançon</t>
        </is>
      </c>
      <c r="K52" s="25" t="inlineStr">
        <is>
          <t>25030 BESANCON CEDEX</t>
        </is>
      </c>
      <c r="L52" s="25" t="inlineStr">
        <is>
          <t>Public university</t>
        </is>
      </c>
      <c r="M52" s="25" t="inlineStr">
        <is>
          <t>English</t>
        </is>
      </c>
      <c r="N52" s="25" t="inlineStr">
        <is>
          <t>Taught in English</t>
        </is>
      </c>
      <c r="O52" s="25" t="inlineStr">
        <is>
          <t>Bac +4</t>
        </is>
      </c>
      <c r="P52" s="26" t="inlineStr">
        <is>
          <t>Eligible on level (4-yr BS ≈ Bac+4)</t>
        </is>
      </c>
      <c r="Q52" s="25" t="inlineStr">
        <is>
          <t>1</t>
        </is>
      </c>
      <c r="R52" s="25" t="inlineStr">
        <is>
          <t>12</t>
        </is>
      </c>
      <c r="S52" s="27" t="n">
        <v>3950</v>
      </c>
      <c r="T52" s="27" t="n">
        <v>255</v>
      </c>
      <c r="U52" s="25" t="n">
        <v>2</v>
      </c>
      <c r="V52" s="27">
        <f>IF(S52="","",S52*U52)</f>
        <v/>
      </c>
      <c r="W52" s="26" t="inlineStr">
        <is>
          <t>Not in catalogue. Public national master → 2026-27 differentiated fee €3,950; exemption to ~€254-255 depends on university quota (25% cap in 2027-28).</t>
        </is>
      </c>
      <c r="X52" s="25" t="inlineStr">
        <is>
          <t>Medium</t>
        </is>
      </c>
      <c r="Y52" s="25" t="n"/>
      <c r="Z52" s="26" t="n"/>
      <c r="AA52" s="26" t="inlineStr">
        <is>
          <t>UMLP: individual exemption requests assessed on personal resources.</t>
        </is>
      </c>
      <c r="AB52" s="28" t="inlineStr">
        <is>
          <t>https://www.umlp.fr/sites/default/files/2026-07-02-page-droits-differencies-vf.pdf</t>
        </is>
      </c>
      <c r="AC52" s="25" t="inlineStr">
        <is>
          <t>Open</t>
        </is>
      </c>
      <c r="AD52" s="25" t="inlineStr">
        <is>
          <t>2026-10-01</t>
        </is>
      </c>
      <c r="AE52" s="25" t="inlineStr">
        <is>
          <t>2027-03-15</t>
        </is>
      </c>
      <c r="AF52" s="25" t="inlineStr">
        <is>
          <t>No</t>
        </is>
      </c>
      <c r="AG52" s="28" t="inlineStr">
        <is>
          <t>https://taughtie.campusfrance.org/tiesearch/#/program/3551</t>
        </is>
      </c>
      <c r="AH52" s="26" t="inlineStr">
        <is>
          <t>Course in English for students holding a degree in Physics or equivalent (License, Bachelor of Sciences, Licenciatura, etc.).English level B2, or equivalent, is required. The prerequisite disciplines are general physics,</t>
        </is>
      </c>
      <c r="AI52" s="28" t="inlineStr">
        <is>
          <t>Open in EEF</t>
        </is>
      </c>
    </row>
    <row r="53" ht="32.8" customHeight="1" s="19">
      <c r="A53" s="25" t="n">
        <v>52</v>
      </c>
      <c r="B53" s="25" t="inlineStr">
        <is>
          <t>★★★★☆</t>
        </is>
      </c>
      <c r="C53" s="25" t="inlineStr">
        <is>
          <t>4 – Strong fit (electronics/signal/robotics/IoT/sensors)</t>
        </is>
      </c>
      <c r="D53" s="25" t="inlineStr">
        <is>
          <t>Sensors / Instrumentation / Micro-Nano / Photonics</t>
        </is>
      </c>
      <c r="E53" s="26" t="inlineStr">
        <is>
          <t>Master indifférencié (recherche et professionnel) Nanosciences and Nanotechnologies parcours Nanoscale and Quantum Engineering</t>
        </is>
      </c>
      <c r="F53" s="26" t="inlineStr">
        <is>
          <t>Nanosciences and Nanotechnologies – track: Nanoscale and Quantum Engineering</t>
        </is>
      </c>
      <c r="G53" s="25" t="inlineStr">
        <is>
          <t>Master indifférencié (recherche et professionnel)</t>
        </is>
      </c>
      <c r="H53" s="25" t="inlineStr">
        <is>
          <t>UFR Sciences</t>
        </is>
      </c>
      <c r="I53" s="25" t="inlineStr">
        <is>
          <t>Université d'Aix-Marseille</t>
        </is>
      </c>
      <c r="J53" s="25" t="inlineStr">
        <is>
          <t>Site de Marseille - St Jérôme</t>
        </is>
      </c>
      <c r="K53" s="25" t="n"/>
      <c r="L53" s="25" t="inlineStr">
        <is>
          <t>Public university</t>
        </is>
      </c>
      <c r="M53" s="25" t="inlineStr">
        <is>
          <t>English</t>
        </is>
      </c>
      <c r="N53" s="25" t="inlineStr">
        <is>
          <t>Taught in English</t>
        </is>
      </c>
      <c r="O53" s="25" t="inlineStr">
        <is>
          <t>Bac +4 / Bac +5</t>
        </is>
      </c>
      <c r="P53" s="26" t="inlineStr">
        <is>
          <t>Eligible on level (4-yr BS ≈ Bac+4)</t>
        </is>
      </c>
      <c r="Q53" s="25" t="inlineStr">
        <is>
          <t>1/2</t>
        </is>
      </c>
      <c r="R53" s="25" t="inlineStr">
        <is>
          <t>12</t>
        </is>
      </c>
      <c r="S53" s="27" t="n">
        <v>3950</v>
      </c>
      <c r="T53" s="27" t="n">
        <v>255</v>
      </c>
      <c r="U53" s="25" t="n">
        <v>2</v>
      </c>
      <c r="V53" s="27">
        <f>IF(S53="","",S53*U53)</f>
        <v/>
      </c>
      <c r="W53" s="26" t="inlineStr">
        <is>
          <t>Not in catalogue. Public national master → 2026-27 differentiated fee €3,950; exemption to ~€254-255 depends on university quota (25% cap in 2027-28).</t>
        </is>
      </c>
      <c r="X53" s="25" t="inlineStr">
        <is>
          <t>Medium</t>
        </is>
      </c>
      <c r="Y53" s="25" t="n"/>
      <c r="Z53" s="26" t="n"/>
      <c r="AA53" s="26" t="inlineStr">
        <is>
          <t>AMU 2026-27: limited exemptions (≈1,800 of 5,500 students) – priority to continuing students, conflict zones, excellence scholarships. New master entrants usually pay €3,950.</t>
        </is>
      </c>
      <c r="AB53" s="28" t="inlineStr">
        <is>
          <t>https://www.univ-amu.fr/fr/actualites/aix-marseille-universite-mobilise-pleinement-capacite-dexoneration-continuer-accueillir</t>
        </is>
      </c>
      <c r="AC53" s="25" t="inlineStr">
        <is>
          <t>Open</t>
        </is>
      </c>
      <c r="AD53" s="25" t="inlineStr">
        <is>
          <t>2026-10-01</t>
        </is>
      </c>
      <c r="AE53" s="25" t="inlineStr">
        <is>
          <t>2027-03-15</t>
        </is>
      </c>
      <c r="AF53" s="25" t="inlineStr">
        <is>
          <t>No</t>
        </is>
      </c>
      <c r="AG53" s="28" t="inlineStr">
        <is>
          <t>https://formations.univ-amu.fr/fr/master/5SNN/PRSNN5C3</t>
        </is>
      </c>
      <c r="AH53" s="26" t="inlineStr">
        <is>
          <t>4 important points for your application : Your application must be complete and validated by the Espace Etudes in France The faculty will review the applications The level of English required is B2 Opportunity to apply f</t>
        </is>
      </c>
      <c r="AI53" s="28" t="inlineStr">
        <is>
          <t>Open in EEF</t>
        </is>
      </c>
    </row>
    <row r="54" ht="32.8" customHeight="1" s="19">
      <c r="A54" s="25" t="n">
        <v>53</v>
      </c>
      <c r="B54" s="25" t="inlineStr">
        <is>
          <t>★★★★☆</t>
        </is>
      </c>
      <c r="C54" s="25" t="inlineStr">
        <is>
          <t>4 – Strong fit (electronics/signal/robotics/IoT/sensors)</t>
        </is>
      </c>
      <c r="D54" s="25" t="inlineStr">
        <is>
          <t>Neuroscience / Neuro-engineering</t>
        </is>
      </c>
      <c r="E54" s="26" t="inlineStr">
        <is>
          <t>Master indifférencié (recherche et professionnel) parcours IDIL - Master Integrative Neuroscience and Omics</t>
        </is>
      </c>
      <c r="F54" s="26" t="inlineStr">
        <is>
          <t>track: IDIL - Master Integrative Neuroscience and Omics</t>
        </is>
      </c>
      <c r="G54" s="25" t="inlineStr">
        <is>
          <t>Master indifférencié (recherche et professionnel)</t>
        </is>
      </c>
      <c r="H54" s="25" t="inlineStr">
        <is>
          <t>UFR des Sciences de Montpellier</t>
        </is>
      </c>
      <c r="I54" s="25" t="inlineStr">
        <is>
          <t>Université de Montpellier</t>
        </is>
      </c>
      <c r="J54" s="25" t="inlineStr">
        <is>
          <t>Site de Montpellier</t>
        </is>
      </c>
      <c r="K54" s="25" t="n"/>
      <c r="L54" s="25" t="inlineStr">
        <is>
          <t>Public university</t>
        </is>
      </c>
      <c r="M54" s="25" t="inlineStr">
        <is>
          <t>English</t>
        </is>
      </c>
      <c r="N54" s="25" t="inlineStr">
        <is>
          <t>Taught in English</t>
        </is>
      </c>
      <c r="O54" s="25" t="inlineStr">
        <is>
          <t>Bac +4 / Bac +5</t>
        </is>
      </c>
      <c r="P54" s="26" t="inlineStr">
        <is>
          <t>Eligible on level (4-yr BS ≈ Bac+4)</t>
        </is>
      </c>
      <c r="Q54" s="25" t="inlineStr">
        <is>
          <t>1/2</t>
        </is>
      </c>
      <c r="R54" s="25" t="inlineStr">
        <is>
          <t>12</t>
        </is>
      </c>
      <c r="S54" s="27" t="n">
        <v>3950</v>
      </c>
      <c r="T54" s="27" t="n">
        <v>255</v>
      </c>
      <c r="U54" s="25" t="n">
        <v>2</v>
      </c>
      <c r="V54" s="27">
        <f>IF(S54="","",S54*U54)</f>
        <v/>
      </c>
      <c r="W54" s="26" t="inlineStr">
        <is>
          <t>Not in catalogue. Public national master → 2026-27 differentiated fee €3,950; exemption to ~€254-255 depends on university quota (25% cap in 2027-28).</t>
        </is>
      </c>
      <c r="X54" s="25" t="inlineStr">
        <is>
          <t>Medium</t>
        </is>
      </c>
      <c r="Y54" s="25" t="n"/>
      <c r="Z54" s="26" t="n"/>
      <c r="AA54" s="26" t="inlineStr">
        <is>
          <t>Montpellier 2026-27: new non-EU entrants pay the differentiated fee unless individual exemption (limited).</t>
        </is>
      </c>
      <c r="AB54" s="28" t="inlineStr">
        <is>
          <t>https://www.umontpellier.fr/en/international/etudier-a-letranger/etudiants-internationaux-annee-universitaire-2026-2027/</t>
        </is>
      </c>
      <c r="AC54" s="25" t="inlineStr">
        <is>
          <t>Open</t>
        </is>
      </c>
      <c r="AD54" s="25" t="inlineStr">
        <is>
          <t>2026-10-01</t>
        </is>
      </c>
      <c r="AE54" s="25" t="inlineStr">
        <is>
          <t>2027-03-15</t>
        </is>
      </c>
      <c r="AF54" s="25" t="inlineStr">
        <is>
          <t>No</t>
        </is>
      </c>
      <c r="AG54" s="28" t="inlineStr">
        <is>
          <t>https://idil.edu.umontpellier.fr/</t>
        </is>
      </c>
      <c r="AH54" s="26" t="inlineStr">
        <is>
          <t>Conditions d’accès Diplôme de licence dans la discipline choisie IDIL Niveau d’anglais B2 minimum CV et lettre de motivation 2 lettres de soutien d’un chercheur et/ou professeur (recommandé, mais non obligatoire) Estimat</t>
        </is>
      </c>
      <c r="AI54" s="28" t="inlineStr">
        <is>
          <t>Open in EEF</t>
        </is>
      </c>
    </row>
    <row r="55" ht="32.8" customHeight="1" s="19">
      <c r="A55" s="25" t="n">
        <v>54</v>
      </c>
      <c r="B55" s="25" t="inlineStr">
        <is>
          <t>★★★★☆</t>
        </is>
      </c>
      <c r="C55" s="25" t="inlineStr">
        <is>
          <t>4 – Strong fit (electronics/signal/robotics/IoT/sensors)</t>
        </is>
      </c>
      <c r="D55" s="25" t="inlineStr">
        <is>
          <t>Biomedical / Health tech</t>
        </is>
      </c>
      <c r="E55" s="26" t="inlineStr">
        <is>
          <t>Master indifférencié (recherche et professionnel) parcours IDIL - Master Photonics &amp; Electronics Sensors for Environment &amp; Health</t>
        </is>
      </c>
      <c r="F55" s="26" t="inlineStr">
        <is>
          <t>track: IDIL - Master Photonics &amp; Electronics Sensors for Environment &amp; Health</t>
        </is>
      </c>
      <c r="G55" s="25" t="inlineStr">
        <is>
          <t>Master indifférencié (recherche et professionnel)</t>
        </is>
      </c>
      <c r="H55" s="25" t="inlineStr">
        <is>
          <t>UFR des Sciences de Montpellier</t>
        </is>
      </c>
      <c r="I55" s="25" t="inlineStr">
        <is>
          <t>Université de Montpellier</t>
        </is>
      </c>
      <c r="J55" s="25" t="inlineStr">
        <is>
          <t>Site de Montpellier</t>
        </is>
      </c>
      <c r="K55" s="25" t="n"/>
      <c r="L55" s="25" t="inlineStr">
        <is>
          <t>Public university</t>
        </is>
      </c>
      <c r="M55" s="25" t="inlineStr">
        <is>
          <t>English</t>
        </is>
      </c>
      <c r="N55" s="25" t="inlineStr">
        <is>
          <t>Taught in English</t>
        </is>
      </c>
      <c r="O55" s="25" t="inlineStr">
        <is>
          <t>Bac +4 / Bac +5</t>
        </is>
      </c>
      <c r="P55" s="26" t="inlineStr">
        <is>
          <t>Eligible on level (4-yr BS ≈ Bac+4)</t>
        </is>
      </c>
      <c r="Q55" s="25" t="inlineStr">
        <is>
          <t>1/2</t>
        </is>
      </c>
      <c r="R55" s="25" t="inlineStr">
        <is>
          <t>12</t>
        </is>
      </c>
      <c r="S55" s="27" t="n">
        <v>3950</v>
      </c>
      <c r="T55" s="27" t="n">
        <v>255</v>
      </c>
      <c r="U55" s="25" t="n">
        <v>2</v>
      </c>
      <c r="V55" s="27">
        <f>IF(S55="","",S55*U55)</f>
        <v/>
      </c>
      <c r="W55" s="26" t="inlineStr">
        <is>
          <t>Not in catalogue. Public national master → 2026-27 differentiated fee €3,950; exemption to ~€254-255 depends on university quota (25% cap in 2027-28).</t>
        </is>
      </c>
      <c r="X55" s="25" t="inlineStr">
        <is>
          <t>Medium</t>
        </is>
      </c>
      <c r="Y55" s="25" t="n"/>
      <c r="Z55" s="26" t="n"/>
      <c r="AA55" s="26" t="inlineStr">
        <is>
          <t>Montpellier 2026-27: new non-EU entrants pay the differentiated fee unless individual exemption (limited).</t>
        </is>
      </c>
      <c r="AB55" s="28" t="inlineStr">
        <is>
          <t>https://www.umontpellier.fr/en/international/etudier-a-letranger/etudiants-internationaux-annee-universitaire-2026-2027/</t>
        </is>
      </c>
      <c r="AC55" s="25" t="inlineStr">
        <is>
          <t>Open</t>
        </is>
      </c>
      <c r="AD55" s="25" t="inlineStr">
        <is>
          <t>2026-10-01</t>
        </is>
      </c>
      <c r="AE55" s="25" t="inlineStr">
        <is>
          <t>2027-03-15</t>
        </is>
      </c>
      <c r="AF55" s="25" t="inlineStr">
        <is>
          <t>No</t>
        </is>
      </c>
      <c r="AG55" s="28" t="inlineStr">
        <is>
          <t>https://idil.edu.umontpellier.fr/</t>
        </is>
      </c>
      <c r="AH55" s="26" t="inlineStr">
        <is>
          <t>Diplôme de licence dans le champ disciplinaire • Niveau d’anglais B2 minimum • CV et lettre de motivation • 2 lettres de soutien d’un chercheur et/ou professeur • Estimation du classement de l’étudiant dans sa promotion</t>
        </is>
      </c>
      <c r="AI55" s="28" t="inlineStr">
        <is>
          <t>Open in EEF</t>
        </is>
      </c>
    </row>
    <row r="56" ht="22.35" customHeight="1" s="19">
      <c r="A56" s="25" t="n">
        <v>55</v>
      </c>
      <c r="B56" s="25" t="inlineStr">
        <is>
          <t>★★★★☆</t>
        </is>
      </c>
      <c r="C56" s="25" t="inlineStr">
        <is>
          <t>4 – Strong fit (electronics/signal/robotics/IoT/sensors)</t>
        </is>
      </c>
      <c r="D56" s="25" t="inlineStr">
        <is>
          <t>Robotics / Automation / Mechatronics</t>
        </is>
      </c>
      <c r="E56" s="26" t="inlineStr">
        <is>
          <t>Master indifférencié (recherche et professionnel) parcours Master in Advanced Mechatronics</t>
        </is>
      </c>
      <c r="F56" s="26" t="inlineStr">
        <is>
          <t>track: Master in Advanced Mechatronics</t>
        </is>
      </c>
      <c r="G56" s="25" t="inlineStr">
        <is>
          <t>Master indifférencié (recherche et professionnel)</t>
        </is>
      </c>
      <c r="H56" s="25" t="inlineStr">
        <is>
          <t>Polytech Annecy-Chambéry</t>
        </is>
      </c>
      <c r="I56" s="25" t="inlineStr">
        <is>
          <t>Groupement Polytech</t>
        </is>
      </c>
      <c r="J56" s="25" t="inlineStr">
        <is>
          <t>Site d'Annecy</t>
        </is>
      </c>
      <c r="K56" s="25" t="n"/>
      <c r="L56" s="25" t="inlineStr">
        <is>
          <t>Public school / institute</t>
        </is>
      </c>
      <c r="M56" s="25" t="inlineStr">
        <is>
          <t>English</t>
        </is>
      </c>
      <c r="N56" s="25" t="inlineStr">
        <is>
          <t>Taught in English</t>
        </is>
      </c>
      <c r="O56" s="25" t="inlineStr">
        <is>
          <t>Bac +4 / Bac +5</t>
        </is>
      </c>
      <c r="P56" s="26" t="inlineStr">
        <is>
          <t>Eligible on level (4-yr BS ≈ Bac+4)</t>
        </is>
      </c>
      <c r="Q56" s="25" t="inlineStr">
        <is>
          <t>1/2</t>
        </is>
      </c>
      <c r="R56" s="25" t="inlineStr">
        <is>
          <t>10/12</t>
        </is>
      </c>
      <c r="S56" s="27" t="n">
        <v>3950</v>
      </c>
      <c r="T56" s="27" t="n">
        <v>255</v>
      </c>
      <c r="U56" s="25" t="n">
        <v>2</v>
      </c>
      <c r="V56" s="27">
        <f>IF(S56="","",S56*U56)</f>
        <v/>
      </c>
      <c r="W56" s="26" t="inlineStr">
        <is>
          <t>Not in catalogue. Public national master → 2026-27 differentiated fee €3,950; exemption to ~€254-255 depends on university quota (25% cap in 2027-28).</t>
        </is>
      </c>
      <c r="X56" s="25" t="inlineStr">
        <is>
          <t>Medium</t>
        </is>
      </c>
      <c r="Y56" s="25" t="n"/>
      <c r="Z56" s="26" t="n"/>
      <c r="AA56" s="26" t="n"/>
      <c r="AB56" s="25" t="n"/>
      <c r="AC56" s="25" t="inlineStr">
        <is>
          <t>Open</t>
        </is>
      </c>
      <c r="AD56" s="25" t="inlineStr">
        <is>
          <t>2026-10-01</t>
        </is>
      </c>
      <c r="AE56" s="25" t="inlineStr">
        <is>
          <t>2027-03-15</t>
        </is>
      </c>
      <c r="AF56" s="25" t="inlineStr">
        <is>
          <t>No</t>
        </is>
      </c>
      <c r="AG56" s="28" t="inlineStr">
        <is>
          <t>http://www.polytech.univ-smb.fr/en/programs/masters/advanced-mechatronics.html</t>
        </is>
      </c>
      <c r="AH56" s="26" t="n"/>
      <c r="AI56" s="28" t="inlineStr">
        <is>
          <t>Open in EEF</t>
        </is>
      </c>
    </row>
    <row r="57" ht="32.8" customHeight="1" s="19">
      <c r="A57" s="25" t="n">
        <v>56</v>
      </c>
      <c r="B57" s="25" t="inlineStr">
        <is>
          <t>★★★★☆</t>
        </is>
      </c>
      <c r="C57" s="25" t="inlineStr">
        <is>
          <t>4 – Strong fit (electronics/signal/robotics/IoT/sensors)</t>
        </is>
      </c>
      <c r="D57" s="25" t="inlineStr">
        <is>
          <t>Robotics / Automation / Mechatronics</t>
        </is>
      </c>
      <c r="E57" s="26" t="inlineStr">
        <is>
          <t>Master indifférencié (recherche et professionnel) Sciences, Technologie, Santé mention Automatique, robotique parcours Advanced robotics mechatronics and automatic control</t>
        </is>
      </c>
      <c r="F57" s="26" t="inlineStr">
        <is>
          <t>Sciences, Technology, Health – major: Automation, Robotics – track: Advanced robotics mechatronics and automatic control</t>
        </is>
      </c>
      <c r="G57" s="25" t="inlineStr">
        <is>
          <t>Master indifférencié (recherche et professionnel)</t>
        </is>
      </c>
      <c r="H57" s="25" t="inlineStr">
        <is>
          <t>UFR Sciences et Techniques</t>
        </is>
      </c>
      <c r="I57" s="25" t="inlineStr">
        <is>
          <t>Université Marie et Louis Pasteur</t>
        </is>
      </c>
      <c r="J57" s="25" t="inlineStr">
        <is>
          <t>Site de Besançon</t>
        </is>
      </c>
      <c r="K57" s="25" t="inlineStr">
        <is>
          <t>25030 BESANCON CEDEX</t>
        </is>
      </c>
      <c r="L57" s="25" t="inlineStr">
        <is>
          <t>Public university</t>
        </is>
      </c>
      <c r="M57" s="25" t="inlineStr">
        <is>
          <t>English</t>
        </is>
      </c>
      <c r="N57" s="25" t="inlineStr">
        <is>
          <t>Taught in English</t>
        </is>
      </c>
      <c r="O57" s="25" t="inlineStr">
        <is>
          <t>Bac +4</t>
        </is>
      </c>
      <c r="P57" s="26" t="inlineStr">
        <is>
          <t>Eligible on level (4-yr BS ≈ Bac+4)</t>
        </is>
      </c>
      <c r="Q57" s="25" t="inlineStr">
        <is>
          <t>1</t>
        </is>
      </c>
      <c r="R57" s="25" t="inlineStr">
        <is>
          <t>12</t>
        </is>
      </c>
      <c r="S57" s="27" t="n">
        <v>3950</v>
      </c>
      <c r="T57" s="27" t="n">
        <v>255</v>
      </c>
      <c r="U57" s="25" t="n">
        <v>2</v>
      </c>
      <c r="V57" s="27">
        <f>IF(S57="","",S57*U57)</f>
        <v/>
      </c>
      <c r="W57" s="26" t="inlineStr">
        <is>
          <t>Not in catalogue. Public national master → 2026-27 differentiated fee €3,950; exemption to ~€254-255 depends on university quota (25% cap in 2027-28).</t>
        </is>
      </c>
      <c r="X57" s="25" t="inlineStr">
        <is>
          <t>Medium</t>
        </is>
      </c>
      <c r="Y57" s="25" t="n"/>
      <c r="Z57" s="26" t="n"/>
      <c r="AA57" s="26" t="inlineStr">
        <is>
          <t>UMLP: individual exemption requests assessed on personal resources.</t>
        </is>
      </c>
      <c r="AB57" s="28" t="inlineStr">
        <is>
          <t>https://www.umlp.fr/sites/default/files/2026-07-02-page-droits-differencies-vf.pdf</t>
        </is>
      </c>
      <c r="AC57" s="25" t="inlineStr">
        <is>
          <t>Open</t>
        </is>
      </c>
      <c r="AD57" s="25" t="inlineStr">
        <is>
          <t>2026-10-01</t>
        </is>
      </c>
      <c r="AE57" s="25" t="inlineStr">
        <is>
          <t>2027-03-15</t>
        </is>
      </c>
      <c r="AF57" s="25" t="inlineStr">
        <is>
          <t>No</t>
        </is>
      </c>
      <c r="AG57" s="28" t="inlineStr">
        <is>
          <t>https://taughtie.campusfrance.org/tiesearch/#/program/3549</t>
        </is>
      </c>
      <c r="AH57" s="26" t="inlineStr">
        <is>
          <t>Bachelor in Electrical, Mechanical, Mechatronics or Control Engineering; English level equivalent to B2</t>
        </is>
      </c>
      <c r="AI57" s="28" t="inlineStr">
        <is>
          <t>Open in EEF</t>
        </is>
      </c>
    </row>
    <row r="58" ht="32.8" customHeight="1" s="19">
      <c r="A58" s="25" t="n">
        <v>57</v>
      </c>
      <c r="B58" s="25" t="inlineStr">
        <is>
          <t>★★★★☆</t>
        </is>
      </c>
      <c r="C58" s="25" t="inlineStr">
        <is>
          <t>4 – Strong fit (electronics/signal/robotics/IoT/sensors)</t>
        </is>
      </c>
      <c r="D58" s="25" t="inlineStr">
        <is>
          <t>Embedded systems / Electronics</t>
        </is>
      </c>
      <c r="E58" s="26" t="inlineStr">
        <is>
          <t>Master indifférencié (recherche et professionnel) Sciences, Technologies, Santé mention Electronique, énergie électrique, automatique parcours Electrical Engineering and Control Systems Parcours International</t>
        </is>
      </c>
      <c r="F58" s="26" t="inlineStr">
        <is>
          <t>Science, Technology, Health (STS) – major: Electronics, Electrical Energy &amp; Automation (EEA) – track: Electrical Engineering and Control Systems – track: International</t>
        </is>
      </c>
      <c r="G58" s="25" t="inlineStr">
        <is>
          <t>Master indifférencié (recherche et professionnel)</t>
        </is>
      </c>
      <c r="H58" s="25" t="inlineStr">
        <is>
          <t>UFR de Physique, ingénierie, terre, environnement, mécanique</t>
        </is>
      </c>
      <c r="I58" s="25" t="inlineStr">
        <is>
          <t>Université de Grenoble Alpes</t>
        </is>
      </c>
      <c r="J58" s="25" t="inlineStr">
        <is>
          <t>Site de Grenoble - Polygone scientifique - GreEn-ER</t>
        </is>
      </c>
      <c r="K58" s="25" t="n"/>
      <c r="L58" s="25" t="inlineStr">
        <is>
          <t>Public university</t>
        </is>
      </c>
      <c r="M58" s="25" t="inlineStr">
        <is>
          <t>English</t>
        </is>
      </c>
      <c r="N58" s="25" t="inlineStr">
        <is>
          <t>Taught in English</t>
        </is>
      </c>
      <c r="O58" s="25" t="inlineStr">
        <is>
          <t>Bac +4</t>
        </is>
      </c>
      <c r="P58" s="26" t="inlineStr">
        <is>
          <t>Eligible on level (4-yr BS ≈ Bac+4)</t>
        </is>
      </c>
      <c r="Q58" s="25" t="inlineStr">
        <is>
          <t>1</t>
        </is>
      </c>
      <c r="R58" s="25" t="n"/>
      <c r="S58" s="27" t="n">
        <v>3950</v>
      </c>
      <c r="T58" s="27" t="n">
        <v>255</v>
      </c>
      <c r="U58" s="25" t="n">
        <v>2</v>
      </c>
      <c r="V58" s="27">
        <f>IF(S58="","",S58*U58)</f>
        <v/>
      </c>
      <c r="W58" s="26" t="inlineStr">
        <is>
          <t>Not in catalogue. Public national master → 2026-27 differentiated fee €3,950; exemption to ~€254-255 depends on university quota (25% cap in 2027-28).</t>
        </is>
      </c>
      <c r="X58" s="25" t="inlineStr">
        <is>
          <t>Medium</t>
        </is>
      </c>
      <c r="Y58" s="25" t="n"/>
      <c r="Z58" s="26" t="n"/>
      <c r="AA58" s="26" t="inlineStr">
        <is>
          <t>UGA (incl. Grenoble INP masters): 2026-27 broad exemptions on request (pay national €254). From 2027-28 the decree caps apply; exemptions based on resources.</t>
        </is>
      </c>
      <c r="AB58" s="28" t="inlineStr">
        <is>
          <t>https://www.univ-grenoble-alpes.fr/actualites/a-la-une/actualites-universite/etudiants-internationaux-ce-que-change-le-nouveau-decret-sur-les-droits-d-inscription-a-l-uga-1775870.kjsp</t>
        </is>
      </c>
      <c r="AC58" s="25" t="inlineStr">
        <is>
          <t>Open</t>
        </is>
      </c>
      <c r="AD58" s="25" t="inlineStr">
        <is>
          <t>2026-10-01</t>
        </is>
      </c>
      <c r="AE58" s="25" t="inlineStr">
        <is>
          <t>2027-03-15</t>
        </is>
      </c>
      <c r="AF58" s="25" t="inlineStr">
        <is>
          <t>No</t>
        </is>
      </c>
      <c r="AG58" s="28" t="inlineStr">
        <is>
          <t>https://formations.univ-grenoble-alpes.fr/fr/catalogue-2021/master-XB/master-electronique-energie-electrique-automatique-IFZ3DRB9/parcours-electrical-engineering-and-control-systems-1ere-annee-KVQSSM5S.html</t>
        </is>
      </c>
      <c r="AH58" s="26" t="inlineStr">
        <is>
          <t>"General requirements: - hold a M1, bachelor or equivalent degree completed after four full years of University studies; - prove an English proficiency with CEFR (B2), TOEFL (IBT 87-109), IELTS (5.5-6.5), TOEIC (785-945)</t>
        </is>
      </c>
      <c r="AI58" s="28" t="inlineStr">
        <is>
          <t>Open in EEF</t>
        </is>
      </c>
    </row>
    <row r="59" ht="43.25" customHeight="1" s="19">
      <c r="A59" s="25" t="n">
        <v>58</v>
      </c>
      <c r="B59" s="25" t="inlineStr">
        <is>
          <t>★★★★☆</t>
        </is>
      </c>
      <c r="C59" s="25" t="inlineStr">
        <is>
          <t>4 – Strong fit (electronics/signal/robotics/IoT/sensors)</t>
        </is>
      </c>
      <c r="D59" s="25" t="inlineStr">
        <is>
          <t>Embedded systems / Electronics</t>
        </is>
      </c>
      <c r="E59" s="26" t="inlineStr">
        <is>
          <t>Master indifférencié (recherche et professionnel) Sciences, technologies, santé mention Electronique, énergie électrique, automatique parcours Master of Science in Electrical Engineering for Smart Grids and Buildings (SGB)</t>
        </is>
      </c>
      <c r="F59" s="26" t="inlineStr">
        <is>
          <t>Science, Technology, Health (STS) – major: Electronics, Electrical Energy &amp; Automation (EEA) – track: Master of Science in Electrical Engineering for Smart Grids and Buildings (SGB)</t>
        </is>
      </c>
      <c r="G59" s="25" t="inlineStr">
        <is>
          <t>Master indifférencié (recherche et professionnel)</t>
        </is>
      </c>
      <c r="H59" s="25" t="inlineStr">
        <is>
          <t>Ecole nationale supérieure de l'énergie, l'eau et l'environnement - Grenoble INP</t>
        </is>
      </c>
      <c r="I59" s="25" t="inlineStr">
        <is>
          <t>Grenoble INP</t>
        </is>
      </c>
      <c r="J59" s="25" t="inlineStr">
        <is>
          <t>Site de Grenoble</t>
        </is>
      </c>
      <c r="K59" s="25" t="n"/>
      <c r="L59" s="25" t="inlineStr">
        <is>
          <t>Public school / institute</t>
        </is>
      </c>
      <c r="M59" s="25" t="inlineStr">
        <is>
          <t>English</t>
        </is>
      </c>
      <c r="N59" s="25" t="inlineStr">
        <is>
          <t>General</t>
        </is>
      </c>
      <c r="O59" s="25" t="inlineStr">
        <is>
          <t>Bac +4 / Bac +5</t>
        </is>
      </c>
      <c r="P59" s="26" t="inlineStr">
        <is>
          <t>Eligible on level (4-yr BS ≈ Bac+4)</t>
        </is>
      </c>
      <c r="Q59" s="25" t="inlineStr">
        <is>
          <t>1/2</t>
        </is>
      </c>
      <c r="R59" s="25" t="n"/>
      <c r="S59" s="27" t="n">
        <v>3950</v>
      </c>
      <c r="T59" s="27" t="n">
        <v>255</v>
      </c>
      <c r="U59" s="25" t="n">
        <v>2</v>
      </c>
      <c r="V59" s="27">
        <f>IF(S59="","",S59*U59)</f>
        <v/>
      </c>
      <c r="W59" s="26" t="inlineStr">
        <is>
          <t>Not in catalogue. Public national master → 2026-27 differentiated fee €3,950; exemption to ~€254-255 depends on university quota (25% cap in 2027-28).</t>
        </is>
      </c>
      <c r="X59" s="25" t="inlineStr">
        <is>
          <t>Medium</t>
        </is>
      </c>
      <c r="Y59" s="25" t="n"/>
      <c r="Z59" s="26" t="inlineStr">
        <is>
          <t>ropean Economic Area, Andorra or Switzerland) and for students from Quebec fees will be : €1485 per year , plus campus tax* For non EU-studen … ts fees will be : €5180 per year , plus campus tax* * Fees are indica</t>
        </is>
      </c>
      <c r="AA59" s="26" t="inlineStr">
        <is>
          <t>UGA (incl. Grenoble INP masters): 2026-27 broad exemptions on request (pay national €254). From 2027-28 the decree caps apply; exemptions based on resources.</t>
        </is>
      </c>
      <c r="AB59" s="28" t="inlineStr">
        <is>
          <t>https://www.univ-grenoble-alpes.fr/actualites/a-la-une/actualites-universite/etudiants-internationaux-ce-que-change-le-nouveau-decret-sur-les-droits-d-inscription-a-l-uga-1775870.kjsp</t>
        </is>
      </c>
      <c r="AC59" s="25" t="inlineStr">
        <is>
          <t>Open</t>
        </is>
      </c>
      <c r="AD59" s="25" t="inlineStr">
        <is>
          <t>2026-10-01</t>
        </is>
      </c>
      <c r="AE59" s="25" t="inlineStr">
        <is>
          <t>2027-03-15</t>
        </is>
      </c>
      <c r="AF59" s="25" t="inlineStr">
        <is>
          <t>Yes</t>
        </is>
      </c>
      <c r="AG59" s="28" t="inlineStr">
        <is>
          <t>https://ense3.grenoble-inp.fr/en/study-at-ense3/masters-in-english</t>
        </is>
      </c>
      <c r="AH59" s="26" t="inlineStr">
        <is>
          <t>***PAGE CURRENTLY BEING UPDATED FOR THE 2027–2028 ACADEMIC YEAR*** Before applying, it is important to check the cost of the programme as well as the level of financial resources required for your year of study in France</t>
        </is>
      </c>
      <c r="AI59" s="28" t="inlineStr">
        <is>
          <t>Open in EEF</t>
        </is>
      </c>
    </row>
    <row r="60" ht="32.8" customHeight="1" s="19">
      <c r="A60" s="25" t="n">
        <v>59</v>
      </c>
      <c r="B60" s="25" t="inlineStr">
        <is>
          <t>★★★★☆</t>
        </is>
      </c>
      <c r="C60" s="25" t="inlineStr">
        <is>
          <t>4 – Strong fit (electronics/signal/robotics/IoT/sensors)</t>
        </is>
      </c>
      <c r="D60" s="25" t="inlineStr">
        <is>
          <t>Embedded systems / Electronics</t>
        </is>
      </c>
      <c r="E60" s="26" t="inlineStr">
        <is>
          <t>Master indifférencié (recherche et professionnel) Sciences, technologies, santé mention Electronique, Energie électrique, Automatique parcours Robotique</t>
        </is>
      </c>
      <c r="F60" s="26" t="inlineStr">
        <is>
          <t>Science, Technology, Health (STS) – major: Electronics, Electrical Energy &amp; Automation (EEA) – track: Robotics</t>
        </is>
      </c>
      <c r="G60" s="25" t="inlineStr">
        <is>
          <t>Master indifférencié (recherche et professionnel)</t>
        </is>
      </c>
      <c r="H60" s="25" t="inlineStr">
        <is>
          <t>UFR des Sciences de Montpellier</t>
        </is>
      </c>
      <c r="I60" s="25" t="inlineStr">
        <is>
          <t>Université de Montpellier</t>
        </is>
      </c>
      <c r="J60" s="25" t="inlineStr">
        <is>
          <t>Site de Montpellier</t>
        </is>
      </c>
      <c r="K60" s="25" t="n"/>
      <c r="L60" s="25" t="inlineStr">
        <is>
          <t>Public university</t>
        </is>
      </c>
      <c r="M60" s="25" t="inlineStr">
        <is>
          <t>English</t>
        </is>
      </c>
      <c r="N60" s="25" t="inlineStr">
        <is>
          <t>General</t>
        </is>
      </c>
      <c r="O60" s="25" t="inlineStr">
        <is>
          <t>Bac +4 / Bac +5</t>
        </is>
      </c>
      <c r="P60" s="26" t="inlineStr">
        <is>
          <t>Eligible on level (4-yr BS ≈ Bac+4)</t>
        </is>
      </c>
      <c r="Q60" s="25" t="inlineStr">
        <is>
          <t>1/2</t>
        </is>
      </c>
      <c r="R60" s="25" t="n"/>
      <c r="S60" s="27" t="n">
        <v>3950</v>
      </c>
      <c r="T60" s="27" t="n">
        <v>255</v>
      </c>
      <c r="U60" s="25" t="n">
        <v>2</v>
      </c>
      <c r="V60" s="27">
        <f>IF(S60="","",S60*U60)</f>
        <v/>
      </c>
      <c r="W60" s="26" t="inlineStr">
        <is>
          <t>Not in catalogue. Public national master → 2026-27 differentiated fee €3,950; exemption to ~€254-255 depends on university quota (25% cap in 2027-28).</t>
        </is>
      </c>
      <c r="X60" s="25" t="inlineStr">
        <is>
          <t>Medium</t>
        </is>
      </c>
      <c r="Y60" s="25" t="n"/>
      <c r="Z60" s="26" t="n"/>
      <c r="AA60" s="26" t="inlineStr">
        <is>
          <t>Montpellier 2026-27: new non-EU entrants pay the differentiated fee unless individual exemption (limited).</t>
        </is>
      </c>
      <c r="AB60" s="28" t="inlineStr">
        <is>
          <t>https://www.umontpellier.fr/en/international/etudier-a-letranger/etudiants-internationaux-annee-universitaire-2026-2027/</t>
        </is>
      </c>
      <c r="AC60" s="25" t="inlineStr">
        <is>
          <t>Open</t>
        </is>
      </c>
      <c r="AD60" s="25" t="inlineStr">
        <is>
          <t>2026-10-01</t>
        </is>
      </c>
      <c r="AE60" s="25" t="inlineStr">
        <is>
          <t>2027-03-15</t>
        </is>
      </c>
      <c r="AF60" s="25" t="inlineStr">
        <is>
          <t>No</t>
        </is>
      </c>
      <c r="AG60" s="28" t="inlineStr">
        <is>
          <t>http://www.eea.univ-montp2.fr/?-Robotique-Automatique-</t>
        </is>
      </c>
      <c r="AH60" s="26" t="inlineStr">
        <is>
          <t>Description: second year master in Robotics - one year course taught in English Requirements: At least four years of university studies (equivalent of 240 ECTS), in a field related to Robotics, such as: • Mechatronics •</t>
        </is>
      </c>
      <c r="AI60" s="28" t="inlineStr">
        <is>
          <t>Open in EEF</t>
        </is>
      </c>
    </row>
    <row r="61" ht="32.8" customHeight="1" s="19">
      <c r="A61" s="25" t="n">
        <v>60</v>
      </c>
      <c r="B61" s="25" t="inlineStr">
        <is>
          <t>★★★★☆</t>
        </is>
      </c>
      <c r="C61" s="25" t="inlineStr">
        <is>
          <t>4 – Strong fit (electronics/signal/robotics/IoT/sensors)</t>
        </is>
      </c>
      <c r="D61" s="25" t="inlineStr">
        <is>
          <t>Sensors / Instrumentation / Micro-Nano / Photonics</t>
        </is>
      </c>
      <c r="E61" s="26" t="inlineStr">
        <is>
          <t>Master indifférencié (recherche et professionnel) Sciences, Technologies, Santé mention Nanosciences et nanotechnologies parcours Nanophysics - Quantum Physics Parcours International</t>
        </is>
      </c>
      <c r="F61" s="26" t="inlineStr">
        <is>
          <t>Science, Technology, Health (STS) – major: Nanosciences &amp; Nanotechnologies – track: Nanophysics - Quantum Physics – track: International</t>
        </is>
      </c>
      <c r="G61" s="25" t="inlineStr">
        <is>
          <t>Master indifférencié (recherche et professionnel)</t>
        </is>
      </c>
      <c r="H61" s="25" t="inlineStr">
        <is>
          <t>UFR de Physique, ingénierie, terre, environnement, mécanique</t>
        </is>
      </c>
      <c r="I61" s="25" t="inlineStr">
        <is>
          <t>Université de Grenoble Alpes</t>
        </is>
      </c>
      <c r="J61" s="25" t="inlineStr">
        <is>
          <t>Site de Grenoble - Campus de Saint Martin d'Hères</t>
        </is>
      </c>
      <c r="K61" s="25" t="n"/>
      <c r="L61" s="25" t="inlineStr">
        <is>
          <t>Public university</t>
        </is>
      </c>
      <c r="M61" s="25" t="inlineStr">
        <is>
          <t>English</t>
        </is>
      </c>
      <c r="N61" s="25" t="inlineStr">
        <is>
          <t>Taught in English</t>
        </is>
      </c>
      <c r="O61" s="25" t="inlineStr">
        <is>
          <t>Bac +4 / Bac +5</t>
        </is>
      </c>
      <c r="P61" s="26" t="inlineStr">
        <is>
          <t>Eligible on level (4-yr BS ≈ Bac+4)</t>
        </is>
      </c>
      <c r="Q61" s="25" t="inlineStr">
        <is>
          <t>1/2</t>
        </is>
      </c>
      <c r="R61" s="25" t="n"/>
      <c r="S61" s="27" t="n">
        <v>3950</v>
      </c>
      <c r="T61" s="27" t="n">
        <v>255</v>
      </c>
      <c r="U61" s="25" t="n">
        <v>2</v>
      </c>
      <c r="V61" s="27">
        <f>IF(S61="","",S61*U61)</f>
        <v/>
      </c>
      <c r="W61" s="26" t="inlineStr">
        <is>
          <t>Not in catalogue. Public national master → 2026-27 differentiated fee €3,950; exemption to ~€254-255 depends on university quota (25% cap in 2027-28).</t>
        </is>
      </c>
      <c r="X61" s="25" t="inlineStr">
        <is>
          <t>Medium</t>
        </is>
      </c>
      <c r="Y61" s="25" t="n"/>
      <c r="Z61" s="26" t="n"/>
      <c r="AA61" s="26" t="inlineStr">
        <is>
          <t>UGA (incl. Grenoble INP masters): 2026-27 broad exemptions on request (pay national €254). From 2027-28 the decree caps apply; exemptions based on resources.</t>
        </is>
      </c>
      <c r="AB61" s="28" t="inlineStr">
        <is>
          <t>https://www.univ-grenoble-alpes.fr/actualites/a-la-une/actualites-universite/etudiants-internationaux-ce-que-change-le-nouveau-decret-sur-les-droits-d-inscription-a-l-uga-1775870.kjsp</t>
        </is>
      </c>
      <c r="AC61" s="25" t="inlineStr">
        <is>
          <t>Open</t>
        </is>
      </c>
      <c r="AD61" s="25" t="inlineStr">
        <is>
          <t>2026-10-01</t>
        </is>
      </c>
      <c r="AE61" s="25" t="inlineStr">
        <is>
          <t>2027-03-15</t>
        </is>
      </c>
      <c r="AF61" s="25" t="inlineStr">
        <is>
          <t>No</t>
        </is>
      </c>
      <c r="AG61" s="28" t="inlineStr">
        <is>
          <t>https://formations.univ-grenoble-alpes.fr/fr/catalogue-2021/master-XB/master-nanosciences-et-nanotechnologies-IAQK78RT/parcours-nanophysics-quantum-physics-1re-annee-KLQGAWF7.html</t>
        </is>
      </c>
      <c r="AH61" s="26" t="inlineStr">
        <is>
          <t>"The program is open to students who will have completed a Bachelor in physics, nanoscience, or physical-chemistry (with at least 180 ECTS) and containing general courses in physics, but also dedicated courses in quantum</t>
        </is>
      </c>
      <c r="AI61" s="28" t="inlineStr">
        <is>
          <t>Open in EEF</t>
        </is>
      </c>
    </row>
    <row r="62" ht="32.8" customHeight="1" s="19">
      <c r="A62" s="25" t="n">
        <v>61</v>
      </c>
      <c r="B62" s="25" t="inlineStr">
        <is>
          <t>★★★★☆</t>
        </is>
      </c>
      <c r="C62" s="25" t="inlineStr">
        <is>
          <t>4 – Strong fit (electronics/signal/robotics/IoT/sensors)</t>
        </is>
      </c>
      <c r="D62" s="25" t="inlineStr">
        <is>
          <t>Sensors / Instrumentation / Micro-Nano / Photonics</t>
        </is>
      </c>
      <c r="E62" s="26" t="inlineStr">
        <is>
          <t>Master indifférencié (recherche et professionnel) Sciences, Technologies, Santé mention Nanosciences et nanotechnologies parcours Physics of Complex Matter Parcours International</t>
        </is>
      </c>
      <c r="F62" s="26" t="inlineStr">
        <is>
          <t>Science, Technology, Health (STS) – major: Nanosciences &amp; Nanotechnologies – track: Physics of Complex Matter – track: International</t>
        </is>
      </c>
      <c r="G62" s="25" t="inlineStr">
        <is>
          <t>Master indifférencié (recherche et professionnel)</t>
        </is>
      </c>
      <c r="H62" s="25" t="inlineStr">
        <is>
          <t>UFR de Physique, ingénierie, terre, environnement, mécanique</t>
        </is>
      </c>
      <c r="I62" s="25" t="inlineStr">
        <is>
          <t>Université de Grenoble Alpes</t>
        </is>
      </c>
      <c r="J62" s="25" t="inlineStr">
        <is>
          <t>Site de Grenoble - Campus de Saint Martin d'Hères</t>
        </is>
      </c>
      <c r="K62" s="25" t="n"/>
      <c r="L62" s="25" t="inlineStr">
        <is>
          <t>Public university</t>
        </is>
      </c>
      <c r="M62" s="25" t="inlineStr">
        <is>
          <t>English</t>
        </is>
      </c>
      <c r="N62" s="25" t="inlineStr">
        <is>
          <t>Taught in English</t>
        </is>
      </c>
      <c r="O62" s="25" t="inlineStr">
        <is>
          <t>Bac +4 / Bac +5</t>
        </is>
      </c>
      <c r="P62" s="26" t="inlineStr">
        <is>
          <t>Eligible on level (4-yr BS ≈ Bac+4)</t>
        </is>
      </c>
      <c r="Q62" s="25" t="inlineStr">
        <is>
          <t>1/2</t>
        </is>
      </c>
      <c r="R62" s="25" t="n"/>
      <c r="S62" s="27" t="n">
        <v>3950</v>
      </c>
      <c r="T62" s="27" t="n">
        <v>255</v>
      </c>
      <c r="U62" s="25" t="n">
        <v>2</v>
      </c>
      <c r="V62" s="27">
        <f>IF(S62="","",S62*U62)</f>
        <v/>
      </c>
      <c r="W62" s="26" t="inlineStr">
        <is>
          <t>Not in catalogue. Public national master → 2026-27 differentiated fee €3,950; exemption to ~€254-255 depends on university quota (25% cap in 2027-28).</t>
        </is>
      </c>
      <c r="X62" s="25" t="inlineStr">
        <is>
          <t>Medium</t>
        </is>
      </c>
      <c r="Y62" s="25" t="n"/>
      <c r="Z62" s="26" t="n"/>
      <c r="AA62" s="26" t="inlineStr">
        <is>
          <t>UGA (incl. Grenoble INP masters): 2026-27 broad exemptions on request (pay national €254). From 2027-28 the decree caps apply; exemptions based on resources.</t>
        </is>
      </c>
      <c r="AB62" s="28" t="inlineStr">
        <is>
          <t>https://www.univ-grenoble-alpes.fr/actualites/a-la-une/actualites-universite/etudiants-internationaux-ce-que-change-le-nouveau-decret-sur-les-droits-d-inscription-a-l-uga-1775870.kjsp</t>
        </is>
      </c>
      <c r="AC62" s="25" t="inlineStr">
        <is>
          <t>Open</t>
        </is>
      </c>
      <c r="AD62" s="25" t="inlineStr">
        <is>
          <t>2026-10-01</t>
        </is>
      </c>
      <c r="AE62" s="25" t="inlineStr">
        <is>
          <t>2027-03-15</t>
        </is>
      </c>
      <c r="AF62" s="25" t="inlineStr">
        <is>
          <t>No</t>
        </is>
      </c>
      <c r="AG62" s="28" t="inlineStr">
        <is>
          <t>https://formations.univ-grenoble-alpes.fr/fr/catalogue-2021/master-XB/master-nanosciences-et-nanotechnologies-IAQK78RT/parcours-physics-of-complex-matter-parcours-international-1re-annee-IATOD7FB.html</t>
        </is>
      </c>
      <c r="AH62" s="26" t="inlineStr">
        <is>
          <t>M1 : Students who will have completed at a good level by the end of the current academic year a bachelor program (e.g. at least 180 ECTS) in Physics, Physical chemistry, Engineering (Chemical, mechanical, or nanotechnolo</t>
        </is>
      </c>
      <c r="AI62" s="28" t="inlineStr">
        <is>
          <t>Open in EEF</t>
        </is>
      </c>
    </row>
    <row r="63" ht="43.25" customHeight="1" s="19">
      <c r="A63" s="25" t="n">
        <v>62</v>
      </c>
      <c r="B63" s="25" t="inlineStr">
        <is>
          <t>★★★★☆</t>
        </is>
      </c>
      <c r="C63" s="25" t="inlineStr">
        <is>
          <t>4 – Strong fit (electronics/signal/robotics/IoT/sensors)</t>
        </is>
      </c>
      <c r="D63" s="25" t="inlineStr">
        <is>
          <t>Sensors / Instrumentation / Micro-Nano / Photonics</t>
        </is>
      </c>
      <c r="E63" s="26" t="inlineStr">
        <is>
          <t>Master indifférencié (recherche et professionnel) Sciences, technologies, santé mention nanosciences, nanotechnologies parcours NanoMédecine Biologie Structurale</t>
        </is>
      </c>
      <c r="F63" s="26" t="inlineStr">
        <is>
          <t>Science, Technology, Health (STS) – major: Nanosciences, Nanotechnologies – track: NanoMédecine Biology Structural</t>
        </is>
      </c>
      <c r="G63" s="25" t="inlineStr">
        <is>
          <t>Master indifférencié (recherche et professionnel)</t>
        </is>
      </c>
      <c r="H63" s="25" t="inlineStr">
        <is>
          <t>Ecole nationale supérieure de physique, électronique, matériaux - Grenoble INP</t>
        </is>
      </c>
      <c r="I63" s="25" t="inlineStr">
        <is>
          <t>Grenoble INP</t>
        </is>
      </c>
      <c r="J63" s="25" t="inlineStr">
        <is>
          <t>Site de Grenoble</t>
        </is>
      </c>
      <c r="K63" s="25" t="n"/>
      <c r="L63" s="25" t="inlineStr">
        <is>
          <t>Public school / institute</t>
        </is>
      </c>
      <c r="M63" s="25" t="inlineStr">
        <is>
          <t>English</t>
        </is>
      </c>
      <c r="N63" s="25" t="inlineStr">
        <is>
          <t>General</t>
        </is>
      </c>
      <c r="O63" s="25" t="inlineStr">
        <is>
          <t>Bac +4 / Bac +5</t>
        </is>
      </c>
      <c r="P63" s="26" t="inlineStr">
        <is>
          <t>Eligible on level (4-yr BS ≈ Bac+4)</t>
        </is>
      </c>
      <c r="Q63" s="25" t="inlineStr">
        <is>
          <t>1/2</t>
        </is>
      </c>
      <c r="R63" s="25" t="n"/>
      <c r="S63" s="27" t="n">
        <v>3950</v>
      </c>
      <c r="T63" s="27" t="n">
        <v>255</v>
      </c>
      <c r="U63" s="25" t="n">
        <v>2</v>
      </c>
      <c r="V63" s="27">
        <f>IF(S63="","",S63*U63)</f>
        <v/>
      </c>
      <c r="W63" s="26" t="inlineStr">
        <is>
          <t>Not in catalogue. Public national master → 2026-27 differentiated fee €3,950; exemption to ~€254-255 depends on university quota (25% cap in 2027-28).</t>
        </is>
      </c>
      <c r="X63" s="25" t="inlineStr">
        <is>
          <t>Medium</t>
        </is>
      </c>
      <c r="Y63" s="25" t="n"/>
      <c r="Z63" s="26" t="inlineStr">
        <is>
          <t>As a reference, for the 2026–2027 academic year, these fees amounted to €3,950 per year, subject to change based on the pol … To cover living expenses (housing, food, other essentials), a minimum monthly budget of €650</t>
        </is>
      </c>
      <c r="AA63" s="26" t="inlineStr">
        <is>
          <t>UGA (incl. Grenoble INP masters): 2026-27 broad exemptions on request (pay national €254). From 2027-28 the decree caps apply; exemptions based on resources.</t>
        </is>
      </c>
      <c r="AB63" s="28" t="inlineStr">
        <is>
          <t>https://www.univ-grenoble-alpes.fr/actualites/a-la-une/actualites-universite/etudiants-internationaux-ce-que-change-le-nouveau-decret-sur-les-droits-d-inscription-a-l-uga-1775870.kjsp</t>
        </is>
      </c>
      <c r="AC63" s="25" t="inlineStr">
        <is>
          <t>Open</t>
        </is>
      </c>
      <c r="AD63" s="25" t="inlineStr">
        <is>
          <t>2026-10-01</t>
        </is>
      </c>
      <c r="AE63" s="25" t="inlineStr">
        <is>
          <t>2027-03-15</t>
        </is>
      </c>
      <c r="AF63" s="25" t="inlineStr">
        <is>
          <t>Yes</t>
        </is>
      </c>
      <c r="AG63" s="28" t="inlineStr">
        <is>
          <t>https://phelma.grenoble-inp.fr/fr/formation/master-nanosciences-and-nanotechnologies-parcours-nanomedicine-and-structural-biology#page-presentation</t>
        </is>
      </c>
      <c r="AH63" s="26" t="inlineStr">
        <is>
          <t>***PAGE EN COURS D'ACTUALISATION POUR LA RENTREE UNIVERSITAIRE 2027- 2028 **** (PAGE CURRENTLY BEING UPDATED FOR THE 2027–2028 ACADEMIC YEAR) Avant de candidater, il est important de vérifier le coût de la formation et l</t>
        </is>
      </c>
      <c r="AI63" s="28" t="inlineStr">
        <is>
          <t>Open in EEF</t>
        </is>
      </c>
    </row>
    <row r="64" ht="32.8" customHeight="1" s="19">
      <c r="A64" s="25" t="n">
        <v>63</v>
      </c>
      <c r="B64" s="25" t="inlineStr">
        <is>
          <t>★★★★☆</t>
        </is>
      </c>
      <c r="C64" s="25" t="inlineStr">
        <is>
          <t>4 – Strong fit (electronics/signal/robotics/IoT/sensors)</t>
        </is>
      </c>
      <c r="D64" s="25" t="inlineStr">
        <is>
          <t>Neuroscience / Neuro-engineering</t>
        </is>
      </c>
      <c r="E64" s="26" t="inlineStr">
        <is>
          <t>Master indifférencié (recherche et professionnel) Sciences, technologies, santé mention Neurosciences parcours EMN-Online (euro-mediterranean master in neurosciences and biotechnology)</t>
        </is>
      </c>
      <c r="F64" s="26" t="inlineStr">
        <is>
          <t>Science, Technology, Health (STS) – major: Neuroscience – track: EMN-Online (euro-mediterranean master in Neuroscience and biotechnology)</t>
        </is>
      </c>
      <c r="G64" s="25" t="inlineStr">
        <is>
          <t>Master indifférencié (recherche et professionnel)</t>
        </is>
      </c>
      <c r="H64" s="25" t="inlineStr">
        <is>
          <t>Unité de formation de biologie</t>
        </is>
      </c>
      <c r="I64" s="25" t="inlineStr">
        <is>
          <t>Université de Bordeaux</t>
        </is>
      </c>
      <c r="J64" s="25" t="inlineStr">
        <is>
          <t>Site de Talence</t>
        </is>
      </c>
      <c r="K64" s="25" t="n"/>
      <c r="L64" s="25" t="inlineStr">
        <is>
          <t>Public university</t>
        </is>
      </c>
      <c r="M64" s="25" t="inlineStr">
        <is>
          <t>English</t>
        </is>
      </c>
      <c r="N64" s="25" t="inlineStr">
        <is>
          <t>General</t>
        </is>
      </c>
      <c r="O64" s="25" t="inlineStr">
        <is>
          <t>Bac +4 / Bac +5</t>
        </is>
      </c>
      <c r="P64" s="26" t="inlineStr">
        <is>
          <t>Eligible on level (4-yr BS ≈ Bac+4)</t>
        </is>
      </c>
      <c r="Q64" s="25" t="inlineStr">
        <is>
          <t>1/2</t>
        </is>
      </c>
      <c r="R64" s="25" t="n"/>
      <c r="S64" s="27" t="n">
        <v>3950</v>
      </c>
      <c r="T64" s="27" t="n">
        <v>255</v>
      </c>
      <c r="U64" s="25" t="n">
        <v>2</v>
      </c>
      <c r="V64" s="27">
        <f>IF(S64="","",S64*U64)</f>
        <v/>
      </c>
      <c r="W64" s="26" t="inlineStr">
        <is>
          <t>Not in catalogue. Public national master → 2026-27 differentiated fee €3,950; exemption to ~€254-255 depends on university quota (25% cap in 2027-28).</t>
        </is>
      </c>
      <c r="X64" s="25" t="inlineStr">
        <is>
          <t>Medium</t>
        </is>
      </c>
      <c r="Y64" s="25" t="n"/>
      <c r="Z64" s="26" t="n"/>
      <c r="AA64" s="26" t="n"/>
      <c r="AB64" s="25" t="n"/>
      <c r="AC64" s="25" t="inlineStr">
        <is>
          <t>Open</t>
        </is>
      </c>
      <c r="AD64" s="25" t="inlineStr">
        <is>
          <t>2026-10-01</t>
        </is>
      </c>
      <c r="AE64" s="25" t="inlineStr">
        <is>
          <t>2027-03-15</t>
        </is>
      </c>
      <c r="AF64" s="25" t="inlineStr">
        <is>
          <t>No</t>
        </is>
      </c>
      <c r="AG64" s="28" t="inlineStr">
        <is>
          <t>https://formations.u-bordeaux.fr/#/details-formation?type=formation&amp;id=131</t>
        </is>
      </c>
      <c r="AH64" s="26" t="n"/>
      <c r="AI64" s="28" t="inlineStr">
        <is>
          <t>Open in EEF</t>
        </is>
      </c>
    </row>
    <row r="65" ht="32.8" customHeight="1" s="19">
      <c r="A65" s="25" t="n">
        <v>64</v>
      </c>
      <c r="B65" s="25" t="inlineStr">
        <is>
          <t>★★★★☆</t>
        </is>
      </c>
      <c r="C65" s="25" t="inlineStr">
        <is>
          <t>4 – Strong fit (electronics/signal/robotics/IoT/sensors)</t>
        </is>
      </c>
      <c r="D65" s="25" t="inlineStr">
        <is>
          <t>Neuroscience / Neuro-engineering</t>
        </is>
      </c>
      <c r="E65" s="26" t="inlineStr">
        <is>
          <t>Master indifférencié (recherche et professionnel) Sciences, technologies, santé mention sciences du vivant parcours MemBioMed - From Membrane Biology to Neuroscience and Experimental Medicine</t>
        </is>
      </c>
      <c r="F65" s="26" t="inlineStr">
        <is>
          <t>Science, Technology, Health (STS) – major: Sciences of Life – track: MemBioMed - From Membrane Biology to Neuroscience and Experimental Medicine</t>
        </is>
      </c>
      <c r="G65" s="25" t="inlineStr">
        <is>
          <t>Master indifférencié (recherche et professionnel)</t>
        </is>
      </c>
      <c r="H65" s="25" t="inlineStr">
        <is>
          <t>Sciences</t>
        </is>
      </c>
      <c r="I65" s="25" t="inlineStr">
        <is>
          <t>Université Côte d'Azur</t>
        </is>
      </c>
      <c r="J65" s="25" t="inlineStr">
        <is>
          <t>Site de Nice</t>
        </is>
      </c>
      <c r="K65" s="25" t="n"/>
      <c r="L65" s="25" t="inlineStr">
        <is>
          <t>Public university</t>
        </is>
      </c>
      <c r="M65" s="25" t="inlineStr">
        <is>
          <t>English</t>
        </is>
      </c>
      <c r="N65" s="25" t="inlineStr">
        <is>
          <t>General</t>
        </is>
      </c>
      <c r="O65" s="25" t="inlineStr">
        <is>
          <t>Bac +3</t>
        </is>
      </c>
      <c r="P65" s="26" t="inlineStr">
        <is>
          <t>Eligible on level (4-yr BS ≈ Bac+4)</t>
        </is>
      </c>
      <c r="Q65" s="25" t="inlineStr">
        <is>
          <t>1</t>
        </is>
      </c>
      <c r="R65" s="25" t="n"/>
      <c r="S65" s="27" t="n">
        <v>3950</v>
      </c>
      <c r="T65" s="27" t="n">
        <v>255</v>
      </c>
      <c r="U65" s="25" t="n">
        <v>2</v>
      </c>
      <c r="V65" s="27">
        <f>IF(S65="","",S65*U65)</f>
        <v/>
      </c>
      <c r="W65" s="26" t="inlineStr">
        <is>
          <t>Not in catalogue. Public national master → 2026-27 differentiated fee €3,950; exemption to ~€254-255 depends on university quota (25% cap in 2027-28).</t>
        </is>
      </c>
      <c r="X65" s="25" t="inlineStr">
        <is>
          <t>Medium</t>
        </is>
      </c>
      <c r="Y65" s="25" t="n"/>
      <c r="Z65" s="26" t="n"/>
      <c r="AA65" s="26" t="n"/>
      <c r="AB65" s="25" t="n"/>
      <c r="AC65" s="25" t="inlineStr">
        <is>
          <t>Open</t>
        </is>
      </c>
      <c r="AD65" s="25" t="inlineStr">
        <is>
          <t>2026-10-01</t>
        </is>
      </c>
      <c r="AE65" s="25" t="inlineStr">
        <is>
          <t>2027-03-15</t>
        </is>
      </c>
      <c r="AF65" s="25" t="inlineStr">
        <is>
          <t>Yes</t>
        </is>
      </c>
      <c r="AG65" s="28" t="inlineStr">
        <is>
          <t>https://life.univ-cotedazur.fr/international/erasmus-mundus-joint-master-membiomed</t>
        </is>
      </c>
      <c r="AH65" s="26" t="inlineStr">
        <is>
          <t>Consulter le site web pour prérequis</t>
        </is>
      </c>
      <c r="AI65" s="28" t="inlineStr">
        <is>
          <t>Open in EEF</t>
        </is>
      </c>
    </row>
    <row r="66" ht="32.8" customHeight="1" s="19">
      <c r="A66" s="25" t="n">
        <v>65</v>
      </c>
      <c r="B66" s="25" t="inlineStr">
        <is>
          <t>★★★★☆</t>
        </is>
      </c>
      <c r="C66" s="25" t="inlineStr">
        <is>
          <t>4 – Strong fit (electronics/signal/robotics/IoT/sensors)</t>
        </is>
      </c>
      <c r="D66" s="25" t="inlineStr">
        <is>
          <t>Sensors / Instrumentation / Micro-Nano / Photonics</t>
        </is>
      </c>
      <c r="E66" s="26" t="inlineStr">
        <is>
          <t>Master Sciences et technologies mention Nanosciences et nanotechnologies parcours Nanoscale and Quantum Engineering</t>
        </is>
      </c>
      <c r="F66" s="26" t="inlineStr">
        <is>
          <t>Master Science &amp; Technology – major: Nanosciences &amp; Nanotechnologies – track: Nanoscale and Quantum Engineering</t>
        </is>
      </c>
      <c r="G66" s="25" t="inlineStr">
        <is>
          <t>Master indifférencié (recherche et professionnel)</t>
        </is>
      </c>
      <c r="H66" s="25" t="inlineStr">
        <is>
          <t>UFR Sciences</t>
        </is>
      </c>
      <c r="I66" s="25" t="inlineStr">
        <is>
          <t>Université d'Aix-Marseille</t>
        </is>
      </c>
      <c r="J66" s="25" t="inlineStr">
        <is>
          <t>Site de Marseille - St Jérôme</t>
        </is>
      </c>
      <c r="K66" s="25" t="n"/>
      <c r="L66" s="25" t="inlineStr">
        <is>
          <t>Public university</t>
        </is>
      </c>
      <c r="M66" s="25" t="inlineStr">
        <is>
          <t>English</t>
        </is>
      </c>
      <c r="N66" s="25" t="inlineStr">
        <is>
          <t>General</t>
        </is>
      </c>
      <c r="O66" s="25" t="inlineStr">
        <is>
          <t>Bac +4 / Bac +5</t>
        </is>
      </c>
      <c r="P66" s="26" t="inlineStr">
        <is>
          <t>Eligible on level (4-yr BS ≈ Bac+4)</t>
        </is>
      </c>
      <c r="Q66" s="25" t="inlineStr">
        <is>
          <t>1/2</t>
        </is>
      </c>
      <c r="R66" s="25" t="inlineStr">
        <is>
          <t>12</t>
        </is>
      </c>
      <c r="S66" s="27" t="n">
        <v>3950</v>
      </c>
      <c r="T66" s="27" t="n">
        <v>255</v>
      </c>
      <c r="U66" s="25" t="n">
        <v>2</v>
      </c>
      <c r="V66" s="27">
        <f>IF(S66="","",S66*U66)</f>
        <v/>
      </c>
      <c r="W66" s="26" t="inlineStr">
        <is>
          <t>Not in catalogue. Public national master → 2026-27 differentiated fee €3,950; exemption to ~€254-255 depends on university quota (25% cap in 2027-28).</t>
        </is>
      </c>
      <c r="X66" s="25" t="inlineStr">
        <is>
          <t>Medium</t>
        </is>
      </c>
      <c r="Y66" s="25" t="n"/>
      <c r="Z66" s="26" t="n"/>
      <c r="AA66" s="26" t="inlineStr">
        <is>
          <t>AMU 2026-27: limited exemptions (≈1,800 of 5,500 students) – priority to continuing students, conflict zones, excellence scholarships. New master entrants usually pay €3,950.</t>
        </is>
      </c>
      <c r="AB66" s="28" t="inlineStr">
        <is>
          <t>https://www.univ-amu.fr/fr/actualites/aix-marseille-universite-mobilise-pleinement-capacite-dexoneration-continuer-accueillir</t>
        </is>
      </c>
      <c r="AC66" s="25" t="inlineStr">
        <is>
          <t>Open</t>
        </is>
      </c>
      <c r="AD66" s="25" t="inlineStr">
        <is>
          <t>2026-10-01</t>
        </is>
      </c>
      <c r="AE66" s="25" t="inlineStr">
        <is>
          <t>2027-03-15</t>
        </is>
      </c>
      <c r="AF66" s="25" t="inlineStr">
        <is>
          <t>No</t>
        </is>
      </c>
      <c r="AG66" s="28" t="inlineStr">
        <is>
          <t>https://formations.univ-amu.fr/fr/master/5SNN/PRSNN5C3</t>
        </is>
      </c>
      <c r="AH66" s="26" t="inlineStr">
        <is>
          <t>4 important points for your application : Your application must be complete and validated by the Espace Etudes in France The faculty will review the applications The level of English required is B2 Opportunity to apply f</t>
        </is>
      </c>
      <c r="AI66" s="28" t="inlineStr">
        <is>
          <t>Open in EEF</t>
        </is>
      </c>
    </row>
    <row r="67" ht="32.8" customHeight="1" s="19">
      <c r="A67" s="25" t="n">
        <v>66</v>
      </c>
      <c r="B67" s="25" t="inlineStr">
        <is>
          <t>★★★★☆</t>
        </is>
      </c>
      <c r="C67" s="25" t="inlineStr">
        <is>
          <t>4 – Strong fit (electronics/signal/robotics/IoT/sensors)</t>
        </is>
      </c>
      <c r="D67" s="25" t="inlineStr">
        <is>
          <t>Neuroscience / Neuro-engineering</t>
        </is>
      </c>
      <c r="E67" s="26" t="inlineStr">
        <is>
          <t>Master Sciences et technologies mention Neurosciences</t>
        </is>
      </c>
      <c r="F67" s="26" t="inlineStr">
        <is>
          <t>Master Science &amp; Technology – major: Neuroscience</t>
        </is>
      </c>
      <c r="G67" s="25" t="inlineStr">
        <is>
          <t>Master indifférencié (recherche et professionnel)</t>
        </is>
      </c>
      <c r="H67" s="25" t="inlineStr">
        <is>
          <t>UFR Sciences</t>
        </is>
      </c>
      <c r="I67" s="25" t="inlineStr">
        <is>
          <t>Université d'Aix-Marseille</t>
        </is>
      </c>
      <c r="J67" s="25" t="inlineStr">
        <is>
          <t>Site de Marseille - St Charles</t>
        </is>
      </c>
      <c r="K67" s="25" t="n"/>
      <c r="L67" s="25" t="inlineStr">
        <is>
          <t>Public university</t>
        </is>
      </c>
      <c r="M67" s="25" t="inlineStr">
        <is>
          <t>English</t>
        </is>
      </c>
      <c r="N67" s="25" t="inlineStr">
        <is>
          <t>General</t>
        </is>
      </c>
      <c r="O67" s="25" t="inlineStr">
        <is>
          <t>Bac +4</t>
        </is>
      </c>
      <c r="P67" s="26" t="inlineStr">
        <is>
          <t>Eligible on level (4-yr BS ≈ Bac+4)</t>
        </is>
      </c>
      <c r="Q67" s="25" t="inlineStr">
        <is>
          <t>1</t>
        </is>
      </c>
      <c r="R67" s="25" t="inlineStr">
        <is>
          <t>12</t>
        </is>
      </c>
      <c r="S67" s="27" t="n">
        <v>3950</v>
      </c>
      <c r="T67" s="27" t="n">
        <v>255</v>
      </c>
      <c r="U67" s="25" t="n">
        <v>2</v>
      </c>
      <c r="V67" s="27">
        <f>IF(S67="","",S67*U67)</f>
        <v/>
      </c>
      <c r="W67" s="26" t="inlineStr">
        <is>
          <t>Not in catalogue. Public national master → 2026-27 differentiated fee €3,950; exemption to ~€254-255 depends on university quota (25% cap in 2027-28).</t>
        </is>
      </c>
      <c r="X67" s="25" t="inlineStr">
        <is>
          <t>Medium</t>
        </is>
      </c>
      <c r="Y67" s="25" t="n"/>
      <c r="Z67" s="26" t="n"/>
      <c r="AA67" s="26" t="inlineStr">
        <is>
          <t>AMU 2026-27: limited exemptions (≈1,800 of 5,500 students) – priority to continuing students, conflict zones, excellence scholarships. New master entrants usually pay €3,950.</t>
        </is>
      </c>
      <c r="AB67" s="28" t="inlineStr">
        <is>
          <t>https://www.univ-amu.fr/fr/actualites/aix-marseille-universite-mobilise-pleinement-capacite-dexoneration-continuer-accueillir</t>
        </is>
      </c>
      <c r="AC67" s="25" t="inlineStr">
        <is>
          <t>Open</t>
        </is>
      </c>
      <c r="AD67" s="25" t="inlineStr">
        <is>
          <t>2026-10-01</t>
        </is>
      </c>
      <c r="AE67" s="25" t="inlineStr">
        <is>
          <t>2027-03-15</t>
        </is>
      </c>
      <c r="AF67" s="25" t="inlineStr">
        <is>
          <t>No</t>
        </is>
      </c>
      <c r="AG67" s="28" t="inlineStr">
        <is>
          <t>https://formations.univ-amu.fr/fr/master/5SNE</t>
        </is>
      </c>
      <c r="AH67" s="26" t="inlineStr">
        <is>
          <t>Nous attirons votre attention sur 2 points importants pour votre candidature : Votre dossier doit être complet et validé par l’Espace Etudes en France La faculté des sciences examinera les dossiers de candidature en cohé</t>
        </is>
      </c>
      <c r="AI67" s="28" t="inlineStr">
        <is>
          <t>Open in EEF</t>
        </is>
      </c>
    </row>
    <row r="68" ht="32.8" customHeight="1" s="19">
      <c r="A68" s="25" t="n">
        <v>67</v>
      </c>
      <c r="B68" s="25" t="inlineStr">
        <is>
          <t>★★★★☆</t>
        </is>
      </c>
      <c r="C68" s="25" t="inlineStr">
        <is>
          <t>4 – Strong fit (electronics/signal/robotics/IoT/sensors)</t>
        </is>
      </c>
      <c r="D68" s="25" t="inlineStr">
        <is>
          <t>Sensors / Instrumentation / Micro-Nano / Photonics</t>
        </is>
      </c>
      <c r="E68" s="26" t="inlineStr">
        <is>
          <t>Master Sciences et technologies mention physique parcours Optics &amp; photonics (Europh</t>
        </is>
      </c>
      <c r="F68" s="26" t="inlineStr">
        <is>
          <t>Master Science &amp; Technology – major: Physics – track: Optics &amp; photonics (Europh</t>
        </is>
      </c>
      <c r="G68" s="25" t="inlineStr">
        <is>
          <t>Master indifférencié (recherche et professionnel)</t>
        </is>
      </c>
      <c r="H68" s="25" t="inlineStr">
        <is>
          <t>UFR Sciences</t>
        </is>
      </c>
      <c r="I68" s="25" t="inlineStr">
        <is>
          <t>Université d'Aix-Marseille</t>
        </is>
      </c>
      <c r="J68" s="25" t="inlineStr">
        <is>
          <t>Site de Marseille - St Jérôme</t>
        </is>
      </c>
      <c r="K68" s="25" t="n"/>
      <c r="L68" s="25" t="inlineStr">
        <is>
          <t>Public university</t>
        </is>
      </c>
      <c r="M68" s="25" t="inlineStr">
        <is>
          <t>English</t>
        </is>
      </c>
      <c r="N68" s="25" t="inlineStr">
        <is>
          <t>General</t>
        </is>
      </c>
      <c r="O68" s="25" t="inlineStr">
        <is>
          <t>Bac +4 / Bac +5</t>
        </is>
      </c>
      <c r="P68" s="26" t="inlineStr">
        <is>
          <t>Eligible on level (4-yr BS ≈ Bac+4)</t>
        </is>
      </c>
      <c r="Q68" s="25" t="inlineStr">
        <is>
          <t>1/2</t>
        </is>
      </c>
      <c r="R68" s="25" t="inlineStr">
        <is>
          <t>12</t>
        </is>
      </c>
      <c r="S68" s="27" t="n">
        <v>3950</v>
      </c>
      <c r="T68" s="27" t="n">
        <v>255</v>
      </c>
      <c r="U68" s="25" t="n">
        <v>2</v>
      </c>
      <c r="V68" s="27">
        <f>IF(S68="","",S68*U68)</f>
        <v/>
      </c>
      <c r="W68" s="26" t="inlineStr">
        <is>
          <t>Not in catalogue. Public national master → 2026-27 differentiated fee €3,950; exemption to ~€254-255 depends on university quota (25% cap in 2027-28).</t>
        </is>
      </c>
      <c r="X68" s="25" t="inlineStr">
        <is>
          <t>Medium</t>
        </is>
      </c>
      <c r="Y68" s="25" t="n"/>
      <c r="Z68" s="26" t="n"/>
      <c r="AA68" s="26" t="inlineStr">
        <is>
          <t>AMU 2026-27: limited exemptions (≈1,800 of 5,500 students) – priority to continuing students, conflict zones, excellence scholarships. New master entrants usually pay €3,950.</t>
        </is>
      </c>
      <c r="AB68" s="28" t="inlineStr">
        <is>
          <t>https://www.univ-amu.fr/fr/actualites/aix-marseille-universite-mobilise-pleinement-capacite-dexoneration-continuer-accueillir</t>
        </is>
      </c>
      <c r="AC68" s="25" t="inlineStr">
        <is>
          <t>Open</t>
        </is>
      </c>
      <c r="AD68" s="25" t="inlineStr">
        <is>
          <t>2026-10-01</t>
        </is>
      </c>
      <c r="AE68" s="25" t="inlineStr">
        <is>
          <t>2027-03-15</t>
        </is>
      </c>
      <c r="AF68" s="25" t="inlineStr">
        <is>
          <t>No</t>
        </is>
      </c>
      <c r="AG68" s="28" t="inlineStr">
        <is>
          <t>https://formations.univ-amu.fr/fr/master/5SPF/PRSPF5C4</t>
        </is>
      </c>
      <c r="AH68" s="26" t="inlineStr">
        <is>
          <t>2 important points for your application : - Your application must be complete and validated by the Espace Etudes in France - The faculty will review the applications The level of English required is B2. Access to Master</t>
        </is>
      </c>
      <c r="AI68" s="28" t="inlineStr">
        <is>
          <t>Open in EEF</t>
        </is>
      </c>
    </row>
    <row r="69" ht="32.8" customHeight="1" s="19">
      <c r="A69" s="25" t="n">
        <v>68</v>
      </c>
      <c r="B69" s="25" t="inlineStr">
        <is>
          <t>★★★★☆</t>
        </is>
      </c>
      <c r="C69" s="25" t="inlineStr">
        <is>
          <t>4 – Strong fit (electronics/signal/robotics/IoT/sensors)</t>
        </is>
      </c>
      <c r="D69" s="25" t="inlineStr">
        <is>
          <t>Neuroscience / Neuro-engineering</t>
        </is>
      </c>
      <c r="E69" s="26" t="inlineStr">
        <is>
          <t>Master Sciences, technologies, santé mention biologie, santé mention Master Integrative Neuroscience and Omics</t>
        </is>
      </c>
      <c r="F69" s="26" t="inlineStr">
        <is>
          <t>Master Science, Technology, Health (STS) – major: Biology-Health – major: Master Integrative Neuroscience and Omics</t>
        </is>
      </c>
      <c r="G69" s="25" t="inlineStr">
        <is>
          <t>Master indifférencié (recherche et professionnel)</t>
        </is>
      </c>
      <c r="H69" s="25" t="inlineStr">
        <is>
          <t>UFR des Sciences de Montpellier</t>
        </is>
      </c>
      <c r="I69" s="25" t="inlineStr">
        <is>
          <t>Université de Montpellier</t>
        </is>
      </c>
      <c r="J69" s="25" t="inlineStr">
        <is>
          <t>Site de Montpellier</t>
        </is>
      </c>
      <c r="K69" s="25" t="n"/>
      <c r="L69" s="25" t="inlineStr">
        <is>
          <t>Public university</t>
        </is>
      </c>
      <c r="M69" s="25" t="inlineStr">
        <is>
          <t>English</t>
        </is>
      </c>
      <c r="N69" s="25" t="inlineStr">
        <is>
          <t>General</t>
        </is>
      </c>
      <c r="O69" s="25" t="inlineStr">
        <is>
          <t>Bac +4 / Bac +5</t>
        </is>
      </c>
      <c r="P69" s="26" t="inlineStr">
        <is>
          <t>Eligible on level (4-yr BS ≈ Bac+4)</t>
        </is>
      </c>
      <c r="Q69" s="25" t="inlineStr">
        <is>
          <t>1/2</t>
        </is>
      </c>
      <c r="R69" s="25" t="inlineStr">
        <is>
          <t>12</t>
        </is>
      </c>
      <c r="S69" s="27" t="n">
        <v>3950</v>
      </c>
      <c r="T69" s="27" t="n">
        <v>255</v>
      </c>
      <c r="U69" s="25" t="n">
        <v>2</v>
      </c>
      <c r="V69" s="27">
        <f>IF(S69="","",S69*U69)</f>
        <v/>
      </c>
      <c r="W69" s="26" t="inlineStr">
        <is>
          <t>Not in catalogue. Public national master → 2026-27 differentiated fee €3,950; exemption to ~€254-255 depends on university quota (25% cap in 2027-28).</t>
        </is>
      </c>
      <c r="X69" s="25" t="inlineStr">
        <is>
          <t>Medium</t>
        </is>
      </c>
      <c r="Y69" s="25" t="n"/>
      <c r="Z69" s="26" t="n"/>
      <c r="AA69" s="26" t="inlineStr">
        <is>
          <t>Montpellier 2026-27: new non-EU entrants pay the differentiated fee unless individual exemption (limited).</t>
        </is>
      </c>
      <c r="AB69" s="28" t="inlineStr">
        <is>
          <t>https://www.umontpellier.fr/en/international/etudier-a-letranger/etudiants-internationaux-annee-universitaire-2026-2027/</t>
        </is>
      </c>
      <c r="AC69" s="25" t="inlineStr">
        <is>
          <t>Open</t>
        </is>
      </c>
      <c r="AD69" s="25" t="inlineStr">
        <is>
          <t>2026-10-01</t>
        </is>
      </c>
      <c r="AE69" s="25" t="inlineStr">
        <is>
          <t>2027-03-15</t>
        </is>
      </c>
      <c r="AF69" s="25" t="inlineStr">
        <is>
          <t>No</t>
        </is>
      </c>
      <c r="AG69" s="28" t="inlineStr">
        <is>
          <t>https://idil.edu.umontpellier.fr/</t>
        </is>
      </c>
      <c r="AH69" s="26" t="inlineStr">
        <is>
          <t>Conditions d’accès Diplôme de licence dans la discipline choisie IDIL Niveau d’anglais B2 minimum CV et lettre de motivation 2 lettres de soutien d’un chercheur et/ou professeur (recommandé, mais non obligatoire) Estimat</t>
        </is>
      </c>
      <c r="AI69" s="28" t="inlineStr">
        <is>
          <t>Open in EEF</t>
        </is>
      </c>
    </row>
    <row r="70" ht="32.8" customHeight="1" s="19">
      <c r="A70" s="25" t="n">
        <v>69</v>
      </c>
      <c r="B70" s="25" t="inlineStr">
        <is>
          <t>★★★★☆</t>
        </is>
      </c>
      <c r="C70" s="25" t="inlineStr">
        <is>
          <t>4 – Strong fit (electronics/signal/robotics/IoT/sensors)</t>
        </is>
      </c>
      <c r="D70" s="25" t="inlineStr">
        <is>
          <t>Biomedical / Health tech</t>
        </is>
      </c>
      <c r="E70" s="26" t="inlineStr">
        <is>
          <t>Master Sciences, technologies, santé, mention Electronique, Energie électrique, Automatique parcours Master Photonics &amp; Electronics Sensors for Environment &amp; Health - IDIL</t>
        </is>
      </c>
      <c r="F70" s="26" t="inlineStr">
        <is>
          <t>Master Science, Technology, Health (STS), – major: Electronics, Electrical Energy &amp; Automation (EEA) – track: Master Photonics &amp; Electronics Sensors for Environment &amp; Health - IDIL</t>
        </is>
      </c>
      <c r="G70" s="25" t="inlineStr">
        <is>
          <t>Master indifférencié (recherche et professionnel)</t>
        </is>
      </c>
      <c r="H70" s="25" t="inlineStr">
        <is>
          <t>UFR des Sciences de Montpellier</t>
        </is>
      </c>
      <c r="I70" s="25" t="inlineStr">
        <is>
          <t>Université de Montpellier</t>
        </is>
      </c>
      <c r="J70" s="25" t="inlineStr">
        <is>
          <t>Site de Montpellier</t>
        </is>
      </c>
      <c r="K70" s="25" t="n"/>
      <c r="L70" s="25" t="inlineStr">
        <is>
          <t>Public university</t>
        </is>
      </c>
      <c r="M70" s="25" t="inlineStr">
        <is>
          <t>English</t>
        </is>
      </c>
      <c r="N70" s="25" t="inlineStr">
        <is>
          <t>General</t>
        </is>
      </c>
      <c r="O70" s="25" t="inlineStr">
        <is>
          <t>Bac +4</t>
        </is>
      </c>
      <c r="P70" s="26" t="inlineStr">
        <is>
          <t>Eligible on level (4-yr BS ≈ Bac+4)</t>
        </is>
      </c>
      <c r="Q70" s="25" t="inlineStr">
        <is>
          <t>1</t>
        </is>
      </c>
      <c r="R70" s="25" t="inlineStr">
        <is>
          <t>12</t>
        </is>
      </c>
      <c r="S70" s="27" t="n">
        <v>3950</v>
      </c>
      <c r="T70" s="27" t="n">
        <v>255</v>
      </c>
      <c r="U70" s="25" t="n">
        <v>2</v>
      </c>
      <c r="V70" s="27">
        <f>IF(S70="","",S70*U70)</f>
        <v/>
      </c>
      <c r="W70" s="26" t="inlineStr">
        <is>
          <t>Not in catalogue. Public national master → 2026-27 differentiated fee €3,950; exemption to ~€254-255 depends on university quota (25% cap in 2027-28).</t>
        </is>
      </c>
      <c r="X70" s="25" t="inlineStr">
        <is>
          <t>Medium</t>
        </is>
      </c>
      <c r="Y70" s="25" t="n"/>
      <c r="Z70" s="26" t="n"/>
      <c r="AA70" s="26" t="inlineStr">
        <is>
          <t>Montpellier 2026-27: new non-EU entrants pay the differentiated fee unless individual exemption (limited).</t>
        </is>
      </c>
      <c r="AB70" s="28" t="inlineStr">
        <is>
          <t>https://www.umontpellier.fr/en/international/etudier-a-letranger/etudiants-internationaux-annee-universitaire-2026-2027/</t>
        </is>
      </c>
      <c r="AC70" s="25" t="inlineStr">
        <is>
          <t>Open</t>
        </is>
      </c>
      <c r="AD70" s="25" t="inlineStr">
        <is>
          <t>2026-10-01</t>
        </is>
      </c>
      <c r="AE70" s="25" t="inlineStr">
        <is>
          <t>2027-03-15</t>
        </is>
      </c>
      <c r="AF70" s="25" t="inlineStr">
        <is>
          <t>No</t>
        </is>
      </c>
      <c r="AG70" s="28" t="inlineStr">
        <is>
          <t>https://idil.edu.umontpellier.fr/</t>
        </is>
      </c>
      <c r="AH70" s="26" t="inlineStr">
        <is>
          <t>Conditions d’accès Diplôme de licence dans la discipline choisie IDIL Niveau d’anglais B2 minimum CV et lettre de motivation 2 lettres de soutien d’un chercheur et/ou professeur (recommandé, mais non obligatoire) Estimat</t>
        </is>
      </c>
      <c r="AI70" s="28" t="inlineStr">
        <is>
          <t>Open in EEF</t>
        </is>
      </c>
    </row>
    <row r="71" ht="32.8" customHeight="1" s="19">
      <c r="A71" s="25" t="n">
        <v>70</v>
      </c>
      <c r="B71" s="25" t="inlineStr">
        <is>
          <t>★★★★☆</t>
        </is>
      </c>
      <c r="C71" s="25" t="inlineStr">
        <is>
          <t>4 – Strong fit (electronics/signal/robotics/IoT/sensors)</t>
        </is>
      </c>
      <c r="D71" s="25" t="inlineStr">
        <is>
          <t>Neuroscience / Neuro-engineering</t>
        </is>
      </c>
      <c r="E71" s="26" t="inlineStr">
        <is>
          <t>Master Sciences, technologies, santé mention Sciences Cognitives (cog-SUP) parcours - Neurosciences cognitives</t>
        </is>
      </c>
      <c r="F71" s="26" t="inlineStr">
        <is>
          <t>Master Science, Technology, Health (STS) – major: Cognitive Science (cog-SUP) – track: - NeuroCognitive Science</t>
        </is>
      </c>
      <c r="G71" s="25" t="inlineStr">
        <is>
          <t>Master indifférencié (recherche et professionnel)</t>
        </is>
      </c>
      <c r="H71" s="25" t="inlineStr">
        <is>
          <t>UFR des Sciences Fondamentales et Biomédicales</t>
        </is>
      </c>
      <c r="I71" s="25" t="inlineStr">
        <is>
          <t>Université Paris Cité</t>
        </is>
      </c>
      <c r="J71" s="25" t="inlineStr">
        <is>
          <t>Site de Paris</t>
        </is>
      </c>
      <c r="K71" s="25" t="inlineStr">
        <is>
          <t>75006 Paris</t>
        </is>
      </c>
      <c r="L71" s="25" t="inlineStr">
        <is>
          <t>Public university</t>
        </is>
      </c>
      <c r="M71" s="25" t="inlineStr">
        <is>
          <t>English</t>
        </is>
      </c>
      <c r="N71" s="25" t="inlineStr">
        <is>
          <t>General</t>
        </is>
      </c>
      <c r="O71" s="25" t="inlineStr">
        <is>
          <t>Bac +4 / Bac +5</t>
        </is>
      </c>
      <c r="P71" s="26" t="inlineStr">
        <is>
          <t>Eligible on level (4-yr BS ≈ Bac+4)</t>
        </is>
      </c>
      <c r="Q71" s="25" t="inlineStr">
        <is>
          <t>1/2</t>
        </is>
      </c>
      <c r="R71" s="25" t="n"/>
      <c r="S71" s="27" t="n">
        <v>3950</v>
      </c>
      <c r="T71" s="27" t="n">
        <v>255</v>
      </c>
      <c r="U71" s="25" t="n">
        <v>2</v>
      </c>
      <c r="V71" s="27">
        <f>IF(S71="","",S71*U71)</f>
        <v/>
      </c>
      <c r="W71" s="26" t="inlineStr">
        <is>
          <t>Not in catalogue. Public national master → 2026-27 differentiated fee €3,950; exemption to ~€254-255 depends on university quota (25% cap in 2027-28).</t>
        </is>
      </c>
      <c r="X71" s="25" t="inlineStr">
        <is>
          <t>Medium</t>
        </is>
      </c>
      <c r="Y71" s="25" t="n"/>
      <c r="Z71" s="26" t="n"/>
      <c r="AA71" s="26" t="inlineStr">
        <is>
          <t>Paris Cité historically exempted non-EU master students (paid EU rate). 2026-27/2027-28 policy not yet published – confirm.</t>
        </is>
      </c>
      <c r="AB71" s="28" t="inlineStr">
        <is>
          <t>https://u-paris.fr/droits-dinscription-tarifs-exonerations/</t>
        </is>
      </c>
      <c r="AC71" s="25" t="inlineStr">
        <is>
          <t>Open</t>
        </is>
      </c>
      <c r="AD71" s="25" t="inlineStr">
        <is>
          <t>2026-10-01</t>
        </is>
      </c>
      <c r="AE71" s="25" t="inlineStr">
        <is>
          <t>2027-03-15</t>
        </is>
      </c>
      <c r="AF71" s="25" t="inlineStr">
        <is>
          <t>Yes</t>
        </is>
      </c>
      <c r="AG71" s="28" t="inlineStr">
        <is>
          <t>https://odf.u-paris.fr/fr/offre-de-formation/master-XB/sciences-technologies-sante-STS/sciences-cognitives-K5CBPO1E.html</t>
        </is>
      </c>
      <c r="AH71" s="26" t="inlineStr">
        <is>
          <t>Attendus : Adéquation de la formation initiale, résultats académiques (mention bien ou plus), culture en sciences cognitives, motivation pour cette discipline. Critères d'examen des candidatures : Adéquation de la format</t>
        </is>
      </c>
      <c r="AI71" s="28" t="inlineStr">
        <is>
          <t>Open in EEF</t>
        </is>
      </c>
    </row>
    <row r="72" ht="22.35" customHeight="1" s="19">
      <c r="A72" s="25" t="n">
        <v>71</v>
      </c>
      <c r="B72" s="25" t="inlineStr">
        <is>
          <t>★★★★☆</t>
        </is>
      </c>
      <c r="C72" s="25" t="inlineStr">
        <is>
          <t>4 – Strong fit (electronics/signal/robotics/IoT/sensors)</t>
        </is>
      </c>
      <c r="D72" s="25" t="inlineStr">
        <is>
          <t>Neuroscience / Neuro-engineering</t>
        </is>
      </c>
      <c r="E72" s="26" t="inlineStr">
        <is>
          <t>Master Sciences, technologies, santé mention Sciences Cognitives (cog-SUP) parcours - Neurosciences cognitives</t>
        </is>
      </c>
      <c r="F72" s="26" t="inlineStr">
        <is>
          <t>Master Science, Technology, Health (STS) – major: Cognitive Science (cog-SUP) – track: - NeuroCognitive Science</t>
        </is>
      </c>
      <c r="G72" s="25" t="inlineStr">
        <is>
          <t>Master indifférencié (recherche et professionnel)</t>
        </is>
      </c>
      <c r="H72" s="25" t="inlineStr">
        <is>
          <t>Sciences et Ingénierie</t>
        </is>
      </c>
      <c r="I72" s="25" t="inlineStr">
        <is>
          <t>Sorbonne Université</t>
        </is>
      </c>
      <c r="J72" s="25" t="inlineStr">
        <is>
          <t>Site de Paris</t>
        </is>
      </c>
      <c r="K72" s="25" t="n"/>
      <c r="L72" s="25" t="inlineStr">
        <is>
          <t>Public university</t>
        </is>
      </c>
      <c r="M72" s="25" t="inlineStr">
        <is>
          <t>English</t>
        </is>
      </c>
      <c r="N72" s="25" t="inlineStr">
        <is>
          <t>General</t>
        </is>
      </c>
      <c r="O72" s="25" t="inlineStr">
        <is>
          <t>Bac +4 / Bac +5</t>
        </is>
      </c>
      <c r="P72" s="26" t="inlineStr">
        <is>
          <t>Eligible on level (4-yr BS ≈ Bac+4)</t>
        </is>
      </c>
      <c r="Q72" s="25" t="inlineStr">
        <is>
          <t>1/2</t>
        </is>
      </c>
      <c r="R72" s="25" t="n"/>
      <c r="S72" s="27" t="n">
        <v>3950</v>
      </c>
      <c r="T72" s="27" t="n">
        <v>255</v>
      </c>
      <c r="U72" s="25" t="n">
        <v>2</v>
      </c>
      <c r="V72" s="27">
        <f>IF(S72="","",S72*U72)</f>
        <v/>
      </c>
      <c r="W72" s="26" t="inlineStr">
        <is>
          <t>Not in catalogue. Public national master → 2026-27 differentiated fee €3,950; exemption to ~€254-255 depends on university quota (25% cap in 2027-28).</t>
        </is>
      </c>
      <c r="X72" s="25" t="inlineStr">
        <is>
          <t>Medium</t>
        </is>
      </c>
      <c r="Y72" s="25" t="n"/>
      <c r="Z72" s="26" t="n"/>
      <c r="AA72" s="26" t="inlineStr">
        <is>
          <t>Board vote 7 Jul 2026: Sorbonne Université says it can exempt all eligible non-EU applicants (pay same as EU, ~€254) for 2026-27.</t>
        </is>
      </c>
      <c r="AB72" s="28" t="inlineStr">
        <is>
          <t>https://www.sorbonne-universite.fr/actualites/le-conseil-dadministration-de-sorbonne-universite-vote-lunanimite-le-7-juillet-2026-sa</t>
        </is>
      </c>
      <c r="AC72" s="25" t="inlineStr">
        <is>
          <t>Open</t>
        </is>
      </c>
      <c r="AD72" s="25" t="inlineStr">
        <is>
          <t>2026-10-01</t>
        </is>
      </c>
      <c r="AE72" s="25" t="inlineStr">
        <is>
          <t>2027-03-15</t>
        </is>
      </c>
      <c r="AF72" s="25" t="inlineStr">
        <is>
          <t>No</t>
        </is>
      </c>
      <c r="AG72" s="28" t="inlineStr">
        <is>
          <t>https://sciences.sorbonne-universite.fr/formation-sciences/offre-de-formation/masters/master-sciences-cognitives</t>
        </is>
      </c>
      <c r="AH72" s="26" t="n"/>
      <c r="AI72" s="28" t="inlineStr">
        <is>
          <t>Open in EEF</t>
        </is>
      </c>
    </row>
    <row r="73" ht="32.8" customHeight="1" s="19">
      <c r="A73" s="25" t="n">
        <v>72</v>
      </c>
      <c r="B73" s="25" t="inlineStr">
        <is>
          <t>★★★★☆</t>
        </is>
      </c>
      <c r="C73" s="25" t="inlineStr">
        <is>
          <t>4 – Strong fit (electronics/signal/robotics/IoT/sensors)</t>
        </is>
      </c>
      <c r="D73" s="25" t="inlineStr">
        <is>
          <t>Neuroscience / Neuro-engineering</t>
        </is>
      </c>
      <c r="E73" s="26" t="inlineStr">
        <is>
          <t>Master Sciences, technologies, santé mention Sciences Cognitives (cog-SUP) parcours - Neurosciences computationnelles et intelligence artificielle</t>
        </is>
      </c>
      <c r="F73" s="26" t="inlineStr">
        <is>
          <t>Master Science, Technology, Health (STS) – major: Cognitive Science (cog-SUP) – track: - Neuroscience Computational &amp; Artificial Intelligence</t>
        </is>
      </c>
      <c r="G73" s="25" t="inlineStr">
        <is>
          <t>Master indifférencié (recherche et professionnel)</t>
        </is>
      </c>
      <c r="H73" s="25" t="inlineStr">
        <is>
          <t>UFR des Sciences Fondamentales et Biomédicales</t>
        </is>
      </c>
      <c r="I73" s="25" t="inlineStr">
        <is>
          <t>Université Paris Cité</t>
        </is>
      </c>
      <c r="J73" s="25" t="inlineStr">
        <is>
          <t>Site de Paris</t>
        </is>
      </c>
      <c r="K73" s="25" t="inlineStr">
        <is>
          <t>75006 Paris</t>
        </is>
      </c>
      <c r="L73" s="25" t="inlineStr">
        <is>
          <t>Public university</t>
        </is>
      </c>
      <c r="M73" s="25" t="inlineStr">
        <is>
          <t>English</t>
        </is>
      </c>
      <c r="N73" s="25" t="inlineStr">
        <is>
          <t>General</t>
        </is>
      </c>
      <c r="O73" s="25" t="inlineStr">
        <is>
          <t>Bac +4 / Bac +5</t>
        </is>
      </c>
      <c r="P73" s="26" t="inlineStr">
        <is>
          <t>Eligible on level (4-yr BS ≈ Bac+4)</t>
        </is>
      </c>
      <c r="Q73" s="25" t="inlineStr">
        <is>
          <t>1/2</t>
        </is>
      </c>
      <c r="R73" s="25" t="n"/>
      <c r="S73" s="27" t="n">
        <v>3950</v>
      </c>
      <c r="T73" s="27" t="n">
        <v>255</v>
      </c>
      <c r="U73" s="25" t="n">
        <v>2</v>
      </c>
      <c r="V73" s="27">
        <f>IF(S73="","",S73*U73)</f>
        <v/>
      </c>
      <c r="W73" s="26" t="inlineStr">
        <is>
          <t>Not in catalogue. Public national master → 2026-27 differentiated fee €3,950; exemption to ~€254-255 depends on university quota (25% cap in 2027-28).</t>
        </is>
      </c>
      <c r="X73" s="25" t="inlineStr">
        <is>
          <t>Medium</t>
        </is>
      </c>
      <c r="Y73" s="25" t="n"/>
      <c r="Z73" s="26" t="n"/>
      <c r="AA73" s="26" t="inlineStr">
        <is>
          <t>Paris Cité historically exempted non-EU master students (paid EU rate). 2026-27/2027-28 policy not yet published – confirm.</t>
        </is>
      </c>
      <c r="AB73" s="28" t="inlineStr">
        <is>
          <t>https://u-paris.fr/droits-dinscription-tarifs-exonerations/</t>
        </is>
      </c>
      <c r="AC73" s="25" t="inlineStr">
        <is>
          <t>Open</t>
        </is>
      </c>
      <c r="AD73" s="25" t="inlineStr">
        <is>
          <t>2026-10-01</t>
        </is>
      </c>
      <c r="AE73" s="25" t="inlineStr">
        <is>
          <t>2027-03-15</t>
        </is>
      </c>
      <c r="AF73" s="25" t="inlineStr">
        <is>
          <t>Yes</t>
        </is>
      </c>
      <c r="AG73" s="28" t="inlineStr">
        <is>
          <t>https://odf.u-paris.fr/fr/offre-de-formation/master-XB/sciences-technologies-sante-STS/sciences-cognitives-K5CBPO1E.html</t>
        </is>
      </c>
      <c r="AH73" s="26" t="inlineStr">
        <is>
          <t>Attendus : Adéquation de la formation initiale, résultats académiques (mention bien ou plus), culture en sciences cognitives, motivation pour cette discipline. Critères d'examen des candidatures : Adéquation de la format</t>
        </is>
      </c>
      <c r="AI73" s="28" t="inlineStr">
        <is>
          <t>Open in EEF</t>
        </is>
      </c>
    </row>
    <row r="74" ht="22.35" customHeight="1" s="19">
      <c r="A74" s="25" t="n">
        <v>73</v>
      </c>
      <c r="B74" s="25" t="inlineStr">
        <is>
          <t>★★★★☆</t>
        </is>
      </c>
      <c r="C74" s="25" t="inlineStr">
        <is>
          <t>4 – Strong fit (electronics/signal/robotics/IoT/sensors)</t>
        </is>
      </c>
      <c r="D74" s="25" t="inlineStr">
        <is>
          <t>Neuroscience / Neuro-engineering</t>
        </is>
      </c>
      <c r="E74" s="26" t="inlineStr">
        <is>
          <t>Master Sciences, technologies, santé mention Sciences Cognitives (cog-SUP) parcours - Neurosciences computationnelles et intelligence artificielle</t>
        </is>
      </c>
      <c r="F74" s="26" t="inlineStr">
        <is>
          <t>Master Science, Technology, Health (STS) – major: Cognitive Science (cog-SUP) – track: - Neuroscience Computational &amp; Artificial Intelligence</t>
        </is>
      </c>
      <c r="G74" s="25" t="inlineStr">
        <is>
          <t>Master indifférencié (recherche et professionnel)</t>
        </is>
      </c>
      <c r="H74" s="25" t="inlineStr">
        <is>
          <t>Sciences et Ingénierie</t>
        </is>
      </c>
      <c r="I74" s="25" t="inlineStr">
        <is>
          <t>Sorbonne Université</t>
        </is>
      </c>
      <c r="J74" s="25" t="inlineStr">
        <is>
          <t>Site de Paris</t>
        </is>
      </c>
      <c r="K74" s="25" t="n"/>
      <c r="L74" s="25" t="inlineStr">
        <is>
          <t>Public university</t>
        </is>
      </c>
      <c r="M74" s="25" t="inlineStr">
        <is>
          <t>English</t>
        </is>
      </c>
      <c r="N74" s="25" t="inlineStr">
        <is>
          <t>General</t>
        </is>
      </c>
      <c r="O74" s="25" t="inlineStr">
        <is>
          <t>Bac +4 / Bac +5</t>
        </is>
      </c>
      <c r="P74" s="26" t="inlineStr">
        <is>
          <t>Eligible on level (4-yr BS ≈ Bac+4)</t>
        </is>
      </c>
      <c r="Q74" s="25" t="inlineStr">
        <is>
          <t>1/2</t>
        </is>
      </c>
      <c r="R74" s="25" t="n"/>
      <c r="S74" s="27" t="n">
        <v>3950</v>
      </c>
      <c r="T74" s="27" t="n">
        <v>255</v>
      </c>
      <c r="U74" s="25" t="n">
        <v>2</v>
      </c>
      <c r="V74" s="27">
        <f>IF(S74="","",S74*U74)</f>
        <v/>
      </c>
      <c r="W74" s="26" t="inlineStr">
        <is>
          <t>Not in catalogue. Public national master → 2026-27 differentiated fee €3,950; exemption to ~€254-255 depends on university quota (25% cap in 2027-28).</t>
        </is>
      </c>
      <c r="X74" s="25" t="inlineStr">
        <is>
          <t>Medium</t>
        </is>
      </c>
      <c r="Y74" s="25" t="n"/>
      <c r="Z74" s="26" t="n"/>
      <c r="AA74" s="26" t="inlineStr">
        <is>
          <t>Board vote 7 Jul 2026: Sorbonne Université says it can exempt all eligible non-EU applicants (pay same as EU, ~€254) for 2026-27.</t>
        </is>
      </c>
      <c r="AB74" s="28" t="inlineStr">
        <is>
          <t>https://www.sorbonne-universite.fr/actualites/le-conseil-dadministration-de-sorbonne-universite-vote-lunanimite-le-7-juillet-2026-sa</t>
        </is>
      </c>
      <c r="AC74" s="25" t="inlineStr">
        <is>
          <t>Open</t>
        </is>
      </c>
      <c r="AD74" s="25" t="inlineStr">
        <is>
          <t>2026-10-01</t>
        </is>
      </c>
      <c r="AE74" s="25" t="inlineStr">
        <is>
          <t>2027-03-15</t>
        </is>
      </c>
      <c r="AF74" s="25" t="inlineStr">
        <is>
          <t>No</t>
        </is>
      </c>
      <c r="AG74" s="28" t="inlineStr">
        <is>
          <t>https://sciences.sorbonne-universite.fr/formation-sciences/offre-de-formation/masters/master-sciences-cognitives</t>
        </is>
      </c>
      <c r="AH74" s="26" t="n"/>
      <c r="AI74" s="28" t="inlineStr">
        <is>
          <t>Open in EEF</t>
        </is>
      </c>
    </row>
    <row r="75" ht="32.8" customHeight="1" s="19">
      <c r="A75" s="25" t="n">
        <v>74</v>
      </c>
      <c r="B75" s="25" t="inlineStr">
        <is>
          <t>★★★★☆</t>
        </is>
      </c>
      <c r="C75" s="25" t="inlineStr">
        <is>
          <t>4 – Strong fit (electronics/signal/robotics/IoT/sensors)</t>
        </is>
      </c>
      <c r="D75" s="25" t="inlineStr">
        <is>
          <t>Sensors / Instrumentation / Micro-Nano / Photonics</t>
        </is>
      </c>
      <c r="E75" s="26" t="inlineStr">
        <is>
          <t>mention Physique parcours Optics &amp; photonics (Europhotonics)</t>
        </is>
      </c>
      <c r="F75" s="26" t="inlineStr">
        <is>
          <t>major: Physics – track: Optics &amp; photonics (Europhotonics)</t>
        </is>
      </c>
      <c r="G75" s="25" t="inlineStr">
        <is>
          <t>Master indifférencié (recherche et professionnel)</t>
        </is>
      </c>
      <c r="H75" s="25" t="inlineStr">
        <is>
          <t>UFR Sciences</t>
        </is>
      </c>
      <c r="I75" s="25" t="inlineStr">
        <is>
          <t>Université d'Aix-Marseille</t>
        </is>
      </c>
      <c r="J75" s="25" t="inlineStr">
        <is>
          <t>Site de Marseille - St Jérôme</t>
        </is>
      </c>
      <c r="K75" s="25" t="n"/>
      <c r="L75" s="25" t="inlineStr">
        <is>
          <t>Public university</t>
        </is>
      </c>
      <c r="M75" s="25" t="inlineStr">
        <is>
          <t>English</t>
        </is>
      </c>
      <c r="N75" s="25" t="inlineStr">
        <is>
          <t>Taught in English</t>
        </is>
      </c>
      <c r="O75" s="25" t="inlineStr">
        <is>
          <t>Bac +4 / Bac +5</t>
        </is>
      </c>
      <c r="P75" s="26" t="inlineStr">
        <is>
          <t>Eligible on level (4-yr BS ≈ Bac+4)</t>
        </is>
      </c>
      <c r="Q75" s="25" t="inlineStr">
        <is>
          <t>1/2</t>
        </is>
      </c>
      <c r="R75" s="25" t="inlineStr">
        <is>
          <t>12</t>
        </is>
      </c>
      <c r="S75" s="27" t="n">
        <v>3950</v>
      </c>
      <c r="T75" s="27" t="n">
        <v>255</v>
      </c>
      <c r="U75" s="25" t="n">
        <v>2</v>
      </c>
      <c r="V75" s="27">
        <f>IF(S75="","",S75*U75)</f>
        <v/>
      </c>
      <c r="W75" s="26" t="inlineStr">
        <is>
          <t>Not in catalogue. Public national master → 2026-27 differentiated fee €3,950; exemption to ~€254-255 depends on university quota (25% cap in 2027-28).</t>
        </is>
      </c>
      <c r="X75" s="25" t="inlineStr">
        <is>
          <t>Medium</t>
        </is>
      </c>
      <c r="Y75" s="25" t="n"/>
      <c r="Z75" s="26" t="n"/>
      <c r="AA75" s="26" t="inlineStr">
        <is>
          <t>AMU 2026-27: limited exemptions (≈1,800 of 5,500 students) – priority to continuing students, conflict zones, excellence scholarships. New master entrants usually pay €3,950.</t>
        </is>
      </c>
      <c r="AB75" s="28" t="inlineStr">
        <is>
          <t>https://www.univ-amu.fr/fr/actualites/aix-marseille-universite-mobilise-pleinement-capacite-dexoneration-continuer-accueillir</t>
        </is>
      </c>
      <c r="AC75" s="25" t="inlineStr">
        <is>
          <t>Open</t>
        </is>
      </c>
      <c r="AD75" s="25" t="inlineStr">
        <is>
          <t>2026-10-01</t>
        </is>
      </c>
      <c r="AE75" s="25" t="inlineStr">
        <is>
          <t>2027-03-15</t>
        </is>
      </c>
      <c r="AF75" s="25" t="inlineStr">
        <is>
          <t>No</t>
        </is>
      </c>
      <c r="AG75" s="28" t="inlineStr">
        <is>
          <t>https://formations.univ-amu.fr/fr/master/5SPF/PRSPF5C4</t>
        </is>
      </c>
      <c r="AH75" s="26" t="inlineStr">
        <is>
          <t>2 important points for your application : - Your application must be complete and validated by the Espace Etudes in France - The faculty will review the applications The level of English required is B2. Access to Master</t>
        </is>
      </c>
      <c r="AI75" s="28" t="inlineStr">
        <is>
          <t>Open in EEF</t>
        </is>
      </c>
    </row>
    <row r="76" ht="32.8" customHeight="1" s="19">
      <c r="A76" s="25" t="n">
        <v>75</v>
      </c>
      <c r="B76" s="25" t="inlineStr">
        <is>
          <t>★★★★☆</t>
        </is>
      </c>
      <c r="C76" s="25" t="inlineStr">
        <is>
          <t>4 – Strong fit (electronics/signal/robotics/IoT/sensors)</t>
        </is>
      </c>
      <c r="D76" s="25" t="inlineStr">
        <is>
          <t>Sensors / Instrumentation / Micro-Nano / Photonics</t>
        </is>
      </c>
      <c r="E76" s="26" t="inlineStr">
        <is>
          <t>Master indifférencié (recherche et professionnel) Sciences, technologies, santé mention Biologie, santé parcours Thérapies et Technologies du vivant (T2V) : Parcours Technologies et instrumentation pour le vivant</t>
        </is>
      </c>
      <c r="F76" s="26" t="inlineStr">
        <is>
          <t>Science, Technology, Health (STS) – major: Biology-Health – track: Thérapies &amp; Technologies of Life (T2V) : – track: Technologies &amp; Instrumentation for the Life</t>
        </is>
      </c>
      <c r="G76" s="25" t="inlineStr">
        <is>
          <t>Master indifférencié (recherche et professionnel)</t>
        </is>
      </c>
      <c r="H76" s="25" t="inlineStr">
        <is>
          <t>UFR de santé médecine biologie humaine - Léonard de Vinci</t>
        </is>
      </c>
      <c r="I76" s="25" t="inlineStr">
        <is>
          <t>Université Sorbonne Paris Nord</t>
        </is>
      </c>
      <c r="J76" s="25" t="inlineStr">
        <is>
          <t>Site de Bobigny</t>
        </is>
      </c>
      <c r="K76" s="25" t="n"/>
      <c r="L76" s="25" t="inlineStr">
        <is>
          <t>Public university</t>
        </is>
      </c>
      <c r="M76" s="25" t="inlineStr">
        <is>
          <t>French &amp; English</t>
        </is>
      </c>
      <c r="N76" s="25" t="inlineStr">
        <is>
          <t>General</t>
        </is>
      </c>
      <c r="O76" s="25" t="inlineStr">
        <is>
          <t>Bac +4 / Bac +5</t>
        </is>
      </c>
      <c r="P76" s="26" t="inlineStr">
        <is>
          <t>Eligible on level (4-yr BS ≈ Bac+4)</t>
        </is>
      </c>
      <c r="Q76" s="25" t="inlineStr">
        <is>
          <t>1/2</t>
        </is>
      </c>
      <c r="R76" s="25" t="n"/>
      <c r="S76" s="27" t="n">
        <v>3950</v>
      </c>
      <c r="T76" s="27" t="n">
        <v>255</v>
      </c>
      <c r="U76" s="25" t="n">
        <v>2</v>
      </c>
      <c r="V76" s="27">
        <f>IF(S76="","",S76*U76)</f>
        <v/>
      </c>
      <c r="W76" s="26" t="inlineStr">
        <is>
          <t>Catalogue: €3,950. = national differentiated master fee (2026-27: €3,950). Exemption to ~€255 possible (university quota).</t>
        </is>
      </c>
      <c r="X76" s="25" t="inlineStr">
        <is>
          <t>High</t>
        </is>
      </c>
      <c r="Y76" s="25" t="inlineStr">
        <is>
          <t>3950</t>
        </is>
      </c>
      <c r="Z76" s="26" t="n"/>
      <c r="AA76" s="26" t="n"/>
      <c r="AB76" s="25" t="n"/>
      <c r="AC76" s="25" t="inlineStr">
        <is>
          <t>Open</t>
        </is>
      </c>
      <c r="AD76" s="25" t="inlineStr">
        <is>
          <t>2026-10-01</t>
        </is>
      </c>
      <c r="AE76" s="25" t="inlineStr">
        <is>
          <t>2027-03-15</t>
        </is>
      </c>
      <c r="AF76" s="25" t="inlineStr">
        <is>
          <t>No</t>
        </is>
      </c>
      <c r="AG76" s="28" t="inlineStr">
        <is>
          <t>https://odf.univ-spn.fr/fr/offre-de-formation/master-lmd-XB/master-mention-biologie-sante-parcours-therapies-et-technologie-du-vivant-BI4TPH_117.html</t>
        </is>
      </c>
      <c r="AH76" s="26" t="inlineStr">
        <is>
          <t>Responsable du Master 1 et 2 : Mme Julie MARIN et Mr Tony PALAMA Master 1 : Année 1 Bac + 4 L’admission se fait sur dossier et après audition par visioconférence. Le M1 est accessible aux t itulaires d'une Licence obtenu</t>
        </is>
      </c>
      <c r="AI76" s="28" t="inlineStr">
        <is>
          <t>Open in EEF</t>
        </is>
      </c>
    </row>
    <row r="77" ht="32.8" customHeight="1" s="19">
      <c r="A77" s="25" t="n">
        <v>76</v>
      </c>
      <c r="B77" s="25" t="inlineStr">
        <is>
          <t>★★★★☆</t>
        </is>
      </c>
      <c r="C77" s="25" t="inlineStr">
        <is>
          <t>4 – Strong fit (electronics/signal/robotics/IoT/sensors)</t>
        </is>
      </c>
      <c r="D77" s="25" t="inlineStr">
        <is>
          <t>Signal / Image / Vision</t>
        </is>
      </c>
      <c r="E77" s="26" t="inlineStr">
        <is>
          <t>Master indifférencié (recherche et professionnel) Sciences, technologies, santé mention Informatique parcours Parcours ISICG Synthèse d'images et conception graphique- Parcours Graduate School “Computer Graphics”</t>
        </is>
      </c>
      <c r="F77" s="26" t="inlineStr">
        <is>
          <t>Science, Technology, Health (STS) – major: Computer Science – track: track: ISICG Synthesis of Images &amp; Design graphique- – track: Graduate School “Computer Graphics”</t>
        </is>
      </c>
      <c r="G77" s="25" t="inlineStr">
        <is>
          <t>Master indifférencié (recherche et professionnel)</t>
        </is>
      </c>
      <c r="H77" s="25" t="inlineStr">
        <is>
          <t>Faculté des Sciences et Techniques</t>
        </is>
      </c>
      <c r="I77" s="25" t="inlineStr">
        <is>
          <t>Université de Limoges</t>
        </is>
      </c>
      <c r="J77" s="25" t="inlineStr">
        <is>
          <t>Campus de la Borie Limoges</t>
        </is>
      </c>
      <c r="K77" s="25" t="n"/>
      <c r="L77" s="25" t="inlineStr">
        <is>
          <t>Public university</t>
        </is>
      </c>
      <c r="M77" s="25" t="inlineStr">
        <is>
          <t>French &amp; English</t>
        </is>
      </c>
      <c r="N77" s="25" t="inlineStr">
        <is>
          <t>General</t>
        </is>
      </c>
      <c r="O77" s="25" t="inlineStr">
        <is>
          <t>Bac +4 / Bac +5</t>
        </is>
      </c>
      <c r="P77" s="26" t="inlineStr">
        <is>
          <t>Eligible on level (4-yr BS ≈ Bac+4)</t>
        </is>
      </c>
      <c r="Q77" s="25" t="inlineStr">
        <is>
          <t>1/2</t>
        </is>
      </c>
      <c r="R77" s="25" t="n"/>
      <c r="S77" s="27" t="n">
        <v>3950</v>
      </c>
      <c r="T77" s="27" t="n">
        <v>255</v>
      </c>
      <c r="U77" s="25" t="n">
        <v>2</v>
      </c>
      <c r="V77" s="27">
        <f>IF(S77="","",S77*U77)</f>
        <v/>
      </c>
      <c r="W77" s="26" t="inlineStr">
        <is>
          <t>Catalogue: €3,950. = national differentiated master fee (2026-27: €3,950). Exemption to ~€255 possible (university quota).</t>
        </is>
      </c>
      <c r="X77" s="25" t="inlineStr">
        <is>
          <t>High</t>
        </is>
      </c>
      <c r="Y77" s="25" t="inlineStr">
        <is>
          <t>3950</t>
        </is>
      </c>
      <c r="Z77" s="26" t="n"/>
      <c r="AA77" s="26" t="n"/>
      <c r="AB77" s="25" t="n"/>
      <c r="AC77" s="25" t="inlineStr">
        <is>
          <t>Open</t>
        </is>
      </c>
      <c r="AD77" s="25" t="inlineStr">
        <is>
          <t>2026-10-01</t>
        </is>
      </c>
      <c r="AE77" s="25" t="inlineStr">
        <is>
          <t>2027-03-15</t>
        </is>
      </c>
      <c r="AF77" s="25" t="inlineStr">
        <is>
          <t>No</t>
        </is>
      </c>
      <c r="AG77" s="28" t="inlineStr">
        <is>
          <t>https://www.unilim.fr/gradschool-ceramics-ict/</t>
        </is>
      </c>
      <c r="AH77" s="26" t="inlineStr">
        <is>
          <t>This is the graduate school side of the ISICG Master. Applicants wanting to later continue with a PhD are encouraged to (also) apply here. 1st year : Applicants need to have a computer science bachelor (or equivalent). T</t>
        </is>
      </c>
      <c r="AI77" s="28" t="inlineStr">
        <is>
          <t>Open in EEF</t>
        </is>
      </c>
    </row>
    <row r="78" ht="43.25" customHeight="1" s="19">
      <c r="A78" s="25" t="n">
        <v>77</v>
      </c>
      <c r="B78" s="25" t="inlineStr">
        <is>
          <t>★★★★☆</t>
        </is>
      </c>
      <c r="C78" s="25" t="inlineStr">
        <is>
          <t>4 – Strong fit (electronics/signal/robotics/IoT/sensors)</t>
        </is>
      </c>
      <c r="D78" s="25" t="inlineStr">
        <is>
          <t>Embedded systems / Electronics</t>
        </is>
      </c>
      <c r="E78" s="26" t="inlineStr">
        <is>
          <t>Master indifférencié (recherche et professionnel) Sciences, technologies, santé mention Physique appliquée et Ingénierie physique parcours Parcours IXEO Hautes technologies électronique et photonique-Parcours Graduate School "High frequency electronics &amp; photonics"</t>
        </is>
      </c>
      <c r="F78" s="26" t="inlineStr">
        <is>
          <t>Science, Technology, Health (STS) – major: Applied Physics &amp; Engineering Physics – track: track: IXEO Hautes Technologies Electronics &amp; photonique-Parcours Graduate School "High frequency electronics &amp; photonics"</t>
        </is>
      </c>
      <c r="G78" s="25" t="inlineStr">
        <is>
          <t>Master indifférencié (recherche et professionnel)</t>
        </is>
      </c>
      <c r="H78" s="25" t="inlineStr">
        <is>
          <t>Faculté des Sciences et Techniques</t>
        </is>
      </c>
      <c r="I78" s="25" t="inlineStr">
        <is>
          <t>Université de Limoges</t>
        </is>
      </c>
      <c r="J78" s="25" t="inlineStr">
        <is>
          <t>Campus de la Borie Limoges</t>
        </is>
      </c>
      <c r="K78" s="25" t="n"/>
      <c r="L78" s="25" t="inlineStr">
        <is>
          <t>Public university</t>
        </is>
      </c>
      <c r="M78" s="25" t="inlineStr">
        <is>
          <t>French &amp; English</t>
        </is>
      </c>
      <c r="N78" s="25" t="inlineStr">
        <is>
          <t>General</t>
        </is>
      </c>
      <c r="O78" s="25" t="inlineStr">
        <is>
          <t>Bac +4 / Bac +5</t>
        </is>
      </c>
      <c r="P78" s="26" t="inlineStr">
        <is>
          <t>Eligible on level (4-yr BS ≈ Bac+4)</t>
        </is>
      </c>
      <c r="Q78" s="25" t="inlineStr">
        <is>
          <t>1/2</t>
        </is>
      </c>
      <c r="R78" s="25" t="inlineStr">
        <is>
          <t>12</t>
        </is>
      </c>
      <c r="S78" s="27" t="n">
        <v>3950</v>
      </c>
      <c r="T78" s="27" t="n">
        <v>255</v>
      </c>
      <c r="U78" s="25" t="n">
        <v>2</v>
      </c>
      <c r="V78" s="27">
        <f>IF(S78="","",S78*U78)</f>
        <v/>
      </c>
      <c r="W78" s="26" t="inlineStr">
        <is>
          <t>Catalogue: €3,950. = national differentiated master fee (2026-27: €3,950). Exemption to ~€255 possible (university quota).</t>
        </is>
      </c>
      <c r="X78" s="25" t="inlineStr">
        <is>
          <t>High</t>
        </is>
      </c>
      <c r="Y78" s="25" t="inlineStr">
        <is>
          <t>3950</t>
        </is>
      </c>
      <c r="Z78" s="26" t="n"/>
      <c r="AA78" s="26" t="n"/>
      <c r="AB78" s="25" t="n"/>
      <c r="AC78" s="25" t="inlineStr">
        <is>
          <t>Open</t>
        </is>
      </c>
      <c r="AD78" s="25" t="inlineStr">
        <is>
          <t>2026-10-01</t>
        </is>
      </c>
      <c r="AE78" s="25" t="inlineStr">
        <is>
          <t>2027-03-15</t>
        </is>
      </c>
      <c r="AF78" s="25" t="inlineStr">
        <is>
          <t>No</t>
        </is>
      </c>
      <c r="AG78" s="28" t="inlineStr">
        <is>
          <t>https://www.unilim.fr/gradschool-ceramics-ict/</t>
        </is>
      </c>
      <c r="AH78" s="26" t="inlineStr">
        <is>
          <t>This is the graduate school side of the IXEO Master. Applicants wanting to later continue with an applied PhD are encouraged to (also) apply here. Lectures are in English and also in French so a B2 level is strongly expe</t>
        </is>
      </c>
      <c r="AI78" s="28" t="inlineStr">
        <is>
          <t>Open in EEF</t>
        </is>
      </c>
    </row>
    <row r="79" ht="32.8" customHeight="1" s="19">
      <c r="A79" s="25" t="n">
        <v>78</v>
      </c>
      <c r="B79" s="25" t="inlineStr">
        <is>
          <t>★★★★☆</t>
        </is>
      </c>
      <c r="C79" s="25" t="inlineStr">
        <is>
          <t>4 – Strong fit (electronics/signal/robotics/IoT/sensors)</t>
        </is>
      </c>
      <c r="D79" s="25" t="inlineStr">
        <is>
          <t>Sensors / Instrumentation / Micro-Nano / Photonics</t>
        </is>
      </c>
      <c r="E79" s="26" t="inlineStr">
        <is>
          <t>Master indifférencié (recherche et professionnel) Sciences, technologies, santé mention Physique fondamentale et applications parcours Nanosciences, nanomatériaux, nanotechnologies</t>
        </is>
      </c>
      <c r="F79" s="26" t="inlineStr">
        <is>
          <t>Science, Technology, Health (STS) – major: Physics Fundamental &amp; Applications – track: Nanosciences, nanomatériaux, Nanotechnologies</t>
        </is>
      </c>
      <c r="G79" s="25" t="inlineStr">
        <is>
          <t>Master indifférencié (recherche et professionnel)</t>
        </is>
      </c>
      <c r="H79" s="25" t="inlineStr">
        <is>
          <t>Campus scientifique de BEAULIEU</t>
        </is>
      </c>
      <c r="I79" s="25" t="inlineStr">
        <is>
          <t>Université de Rennes</t>
        </is>
      </c>
      <c r="J79" s="25" t="inlineStr">
        <is>
          <t>Site de Rennes - FDS Faculté des sciences</t>
        </is>
      </c>
      <c r="K79" s="25" t="n"/>
      <c r="L79" s="25" t="inlineStr">
        <is>
          <t>Public university</t>
        </is>
      </c>
      <c r="M79" s="25" t="inlineStr">
        <is>
          <t>French &amp; English</t>
        </is>
      </c>
      <c r="N79" s="25" t="inlineStr">
        <is>
          <t>General</t>
        </is>
      </c>
      <c r="O79" s="25" t="inlineStr">
        <is>
          <t>Bac +4 / Bac +5</t>
        </is>
      </c>
      <c r="P79" s="26" t="inlineStr">
        <is>
          <t>Eligible on level (4-yr BS ≈ Bac+4)</t>
        </is>
      </c>
      <c r="Q79" s="25" t="inlineStr">
        <is>
          <t>1/2</t>
        </is>
      </c>
      <c r="R79" s="25" t="inlineStr">
        <is>
          <t>12</t>
        </is>
      </c>
      <c r="S79" s="27" t="n">
        <v>3950</v>
      </c>
      <c r="T79" s="27" t="n">
        <v>255</v>
      </c>
      <c r="U79" s="25" t="n">
        <v>2</v>
      </c>
      <c r="V79" s="27">
        <f>IF(S79="","",S79*U79)</f>
        <v/>
      </c>
      <c r="W79" s="26" t="inlineStr">
        <is>
          <t>Catalogue: €3,950. = national differentiated master fee (2026-27: €3,950). Exemption to ~€255 possible (university quota).</t>
        </is>
      </c>
      <c r="X79" s="25" t="inlineStr">
        <is>
          <t>High</t>
        </is>
      </c>
      <c r="Y79" s="25" t="inlineStr">
        <is>
          <t>3950</t>
        </is>
      </c>
      <c r="Z79" s="26" t="inlineStr">
        <is>
          <t>ption, il faudra vous acquitter obligatoirement des frais d'inscription s’élevant à 3 950 Euros</t>
        </is>
      </c>
      <c r="AA79" s="26" t="n"/>
      <c r="AB79" s="25" t="n"/>
      <c r="AC79" s="25" t="inlineStr">
        <is>
          <t>Open</t>
        </is>
      </c>
      <c r="AD79" s="25" t="inlineStr">
        <is>
          <t>2026-10-01</t>
        </is>
      </c>
      <c r="AE79" s="25" t="inlineStr">
        <is>
          <t>2027-03-15</t>
        </is>
      </c>
      <c r="AF79" s="25" t="inlineStr">
        <is>
          <t>No</t>
        </is>
      </c>
      <c r="AG79" s="28" t="inlineStr">
        <is>
          <t>https://formations.univ-rennes.fr/</t>
        </is>
      </c>
      <c r="AH79" s="26" t="inlineStr">
        <is>
          <t>Formations ou matières qu'il faut avoir déjà suivi au cours de son cursus antérieur : Licence de physique ou physique chimie, sciences des matériaux, master 1 en physique, bon socle en mathématiques. Niveau spécifique at</t>
        </is>
      </c>
      <c r="AI79" s="28" t="inlineStr">
        <is>
          <t>Open in EEF</t>
        </is>
      </c>
    </row>
    <row r="80" ht="32.8" customHeight="1" s="19">
      <c r="A80" s="25" t="n">
        <v>79</v>
      </c>
      <c r="B80" s="25" t="inlineStr">
        <is>
          <t>★★★★☆</t>
        </is>
      </c>
      <c r="C80" s="25" t="inlineStr">
        <is>
          <t>4 – Strong fit (electronics/signal/robotics/IoT/sensors)</t>
        </is>
      </c>
      <c r="D80" s="25" t="inlineStr">
        <is>
          <t>Sensors / Instrumentation / Micro-Nano / Photonics</t>
        </is>
      </c>
      <c r="E80" s="26" t="inlineStr">
        <is>
          <t>Master indifférencié (recherche et professionnel) Sciences, technologies, santé mention Physique fondamentale et applications parcours Photonique</t>
        </is>
      </c>
      <c r="F80" s="26" t="inlineStr">
        <is>
          <t>Science, Technology, Health (STS) – major: Physics Fundamental &amp; Applications – track: Photonics</t>
        </is>
      </c>
      <c r="G80" s="25" t="inlineStr">
        <is>
          <t>Master indifférencié (recherche et professionnel)</t>
        </is>
      </c>
      <c r="H80" s="25" t="inlineStr">
        <is>
          <t>Campus scientifique de BEAULIEU</t>
        </is>
      </c>
      <c r="I80" s="25" t="inlineStr">
        <is>
          <t>Université de Rennes</t>
        </is>
      </c>
      <c r="J80" s="25" t="inlineStr">
        <is>
          <t>Site de Rennes - FDS Faculté des sciences</t>
        </is>
      </c>
      <c r="K80" s="25" t="n"/>
      <c r="L80" s="25" t="inlineStr">
        <is>
          <t>Public university</t>
        </is>
      </c>
      <c r="M80" s="25" t="inlineStr">
        <is>
          <t>French &amp; English</t>
        </is>
      </c>
      <c r="N80" s="25" t="inlineStr">
        <is>
          <t>General</t>
        </is>
      </c>
      <c r="O80" s="25" t="inlineStr">
        <is>
          <t>Bac +4 / Bac +5</t>
        </is>
      </c>
      <c r="P80" s="26" t="inlineStr">
        <is>
          <t>Eligible on level (4-yr BS ≈ Bac+4)</t>
        </is>
      </c>
      <c r="Q80" s="25" t="inlineStr">
        <is>
          <t>1/2</t>
        </is>
      </c>
      <c r="R80" s="25" t="inlineStr">
        <is>
          <t>12</t>
        </is>
      </c>
      <c r="S80" s="27" t="n">
        <v>3950</v>
      </c>
      <c r="T80" s="27" t="n">
        <v>255</v>
      </c>
      <c r="U80" s="25" t="n">
        <v>2</v>
      </c>
      <c r="V80" s="27">
        <f>IF(S80="","",S80*U80)</f>
        <v/>
      </c>
      <c r="W80" s="26" t="inlineStr">
        <is>
          <t>Catalogue: €3,950. = national differentiated master fee (2026-27: €3,950). Exemption to ~€255 possible (university quota).</t>
        </is>
      </c>
      <c r="X80" s="25" t="inlineStr">
        <is>
          <t>High</t>
        </is>
      </c>
      <c r="Y80" s="25" t="inlineStr">
        <is>
          <t>3950</t>
        </is>
      </c>
      <c r="Z80" s="26" t="inlineStr">
        <is>
          <t>ption, il faudra vous acquitter obligatoirement des frais d'inscription s’élevant à 3 950 Euros … ption, il faudra vous acquitter obligatoirement des frais d'inscription s’élevant à 3 950 Euros</t>
        </is>
      </c>
      <c r="AA80" s="26" t="n"/>
      <c r="AB80" s="25" t="n"/>
      <c r="AC80" s="25" t="inlineStr">
        <is>
          <t>Open</t>
        </is>
      </c>
      <c r="AD80" s="25" t="inlineStr">
        <is>
          <t>2026-10-01</t>
        </is>
      </c>
      <c r="AE80" s="25" t="inlineStr">
        <is>
          <t>2027-03-15</t>
        </is>
      </c>
      <c r="AF80" s="25" t="inlineStr">
        <is>
          <t>No</t>
        </is>
      </c>
      <c r="AG80" s="28" t="inlineStr">
        <is>
          <t>https://formations.univ-rennes.fr/</t>
        </is>
      </c>
      <c r="AH80" s="26" t="inlineStr">
        <is>
          <t>Formations ou matières qu'il faut avoir déjà suivi au cours de son cursus antérieur : - pour le M1 : Licence de physique ou physique chimie, sciences des matériaux, master 1 en physique, bon socle en mathématiques - pour</t>
        </is>
      </c>
      <c r="AI80" s="28" t="inlineStr">
        <is>
          <t>Open in EEF</t>
        </is>
      </c>
    </row>
    <row r="81" ht="32.8" customHeight="1" s="19">
      <c r="A81" s="25" t="n">
        <v>80</v>
      </c>
      <c r="B81" s="25" t="inlineStr">
        <is>
          <t>★★★★☆</t>
        </is>
      </c>
      <c r="C81" s="25" t="inlineStr">
        <is>
          <t>4 – Strong fit (electronics/signal/robotics/IoT/sensors)</t>
        </is>
      </c>
      <c r="D81" s="25" t="inlineStr">
        <is>
          <t>Neuroscience / Neuro-engineering</t>
        </is>
      </c>
      <c r="E81" s="26" t="inlineStr">
        <is>
          <t>Master indifférencié (recherche et professionnel) Sciences, technologies, santé mention sciences du vivant parcours Neurosciences cognitives</t>
        </is>
      </c>
      <c r="F81" s="26" t="inlineStr">
        <is>
          <t>Science, Technology, Health (STS) – major: Sciences of Life – track: NeuroCognitive Science</t>
        </is>
      </c>
      <c r="G81" s="25" t="inlineStr">
        <is>
          <t>Master indifférencié (recherche et professionnel)</t>
        </is>
      </c>
      <c r="H81" s="25" t="inlineStr">
        <is>
          <t>Faculté des sciences de la vie</t>
        </is>
      </c>
      <c r="I81" s="25" t="inlineStr">
        <is>
          <t>Université de Strasbourg</t>
        </is>
      </c>
      <c r="J81" s="25" t="inlineStr">
        <is>
          <t>Site de Strasbourg</t>
        </is>
      </c>
      <c r="K81" s="25" t="inlineStr">
        <is>
          <t>67000 Strasbourg</t>
        </is>
      </c>
      <c r="L81" s="25" t="inlineStr">
        <is>
          <t>Public university</t>
        </is>
      </c>
      <c r="M81" s="25" t="inlineStr">
        <is>
          <t>French &amp; English</t>
        </is>
      </c>
      <c r="N81" s="25" t="inlineStr">
        <is>
          <t>General</t>
        </is>
      </c>
      <c r="O81" s="25" t="inlineStr">
        <is>
          <t>Bac +4 / Bac +5</t>
        </is>
      </c>
      <c r="P81" s="26" t="inlineStr">
        <is>
          <t>Eligible on level (4-yr BS ≈ Bac+4)</t>
        </is>
      </c>
      <c r="Q81" s="25" t="inlineStr">
        <is>
          <t>1/2</t>
        </is>
      </c>
      <c r="R81" s="25" t="n"/>
      <c r="S81" s="27" t="n">
        <v>3950</v>
      </c>
      <c r="T81" s="27" t="n">
        <v>255</v>
      </c>
      <c r="U81" s="25" t="n">
        <v>2</v>
      </c>
      <c r="V81" s="27">
        <f>IF(S81="","",S81*U81)</f>
        <v/>
      </c>
      <c r="W81" s="26" t="inlineStr">
        <is>
          <t>Catalogue: €3,950. = national differentiated master fee (2026-27: €3,950). Exemption to ~€255 possible (university quota).</t>
        </is>
      </c>
      <c r="X81" s="25" t="inlineStr">
        <is>
          <t>High</t>
        </is>
      </c>
      <c r="Y81" s="25" t="inlineStr">
        <is>
          <t>3950</t>
        </is>
      </c>
      <c r="Z81" s="26" t="n"/>
      <c r="AA81" s="26" t="inlineStr">
        <is>
          <t>Unistra: master entrants who did not do their licence at Unistra pay the differentiated fee (€3,950).</t>
        </is>
      </c>
      <c r="AB81" s="28" t="inlineStr">
        <is>
          <t>https://www.unistra.fr/fr/node/8168</t>
        </is>
      </c>
      <c r="AC81" s="25" t="inlineStr">
        <is>
          <t>Open</t>
        </is>
      </c>
      <c r="AD81" s="25" t="inlineStr">
        <is>
          <t>2026-10-01</t>
        </is>
      </c>
      <c r="AE81" s="25" t="inlineStr">
        <is>
          <t>2027-03-15</t>
        </is>
      </c>
      <c r="AF81" s="25" t="inlineStr">
        <is>
          <t>No</t>
        </is>
      </c>
      <c r="AG81" s="25" t="n"/>
      <c r="AH81" s="26" t="inlineStr">
        <is>
          <t>M1 : Connaissances et compétences acquises à partir de tout parcours équivalent à (1) la Licence Mention Sciences de la Vie, Parcours Biologie Cellulaire et Physiologie des Organismes de l'Université de Strasbourg, consi</t>
        </is>
      </c>
      <c r="AI81" s="28" t="inlineStr">
        <is>
          <t>Open in EEF</t>
        </is>
      </c>
    </row>
    <row r="82" ht="32.8" customHeight="1" s="19">
      <c r="A82" s="25" t="n">
        <v>81</v>
      </c>
      <c r="B82" s="25" t="inlineStr">
        <is>
          <t>★★★★☆</t>
        </is>
      </c>
      <c r="C82" s="25" t="inlineStr">
        <is>
          <t>4 – Strong fit (electronics/signal/robotics/IoT/sensors)</t>
        </is>
      </c>
      <c r="D82" s="25" t="inlineStr">
        <is>
          <t>Neuroscience / Neuro-engineering</t>
        </is>
      </c>
      <c r="E82" s="26" t="inlineStr">
        <is>
          <t>Master indifférencié (recherche et professionnel) Sciences, technologies, santé mention sciences du vivant parcours Neurosciences cellulaires et intégrées</t>
        </is>
      </c>
      <c r="F82" s="26" t="inlineStr">
        <is>
          <t>Science, Technology, Health (STS) – major: Sciences of Life – track: Neuroscience Cellular &amp; Integrated</t>
        </is>
      </c>
      <c r="G82" s="25" t="inlineStr">
        <is>
          <t>Master indifférencié (recherche et professionnel)</t>
        </is>
      </c>
      <c r="H82" s="25" t="inlineStr">
        <is>
          <t>Faculté des sciences de la vie</t>
        </is>
      </c>
      <c r="I82" s="25" t="inlineStr">
        <is>
          <t>Université de Strasbourg</t>
        </is>
      </c>
      <c r="J82" s="25" t="inlineStr">
        <is>
          <t>Site de Strasbourg</t>
        </is>
      </c>
      <c r="K82" s="25" t="inlineStr">
        <is>
          <t>67000 Strasbourg</t>
        </is>
      </c>
      <c r="L82" s="25" t="inlineStr">
        <is>
          <t>Public university</t>
        </is>
      </c>
      <c r="M82" s="25" t="inlineStr">
        <is>
          <t>French &amp; English</t>
        </is>
      </c>
      <c r="N82" s="25" t="inlineStr">
        <is>
          <t>General</t>
        </is>
      </c>
      <c r="O82" s="25" t="inlineStr">
        <is>
          <t>Bac +4 / Bac +5</t>
        </is>
      </c>
      <c r="P82" s="26" t="inlineStr">
        <is>
          <t>Eligible on level (4-yr BS ≈ Bac+4)</t>
        </is>
      </c>
      <c r="Q82" s="25" t="inlineStr">
        <is>
          <t>1/2</t>
        </is>
      </c>
      <c r="R82" s="25" t="n"/>
      <c r="S82" s="27" t="n">
        <v>3950</v>
      </c>
      <c r="T82" s="27" t="n">
        <v>255</v>
      </c>
      <c r="U82" s="25" t="n">
        <v>2</v>
      </c>
      <c r="V82" s="27">
        <f>IF(S82="","",S82*U82)</f>
        <v/>
      </c>
      <c r="W82" s="26" t="inlineStr">
        <is>
          <t>Catalogue: €3,950. = national differentiated master fee (2026-27: €3,950). Exemption to ~€255 possible (university quota).</t>
        </is>
      </c>
      <c r="X82" s="25" t="inlineStr">
        <is>
          <t>High</t>
        </is>
      </c>
      <c r="Y82" s="25" t="inlineStr">
        <is>
          <t>3950</t>
        </is>
      </c>
      <c r="Z82" s="26" t="n"/>
      <c r="AA82" s="26" t="inlineStr">
        <is>
          <t>Unistra: master entrants who did not do their licence at Unistra pay the differentiated fee (€3,950).</t>
        </is>
      </c>
      <c r="AB82" s="28" t="inlineStr">
        <is>
          <t>https://www.unistra.fr/fr/node/8168</t>
        </is>
      </c>
      <c r="AC82" s="25" t="inlineStr">
        <is>
          <t>Open</t>
        </is>
      </c>
      <c r="AD82" s="25" t="inlineStr">
        <is>
          <t>2026-10-01</t>
        </is>
      </c>
      <c r="AE82" s="25" t="inlineStr">
        <is>
          <t>2027-03-15</t>
        </is>
      </c>
      <c r="AF82" s="25" t="inlineStr">
        <is>
          <t>No</t>
        </is>
      </c>
      <c r="AG82" s="28" t="inlineStr">
        <is>
          <t>http://sciencesvie.unistra.fr/</t>
        </is>
      </c>
      <c r="AH82" s="26" t="inlineStr">
        <is>
          <t>M1 : Connaissances et compétences acquises à partir de tout parcours équivalent à (1) la Licence Mention Sciences de la Vie, Parcours Biologie Cellulaire et Physiologie des Organismes de l'Université de Strasbourg, consi</t>
        </is>
      </c>
      <c r="AI82" s="28" t="inlineStr">
        <is>
          <t>Open in EEF</t>
        </is>
      </c>
    </row>
    <row r="83" ht="32.8" customHeight="1" s="19">
      <c r="A83" s="25" t="n">
        <v>82</v>
      </c>
      <c r="B83" s="25" t="inlineStr">
        <is>
          <t>★★★★☆</t>
        </is>
      </c>
      <c r="C83" s="25" t="inlineStr">
        <is>
          <t>4 – Strong fit (electronics/signal/robotics/IoT/sensors)</t>
        </is>
      </c>
      <c r="D83" s="25" t="inlineStr">
        <is>
          <t>Robotics / Automation / Mechatronics</t>
        </is>
      </c>
      <c r="E83" s="26" t="inlineStr">
        <is>
          <t>Master Sciences, technologies, santé, mention Ingénierie des systèmes complexes parcours Automatique, robotique et systèmes intelligents2</t>
        </is>
      </c>
      <c r="F83" s="26" t="inlineStr">
        <is>
          <t>Master Science, Technology, Health (STS), – major: Complex Systems Engineering – track: Automation, Robotics &amp; Systems Intelligent2</t>
        </is>
      </c>
      <c r="G83" s="25" t="inlineStr">
        <is>
          <t>Master indifférencié (recherche et professionnel)</t>
        </is>
      </c>
      <c r="H83" s="25" t="inlineStr">
        <is>
          <t>Université de technologie de Compiègne</t>
        </is>
      </c>
      <c r="I83" s="25" t="n"/>
      <c r="J83" s="25" t="inlineStr">
        <is>
          <t>Site de Compiègne</t>
        </is>
      </c>
      <c r="K83" s="25" t="n"/>
      <c r="L83" s="25" t="inlineStr">
        <is>
          <t>Public university</t>
        </is>
      </c>
      <c r="M83" s="25" t="inlineStr">
        <is>
          <t>French &amp; English</t>
        </is>
      </c>
      <c r="N83" s="25" t="inlineStr">
        <is>
          <t>General</t>
        </is>
      </c>
      <c r="O83" s="25" t="inlineStr">
        <is>
          <t>Bac +4 / Bac +5</t>
        </is>
      </c>
      <c r="P83" s="26" t="inlineStr">
        <is>
          <t>Eligible on level (4-yr BS ≈ Bac+4)</t>
        </is>
      </c>
      <c r="Q83" s="25" t="inlineStr">
        <is>
          <t>1/2</t>
        </is>
      </c>
      <c r="R83" s="25" t="n"/>
      <c r="S83" s="27" t="n">
        <v>3950</v>
      </c>
      <c r="T83" s="27" t="n">
        <v>255</v>
      </c>
      <c r="U83" s="25" t="n">
        <v>2</v>
      </c>
      <c r="V83" s="27">
        <f>IF(S83="","",S83*U83)</f>
        <v/>
      </c>
      <c r="W83" s="26" t="inlineStr">
        <is>
          <t>Catalogue: €3,950. = national differentiated master fee (2026-27: €3,950). Exemption to ~€255 possible (university quota).</t>
        </is>
      </c>
      <c r="X83" s="25" t="inlineStr">
        <is>
          <t>High</t>
        </is>
      </c>
      <c r="Y83" s="25" t="inlineStr">
        <is>
          <t>3950</t>
        </is>
      </c>
      <c r="Z83" s="26" t="n"/>
      <c r="AA83" s="26" t="n"/>
      <c r="AB83" s="25" t="n"/>
      <c r="AC83" s="25" t="inlineStr">
        <is>
          <t>Open</t>
        </is>
      </c>
      <c r="AD83" s="25" t="inlineStr">
        <is>
          <t>2026-10-01</t>
        </is>
      </c>
      <c r="AE83" s="25" t="inlineStr">
        <is>
          <t>2027-03-15</t>
        </is>
      </c>
      <c r="AF83" s="25" t="inlineStr">
        <is>
          <t>No</t>
        </is>
      </c>
      <c r="AG83" s="28" t="inlineStr">
        <is>
          <t>https://www.utc.fr/formations/diplome-de-master/mention-ingenierie-des-systemes-complexes-isc/parcours-automatique-et-robotique-des-systemes-intelligents-ars/</t>
        </is>
      </c>
      <c r="AH83" s="26" t="inlineStr">
        <is>
          <t>Avoir validé le diplôme d'accès avec une moyenne supérieure ou égale à 12/20. Mentions de licences conseillées pour une entrée en M1 : Electronique, énergie électrique, automatique Informatique Mathématiques Physique Sci</t>
        </is>
      </c>
      <c r="AI83" s="28" t="inlineStr">
        <is>
          <t>Open in EEF</t>
        </is>
      </c>
    </row>
    <row r="84" ht="32.8" customHeight="1" s="19">
      <c r="A84" s="25" t="n">
        <v>83</v>
      </c>
      <c r="B84" s="25" t="inlineStr">
        <is>
          <t>★★★★☆</t>
        </is>
      </c>
      <c r="C84" s="25" t="inlineStr">
        <is>
          <t>4 – Strong fit (electronics/signal/robotics/IoT/sensors)</t>
        </is>
      </c>
      <c r="D84" s="25" t="inlineStr">
        <is>
          <t>Robotics / Automation / Mechatronics</t>
        </is>
      </c>
      <c r="E84" s="26" t="inlineStr">
        <is>
          <t>Master Sciences, technologies, santé, mention Ingénierie des systèmes complexes parcours Systèmes mécatroniques2</t>
        </is>
      </c>
      <c r="F84" s="26" t="inlineStr">
        <is>
          <t>Master Science, Technology, Health (STS), – major: Complex Systems Engineering – track: Systems Mechatronic2</t>
        </is>
      </c>
      <c r="G84" s="25" t="inlineStr">
        <is>
          <t>Master indifférencié (recherche et professionnel)</t>
        </is>
      </c>
      <c r="H84" s="25" t="inlineStr">
        <is>
          <t>Université de technologie de Compiègne</t>
        </is>
      </c>
      <c r="I84" s="25" t="n"/>
      <c r="J84" s="25" t="inlineStr">
        <is>
          <t>Site de Compiègne</t>
        </is>
      </c>
      <c r="K84" s="25" t="n"/>
      <c r="L84" s="25" t="inlineStr">
        <is>
          <t>Public university</t>
        </is>
      </c>
      <c r="M84" s="25" t="inlineStr">
        <is>
          <t>French &amp; English</t>
        </is>
      </c>
      <c r="N84" s="25" t="inlineStr">
        <is>
          <t>General</t>
        </is>
      </c>
      <c r="O84" s="25" t="inlineStr">
        <is>
          <t>Bac +4 / Bac +5</t>
        </is>
      </c>
      <c r="P84" s="26" t="inlineStr">
        <is>
          <t>Eligible on level (4-yr BS ≈ Bac+4)</t>
        </is>
      </c>
      <c r="Q84" s="25" t="inlineStr">
        <is>
          <t>1/2</t>
        </is>
      </c>
      <c r="R84" s="25" t="n"/>
      <c r="S84" s="27" t="n">
        <v>3950</v>
      </c>
      <c r="T84" s="27" t="n">
        <v>255</v>
      </c>
      <c r="U84" s="25" t="n">
        <v>2</v>
      </c>
      <c r="V84" s="27">
        <f>IF(S84="","",S84*U84)</f>
        <v/>
      </c>
      <c r="W84" s="26" t="inlineStr">
        <is>
          <t>Catalogue: €3,950. = national differentiated master fee (2026-27: €3,950). Exemption to ~€255 possible (university quota).</t>
        </is>
      </c>
      <c r="X84" s="25" t="inlineStr">
        <is>
          <t>High</t>
        </is>
      </c>
      <c r="Y84" s="25" t="inlineStr">
        <is>
          <t>3950</t>
        </is>
      </c>
      <c r="Z84" s="26" t="n"/>
      <c r="AA84" s="26" t="n"/>
      <c r="AB84" s="25" t="n"/>
      <c r="AC84" s="25" t="inlineStr">
        <is>
          <t>Open</t>
        </is>
      </c>
      <c r="AD84" s="25" t="inlineStr">
        <is>
          <t>2026-10-01</t>
        </is>
      </c>
      <c r="AE84" s="25" t="inlineStr">
        <is>
          <t>2027-03-15</t>
        </is>
      </c>
      <c r="AF84" s="25" t="inlineStr">
        <is>
          <t>No</t>
        </is>
      </c>
      <c r="AG84" s="28" t="inlineStr">
        <is>
          <t>https://www.utc.fr/formations/diplome-de-master/mention-ingenierie-des-systemes-complexes-isc/parcours-systemes-mecatroniques-smt/</t>
        </is>
      </c>
      <c r="AH84" s="26" t="inlineStr">
        <is>
          <t>Avoir validé le diplôme d'accès avec une moyenne supérieure ou égale à 12/20. Mentions de licences conseillées : Electronique, énergie électrique, automatique Mécanique Physique Sciences et technologies Sciences pour l'i</t>
        </is>
      </c>
      <c r="AI84" s="28" t="inlineStr">
        <is>
          <t>Open in EEF</t>
        </is>
      </c>
    </row>
    <row r="85" ht="22.35" customHeight="1" s="19">
      <c r="A85" s="25" t="n">
        <v>84</v>
      </c>
      <c r="B85" s="25" t="inlineStr">
        <is>
          <t>★★★★☆</t>
        </is>
      </c>
      <c r="C85" s="25" t="inlineStr">
        <is>
          <t>4 – Strong fit (electronics/signal/robotics/IoT/sensors)</t>
        </is>
      </c>
      <c r="D85" s="25" t="inlineStr">
        <is>
          <t>Robotics / Automation / Mechatronics</t>
        </is>
      </c>
      <c r="E85" s="26" t="inlineStr">
        <is>
          <t>Master indifférencié (recherche et professionnel) Sciences, technologies, santé mention Automatique, robotique parcours Systèmes Intelligents</t>
        </is>
      </c>
      <c r="F85" s="26" t="inlineStr">
        <is>
          <t>Science, Technology, Health (STS) – major: Automation, Robotics – track: Systems Intelligent</t>
        </is>
      </c>
      <c r="G85" s="25" t="inlineStr">
        <is>
          <t>Master indifférencié (recherche et professionnel)</t>
        </is>
      </c>
      <c r="H85" s="25" t="inlineStr">
        <is>
          <t>Sciences et Ingénierie</t>
        </is>
      </c>
      <c r="I85" s="25" t="inlineStr">
        <is>
          <t>Sorbonne Université</t>
        </is>
      </c>
      <c r="J85" s="25" t="inlineStr">
        <is>
          <t>Site de Paris</t>
        </is>
      </c>
      <c r="K85" s="25" t="n"/>
      <c r="L85" s="25" t="inlineStr">
        <is>
          <t>Public university</t>
        </is>
      </c>
      <c r="M85" s="25" t="inlineStr">
        <is>
          <t>French &amp; English</t>
        </is>
      </c>
      <c r="N85" s="25" t="inlineStr">
        <is>
          <t>General</t>
        </is>
      </c>
      <c r="O85" s="25" t="inlineStr">
        <is>
          <t>Bac +4 / Bac +5</t>
        </is>
      </c>
      <c r="P85" s="26" t="inlineStr">
        <is>
          <t>Eligible on level (4-yr BS ≈ Bac+4)</t>
        </is>
      </c>
      <c r="Q85" s="25" t="inlineStr">
        <is>
          <t>1/2</t>
        </is>
      </c>
      <c r="R85" s="25" t="n"/>
      <c r="S85" s="27" t="n">
        <v>3950</v>
      </c>
      <c r="T85" s="27" t="n">
        <v>255</v>
      </c>
      <c r="U85" s="25" t="n">
        <v>2</v>
      </c>
      <c r="V85" s="27">
        <f>IF(S85="","",S85*U85)</f>
        <v/>
      </c>
      <c r="W85" s="26" t="inlineStr">
        <is>
          <t>Not in catalogue. Public national master → 2026-27 differentiated fee €3,950; exemption to ~€254-255 depends on university quota (25% cap in 2027-28).</t>
        </is>
      </c>
      <c r="X85" s="25" t="inlineStr">
        <is>
          <t>Medium</t>
        </is>
      </c>
      <c r="Y85" s="25" t="n"/>
      <c r="Z85" s="26" t="n"/>
      <c r="AA85" s="26" t="inlineStr">
        <is>
          <t>Board vote 7 Jul 2026: Sorbonne Université says it can exempt all eligible non-EU applicants (pay same as EU, ~€254) for 2026-27.</t>
        </is>
      </c>
      <c r="AB85" s="28" t="inlineStr">
        <is>
          <t>https://www.sorbonne-universite.fr/actualites/le-conseil-dadministration-de-sorbonne-universite-vote-lunanimite-le-7-juillet-2026-sa</t>
        </is>
      </c>
      <c r="AC85" s="25" t="inlineStr">
        <is>
          <t>Open</t>
        </is>
      </c>
      <c r="AD85" s="25" t="inlineStr">
        <is>
          <t>2026-10-01</t>
        </is>
      </c>
      <c r="AE85" s="25" t="inlineStr">
        <is>
          <t>2027-03-15</t>
        </is>
      </c>
      <c r="AF85" s="25" t="inlineStr">
        <is>
          <t>No</t>
        </is>
      </c>
      <c r="AG85" s="28" t="inlineStr">
        <is>
          <t>https://masters-sdi.sorbonne-universite.fr/electronique-energie-electrique-automatique</t>
        </is>
      </c>
      <c r="AH85" s="26" t="n"/>
      <c r="AI85" s="28" t="inlineStr">
        <is>
          <t>Open in EEF</t>
        </is>
      </c>
    </row>
    <row r="86" ht="32.8" customHeight="1" s="19">
      <c r="A86" s="25" t="n">
        <v>85</v>
      </c>
      <c r="B86" s="25" t="inlineStr">
        <is>
          <t>★★★★☆</t>
        </is>
      </c>
      <c r="C86" s="25" t="inlineStr">
        <is>
          <t>4 – Strong fit (electronics/signal/robotics/IoT/sensors)</t>
        </is>
      </c>
      <c r="D86" s="25" t="inlineStr">
        <is>
          <t>Embedded systems / Electronics</t>
        </is>
      </c>
      <c r="E86" s="26" t="inlineStr">
        <is>
          <t>Master indifférencié (recherche et professionnel) Sciences, technologies, santé mention Electronique, énergie électrique, automatique parcours Capteurs, Instrumentation et Mesures</t>
        </is>
      </c>
      <c r="F86" s="26" t="inlineStr">
        <is>
          <t>Science, Technology, Health (STS) – major: Electronics, Electrical Energy &amp; Automation (EEA) – track: Sensors, Instrumentation &amp; Measurements</t>
        </is>
      </c>
      <c r="G86" s="25" t="inlineStr">
        <is>
          <t>Master indifférencié (recherche et professionnel)</t>
        </is>
      </c>
      <c r="H86" s="25" t="inlineStr">
        <is>
          <t>Sciences et Ingénierie</t>
        </is>
      </c>
      <c r="I86" s="25" t="inlineStr">
        <is>
          <t>Sorbonne Université</t>
        </is>
      </c>
      <c r="J86" s="25" t="inlineStr">
        <is>
          <t>Site de Paris</t>
        </is>
      </c>
      <c r="K86" s="25" t="n"/>
      <c r="L86" s="25" t="inlineStr">
        <is>
          <t>Public university</t>
        </is>
      </c>
      <c r="M86" s="25" t="inlineStr">
        <is>
          <t>French &amp; English</t>
        </is>
      </c>
      <c r="N86" s="25" t="inlineStr">
        <is>
          <t>General</t>
        </is>
      </c>
      <c r="O86" s="25" t="inlineStr">
        <is>
          <t>Bac +4 / Bac +5</t>
        </is>
      </c>
      <c r="P86" s="26" t="inlineStr">
        <is>
          <t>Eligible on level (4-yr BS ≈ Bac+4)</t>
        </is>
      </c>
      <c r="Q86" s="25" t="inlineStr">
        <is>
          <t>1/2</t>
        </is>
      </c>
      <c r="R86" s="25" t="n"/>
      <c r="S86" s="27" t="n">
        <v>3950</v>
      </c>
      <c r="T86" s="27" t="n">
        <v>255</v>
      </c>
      <c r="U86" s="25" t="n">
        <v>2</v>
      </c>
      <c r="V86" s="27">
        <f>IF(S86="","",S86*U86)</f>
        <v/>
      </c>
      <c r="W86" s="26" t="inlineStr">
        <is>
          <t>Not in catalogue. Public national master → 2026-27 differentiated fee €3,950; exemption to ~€254-255 depends on university quota (25% cap in 2027-28).</t>
        </is>
      </c>
      <c r="X86" s="25" t="inlineStr">
        <is>
          <t>Medium</t>
        </is>
      </c>
      <c r="Y86" s="25" t="n"/>
      <c r="Z86" s="26" t="n"/>
      <c r="AA86" s="26" t="inlineStr">
        <is>
          <t>Board vote 7 Jul 2026: Sorbonne Université says it can exempt all eligible non-EU applicants (pay same as EU, ~€254) for 2026-27.</t>
        </is>
      </c>
      <c r="AB86" s="28" t="inlineStr">
        <is>
          <t>https://www.sorbonne-universite.fr/actualites/le-conseil-dadministration-de-sorbonne-universite-vote-lunanimite-le-7-juillet-2026-sa</t>
        </is>
      </c>
      <c r="AC86" s="25" t="inlineStr">
        <is>
          <t>Open</t>
        </is>
      </c>
      <c r="AD86" s="25" t="inlineStr">
        <is>
          <t>2026-10-01</t>
        </is>
      </c>
      <c r="AE86" s="25" t="inlineStr">
        <is>
          <t>2027-03-15</t>
        </is>
      </c>
      <c r="AF86" s="25" t="inlineStr">
        <is>
          <t>No</t>
        </is>
      </c>
      <c r="AG86" s="28" t="inlineStr">
        <is>
          <t>https://masters-sdi.sorbonne-universite.fr/electronique-energie-electrique-automatique</t>
        </is>
      </c>
      <c r="AH86" s="26" t="n"/>
      <c r="AI86" s="28" t="inlineStr">
        <is>
          <t>Open in EEF</t>
        </is>
      </c>
    </row>
    <row r="87" ht="43.25" customHeight="1" s="19">
      <c r="A87" s="25" t="n">
        <v>86</v>
      </c>
      <c r="B87" s="25" t="inlineStr">
        <is>
          <t>★★★★☆</t>
        </is>
      </c>
      <c r="C87" s="25" t="inlineStr">
        <is>
          <t>4 – Strong fit (electronics/signal/robotics/IoT/sensors)</t>
        </is>
      </c>
      <c r="D87" s="25" t="inlineStr">
        <is>
          <t>Electrical energy</t>
        </is>
      </c>
      <c r="E87" s="26" t="inlineStr">
        <is>
          <t>Master indifférencié (recherche et professionnel) Sciences, technologies, santé mention énergie parcours Energie Electrique</t>
        </is>
      </c>
      <c r="F87" s="26" t="inlineStr">
        <is>
          <t>Science, Technology, Health (STS) – major: Energy – track: Energy Electrical</t>
        </is>
      </c>
      <c r="G87" s="25" t="inlineStr">
        <is>
          <t>Master indifférencié (recherche et professionnel)</t>
        </is>
      </c>
      <c r="H87" s="25" t="inlineStr">
        <is>
          <t>UFR Sciences, Techniques et Gestion de l'Industrie</t>
        </is>
      </c>
      <c r="I87" s="25" t="inlineStr">
        <is>
          <t>Université Marie et Louis Pasteur</t>
        </is>
      </c>
      <c r="J87" s="25" t="inlineStr">
        <is>
          <t>Site de Belfort</t>
        </is>
      </c>
      <c r="K87" s="25" t="inlineStr">
        <is>
          <t>90000 BELFORT</t>
        </is>
      </c>
      <c r="L87" s="25" t="inlineStr">
        <is>
          <t>Public university</t>
        </is>
      </c>
      <c r="M87" s="25" t="inlineStr">
        <is>
          <t>French &amp; English</t>
        </is>
      </c>
      <c r="N87" s="25" t="inlineStr">
        <is>
          <t>General</t>
        </is>
      </c>
      <c r="O87" s="25" t="inlineStr">
        <is>
          <t>Bac +4 / Bac +5</t>
        </is>
      </c>
      <c r="P87" s="26" t="inlineStr">
        <is>
          <t>Eligible on level (4-yr BS ≈ Bac+4)</t>
        </is>
      </c>
      <c r="Q87" s="25" t="inlineStr">
        <is>
          <t>1/2</t>
        </is>
      </c>
      <c r="R87" s="25" t="inlineStr">
        <is>
          <t>12</t>
        </is>
      </c>
      <c r="S87" s="27" t="n">
        <v>3950</v>
      </c>
      <c r="T87" s="27" t="n">
        <v>255</v>
      </c>
      <c r="U87" s="25" t="n">
        <v>2</v>
      </c>
      <c r="V87" s="27">
        <f>IF(S87="","",S87*U87)</f>
        <v/>
      </c>
      <c r="W87" s="26" t="inlineStr">
        <is>
          <t>Not in catalogue. Public national master → 2026-27 differentiated fee €3,950; exemption to ~€254-255 depends on university quota (25% cap in 2027-28).</t>
        </is>
      </c>
      <c r="X87" s="25" t="inlineStr">
        <is>
          <t>Medium</t>
        </is>
      </c>
      <c r="Y87" s="25" t="n"/>
      <c r="Z87" s="26" t="inlineStr">
        <is>
          <t>(Pour information, le montant de la CVEC, pour la rentrée 2026-2027, était de 105€) … (Pour information, le montant de la CVEC, pour la rentrée 2026-2027, était de 105€)</t>
        </is>
      </c>
      <c r="AA87" s="26" t="inlineStr">
        <is>
          <t>UMLP: individual exemption requests assessed on personal resources.</t>
        </is>
      </c>
      <c r="AB87" s="28" t="inlineStr">
        <is>
          <t>https://www.umlp.fr/sites/default/files/2026-07-02-page-droits-differencies-vf.pdf</t>
        </is>
      </c>
      <c r="AC87" s="25" t="inlineStr">
        <is>
          <t>Open</t>
        </is>
      </c>
      <c r="AD87" s="25" t="inlineStr">
        <is>
          <t>2026-10-01</t>
        </is>
      </c>
      <c r="AE87" s="25" t="inlineStr">
        <is>
          <t>2027-03-15</t>
        </is>
      </c>
      <c r="AF87" s="25" t="inlineStr">
        <is>
          <t>No</t>
        </is>
      </c>
      <c r="AG87" s="28" t="inlineStr">
        <is>
          <t>https://stgi.umlp.fr/</t>
        </is>
      </c>
      <c r="AH87" s="26" t="inlineStr">
        <is>
          <t>Niveau de langue Français C1 MINIMUM . Niveau de langue Anglais B1 MINIMUM. Etudiant classé au MINIMUM dans le PREMIER QUART de sa promotion . Pour l'accès en Master 1 : - étudiant titulaire d'une LICENCE CLASSIQUE du mê</t>
        </is>
      </c>
      <c r="AI87" s="28" t="inlineStr">
        <is>
          <t>Open in EEF</t>
        </is>
      </c>
    </row>
    <row r="88" ht="22.35" customHeight="1" s="19">
      <c r="A88" s="25" t="n">
        <v>87</v>
      </c>
      <c r="B88" s="25" t="inlineStr">
        <is>
          <t>★★★★☆</t>
        </is>
      </c>
      <c r="C88" s="25" t="inlineStr">
        <is>
          <t>4 – Strong fit (electronics/signal/robotics/IoT/sensors)</t>
        </is>
      </c>
      <c r="D88" s="25" t="inlineStr">
        <is>
          <t>Electrical energy</t>
        </is>
      </c>
      <c r="E88" s="26" t="inlineStr">
        <is>
          <t>Master indifférencié (recherche et professionnel) Sciences, technologies, santé mention Energie parcours Master of science - Electrical Energy Systems (EES)</t>
        </is>
      </c>
      <c r="F88" s="26" t="inlineStr">
        <is>
          <t>Science, Technology, Health (STS) – major: Energy – track: Master of Science - Electrical Energy Systems (EES)</t>
        </is>
      </c>
      <c r="G88" s="25" t="inlineStr">
        <is>
          <t>Master indifférencié (recherche et professionnel)</t>
        </is>
      </c>
      <c r="H88" s="25" t="inlineStr">
        <is>
          <t>École nationale supérieure d'électrotechnique, d'électronique, d'informatique, d'hydraulique et des télécommunications</t>
        </is>
      </c>
      <c r="I88" s="25" t="inlineStr">
        <is>
          <t>Institut national polytechnique de Toulouse</t>
        </is>
      </c>
      <c r="J88" s="25" t="inlineStr">
        <is>
          <t>Site de Toulouse</t>
        </is>
      </c>
      <c r="K88" s="25" t="inlineStr">
        <is>
          <t>31071 Toulouse Cedex</t>
        </is>
      </c>
      <c r="L88" s="25" t="inlineStr">
        <is>
          <t>Public school / institute</t>
        </is>
      </c>
      <c r="M88" s="25" t="inlineStr">
        <is>
          <t>French &amp; English</t>
        </is>
      </c>
      <c r="N88" s="25" t="inlineStr">
        <is>
          <t>General</t>
        </is>
      </c>
      <c r="O88" s="25" t="inlineStr">
        <is>
          <t>Bac +4 / Bac +5</t>
        </is>
      </c>
      <c r="P88" s="26" t="inlineStr">
        <is>
          <t>Eligible on level (4-yr BS ≈ Bac+4)</t>
        </is>
      </c>
      <c r="Q88" s="25" t="inlineStr">
        <is>
          <t>1/2</t>
        </is>
      </c>
      <c r="R88" s="25" t="inlineStr">
        <is>
          <t>12</t>
        </is>
      </c>
      <c r="S88" s="27" t="n">
        <v>3950</v>
      </c>
      <c r="T88" s="27" t="n">
        <v>255</v>
      </c>
      <c r="U88" s="25" t="n">
        <v>2</v>
      </c>
      <c r="V88" s="27">
        <f>IF(S88="","",S88*U88)</f>
        <v/>
      </c>
      <c r="W88" s="26" t="inlineStr">
        <is>
          <t>Not in catalogue. Public national master → 2026-27 differentiated fee €3,950; exemption to ~€254-255 depends on university quota (25% cap in 2027-28).</t>
        </is>
      </c>
      <c r="X88" s="25" t="inlineStr">
        <is>
          <t>Medium</t>
        </is>
      </c>
      <c r="Y88" s="25" t="n"/>
      <c r="Z88" s="26" t="n"/>
      <c r="AA88" s="26" t="n"/>
      <c r="AB88" s="25" t="n"/>
      <c r="AC88" s="25" t="inlineStr">
        <is>
          <t>Open</t>
        </is>
      </c>
      <c r="AD88" s="25" t="inlineStr">
        <is>
          <t>2026-10-01</t>
        </is>
      </c>
      <c r="AE88" s="25" t="inlineStr">
        <is>
          <t>2027-03-15</t>
        </is>
      </c>
      <c r="AF88" s="25" t="inlineStr">
        <is>
          <t>Yes</t>
        </is>
      </c>
      <c r="AG88" s="28" t="inlineStr">
        <is>
          <t>http://www.enseeiht.fr/fr/formation/masters-internationaux-masters-of-science/ees-electrical-energy-systems.html</t>
        </is>
      </c>
      <c r="AH88" s="26" t="inlineStr">
        <is>
          <t>Bachelor ou équivalent pour l'année 1. M1 ou équivalent pour l'année 2.</t>
        </is>
      </c>
      <c r="AI88" s="28" t="inlineStr">
        <is>
          <t>Open in EEF</t>
        </is>
      </c>
    </row>
    <row r="89" ht="32.8" customHeight="1" s="19">
      <c r="A89" s="25" t="n">
        <v>88</v>
      </c>
      <c r="B89" s="25" t="inlineStr">
        <is>
          <t>★★★★☆</t>
        </is>
      </c>
      <c r="C89" s="25" t="inlineStr">
        <is>
          <t>4 – Strong fit (electronics/signal/robotics/IoT/sensors)</t>
        </is>
      </c>
      <c r="D89" s="25" t="inlineStr">
        <is>
          <t>Signal / Image / Vision</t>
        </is>
      </c>
      <c r="E89" s="26" t="inlineStr">
        <is>
          <t>Master indifférencié (recherche et professionnel) Sciences, technologies, santé mention informatique parcours IMAges, vision par ordinateur, informatique graphique (IMA)</t>
        </is>
      </c>
      <c r="F89" s="26" t="inlineStr">
        <is>
          <t>Science, Technology, Health (STS) – major: Computer Science – track: Images, Computer Vision, Computer Science graphique (IMA)</t>
        </is>
      </c>
      <c r="G89" s="25" t="inlineStr">
        <is>
          <t>Master indifférencié (recherche et professionnel)</t>
        </is>
      </c>
      <c r="H89" s="25" t="inlineStr">
        <is>
          <t>Sciences et Ingénierie</t>
        </is>
      </c>
      <c r="I89" s="25" t="inlineStr">
        <is>
          <t>Sorbonne Université</t>
        </is>
      </c>
      <c r="J89" s="25" t="inlineStr">
        <is>
          <t>Site de Paris</t>
        </is>
      </c>
      <c r="K89" s="25" t="n"/>
      <c r="L89" s="25" t="inlineStr">
        <is>
          <t>Public university</t>
        </is>
      </c>
      <c r="M89" s="25" t="inlineStr">
        <is>
          <t>French &amp; English</t>
        </is>
      </c>
      <c r="N89" s="25" t="inlineStr">
        <is>
          <t>General</t>
        </is>
      </c>
      <c r="O89" s="25" t="inlineStr">
        <is>
          <t>Bac +4 / Bac +5</t>
        </is>
      </c>
      <c r="P89" s="26" t="inlineStr">
        <is>
          <t>Eligible on level (4-yr BS ≈ Bac+4)</t>
        </is>
      </c>
      <c r="Q89" s="25" t="inlineStr">
        <is>
          <t>1/2</t>
        </is>
      </c>
      <c r="R89" s="25" t="n"/>
      <c r="S89" s="27" t="n">
        <v>3950</v>
      </c>
      <c r="T89" s="27" t="n">
        <v>255</v>
      </c>
      <c r="U89" s="25" t="n">
        <v>2</v>
      </c>
      <c r="V89" s="27">
        <f>IF(S89="","",S89*U89)</f>
        <v/>
      </c>
      <c r="W89" s="26" t="inlineStr">
        <is>
          <t>Not in catalogue. Public national master → 2026-27 differentiated fee €3,950; exemption to ~€254-255 depends on university quota (25% cap in 2027-28).</t>
        </is>
      </c>
      <c r="X89" s="25" t="inlineStr">
        <is>
          <t>Medium</t>
        </is>
      </c>
      <c r="Y89" s="25" t="n"/>
      <c r="Z89" s="26" t="n"/>
      <c r="AA89" s="26" t="inlineStr">
        <is>
          <t>Board vote 7 Jul 2026: Sorbonne Université says it can exempt all eligible non-EU applicants (pay same as EU, ~€254) for 2026-27.</t>
        </is>
      </c>
      <c r="AB89" s="28" t="inlineStr">
        <is>
          <t>https://www.sorbonne-universite.fr/actualites/le-conseil-dadministration-de-sorbonne-universite-vote-lunanimite-le-7-juillet-2026-sa</t>
        </is>
      </c>
      <c r="AC89" s="25" t="inlineStr">
        <is>
          <t>Open</t>
        </is>
      </c>
      <c r="AD89" s="25" t="inlineStr">
        <is>
          <t>2026-10-01</t>
        </is>
      </c>
      <c r="AE89" s="25" t="inlineStr">
        <is>
          <t>2027-03-15</t>
        </is>
      </c>
      <c r="AF89" s="25" t="inlineStr">
        <is>
          <t>No</t>
        </is>
      </c>
      <c r="AG89" s="28" t="inlineStr">
        <is>
          <t>https://sciences.sorbonne-universite.fr/formation-sciences/offre-de-formation/masters/master-informatique/parcours-ima</t>
        </is>
      </c>
      <c r="AH89" s="26" t="inlineStr">
        <is>
          <t>OUI</t>
        </is>
      </c>
      <c r="AI89" s="28" t="inlineStr">
        <is>
          <t>Open in EEF</t>
        </is>
      </c>
    </row>
    <row r="90" ht="32.8" customHeight="1" s="19">
      <c r="A90" s="25" t="n">
        <v>89</v>
      </c>
      <c r="B90" s="25" t="inlineStr">
        <is>
          <t>★★★★☆</t>
        </is>
      </c>
      <c r="C90" s="25" t="inlineStr">
        <is>
          <t>4 – Strong fit (electronics/signal/robotics/IoT/sensors)</t>
        </is>
      </c>
      <c r="D90" s="25" t="inlineStr">
        <is>
          <t>Neuroscience / Neuro-engineering</t>
        </is>
      </c>
      <c r="E90" s="26" t="inlineStr">
        <is>
          <t>Master indifférencié (recherche et professionnel) Sciences, technologies, santé mention Neurosciences parcours Neurosciences</t>
        </is>
      </c>
      <c r="F90" s="26" t="inlineStr">
        <is>
          <t>Science, Technology, Health (STS) – major: Neuroscience – track: Neuroscience</t>
        </is>
      </c>
      <c r="G90" s="25" t="inlineStr">
        <is>
          <t>Master indifférencié (recherche et professionnel)</t>
        </is>
      </c>
      <c r="H90" s="25" t="inlineStr">
        <is>
          <t>UFR des Sciences Fondamentales et Biomédicales</t>
        </is>
      </c>
      <c r="I90" s="25" t="inlineStr">
        <is>
          <t>Université Paris Cité</t>
        </is>
      </c>
      <c r="J90" s="25" t="inlineStr">
        <is>
          <t>Site de Paris</t>
        </is>
      </c>
      <c r="K90" s="25" t="inlineStr">
        <is>
          <t>75006 Paris</t>
        </is>
      </c>
      <c r="L90" s="25" t="inlineStr">
        <is>
          <t>Public university</t>
        </is>
      </c>
      <c r="M90" s="25" t="inlineStr">
        <is>
          <t>French &amp; English</t>
        </is>
      </c>
      <c r="N90" s="25" t="inlineStr">
        <is>
          <t>General</t>
        </is>
      </c>
      <c r="O90" s="25" t="inlineStr">
        <is>
          <t>Bac +4 / Bac +5</t>
        </is>
      </c>
      <c r="P90" s="26" t="inlineStr">
        <is>
          <t>Eligible on level (4-yr BS ≈ Bac+4)</t>
        </is>
      </c>
      <c r="Q90" s="25" t="inlineStr">
        <is>
          <t>1/2</t>
        </is>
      </c>
      <c r="R90" s="25" t="n"/>
      <c r="S90" s="27" t="n">
        <v>3950</v>
      </c>
      <c r="T90" s="27" t="n">
        <v>255</v>
      </c>
      <c r="U90" s="25" t="n">
        <v>2</v>
      </c>
      <c r="V90" s="27">
        <f>IF(S90="","",S90*U90)</f>
        <v/>
      </c>
      <c r="W90" s="26" t="inlineStr">
        <is>
          <t>Not in catalogue. Public national master → 2026-27 differentiated fee €3,950; exemption to ~€254-255 depends on university quota (25% cap in 2027-28).</t>
        </is>
      </c>
      <c r="X90" s="25" t="inlineStr">
        <is>
          <t>Medium</t>
        </is>
      </c>
      <c r="Y90" s="25" t="n"/>
      <c r="Z90" s="26" t="n"/>
      <c r="AA90" s="26" t="inlineStr">
        <is>
          <t>Paris Cité historically exempted non-EU master students (paid EU rate). 2026-27/2027-28 policy not yet published – confirm.</t>
        </is>
      </c>
      <c r="AB90" s="28" t="inlineStr">
        <is>
          <t>https://u-paris.fr/droits-dinscription-tarifs-exonerations/</t>
        </is>
      </c>
      <c r="AC90" s="25" t="inlineStr">
        <is>
          <t>Open</t>
        </is>
      </c>
      <c r="AD90" s="25" t="inlineStr">
        <is>
          <t>2026-10-01</t>
        </is>
      </c>
      <c r="AE90" s="25" t="inlineStr">
        <is>
          <t>2027-03-15</t>
        </is>
      </c>
      <c r="AF90" s="25" t="inlineStr">
        <is>
          <t>Yes</t>
        </is>
      </c>
      <c r="AG90" s="28" t="inlineStr">
        <is>
          <t>https://odf.u-paris.fr/fr/offre-de-formation/master-XB/sciences-technologies-sante-STS/neurosciences-K2NDMRJL.html</t>
        </is>
      </c>
      <c r="AH90" s="26" t="inlineStr">
        <is>
          <t>Attendus : 1) Bonne maîtrise de langue en anglais et en français (expression oral et écrite), 2) Bon niveau académique, 3) Bonne maîtrise des connaissances théoriques et expérimentales en sciences, en particulier les mat</t>
        </is>
      </c>
      <c r="AI90" s="28" t="inlineStr">
        <is>
          <t>Open in EEF</t>
        </is>
      </c>
    </row>
    <row r="91" ht="32.8" customHeight="1" s="19">
      <c r="A91" s="25" t="n">
        <v>90</v>
      </c>
      <c r="B91" s="25" t="inlineStr">
        <is>
          <t>★★★★☆</t>
        </is>
      </c>
      <c r="C91" s="25" t="inlineStr">
        <is>
          <t>4 – Strong fit (electronics/signal/robotics/IoT/sensors)</t>
        </is>
      </c>
      <c r="D91" s="25" t="inlineStr">
        <is>
          <t>Electrical energy</t>
        </is>
      </c>
      <c r="E91" s="26" t="inlineStr">
        <is>
          <t>Master Sciences, technologies, santé mention énergie parcours Electrical engineering</t>
        </is>
      </c>
      <c r="F91" s="26" t="inlineStr">
        <is>
          <t>Master Science, Technology, Health (STS) – major: Energy – track: Electrical engineering</t>
        </is>
      </c>
      <c r="G91" s="25" t="inlineStr">
        <is>
          <t>Master indifférencié (recherche et professionnel)</t>
        </is>
      </c>
      <c r="H91" s="25" t="inlineStr">
        <is>
          <t>UFR Sciences, Techniques et Gestion de l'Industrie</t>
        </is>
      </c>
      <c r="I91" s="25" t="inlineStr">
        <is>
          <t>Université Marie et Louis Pasteur</t>
        </is>
      </c>
      <c r="J91" s="25" t="inlineStr">
        <is>
          <t>Site de Belfort</t>
        </is>
      </c>
      <c r="K91" s="25" t="inlineStr">
        <is>
          <t>90000 BELFORT</t>
        </is>
      </c>
      <c r="L91" s="25" t="inlineStr">
        <is>
          <t>Public university</t>
        </is>
      </c>
      <c r="M91" s="25" t="inlineStr">
        <is>
          <t>French &amp; English</t>
        </is>
      </c>
      <c r="N91" s="25" t="inlineStr">
        <is>
          <t>General</t>
        </is>
      </c>
      <c r="O91" s="25" t="inlineStr">
        <is>
          <t>Bac +4 / Bac +5</t>
        </is>
      </c>
      <c r="P91" s="26" t="inlineStr">
        <is>
          <t>Eligible on level (4-yr BS ≈ Bac+4)</t>
        </is>
      </c>
      <c r="Q91" s="25" t="inlineStr">
        <is>
          <t>1/2</t>
        </is>
      </c>
      <c r="R91" s="25" t="inlineStr">
        <is>
          <t>12</t>
        </is>
      </c>
      <c r="S91" s="27" t="n">
        <v>3950</v>
      </c>
      <c r="T91" s="27" t="n">
        <v>255</v>
      </c>
      <c r="U91" s="25" t="n">
        <v>2</v>
      </c>
      <c r="V91" s="27">
        <f>IF(S91="","",S91*U91)</f>
        <v/>
      </c>
      <c r="W91" s="26" t="inlineStr">
        <is>
          <t>Not in catalogue. Public national master → 2026-27 differentiated fee €3,950; exemption to ~€254-255 depends on university quota (25% cap in 2027-28).</t>
        </is>
      </c>
      <c r="X91" s="25" t="inlineStr">
        <is>
          <t>Medium</t>
        </is>
      </c>
      <c r="Y91" s="25" t="n"/>
      <c r="Z91" s="26" t="inlineStr">
        <is>
          <t>(Pour information, le montant de la CVEC, pour la rentrée 2026-2027, était de 105€) … (Pour information, le montant de la CVEC, pour la rentrée 2026-2027, était de 105€)</t>
        </is>
      </c>
      <c r="AA91" s="26" t="inlineStr">
        <is>
          <t>UMLP: individual exemption requests assessed on personal resources.</t>
        </is>
      </c>
      <c r="AB91" s="28" t="inlineStr">
        <is>
          <t>https://www.umlp.fr/sites/default/files/2026-07-02-page-droits-differencies-vf.pdf</t>
        </is>
      </c>
      <c r="AC91" s="25" t="inlineStr">
        <is>
          <t>Open</t>
        </is>
      </c>
      <c r="AD91" s="25" t="inlineStr">
        <is>
          <t>2026-10-01</t>
        </is>
      </c>
      <c r="AE91" s="25" t="inlineStr">
        <is>
          <t>2027-03-15</t>
        </is>
      </c>
      <c r="AF91" s="25" t="inlineStr">
        <is>
          <t>No</t>
        </is>
      </c>
      <c r="AG91" s="28" t="inlineStr">
        <is>
          <t>https://stgi.umlp.fr/</t>
        </is>
      </c>
      <c r="AH91" s="26" t="inlineStr">
        <is>
          <t>Niveau de langue Anglais B2 Minimum Des notions de langue française seraient appréciées Etudiant classé au minimum dans le 1er Quart de sa promotion Pour l'accès en Master 1 : - étudiant titulaire d'une Licence classique</t>
        </is>
      </c>
      <c r="AI91" s="28" t="inlineStr">
        <is>
          <t>Open in EEF</t>
        </is>
      </c>
    </row>
    <row r="92" ht="32.8" customHeight="1" s="19">
      <c r="A92" s="25" t="n">
        <v>91</v>
      </c>
      <c r="B92" s="25" t="inlineStr">
        <is>
          <t>★★★★☆</t>
        </is>
      </c>
      <c r="C92" s="25" t="inlineStr">
        <is>
          <t>4 – Strong fit (electronics/signal/robotics/IoT/sensors)</t>
        </is>
      </c>
      <c r="D92" s="25" t="inlineStr">
        <is>
          <t>Embedded systems / Electronics</t>
        </is>
      </c>
      <c r="E92" s="26" t="inlineStr">
        <is>
          <t>diplôme d'ingénieur de l'Institut national des sciences appliquées de Rennes spécialité Électronique et Informatique Industrielle</t>
        </is>
      </c>
      <c r="F92" s="26" t="inlineStr">
        <is>
          <t>Engineering diploma of INSA of Rennes – specialisation: Electronics &amp; Industrial Computing</t>
        </is>
      </c>
      <c r="G92" s="25" t="inlineStr">
        <is>
          <t>Diplôme d'ingénieur</t>
        </is>
      </c>
      <c r="H92" s="25" t="inlineStr">
        <is>
          <t>Institut national des sciences appliquées de Rennes</t>
        </is>
      </c>
      <c r="I92" s="25" t="n"/>
      <c r="J92" s="25" t="inlineStr">
        <is>
          <t>Site de Rennes</t>
        </is>
      </c>
      <c r="K92" s="25" t="n"/>
      <c r="L92" s="25" t="inlineStr">
        <is>
          <t>Public school / institute</t>
        </is>
      </c>
      <c r="M92" s="25" t="inlineStr">
        <is>
          <t>French &amp; English</t>
        </is>
      </c>
      <c r="N92" s="25" t="inlineStr">
        <is>
          <t>General</t>
        </is>
      </c>
      <c r="O92" s="25" t="inlineStr">
        <is>
          <t>Bac +3 / Bac +4</t>
        </is>
      </c>
      <c r="P92" s="26" t="inlineStr">
        <is>
          <t>Eligible on level (4-yr BS ≈ Bac+4)</t>
        </is>
      </c>
      <c r="Q92" s="25" t="inlineStr">
        <is>
          <t>3/4</t>
        </is>
      </c>
      <c r="R92" s="25" t="n"/>
      <c r="S92" s="27" t="n">
        <v>3950</v>
      </c>
      <c r="T92" s="27" t="n">
        <v>628</v>
      </c>
      <c r="U92" s="25" t="n">
        <v>2</v>
      </c>
      <c r="V92" s="27">
        <f>IF(S92="","",S92*U92)</f>
        <v/>
      </c>
      <c r="W92" s="26" t="inlineStr">
        <is>
          <t>Not in catalogue. Public engineering diploma: national rate ~€601-628; many schools charge non-EU up to ~€3,950. Verify.</t>
        </is>
      </c>
      <c r="X92" s="25" t="inlineStr">
        <is>
          <t>Low</t>
        </is>
      </c>
      <c r="Y92" s="25" t="n"/>
      <c r="Z92" s="26" t="n"/>
      <c r="AA92" s="26" t="n"/>
      <c r="AB92" s="25" t="n"/>
      <c r="AC92" s="25" t="inlineStr">
        <is>
          <t>Open</t>
        </is>
      </c>
      <c r="AD92" s="25" t="inlineStr">
        <is>
          <t>2026-10-01</t>
        </is>
      </c>
      <c r="AE92" s="25" t="inlineStr">
        <is>
          <t>2027-03-15</t>
        </is>
      </c>
      <c r="AF92" s="25" t="inlineStr">
        <is>
          <t>Yes</t>
        </is>
      </c>
      <c r="AG92" s="28" t="inlineStr">
        <is>
          <t>http://www.insa-rennes.fr</t>
        </is>
      </c>
      <c r="AH92" s="26" t="inlineStr">
        <is>
          <t>Admissions en 3ème année du cycle ingénieur : candidatures à faire sur le site du groupe INSA : www.groupe-insa.fr/comment-candidater du 20 janvier au 22 mars Admission en 4ème année du cycle ingénieur à l'INSA de Rennes</t>
        </is>
      </c>
      <c r="AI92" s="28" t="inlineStr">
        <is>
          <t>Open in EEF</t>
        </is>
      </c>
    </row>
    <row r="93" ht="32.8" customHeight="1" s="19">
      <c r="A93" s="25" t="n">
        <v>92</v>
      </c>
      <c r="B93" s="25" t="inlineStr">
        <is>
          <t>★★★★☆</t>
        </is>
      </c>
      <c r="C93" s="25" t="inlineStr">
        <is>
          <t>4 – Strong fit (electronics/signal/robotics/IoT/sensors)</t>
        </is>
      </c>
      <c r="D93" s="25" t="inlineStr">
        <is>
          <t>Embedded systems / Electronics</t>
        </is>
      </c>
      <c r="E93" s="26" t="inlineStr">
        <is>
          <t>diplôme d'ingénieur de l'Institut national des sciences appliquées de Rennes spécialité Electronique et Télécommunications</t>
        </is>
      </c>
      <c r="F93" s="26" t="inlineStr">
        <is>
          <t>Engineering diploma of INSA of Rennes – specialisation: Electronics &amp; Telecommunications</t>
        </is>
      </c>
      <c r="G93" s="25" t="inlineStr">
        <is>
          <t>Diplôme d'ingénieur</t>
        </is>
      </c>
      <c r="H93" s="25" t="inlineStr">
        <is>
          <t>Institut national des sciences appliquées de Rennes</t>
        </is>
      </c>
      <c r="I93" s="25" t="n"/>
      <c r="J93" s="25" t="inlineStr">
        <is>
          <t>Site de Rennes</t>
        </is>
      </c>
      <c r="K93" s="25" t="n"/>
      <c r="L93" s="25" t="inlineStr">
        <is>
          <t>Public school / institute</t>
        </is>
      </c>
      <c r="M93" s="25" t="inlineStr">
        <is>
          <t>French &amp; English</t>
        </is>
      </c>
      <c r="N93" s="25" t="inlineStr">
        <is>
          <t>General</t>
        </is>
      </c>
      <c r="O93" s="25" t="inlineStr">
        <is>
          <t>Bac +3 / Bac +4</t>
        </is>
      </c>
      <c r="P93" s="26" t="inlineStr">
        <is>
          <t>Eligible on level (4-yr BS ≈ Bac+4)</t>
        </is>
      </c>
      <c r="Q93" s="25" t="inlineStr">
        <is>
          <t>3/4</t>
        </is>
      </c>
      <c r="R93" s="25" t="n"/>
      <c r="S93" s="27" t="n">
        <v>3950</v>
      </c>
      <c r="T93" s="27" t="n">
        <v>628</v>
      </c>
      <c r="U93" s="25" t="n">
        <v>2</v>
      </c>
      <c r="V93" s="27">
        <f>IF(S93="","",S93*U93)</f>
        <v/>
      </c>
      <c r="W93" s="26" t="inlineStr">
        <is>
          <t>Not in catalogue. Public engineering diploma: national rate ~€601-628; many schools charge non-EU up to ~€3,950. Verify.</t>
        </is>
      </c>
      <c r="X93" s="25" t="inlineStr">
        <is>
          <t>Low</t>
        </is>
      </c>
      <c r="Y93" s="25" t="n"/>
      <c r="Z93" s="26" t="n"/>
      <c r="AA93" s="26" t="n"/>
      <c r="AB93" s="25" t="n"/>
      <c r="AC93" s="25" t="inlineStr">
        <is>
          <t>Open</t>
        </is>
      </c>
      <c r="AD93" s="25" t="inlineStr">
        <is>
          <t>2026-10-01</t>
        </is>
      </c>
      <c r="AE93" s="25" t="inlineStr">
        <is>
          <t>2027-03-15</t>
        </is>
      </c>
      <c r="AF93" s="25" t="inlineStr">
        <is>
          <t>Yes</t>
        </is>
      </c>
      <c r="AG93" s="28" t="inlineStr">
        <is>
          <t>http://www.insa-rennes.fr</t>
        </is>
      </c>
      <c r="AH93" s="26" t="inlineStr">
        <is>
          <t>Admissions en 3ème année du cycle ingénieur : candidatures à faire sur le site du groupe INSA : www.groupe-insa.fr/comment-candidater du 20 janvier au 22 mars Admission en 4ème année du cycle ingénieur à l'INSA de Rennes</t>
        </is>
      </c>
      <c r="AI93" s="28" t="inlineStr">
        <is>
          <t>Open in EEF</t>
        </is>
      </c>
    </row>
    <row r="94" ht="32.8" customHeight="1" s="19">
      <c r="A94" s="25" t="n">
        <v>93</v>
      </c>
      <c r="B94" s="25" t="inlineStr">
        <is>
          <t>★★★★☆</t>
        </is>
      </c>
      <c r="C94" s="25" t="inlineStr">
        <is>
          <t>4 – Strong fit (electronics/signal/robotics/IoT/sensors)</t>
        </is>
      </c>
      <c r="D94" s="25" t="inlineStr">
        <is>
          <t>Robotics / Automation / Mechatronics</t>
        </is>
      </c>
      <c r="E94" s="26" t="inlineStr">
        <is>
          <t>diplôme d'ingénieur de l'Institut national des sciences appliquées de Rennes spécialité Génie Mécanique et Automatique</t>
        </is>
      </c>
      <c r="F94" s="26" t="inlineStr">
        <is>
          <t>Engineering diploma of INSA of Rennes – specialisation: Engineering Mechanics &amp; Automation</t>
        </is>
      </c>
      <c r="G94" s="25" t="inlineStr">
        <is>
          <t>Diplôme d'ingénieur</t>
        </is>
      </c>
      <c r="H94" s="25" t="inlineStr">
        <is>
          <t>Institut national des sciences appliquées de Rennes</t>
        </is>
      </c>
      <c r="I94" s="25" t="n"/>
      <c r="J94" s="25" t="inlineStr">
        <is>
          <t>Site de Rennes</t>
        </is>
      </c>
      <c r="K94" s="25" t="n"/>
      <c r="L94" s="25" t="inlineStr">
        <is>
          <t>Public school / institute</t>
        </is>
      </c>
      <c r="M94" s="25" t="inlineStr">
        <is>
          <t>French &amp; English</t>
        </is>
      </c>
      <c r="N94" s="25" t="inlineStr">
        <is>
          <t>General</t>
        </is>
      </c>
      <c r="O94" s="25" t="inlineStr">
        <is>
          <t>Bac +3 / Bac +4</t>
        </is>
      </c>
      <c r="P94" s="26" t="inlineStr">
        <is>
          <t>Eligible on level (4-yr BS ≈ Bac+4)</t>
        </is>
      </c>
      <c r="Q94" s="25" t="inlineStr">
        <is>
          <t>3/4</t>
        </is>
      </c>
      <c r="R94" s="25" t="n"/>
      <c r="S94" s="27" t="n">
        <v>3950</v>
      </c>
      <c r="T94" s="27" t="n">
        <v>628</v>
      </c>
      <c r="U94" s="25" t="n">
        <v>2</v>
      </c>
      <c r="V94" s="27">
        <f>IF(S94="","",S94*U94)</f>
        <v/>
      </c>
      <c r="W94" s="26" t="inlineStr">
        <is>
          <t>Not in catalogue. Public engineering diploma: national rate ~€601-628; many schools charge non-EU up to ~€3,950. Verify.</t>
        </is>
      </c>
      <c r="X94" s="25" t="inlineStr">
        <is>
          <t>Low</t>
        </is>
      </c>
      <c r="Y94" s="25" t="n"/>
      <c r="Z94" s="26" t="n"/>
      <c r="AA94" s="26" t="n"/>
      <c r="AB94" s="25" t="n"/>
      <c r="AC94" s="25" t="inlineStr">
        <is>
          <t>Open</t>
        </is>
      </c>
      <c r="AD94" s="25" t="inlineStr">
        <is>
          <t>2026-10-01</t>
        </is>
      </c>
      <c r="AE94" s="25" t="inlineStr">
        <is>
          <t>2027-03-15</t>
        </is>
      </c>
      <c r="AF94" s="25" t="inlineStr">
        <is>
          <t>Yes</t>
        </is>
      </c>
      <c r="AG94" s="28" t="inlineStr">
        <is>
          <t>http://www.insa-rennes.fr</t>
        </is>
      </c>
      <c r="AH94" s="26" t="inlineStr">
        <is>
          <t>Admissions en 3ème année du cycle ingénieur : candidatures à faire sur le site du groupe INSA : www.groupe-insa.fr/comment-candidater du 20 janvier au 22 mars Admission en 4ème année du cycle ingénieur à l'INSA de Rennes</t>
        </is>
      </c>
      <c r="AI94" s="28" t="inlineStr">
        <is>
          <t>Open in EEF</t>
        </is>
      </c>
    </row>
    <row r="95" ht="32.8" customHeight="1" s="19">
      <c r="A95" s="25" t="n">
        <v>94</v>
      </c>
      <c r="B95" s="25" t="inlineStr">
        <is>
          <t>★★★★☆</t>
        </is>
      </c>
      <c r="C95" s="25" t="inlineStr">
        <is>
          <t>4 – Strong fit (electronics/signal/robotics/IoT/sensors)</t>
        </is>
      </c>
      <c r="D95" s="25" t="inlineStr">
        <is>
          <t>IoT / Telecom / Networks</t>
        </is>
      </c>
      <c r="E95" s="26" t="inlineStr">
        <is>
          <t>Diplôme d'Ingénieur de l'Université de Technologie de Troyes spécialité Réseaux et Télécommunications</t>
        </is>
      </c>
      <c r="F95" s="26" t="inlineStr">
        <is>
          <t>Engineering diploma of University of Technology of Troyes – specialisation: Networks &amp; Telecommunications</t>
        </is>
      </c>
      <c r="G95" s="25" t="inlineStr">
        <is>
          <t>Diplôme d'ingénieur</t>
        </is>
      </c>
      <c r="H95" s="25" t="inlineStr">
        <is>
          <t>Université de technologie de Troyes</t>
        </is>
      </c>
      <c r="I95" s="25" t="n"/>
      <c r="J95" s="25" t="inlineStr">
        <is>
          <t>Site de Troyes</t>
        </is>
      </c>
      <c r="K95" s="25" t="n"/>
      <c r="L95" s="25" t="inlineStr">
        <is>
          <t>Public university</t>
        </is>
      </c>
      <c r="M95" s="25" t="inlineStr">
        <is>
          <t>French &amp; English</t>
        </is>
      </c>
      <c r="N95" s="25" t="inlineStr">
        <is>
          <t>General</t>
        </is>
      </c>
      <c r="O95" s="25" t="inlineStr">
        <is>
          <t>Bac +3 / Bac +4 / Bac +5</t>
        </is>
      </c>
      <c r="P95" s="26" t="inlineStr">
        <is>
          <t>Eligible on level (4-yr BS ≈ Bac+4)</t>
        </is>
      </c>
      <c r="Q95" s="25" t="inlineStr">
        <is>
          <t>3/4/5</t>
        </is>
      </c>
      <c r="R95" s="25" t="inlineStr">
        <is>
          <t>12</t>
        </is>
      </c>
      <c r="S95" s="27" t="n">
        <v>3950</v>
      </c>
      <c r="T95" s="27" t="n">
        <v>628</v>
      </c>
      <c r="U95" s="25" t="n">
        <v>2</v>
      </c>
      <c r="V95" s="27">
        <f>IF(S95="","",S95*U95)</f>
        <v/>
      </c>
      <c r="W95" s="26" t="inlineStr">
        <is>
          <t>Not in catalogue. Public engineering diploma: national rate ~€601-628; many schools charge non-EU up to ~€3,950. Verify.</t>
        </is>
      </c>
      <c r="X95" s="25" t="inlineStr">
        <is>
          <t>Low</t>
        </is>
      </c>
      <c r="Y95" s="25" t="n"/>
      <c r="Z95" s="26" t="n"/>
      <c r="AA95" s="26" t="n"/>
      <c r="AB95" s="25" t="n"/>
      <c r="AC95" s="25" t="inlineStr">
        <is>
          <t>Open</t>
        </is>
      </c>
      <c r="AD95" s="25" t="inlineStr">
        <is>
          <t>2026-10-01</t>
        </is>
      </c>
      <c r="AE95" s="25" t="inlineStr">
        <is>
          <t>2027-03-15</t>
        </is>
      </c>
      <c r="AF95" s="25" t="inlineStr">
        <is>
          <t>Yes</t>
        </is>
      </c>
      <c r="AG95" s="28" t="inlineStr">
        <is>
          <t>http://www.utt.fr</t>
        </is>
      </c>
      <c r="AH95" s="26" t="inlineStr">
        <is>
          <t>Admission en 1ère année de branche : La formation est ouverte, en 3ème année d'igénieur, aux titulaires d’un diplôme national conférant le grade de bac +2 minimum, d'un titre étranger ou français admis par équivalence, L</t>
        </is>
      </c>
      <c r="AI95" s="28" t="inlineStr">
        <is>
          <t>Open in EEF</t>
        </is>
      </c>
    </row>
    <row r="96" ht="32.8" customHeight="1" s="19">
      <c r="A96" s="25" t="n">
        <v>95</v>
      </c>
      <c r="B96" s="25" t="inlineStr">
        <is>
          <t>★★★★☆</t>
        </is>
      </c>
      <c r="C96" s="25" t="inlineStr">
        <is>
          <t>4 – Strong fit (electronics/signal/robotics/IoT/sensors)</t>
        </is>
      </c>
      <c r="D96" s="25" t="inlineStr">
        <is>
          <t>Neuroscience / Neuro-engineering</t>
        </is>
      </c>
      <c r="E96" s="26" t="inlineStr">
        <is>
          <t>Master of Science (MSc) Modeling of neuronal and cognitive systems</t>
        </is>
      </c>
      <c r="F96" s="26" t="inlineStr">
        <is>
          <t>Master of Science (MSc) Modeling of neuronal and cognitive systems</t>
        </is>
      </c>
      <c r="G96" s="25" t="inlineStr">
        <is>
          <t>Master of Science (MSc)</t>
        </is>
      </c>
      <c r="H96" s="25" t="inlineStr">
        <is>
          <t>MSc</t>
        </is>
      </c>
      <c r="I96" s="25" t="inlineStr">
        <is>
          <t>Université Côte d'Azur</t>
        </is>
      </c>
      <c r="J96" s="25" t="inlineStr">
        <is>
          <t>UniCA</t>
        </is>
      </c>
      <c r="K96" s="25" t="inlineStr">
        <is>
          <t>06100 Nice cedex</t>
        </is>
      </c>
      <c r="L96" s="25" t="inlineStr">
        <is>
          <t>Public university</t>
        </is>
      </c>
      <c r="M96" s="25" t="inlineStr">
        <is>
          <t>English</t>
        </is>
      </c>
      <c r="N96" s="25" t="inlineStr">
        <is>
          <t>Taught in English</t>
        </is>
      </c>
      <c r="O96" s="25" t="inlineStr">
        <is>
          <t>Bac +3</t>
        </is>
      </c>
      <c r="P96" s="26" t="inlineStr">
        <is>
          <t>Eligible on level (4-yr BS ≈ Bac+4)</t>
        </is>
      </c>
      <c r="Q96" s="25" t="inlineStr">
        <is>
          <t>1</t>
        </is>
      </c>
      <c r="R96" s="25" t="inlineStr">
        <is>
          <t>12</t>
        </is>
      </c>
      <c r="S96" s="27" t="n">
        <v>5000</v>
      </c>
      <c r="T96" s="27" t="n"/>
      <c r="U96" s="25" t="n">
        <v>1</v>
      </c>
      <c r="V96" s="27">
        <f>IF(S96="","",S96*U96)</f>
        <v/>
      </c>
      <c r="W96" s="26" t="inlineStr">
        <is>
          <t>Catalogue fee €5,000/yr (entered by institution).</t>
        </is>
      </c>
      <c r="X96" s="25" t="inlineStr">
        <is>
          <t>High</t>
        </is>
      </c>
      <c r="Y96" s="25" t="inlineStr">
        <is>
          <t>5000</t>
        </is>
      </c>
      <c r="Z96" s="26" t="inlineStr">
        <is>
          <t>fr Fees: €5,000 per year for international students for the</t>
        </is>
      </c>
      <c r="AA96" s="26" t="n"/>
      <c r="AB96" s="25" t="n"/>
      <c r="AC96" s="25" t="inlineStr">
        <is>
          <t>Open</t>
        </is>
      </c>
      <c r="AD96" s="25" t="inlineStr">
        <is>
          <t>2026-10-01</t>
        </is>
      </c>
      <c r="AE96" s="25" t="inlineStr">
        <is>
          <t>2027-03-15</t>
        </is>
      </c>
      <c r="AF96" s="25" t="inlineStr">
        <is>
          <t>Yes</t>
        </is>
      </c>
      <c r="AG96" s="28" t="inlineStr">
        <is>
          <t>https://univ-cotedazur.eu/msc/modeling-for-neuronal-and-cognitive-systems</t>
        </is>
      </c>
      <c r="AH96" s="26" t="inlineStr">
        <is>
          <t>Candidates should have a bachelor or an equivalent degree in mathematics, computer science, biology, psychology, electrical engineering, economics or linguistic. In addition, they will have to provide evidence of their a</t>
        </is>
      </c>
      <c r="AI96" s="28" t="inlineStr">
        <is>
          <t>Open in EEF</t>
        </is>
      </c>
    </row>
    <row r="97" ht="43.25" customHeight="1" s="19">
      <c r="A97" s="25" t="n">
        <v>96</v>
      </c>
      <c r="B97" s="25" t="inlineStr">
        <is>
          <t>★★★★☆</t>
        </is>
      </c>
      <c r="C97" s="25" t="inlineStr">
        <is>
          <t>4 – Strong fit (electronics/signal/robotics/IoT/sensors)</t>
        </is>
      </c>
      <c r="D97" s="25" t="inlineStr">
        <is>
          <t>Sensors / Instrumentation / Micro-Nano / Photonics</t>
        </is>
      </c>
      <c r="E97" s="26" t="inlineStr">
        <is>
          <t>Master of Science Electrical and Optical Engineering (EOE)</t>
        </is>
      </c>
      <c r="F97" s="26" t="inlineStr">
        <is>
          <t>Master of Science Electrical and Optical Engineering (EOE)</t>
        </is>
      </c>
      <c r="G97" s="25" t="inlineStr">
        <is>
          <t>Master of Science (MSc)</t>
        </is>
      </c>
      <c r="H97" s="25" t="inlineStr">
        <is>
          <t>Télécom SudParis</t>
        </is>
      </c>
      <c r="I97" s="25" t="n"/>
      <c r="J97" s="25" t="inlineStr">
        <is>
          <t>Site de Evry</t>
        </is>
      </c>
      <c r="K97" s="25" t="n"/>
      <c r="L97" s="25" t="inlineStr">
        <is>
          <t>Public school / institute</t>
        </is>
      </c>
      <c r="M97" s="25" t="inlineStr">
        <is>
          <t>English</t>
        </is>
      </c>
      <c r="N97" s="25" t="inlineStr">
        <is>
          <t>Taught in English</t>
        </is>
      </c>
      <c r="O97" s="25" t="inlineStr">
        <is>
          <t>Bac +4</t>
        </is>
      </c>
      <c r="P97" s="26" t="inlineStr">
        <is>
          <t>Eligible on level (4-yr BS ≈ Bac+4)</t>
        </is>
      </c>
      <c r="Q97" s="25" t="inlineStr">
        <is>
          <t>1</t>
        </is>
      </c>
      <c r="R97" s="25" t="inlineStr">
        <is>
          <t>12</t>
        </is>
      </c>
      <c r="S97" s="27" t="n">
        <v>6000</v>
      </c>
      <c r="T97" s="27" t="n"/>
      <c r="U97" s="25" t="n">
        <v>1</v>
      </c>
      <c r="V97" s="27">
        <f>IF(S97="","",S97*U97)</f>
        <v/>
      </c>
      <c r="W97" s="26" t="inlineStr">
        <is>
          <t>Catalogue fee €6,000/yr (entered by institution).</t>
        </is>
      </c>
      <c r="X97" s="25" t="inlineStr">
        <is>
          <t>High</t>
        </is>
      </c>
      <c r="Y97" s="25" t="inlineStr">
        <is>
          <t>6000</t>
        </is>
      </c>
      <c r="Z97" s="26" t="n"/>
      <c r="AA97" s="26" t="n"/>
      <c r="AB97" s="25" t="n"/>
      <c r="AC97" s="25" t="inlineStr">
        <is>
          <t>Open</t>
        </is>
      </c>
      <c r="AD97" s="25" t="inlineStr">
        <is>
          <t>2026-10-01</t>
        </is>
      </c>
      <c r="AE97" s="25" t="inlineStr">
        <is>
          <t>2027-03-15</t>
        </is>
      </c>
      <c r="AF97" s="25" t="inlineStr">
        <is>
          <t>Yes</t>
        </is>
      </c>
      <c r="AG97" s="28" t="inlineStr">
        <is>
          <t>https://www.telecom-sudparis.eu/en/formation/master-of-science-electrical-and-optical-engineering/</t>
        </is>
      </c>
      <c r="AH97" s="26" t="inlineStr">
        <is>
          <t>Academic Prerequisites Master M1 in Electrical Engineering for Communications &amp; Information Processing https://www.telecom-sudparis.eu/en/formation/master-of-science-electrical-and-optical-engineering/ Physics: Electroma</t>
        </is>
      </c>
      <c r="AI97" s="28" t="inlineStr">
        <is>
          <t>Open in EEF</t>
        </is>
      </c>
    </row>
    <row r="98" ht="43.25" customHeight="1" s="19">
      <c r="A98" s="25" t="n">
        <v>97</v>
      </c>
      <c r="B98" s="25" t="inlineStr">
        <is>
          <t>★★★★☆</t>
        </is>
      </c>
      <c r="C98" s="25" t="inlineStr">
        <is>
          <t>4 – Strong fit (electronics/signal/robotics/IoT/sensors)</t>
        </is>
      </c>
      <c r="D98" s="25" t="inlineStr">
        <is>
          <t>Sensors / Instrumentation / Micro-Nano / Photonics</t>
        </is>
      </c>
      <c r="E98" s="26" t="inlineStr">
        <is>
          <t>Electrical and Optical Engineering (EOE)</t>
        </is>
      </c>
      <c r="F98" s="26" t="inlineStr">
        <is>
          <t>Electrical and Optical Engineering (EOE)</t>
        </is>
      </c>
      <c r="G98" s="25" t="inlineStr">
        <is>
          <t>Mastère en sciences (MSc)</t>
        </is>
      </c>
      <c r="H98" s="25" t="inlineStr">
        <is>
          <t>Télécom SudParis</t>
        </is>
      </c>
      <c r="I98" s="25" t="n"/>
      <c r="J98" s="25" t="inlineStr">
        <is>
          <t>Site de Evry</t>
        </is>
      </c>
      <c r="K98" s="25" t="n"/>
      <c r="L98" s="25" t="inlineStr">
        <is>
          <t>Public school / institute</t>
        </is>
      </c>
      <c r="M98" s="25" t="inlineStr">
        <is>
          <t>English</t>
        </is>
      </c>
      <c r="N98" s="25" t="inlineStr">
        <is>
          <t>General</t>
        </is>
      </c>
      <c r="O98" s="25" t="inlineStr">
        <is>
          <t>Bac +4</t>
        </is>
      </c>
      <c r="P98" s="26" t="inlineStr">
        <is>
          <t>Eligible on level (4-yr BS ≈ Bac+4)</t>
        </is>
      </c>
      <c r="Q98" s="25" t="inlineStr">
        <is>
          <t>1</t>
        </is>
      </c>
      <c r="R98" s="25" t="inlineStr">
        <is>
          <t>12</t>
        </is>
      </c>
      <c r="S98" s="27" t="n">
        <v>6000</v>
      </c>
      <c r="T98" s="27" t="n"/>
      <c r="U98" s="25" t="n">
        <v>1</v>
      </c>
      <c r="V98" s="27">
        <f>IF(S98="","",S98*U98)</f>
        <v/>
      </c>
      <c r="W98" s="26" t="inlineStr">
        <is>
          <t>Catalogue fee €6,000/yr (entered by institution).</t>
        </is>
      </c>
      <c r="X98" s="25" t="inlineStr">
        <is>
          <t>High</t>
        </is>
      </c>
      <c r="Y98" s="25" t="inlineStr">
        <is>
          <t>6000</t>
        </is>
      </c>
      <c r="Z98" s="26" t="n"/>
      <c r="AA98" s="26" t="n"/>
      <c r="AB98" s="25" t="n"/>
      <c r="AC98" s="25" t="inlineStr">
        <is>
          <t>Open</t>
        </is>
      </c>
      <c r="AD98" s="25" t="inlineStr">
        <is>
          <t>2026-10-01</t>
        </is>
      </c>
      <c r="AE98" s="25" t="inlineStr">
        <is>
          <t>2027-03-15</t>
        </is>
      </c>
      <c r="AF98" s="25" t="inlineStr">
        <is>
          <t>Yes</t>
        </is>
      </c>
      <c r="AG98" s="28" t="inlineStr">
        <is>
          <t>https://www.telecom-sudparis.eu/en/formation/master-of-science-electrical-and-optical-engineering/</t>
        </is>
      </c>
      <c r="AH98" s="26" t="inlineStr">
        <is>
          <t>Academic Prerequisites Master M1 in Electrical Engineering for Communications &amp; Information Processing https://www.ip-paris.fr/en/education/masters/electrical-engineering-program/master-year-1-electrical-engineering-comm</t>
        </is>
      </c>
      <c r="AI98" s="28" t="inlineStr">
        <is>
          <t>Open in EEF</t>
        </is>
      </c>
    </row>
    <row r="99" ht="32.8" customHeight="1" s="19">
      <c r="A99" s="25" t="n">
        <v>98</v>
      </c>
      <c r="B99" s="25" t="inlineStr">
        <is>
          <t>★★★★☆</t>
        </is>
      </c>
      <c r="C99" s="25" t="inlineStr">
        <is>
          <t>4 – Strong fit (electronics/signal/robotics/IoT/sensors)</t>
        </is>
      </c>
      <c r="D99" s="25" t="inlineStr">
        <is>
          <t>Embedded systems / Electronics</t>
        </is>
      </c>
      <c r="E99" s="26" t="inlineStr">
        <is>
          <t>diplôme d'ingénieur de l'Institut supérieur d'électronique de Paris</t>
        </is>
      </c>
      <c r="F99" s="26" t="inlineStr">
        <is>
          <t>Engineering diploma of Institute Higher of Electronics of Paris</t>
        </is>
      </c>
      <c r="G99" s="25" t="inlineStr">
        <is>
          <t>Diplôme d'ingénieur</t>
        </is>
      </c>
      <c r="H99" s="25" t="inlineStr">
        <is>
          <t>Institut supérieur d'électronique de Paris</t>
        </is>
      </c>
      <c r="I99" s="25" t="n"/>
      <c r="J99" s="25" t="inlineStr">
        <is>
          <t>Site de Paris</t>
        </is>
      </c>
      <c r="K99" s="25" t="n"/>
      <c r="L99" s="25" t="inlineStr">
        <is>
          <t>Private / EESPIG</t>
        </is>
      </c>
      <c r="M99" s="25" t="inlineStr">
        <is>
          <t>French &amp; English</t>
        </is>
      </c>
      <c r="N99" s="25" t="inlineStr">
        <is>
          <t>General</t>
        </is>
      </c>
      <c r="O99" s="25" t="inlineStr">
        <is>
          <t>Bac +1 / Bac +2 / Bac +3 / Bac +4 / Bac +5</t>
        </is>
      </c>
      <c r="P99" s="26" t="inlineStr">
        <is>
          <t>Eligible on level (4-yr BS ≈ Bac+4)</t>
        </is>
      </c>
      <c r="Q99" s="25" t="inlineStr">
        <is>
          <t>1/2/3/4/5</t>
        </is>
      </c>
      <c r="R99" s="25" t="inlineStr">
        <is>
          <t>12</t>
        </is>
      </c>
      <c r="S99" s="27" t="n">
        <v>9450</v>
      </c>
      <c r="T99" s="27" t="n"/>
      <c r="U99" s="25" t="n">
        <v>2</v>
      </c>
      <c r="V99" s="27">
        <f>IF(S99="","",S99*U99)</f>
        <v/>
      </c>
      <c r="W99" s="26" t="inlineStr">
        <is>
          <t>Catalogue fee €9,450/yr (entered by institution).</t>
        </is>
      </c>
      <c r="X99" s="25" t="inlineStr">
        <is>
          <t>High</t>
        </is>
      </c>
      <c r="Y99" s="25" t="inlineStr">
        <is>
          <t>9450/11520</t>
        </is>
      </c>
      <c r="Z99" s="26" t="n"/>
      <c r="AA99" s="26" t="n"/>
      <c r="AB99" s="25" t="n"/>
      <c r="AC99" s="25" t="inlineStr">
        <is>
          <t>Open</t>
        </is>
      </c>
      <c r="AD99" s="25" t="inlineStr">
        <is>
          <t>2026-10-01</t>
        </is>
      </c>
      <c r="AE99" s="25" t="inlineStr">
        <is>
          <t>2027-03-15</t>
        </is>
      </c>
      <c r="AF99" s="25" t="inlineStr">
        <is>
          <t>Yes</t>
        </is>
      </c>
      <c r="AG99" s="28" t="inlineStr">
        <is>
          <t>http://www.isep.fr</t>
        </is>
      </c>
      <c r="AH99" s="26" t="inlineStr">
        <is>
          <t>Notre programme CII (Cycle Intégré International) est ouvert aux candidats ayant réussi leur baccalauréat en sciences (par exemple, A Level, IB, AP, Huikao, Baccalauréat français...) et aux élèves de Terminale qui ont un</t>
        </is>
      </c>
      <c r="AI99" s="28" t="inlineStr">
        <is>
          <t>Open in EEF</t>
        </is>
      </c>
    </row>
    <row r="100" ht="15" customHeight="1" s="19">
      <c r="A100" s="25" t="n">
        <v>99</v>
      </c>
      <c r="B100" s="25" t="inlineStr">
        <is>
          <t>★★★★☆</t>
        </is>
      </c>
      <c r="C100" s="25" t="inlineStr">
        <is>
          <t>4 – Strong fit (electronics/signal/robotics/IoT/sensors)</t>
        </is>
      </c>
      <c r="D100" s="25" t="inlineStr">
        <is>
          <t>IoT / Telecom / Networks</t>
        </is>
      </c>
      <c r="E100" s="26" t="inlineStr">
        <is>
          <t>Diplôme d'ingénieur de Télécom SudParis de l'Institut Mines-Télécom</t>
        </is>
      </c>
      <c r="F100" s="26" t="inlineStr">
        <is>
          <t>Engineering diploma of Télécom SudParis of Institute Mines-Télécom</t>
        </is>
      </c>
      <c r="G100" s="25" t="inlineStr">
        <is>
          <t>Diplôme d'ingénieur</t>
        </is>
      </c>
      <c r="H100" s="25" t="inlineStr">
        <is>
          <t>Télécom SudParis</t>
        </is>
      </c>
      <c r="I100" s="25" t="n"/>
      <c r="J100" s="25" t="inlineStr">
        <is>
          <t>Site de Evry</t>
        </is>
      </c>
      <c r="K100" s="25" t="n"/>
      <c r="L100" s="25" t="inlineStr">
        <is>
          <t>Public school / institute</t>
        </is>
      </c>
      <c r="M100" s="25" t="inlineStr">
        <is>
          <t>French &amp; English</t>
        </is>
      </c>
      <c r="N100" s="25" t="inlineStr">
        <is>
          <t>General</t>
        </is>
      </c>
      <c r="O100" s="25" t="inlineStr">
        <is>
          <t>Bac +3 / Bac +4</t>
        </is>
      </c>
      <c r="P100" s="26" t="inlineStr">
        <is>
          <t>Eligible on level (4-yr BS ≈ Bac+4)</t>
        </is>
      </c>
      <c r="Q100" s="25" t="inlineStr">
        <is>
          <t>1/2</t>
        </is>
      </c>
      <c r="R100" s="25" t="inlineStr">
        <is>
          <t>36/24</t>
        </is>
      </c>
      <c r="S100" s="27" t="n">
        <v>11400</v>
      </c>
      <c r="T100" s="27" t="n"/>
      <c r="U100" s="25" t="n">
        <v>2</v>
      </c>
      <c r="V100" s="27">
        <f>IF(S100="","",S100*U100)</f>
        <v/>
      </c>
      <c r="W100" s="26" t="inlineStr">
        <is>
          <t>Catalogue fee €11,400/yr (entered by institution).</t>
        </is>
      </c>
      <c r="X100" s="25" t="inlineStr">
        <is>
          <t>High</t>
        </is>
      </c>
      <c r="Y100" s="25" t="inlineStr">
        <is>
          <t>17100/11400</t>
        </is>
      </c>
      <c r="Z100" s="26" t="n"/>
      <c r="AA100" s="26" t="n"/>
      <c r="AB100" s="25" t="n"/>
      <c r="AC100" s="25" t="inlineStr">
        <is>
          <t>Open</t>
        </is>
      </c>
      <c r="AD100" s="25" t="inlineStr">
        <is>
          <t>2026-10-01</t>
        </is>
      </c>
      <c r="AE100" s="25" t="inlineStr">
        <is>
          <t>2027-03-15</t>
        </is>
      </c>
      <c r="AF100" s="25" t="inlineStr">
        <is>
          <t>Yes</t>
        </is>
      </c>
      <c r="AG100" s="28" t="inlineStr">
        <is>
          <t>http://www.telecom-sudparis.eu</t>
        </is>
      </c>
      <c r="AH100" s="26" t="inlineStr">
        <is>
          <t>Informations en ligne sur le site Télécom SudParis.</t>
        </is>
      </c>
      <c r="AI100" s="28" t="inlineStr">
        <is>
          <t>Open in EEF</t>
        </is>
      </c>
    </row>
    <row r="101" ht="32.8" customHeight="1" s="19">
      <c r="A101" s="25" t="n">
        <v>100</v>
      </c>
      <c r="B101" s="25" t="inlineStr">
        <is>
          <t>★★★★☆</t>
        </is>
      </c>
      <c r="C101" s="25" t="inlineStr">
        <is>
          <t>4 – Strong fit (electronics/signal/robotics/IoT/sensors)</t>
        </is>
      </c>
      <c r="D101" s="25" t="inlineStr">
        <is>
          <t>Robotics / Automation / Mechatronics</t>
        </is>
      </c>
      <c r="E101" s="26" t="inlineStr">
        <is>
          <t>MSc Control and Robotics - Advanced Robotics</t>
        </is>
      </c>
      <c r="F101" s="26" t="inlineStr">
        <is>
          <t>MSc Control and Robotics - Advanced Robotics</t>
        </is>
      </c>
      <c r="G101" s="25" t="inlineStr">
        <is>
          <t>Master of Science (MSc)</t>
        </is>
      </c>
      <c r="H101" s="25" t="inlineStr">
        <is>
          <t>Ecole centrale de Nantes</t>
        </is>
      </c>
      <c r="I101" s="25" t="n"/>
      <c r="J101" s="25" t="inlineStr">
        <is>
          <t>Site de Nantes</t>
        </is>
      </c>
      <c r="K101" s="25" t="n"/>
      <c r="L101" s="25" t="inlineStr">
        <is>
          <t>Public school / institute</t>
        </is>
      </c>
      <c r="M101" s="25" t="inlineStr">
        <is>
          <t>English</t>
        </is>
      </c>
      <c r="N101" s="25" t="inlineStr">
        <is>
          <t>Taught in English</t>
        </is>
      </c>
      <c r="O101" s="25" t="inlineStr">
        <is>
          <t>Bac +4 / Bac +5</t>
        </is>
      </c>
      <c r="P101" s="26" t="inlineStr">
        <is>
          <t>Eligible on level (4-yr BS ≈ Bac+4)</t>
        </is>
      </c>
      <c r="Q101" s="25" t="inlineStr">
        <is>
          <t>1/2</t>
        </is>
      </c>
      <c r="R101" s="25" t="inlineStr">
        <is>
          <t>12</t>
        </is>
      </c>
      <c r="S101" s="27" t="n">
        <v>12000</v>
      </c>
      <c r="T101" s="27" t="n"/>
      <c r="U101" s="25" t="n">
        <v>1</v>
      </c>
      <c r="V101" s="27">
        <f>IF(S101="","",S101*U101)</f>
        <v/>
      </c>
      <c r="W101" s="26" t="inlineStr">
        <is>
          <t>Catalogue fee €12,000/yr (entered by institution).</t>
        </is>
      </c>
      <c r="X101" s="25" t="inlineStr">
        <is>
          <t>High</t>
        </is>
      </c>
      <c r="Y101" s="25" t="inlineStr">
        <is>
          <t>12000</t>
        </is>
      </c>
      <c r="Z101" s="26" t="n"/>
      <c r="AA101" s="26" t="n"/>
      <c r="AB101" s="25" t="n"/>
      <c r="AC101" s="25" t="inlineStr">
        <is>
          <t>Open</t>
        </is>
      </c>
      <c r="AD101" s="25" t="inlineStr">
        <is>
          <t>2026-10-01</t>
        </is>
      </c>
      <c r="AE101" s="25" t="inlineStr">
        <is>
          <t>2027-03-15</t>
        </is>
      </c>
      <c r="AF101" s="25" t="inlineStr">
        <is>
          <t>Yes</t>
        </is>
      </c>
      <c r="AG101" s="25" t="n"/>
      <c r="AH101" s="26" t="inlineStr">
        <is>
          <t>For any information regarding the application procedure on the MSc Control and Robotics - Advanced Robotics, please click on this LINK . For any questions, please feel free to send your request to admission@ec-nantes.fr</t>
        </is>
      </c>
      <c r="AI101" s="28" t="inlineStr">
        <is>
          <t>Open in EEF</t>
        </is>
      </c>
    </row>
    <row r="102" ht="32.8" customHeight="1" s="19">
      <c r="A102" s="25" t="n">
        <v>101</v>
      </c>
      <c r="B102" s="25" t="inlineStr">
        <is>
          <t>★★★★☆</t>
        </is>
      </c>
      <c r="C102" s="25" t="inlineStr">
        <is>
          <t>4 – Strong fit (electronics/signal/robotics/IoT/sensors)</t>
        </is>
      </c>
      <c r="D102" s="25" t="inlineStr">
        <is>
          <t>Signal / Image / Vision</t>
        </is>
      </c>
      <c r="E102" s="26" t="inlineStr">
        <is>
          <t>MSc Control and Robotics - Data Science, Signal and Image Processing</t>
        </is>
      </c>
      <c r="F102" s="26" t="inlineStr">
        <is>
          <t>MSc Control and Robotics - Data Science, Signal and Image Processing</t>
        </is>
      </c>
      <c r="G102" s="25" t="inlineStr">
        <is>
          <t>Master of Science (MSc)</t>
        </is>
      </c>
      <c r="H102" s="25" t="inlineStr">
        <is>
          <t>Ecole centrale de Nantes</t>
        </is>
      </c>
      <c r="I102" s="25" t="n"/>
      <c r="J102" s="25" t="inlineStr">
        <is>
          <t>Site de Nantes</t>
        </is>
      </c>
      <c r="K102" s="25" t="n"/>
      <c r="L102" s="25" t="inlineStr">
        <is>
          <t>Public school / institute</t>
        </is>
      </c>
      <c r="M102" s="25" t="inlineStr">
        <is>
          <t>English</t>
        </is>
      </c>
      <c r="N102" s="25" t="inlineStr">
        <is>
          <t>Taught in English</t>
        </is>
      </c>
      <c r="O102" s="25" t="inlineStr">
        <is>
          <t>Bac +4 / Bac +5</t>
        </is>
      </c>
      <c r="P102" s="26" t="inlineStr">
        <is>
          <t>Eligible on level (4-yr BS ≈ Bac+4)</t>
        </is>
      </c>
      <c r="Q102" s="25" t="inlineStr">
        <is>
          <t>1/2</t>
        </is>
      </c>
      <c r="R102" s="25" t="inlineStr">
        <is>
          <t>12</t>
        </is>
      </c>
      <c r="S102" s="27" t="n">
        <v>12000</v>
      </c>
      <c r="T102" s="27" t="n"/>
      <c r="U102" s="25" t="n">
        <v>1</v>
      </c>
      <c r="V102" s="27">
        <f>IF(S102="","",S102*U102)</f>
        <v/>
      </c>
      <c r="W102" s="26" t="inlineStr">
        <is>
          <t>Catalogue fee €12,000/yr (entered by institution).</t>
        </is>
      </c>
      <c r="X102" s="25" t="inlineStr">
        <is>
          <t>High</t>
        </is>
      </c>
      <c r="Y102" s="25" t="inlineStr">
        <is>
          <t>12000</t>
        </is>
      </c>
      <c r="Z102" s="26" t="n"/>
      <c r="AA102" s="26" t="n"/>
      <c r="AB102" s="25" t="n"/>
      <c r="AC102" s="25" t="inlineStr">
        <is>
          <t>Open</t>
        </is>
      </c>
      <c r="AD102" s="25" t="inlineStr">
        <is>
          <t>2026-10-01</t>
        </is>
      </c>
      <c r="AE102" s="25" t="inlineStr">
        <is>
          <t>2027-03-15</t>
        </is>
      </c>
      <c r="AF102" s="25" t="inlineStr">
        <is>
          <t>Yes</t>
        </is>
      </c>
      <c r="AG102" s="28" t="inlineStr">
        <is>
          <t>https://www.ec-nantes.fr/study/masters/data-science-signal-and-image-processing</t>
        </is>
      </c>
      <c r="AH102" s="26" t="inlineStr">
        <is>
          <t>For any information regarding the application procedure on the MSc Control and Robotics - Data Science,, please click on this LINK . For any questions, please feel free to send your request to admission@ec-nantes.fr The</t>
        </is>
      </c>
      <c r="AI102" s="28" t="inlineStr">
        <is>
          <t>Open in EEF</t>
        </is>
      </c>
    </row>
    <row r="103" ht="32.8" customHeight="1" s="19">
      <c r="A103" s="25" t="n">
        <v>102</v>
      </c>
      <c r="B103" s="25" t="inlineStr">
        <is>
          <t>★★★★☆</t>
        </is>
      </c>
      <c r="C103" s="25" t="inlineStr">
        <is>
          <t>4 – Strong fit (electronics/signal/robotics/IoT/sensors)</t>
        </is>
      </c>
      <c r="D103" s="25" t="inlineStr">
        <is>
          <t>IoT / Telecom / Networks</t>
        </is>
      </c>
      <c r="E103" s="26" t="inlineStr">
        <is>
          <t>Master of Science Aerospace Systems Navigation and Telecommunications</t>
        </is>
      </c>
      <c r="F103" s="26" t="inlineStr">
        <is>
          <t>Master of Science Aerospace Systems Navigation and Telecommunications</t>
        </is>
      </c>
      <c r="G103" s="25" t="inlineStr">
        <is>
          <t>Master indifférencié (recherche et professionnel)</t>
        </is>
      </c>
      <c r="H103" s="25" t="inlineStr">
        <is>
          <t>Ecole nationale de l'aviation civile</t>
        </is>
      </c>
      <c r="I103" s="25" t="n"/>
      <c r="J103" s="25" t="inlineStr">
        <is>
          <t>Site de Toulouse</t>
        </is>
      </c>
      <c r="K103" s="25" t="n"/>
      <c r="L103" s="25" t="inlineStr">
        <is>
          <t>Public school / institute</t>
        </is>
      </c>
      <c r="M103" s="25" t="inlineStr">
        <is>
          <t>English</t>
        </is>
      </c>
      <c r="N103" s="25" t="inlineStr">
        <is>
          <t>Taught in English</t>
        </is>
      </c>
      <c r="O103" s="25" t="inlineStr">
        <is>
          <t>Bac +4 / Bac +5</t>
        </is>
      </c>
      <c r="P103" s="26" t="inlineStr">
        <is>
          <t>Eligible on level (4-yr BS ≈ Bac+4)</t>
        </is>
      </c>
      <c r="Q103" s="25" t="inlineStr">
        <is>
          <t>1/2</t>
        </is>
      </c>
      <c r="R103" s="25" t="inlineStr">
        <is>
          <t>24</t>
        </is>
      </c>
      <c r="S103" s="27" t="n">
        <v>16860</v>
      </c>
      <c r="T103" s="27" t="n"/>
      <c r="U103" s="25" t="n">
        <v>2</v>
      </c>
      <c r="V103" s="27">
        <f>IF(S103="","",S103*U103)</f>
        <v/>
      </c>
      <c r="W103" s="26" t="inlineStr">
        <is>
          <t>Catalogue fee €16,860/yr (entered by institution).</t>
        </is>
      </c>
      <c r="X103" s="25" t="inlineStr">
        <is>
          <t>High</t>
        </is>
      </c>
      <c r="Y103" s="25" t="inlineStr">
        <is>
          <t>16860</t>
        </is>
      </c>
      <c r="Z103" s="26" t="n"/>
      <c r="AA103" s="26" t="n"/>
      <c r="AB103" s="25" t="n"/>
      <c r="AC103" s="25" t="inlineStr">
        <is>
          <t>Open</t>
        </is>
      </c>
      <c r="AD103" s="25" t="inlineStr">
        <is>
          <t>2026-10-01</t>
        </is>
      </c>
      <c r="AE103" s="25" t="inlineStr">
        <is>
          <t>2027-03-15</t>
        </is>
      </c>
      <c r="AF103" s="25" t="inlineStr">
        <is>
          <t>Yes</t>
        </is>
      </c>
      <c r="AG103" s="28" t="inlineStr">
        <is>
          <t>http://www.tsaae.fr</t>
        </is>
      </c>
      <c r="AH103" s="26" t="inlineStr">
        <is>
          <t>English test required (B2 level) Valid English test result with the following minimum scores required IELTS (academics) 6 TOEFL IBT 87 (4.5) TOEIC 785 (Listening, Speaking, Reading and Writing) Cambridge 170 Linguaskill</t>
        </is>
      </c>
      <c r="AI103" s="28" t="inlineStr">
        <is>
          <t>Open in EEF</t>
        </is>
      </c>
    </row>
    <row r="104" ht="32.8" customHeight="1" s="19">
      <c r="A104" s="25" t="n">
        <v>103</v>
      </c>
      <c r="B104" s="25" t="inlineStr">
        <is>
          <t>★★★★☆</t>
        </is>
      </c>
      <c r="C104" s="25" t="inlineStr">
        <is>
          <t>4 – Strong fit (electronics/signal/robotics/IoT/sensors)</t>
        </is>
      </c>
      <c r="D104" s="25" t="inlineStr">
        <is>
          <t>Biomedical / Health tech</t>
        </is>
      </c>
      <c r="E104" s="26" t="inlineStr">
        <is>
          <t>Master Sciences, Technologies &amp; Health, in Networks &amp; Telecommunication - Intelligent Communication Systems track</t>
        </is>
      </c>
      <c r="F104" s="26" t="inlineStr">
        <is>
          <t>Master Sciences, Technologies &amp; Health, in Networks &amp; Telecommunication - Intelligent Communication Systems track</t>
        </is>
      </c>
      <c r="G104" s="25" t="inlineStr">
        <is>
          <t>Master indifférencié (recherche et professionnel)</t>
        </is>
      </c>
      <c r="H104" s="25" t="inlineStr">
        <is>
          <t>EURECOM</t>
        </is>
      </c>
      <c r="I104" s="25" t="n"/>
      <c r="J104" s="25" t="inlineStr">
        <is>
          <t>EURECOM</t>
        </is>
      </c>
      <c r="K104" s="25" t="inlineStr">
        <is>
          <t>06410 Biot - Sophia Antipolis</t>
        </is>
      </c>
      <c r="L104" s="25" t="inlineStr">
        <is>
          <t>Private / EESPIG</t>
        </is>
      </c>
      <c r="M104" s="25" t="inlineStr">
        <is>
          <t>English</t>
        </is>
      </c>
      <c r="N104" s="25" t="inlineStr">
        <is>
          <t>Taught in English</t>
        </is>
      </c>
      <c r="O104" s="25" t="inlineStr">
        <is>
          <t>Bac +4</t>
        </is>
      </c>
      <c r="P104" s="26" t="inlineStr">
        <is>
          <t>Eligible on level (4-yr BS ≈ Bac+4)</t>
        </is>
      </c>
      <c r="Q104" s="25" t="inlineStr">
        <is>
          <t>1</t>
        </is>
      </c>
      <c r="R104" s="25" t="inlineStr">
        <is>
          <t>24</t>
        </is>
      </c>
      <c r="S104" s="27" t="n">
        <v>18000</v>
      </c>
      <c r="T104" s="27" t="n"/>
      <c r="U104" s="25" t="n">
        <v>2</v>
      </c>
      <c r="V104" s="27">
        <f>IF(S104="","",S104*U104)</f>
        <v/>
      </c>
      <c r="W104" s="26" t="inlineStr">
        <is>
          <t>Catalogue fee €18,000/yr (entered by institution).</t>
        </is>
      </c>
      <c r="X104" s="25" t="inlineStr">
        <is>
          <t>High</t>
        </is>
      </c>
      <c r="Y104" s="25" t="inlineStr">
        <is>
          <t>18000</t>
        </is>
      </c>
      <c r="Z104" s="26" t="inlineStr">
        <is>
          <t>h or French Final admission to the program is contingent upon the receipt of a deposit of €1000 on tuition fees</t>
        </is>
      </c>
      <c r="AA104" s="26" t="n"/>
      <c r="AB104" s="25" t="n"/>
      <c r="AC104" s="25" t="inlineStr">
        <is>
          <t>Open</t>
        </is>
      </c>
      <c r="AD104" s="25" t="inlineStr">
        <is>
          <t>2026-10-01</t>
        </is>
      </c>
      <c r="AE104" s="25" t="inlineStr">
        <is>
          <t>2027-03-15</t>
        </is>
      </c>
      <c r="AF104" s="25" t="inlineStr">
        <is>
          <t>Yes</t>
        </is>
      </c>
      <c r="AG104" s="28" t="inlineStr">
        <is>
          <t>https://www.eurecom.fr/en/teaching/master-networks-and-telecommunication/msc-networks-and-telecommunication-intelligent</t>
        </is>
      </c>
      <c r="AH104" s="26" t="inlineStr">
        <is>
          <t>To be eligible, candidates must hold: a Bachelor's degree or diploma equivalent to at least 3 years of higher education from a reputable university in the field of information and communication technologies. (Computer sc</t>
        </is>
      </c>
      <c r="AI104" s="28" t="inlineStr">
        <is>
          <t>Open in EEF</t>
        </is>
      </c>
    </row>
    <row r="105" ht="32.8" customHeight="1" s="19">
      <c r="A105" s="25" t="n">
        <v>104</v>
      </c>
      <c r="B105" s="25" t="inlineStr">
        <is>
          <t>★★★★☆</t>
        </is>
      </c>
      <c r="C105" s="25" t="inlineStr">
        <is>
          <t>4 – Strong fit (electronics/signal/robotics/IoT/sensors)</t>
        </is>
      </c>
      <c r="D105" s="25" t="inlineStr">
        <is>
          <t>IoT / Telecom / Networks</t>
        </is>
      </c>
      <c r="E105" s="26" t="inlineStr">
        <is>
          <t>Master Sciences, technologies, santé mention Réseaux &amp; Télécommunication parcours Systèmes de Communication Intelligents</t>
        </is>
      </c>
      <c r="F105" s="26" t="inlineStr">
        <is>
          <t>Master Science, Technology, Health (STS) – major: Networks &amp; Telecommunication – track: Systems of Communication Intelligent</t>
        </is>
      </c>
      <c r="G105" s="25" t="inlineStr">
        <is>
          <t>Master indifférencié (recherche et professionnel)</t>
        </is>
      </c>
      <c r="H105" s="25" t="inlineStr">
        <is>
          <t>EURECOM</t>
        </is>
      </c>
      <c r="I105" s="25" t="n"/>
      <c r="J105" s="25" t="inlineStr">
        <is>
          <t>EURECOM</t>
        </is>
      </c>
      <c r="K105" s="25" t="inlineStr">
        <is>
          <t>06410 Biot - Sophia Antipolis</t>
        </is>
      </c>
      <c r="L105" s="25" t="inlineStr">
        <is>
          <t>Private / EESPIG</t>
        </is>
      </c>
      <c r="M105" s="25" t="inlineStr">
        <is>
          <t>English</t>
        </is>
      </c>
      <c r="N105" s="25" t="inlineStr">
        <is>
          <t>General</t>
        </is>
      </c>
      <c r="O105" s="25" t="inlineStr">
        <is>
          <t>Bac +4</t>
        </is>
      </c>
      <c r="P105" s="26" t="inlineStr">
        <is>
          <t>Eligible on level (4-yr BS ≈ Bac+4)</t>
        </is>
      </c>
      <c r="Q105" s="25" t="inlineStr">
        <is>
          <t>1</t>
        </is>
      </c>
      <c r="R105" s="25" t="inlineStr">
        <is>
          <t>24</t>
        </is>
      </c>
      <c r="S105" s="27" t="n">
        <v>18000</v>
      </c>
      <c r="T105" s="27" t="n"/>
      <c r="U105" s="25" t="n">
        <v>2</v>
      </c>
      <c r="V105" s="27">
        <f>IF(S105="","",S105*U105)</f>
        <v/>
      </c>
      <c r="W105" s="26" t="inlineStr">
        <is>
          <t>Catalogue fee €18,000/yr (entered by institution).</t>
        </is>
      </c>
      <c r="X105" s="25" t="inlineStr">
        <is>
          <t>High</t>
        </is>
      </c>
      <c r="Y105" s="25" t="inlineStr">
        <is>
          <t>18000</t>
        </is>
      </c>
      <c r="Z105" s="26" t="inlineStr">
        <is>
          <t>dmission définitive dans le programme est conditionnée à la réception d’un acompte de 1000€ sur les frais de formation</t>
        </is>
      </c>
      <c r="AA105" s="26" t="n"/>
      <c r="AB105" s="25" t="n"/>
      <c r="AC105" s="25" t="inlineStr">
        <is>
          <t>Open</t>
        </is>
      </c>
      <c r="AD105" s="25" t="inlineStr">
        <is>
          <t>2026-10-01</t>
        </is>
      </c>
      <c r="AE105" s="25" t="inlineStr">
        <is>
          <t>2027-03-15</t>
        </is>
      </c>
      <c r="AF105" s="25" t="inlineStr">
        <is>
          <t>Yes</t>
        </is>
      </c>
      <c r="AG105" s="28" t="inlineStr">
        <is>
          <t>https://www.eurecom.fr/fr/les-formations/master-en-reseaux-et-telecommunication/master-en-reseaux-et-telecommunication</t>
        </is>
      </c>
      <c r="AH105" s="26" t="inlineStr">
        <is>
          <t>Pour être éligibles, les candidats doivent être titulaires: un diplôme de grade de Licence/Bachelor ou diplôme équivalent à 3 années minimum d'études supérieures d'une université réputée dans le domaine des technologies</t>
        </is>
      </c>
      <c r="AI105" s="28" t="inlineStr">
        <is>
          <t>Open in EEF</t>
        </is>
      </c>
    </row>
    <row r="106" ht="32.8" customHeight="1" s="19">
      <c r="A106" s="25" t="n">
        <v>105</v>
      </c>
      <c r="B106" s="25" t="inlineStr">
        <is>
          <t>★★★☆☆</t>
        </is>
      </c>
      <c r="C106" s="25" t="inlineStr">
        <is>
          <t>3 – Adjacent (AI/data/CS/cyber/energy)</t>
        </is>
      </c>
      <c r="D106" s="25" t="inlineStr">
        <is>
          <t>Other engineering / maths</t>
        </is>
      </c>
      <c r="E106" s="26" t="inlineStr">
        <is>
          <t>Master Sciences, technologies, santé mention Ingénierie des systèmes complexes Ingénierie des systèmes complexes parcours Smart integrated systems</t>
        </is>
      </c>
      <c r="F106" s="26" t="inlineStr">
        <is>
          <t>Master Science, Technology, Health (STS) – major: Complex Systems Engineering Complex Systems Engineering – track: Smart integrated systems</t>
        </is>
      </c>
      <c r="G106" s="25" t="inlineStr">
        <is>
          <t>Master indifférencié (recherche et professionnel)</t>
        </is>
      </c>
      <c r="H106" s="25" t="inlineStr">
        <is>
          <t>UFR Sciences et Techniques</t>
        </is>
      </c>
      <c r="I106" s="25" t="inlineStr">
        <is>
          <t>Université Marie et Louis Pasteur</t>
        </is>
      </c>
      <c r="J106" s="25" t="inlineStr">
        <is>
          <t>Site de Besançon</t>
        </is>
      </c>
      <c r="K106" s="25" t="inlineStr">
        <is>
          <t>25030 BESANCON CEDEX</t>
        </is>
      </c>
      <c r="L106" s="25" t="inlineStr">
        <is>
          <t>Public university</t>
        </is>
      </c>
      <c r="M106" s="25" t="inlineStr">
        <is>
          <t>English</t>
        </is>
      </c>
      <c r="N106" s="25" t="inlineStr">
        <is>
          <t>General</t>
        </is>
      </c>
      <c r="O106" s="25" t="inlineStr">
        <is>
          <t>Bac +4</t>
        </is>
      </c>
      <c r="P106" s="26" t="inlineStr">
        <is>
          <t>Eligible on level (4-yr BS ≈ Bac+4)</t>
        </is>
      </c>
      <c r="Q106" s="25" t="inlineStr">
        <is>
          <t>1</t>
        </is>
      </c>
      <c r="R106" s="25" t="inlineStr">
        <is>
          <t>12</t>
        </is>
      </c>
      <c r="S106" s="27" t="n">
        <v>243</v>
      </c>
      <c r="T106" s="27" t="n"/>
      <c r="U106" s="25" t="n">
        <v>2</v>
      </c>
      <c r="V106" s="27">
        <f>IF(S106="","",S106*U106)</f>
        <v/>
      </c>
      <c r="W106" s="26" t="inlineStr">
        <is>
          <t>Catalogue lists €243 (EU/national rate). Confirm whether non-EU surcharge applies.</t>
        </is>
      </c>
      <c r="X106" s="25" t="inlineStr">
        <is>
          <t>Medium</t>
        </is>
      </c>
      <c r="Y106" s="25" t="inlineStr">
        <is>
          <t>243</t>
        </is>
      </c>
      <c r="Z106" s="26" t="n"/>
      <c r="AA106" s="26" t="inlineStr">
        <is>
          <t>UMLP: individual exemption requests assessed on personal resources.</t>
        </is>
      </c>
      <c r="AB106" s="28" t="inlineStr">
        <is>
          <t>https://www.umlp.fr/sites/default/files/2026-07-02-page-droits-differencies-vf.pdf</t>
        </is>
      </c>
      <c r="AC106" s="25" t="inlineStr">
        <is>
          <t>Open</t>
        </is>
      </c>
      <c r="AD106" s="25" t="inlineStr">
        <is>
          <t>2026-10-01</t>
        </is>
      </c>
      <c r="AE106" s="25" t="inlineStr">
        <is>
          <t>2027-03-15</t>
        </is>
      </c>
      <c r="AF106" s="25" t="inlineStr">
        <is>
          <t>No</t>
        </is>
      </c>
      <c r="AG106" s="28" t="inlineStr">
        <is>
          <t>https://gradschool.eiphi.ubfc.fr/?page_id=1357</t>
        </is>
      </c>
      <c r="AH106" s="26" t="inlineStr">
        <is>
          <t>The selection criteria for the ISC master's degree research track SIS are the level of excellence of the academic record and the level of excellence in the following subjects: C programming in Linux, C programming in gen</t>
        </is>
      </c>
      <c r="AI106" s="28" t="inlineStr">
        <is>
          <t>Open in EEF</t>
        </is>
      </c>
    </row>
    <row r="107" ht="32.8" customHeight="1" s="19">
      <c r="A107" s="25" t="n">
        <v>106</v>
      </c>
      <c r="B107" s="25" t="inlineStr">
        <is>
          <t>★★★☆☆</t>
        </is>
      </c>
      <c r="C107" s="25" t="inlineStr">
        <is>
          <t>3 – Adjacent (AI/data/CS/cyber/energy)</t>
        </is>
      </c>
      <c r="D107" s="25" t="inlineStr">
        <is>
          <t>Cybersecurity</t>
        </is>
      </c>
      <c r="E107" s="26" t="inlineStr">
        <is>
          <t>Master indifférencié (recherche et professionnel) Sciences, technologies, santé mention Informatique parcours Parcours CRYPTIS sécurité de l'information et cryptologie- Parcours Graduate School “Information security”</t>
        </is>
      </c>
      <c r="F107" s="26" t="inlineStr">
        <is>
          <t>Science, Technology, Health (STS) – major: Computer Science – track: track: CRYPTIS Security of Information &amp; cryptologie- – track: Graduate School “Information security”</t>
        </is>
      </c>
      <c r="G107" s="25" t="inlineStr">
        <is>
          <t>Master indifférencié (recherche et professionnel)</t>
        </is>
      </c>
      <c r="H107" s="25" t="inlineStr">
        <is>
          <t>Faculté des Sciences et Techniques</t>
        </is>
      </c>
      <c r="I107" s="25" t="inlineStr">
        <is>
          <t>Université de Limoges</t>
        </is>
      </c>
      <c r="J107" s="25" t="inlineStr">
        <is>
          <t>Campus de la Borie Limoges</t>
        </is>
      </c>
      <c r="K107" s="25" t="n"/>
      <c r="L107" s="25" t="inlineStr">
        <is>
          <t>Public university</t>
        </is>
      </c>
      <c r="M107" s="25" t="inlineStr">
        <is>
          <t>French &amp; English</t>
        </is>
      </c>
      <c r="N107" s="25" t="inlineStr">
        <is>
          <t>General</t>
        </is>
      </c>
      <c r="O107" s="25" t="inlineStr">
        <is>
          <t>Bac +4 / Bac +5</t>
        </is>
      </c>
      <c r="P107" s="26" t="inlineStr">
        <is>
          <t>Eligible on level (4-yr BS ≈ Bac+4)</t>
        </is>
      </c>
      <c r="Q107" s="25" t="inlineStr">
        <is>
          <t>1/2</t>
        </is>
      </c>
      <c r="R107" s="25" t="n"/>
      <c r="S107" s="27" t="n">
        <v>254</v>
      </c>
      <c r="T107" s="27" t="n"/>
      <c r="U107" s="25" t="n">
        <v>2</v>
      </c>
      <c r="V107" s="27">
        <f>IF(S107="","",S107*U107)</f>
        <v/>
      </c>
      <c r="W107" s="26" t="inlineStr">
        <is>
          <t>Catalogue lists €254 (EU/national rate). Confirm whether non-EU surcharge applies.</t>
        </is>
      </c>
      <c r="X107" s="25" t="inlineStr">
        <is>
          <t>Medium</t>
        </is>
      </c>
      <c r="Y107" s="25" t="inlineStr">
        <is>
          <t>254/3950</t>
        </is>
      </c>
      <c r="Z107" s="26" t="inlineStr">
        <is>
          <t>En 2025-2026 : ces droits nationaux s'élèvent à 254€ + 105 € pour la CVEC</t>
        </is>
      </c>
      <c r="AA107" s="26" t="n"/>
      <c r="AB107" s="25" t="n"/>
      <c r="AC107" s="25" t="inlineStr">
        <is>
          <t>Open</t>
        </is>
      </c>
      <c r="AD107" s="25" t="inlineStr">
        <is>
          <t>2026-10-01</t>
        </is>
      </c>
      <c r="AE107" s="25" t="inlineStr">
        <is>
          <t>2027-03-15</t>
        </is>
      </c>
      <c r="AF107" s="25" t="inlineStr">
        <is>
          <t>No</t>
        </is>
      </c>
      <c r="AG107" s="28" t="inlineStr">
        <is>
          <t>https://www.unilim.fr/gradschool-ceramics-ict/</t>
        </is>
      </c>
      <c r="AH107" s="26" t="inlineStr">
        <is>
          <t>This is the graduate school side of the Cryptis Master. Applicants wanting to later continue with an applied PhD are encouraged to (also) apply here. 1st year : Applicants need to have a computer science bachelor (or equ</t>
        </is>
      </c>
      <c r="AI107" s="28" t="inlineStr">
        <is>
          <t>Open in EEF</t>
        </is>
      </c>
    </row>
    <row r="108" ht="22.35" customHeight="1" s="19">
      <c r="A108" s="25" t="n">
        <v>107</v>
      </c>
      <c r="B108" s="25" t="inlineStr">
        <is>
          <t>★★★☆☆</t>
        </is>
      </c>
      <c r="C108" s="25" t="inlineStr">
        <is>
          <t>3 – Adjacent (AI/data/CS/cyber/energy)</t>
        </is>
      </c>
      <c r="D108" s="25" t="inlineStr">
        <is>
          <t>AI / Data science</t>
        </is>
      </c>
      <c r="E108" s="26" t="inlineStr">
        <is>
          <t>Master indifférencié (recherche et professionnel) Artificial Intelligence for Connected Industries</t>
        </is>
      </c>
      <c r="F108" s="26" t="inlineStr">
        <is>
          <t>Artificial Intelligence for Connected Industries</t>
        </is>
      </c>
      <c r="G108" s="25" t="inlineStr">
        <is>
          <t>Master indifférencié (recherche et professionnel)</t>
        </is>
      </c>
      <c r="H108" s="25" t="inlineStr">
        <is>
          <t>Conservatoire national des arts et métiers - CNAM</t>
        </is>
      </c>
      <c r="I108" s="25" t="n"/>
      <c r="J108" s="25" t="inlineStr">
        <is>
          <t>Cnam Etablissement Public - EPN5 Computer Science</t>
        </is>
      </c>
      <c r="K108" s="25" t="inlineStr">
        <is>
          <t>75003 Paris</t>
        </is>
      </c>
      <c r="L108" s="25" t="inlineStr">
        <is>
          <t>Public school / institute</t>
        </is>
      </c>
      <c r="M108" s="25" t="inlineStr">
        <is>
          <t>English</t>
        </is>
      </c>
      <c r="N108" s="25" t="inlineStr">
        <is>
          <t>Taught in English</t>
        </is>
      </c>
      <c r="O108" s="25" t="inlineStr">
        <is>
          <t>Bac +4 / Bac +5</t>
        </is>
      </c>
      <c r="P108" s="26" t="inlineStr">
        <is>
          <t>Eligible on level (4-yr BS ≈ Bac+4)</t>
        </is>
      </c>
      <c r="Q108" s="25" t="inlineStr">
        <is>
          <t>1/2</t>
        </is>
      </c>
      <c r="R108" s="25" t="inlineStr">
        <is>
          <t>24/12</t>
        </is>
      </c>
      <c r="S108" s="27" t="n">
        <v>3950</v>
      </c>
      <c r="T108" s="27" t="n">
        <v>255</v>
      </c>
      <c r="U108" s="25" t="n">
        <v>2</v>
      </c>
      <c r="V108" s="27">
        <f>IF(S108="","",S108*U108)</f>
        <v/>
      </c>
      <c r="W108" s="26" t="inlineStr">
        <is>
          <t>Catalogue: €3,770. = national differentiated master fee (2026-27: €3,950). Exemption to ~€255 possible (university quota).</t>
        </is>
      </c>
      <c r="X108" s="25" t="inlineStr">
        <is>
          <t>High</t>
        </is>
      </c>
      <c r="Y108" s="25" t="inlineStr">
        <is>
          <t>3770</t>
        </is>
      </c>
      <c r="Z108" s="26" t="n"/>
      <c r="AA108" s="26" t="n"/>
      <c r="AB108" s="25" t="n"/>
      <c r="AC108" s="25" t="inlineStr">
        <is>
          <t>Open</t>
        </is>
      </c>
      <c r="AD108" s="25" t="inlineStr">
        <is>
          <t>2026-10-01</t>
        </is>
      </c>
      <c r="AE108" s="25" t="inlineStr">
        <is>
          <t>2027-03-15</t>
        </is>
      </c>
      <c r="AF108" s="25" t="inlineStr">
        <is>
          <t>Yes</t>
        </is>
      </c>
      <c r="AG108" s="25" t="n"/>
      <c r="AH108" s="26" t="n"/>
      <c r="AI108" s="28" t="inlineStr">
        <is>
          <t>Open in EEF</t>
        </is>
      </c>
    </row>
    <row r="109" ht="32.8" customHeight="1" s="19">
      <c r="A109" s="25" t="n">
        <v>108</v>
      </c>
      <c r="B109" s="25" t="inlineStr">
        <is>
          <t>★★★☆☆</t>
        </is>
      </c>
      <c r="C109" s="25" t="inlineStr">
        <is>
          <t>3 – Adjacent (AI/data/CS/cyber/energy)</t>
        </is>
      </c>
      <c r="D109" s="25" t="inlineStr">
        <is>
          <t>Computer science / Software</t>
        </is>
      </c>
      <c r="E109" s="26" t="inlineStr">
        <is>
          <t>Master indifférencié (recherche et professionnel) mention Informatique. parcours Computer Sciences.</t>
        </is>
      </c>
      <c r="F109" s="26" t="inlineStr">
        <is>
          <t>major: Computer Science. – track: Computer Sciences.</t>
        </is>
      </c>
      <c r="G109" s="25" t="inlineStr">
        <is>
          <t>Master indifférencié (recherche et professionnel)</t>
        </is>
      </c>
      <c r="H109" s="25" t="inlineStr">
        <is>
          <t>Faculté des sciences et technologies</t>
        </is>
      </c>
      <c r="I109" s="25" t="inlineStr">
        <is>
          <t>Université de Lille</t>
        </is>
      </c>
      <c r="J109" s="25" t="inlineStr">
        <is>
          <t>Département Informatique</t>
        </is>
      </c>
      <c r="K109" s="25" t="n"/>
      <c r="L109" s="25" t="inlineStr">
        <is>
          <t>Public university</t>
        </is>
      </c>
      <c r="M109" s="25" t="inlineStr">
        <is>
          <t>English</t>
        </is>
      </c>
      <c r="N109" s="25" t="inlineStr">
        <is>
          <t>Taught in English</t>
        </is>
      </c>
      <c r="O109" s="25" t="inlineStr">
        <is>
          <t>Bac +4</t>
        </is>
      </c>
      <c r="P109" s="26" t="inlineStr">
        <is>
          <t>Eligible on level (4-yr BS ≈ Bac+4)</t>
        </is>
      </c>
      <c r="Q109" s="25" t="inlineStr">
        <is>
          <t>1</t>
        </is>
      </c>
      <c r="R109" s="25" t="inlineStr">
        <is>
          <t>12</t>
        </is>
      </c>
      <c r="S109" s="27" t="n">
        <v>3950</v>
      </c>
      <c r="T109" s="27" t="n">
        <v>255</v>
      </c>
      <c r="U109" s="25" t="n">
        <v>2</v>
      </c>
      <c r="V109" s="27">
        <f>IF(S109="","",S109*U109)</f>
        <v/>
      </c>
      <c r="W109" s="26" t="inlineStr">
        <is>
          <t>Catalogue: €3,950. = national differentiated master fee (2026-27: €3,950). Exemption to ~€255 possible (university quota).</t>
        </is>
      </c>
      <c r="X109" s="25" t="inlineStr">
        <is>
          <t>High</t>
        </is>
      </c>
      <c r="Y109" s="25" t="inlineStr">
        <is>
          <t>3950</t>
        </is>
      </c>
      <c r="Z109" s="26" t="n"/>
      <c r="AA109" s="26" t="inlineStr">
        <is>
          <t>Lille opposed the decree; continues exemptions for part of non-EU students (master €254 if exempted). Apply for exemption early.</t>
        </is>
      </c>
      <c r="AB109" s="28" t="inlineStr">
        <is>
          <t>https://observalgerie.com/2026/06/13/misc/frais-dinscription-en-france-lille-maintient-un-avantage-pour-les-etudiants-etrangers/</t>
        </is>
      </c>
      <c r="AC109" s="25" t="inlineStr">
        <is>
          <t>Open</t>
        </is>
      </c>
      <c r="AD109" s="25" t="inlineStr">
        <is>
          <t>2026-10-01</t>
        </is>
      </c>
      <c r="AE109" s="25" t="inlineStr">
        <is>
          <t>2027-03-15</t>
        </is>
      </c>
      <c r="AF109" s="25" t="inlineStr">
        <is>
          <t>No</t>
        </is>
      </c>
      <c r="AG109" s="28" t="inlineStr">
        <is>
          <t>https://formation.univ-lille.fr/fr/offre-de-formation/master-lmd-XB/master-informatique-MG001981/computer-sciences-MX195387.html</t>
        </is>
      </c>
      <c r="AH109" s="26" t="inlineStr">
        <is>
          <t>To enter in the computer science master program, the successful student should have been awareded a bachelor in Computer Science or an equivalent diploma. The curriculum of that degree should cover the following topics :</t>
        </is>
      </c>
      <c r="AI109" s="28" t="inlineStr">
        <is>
          <t>Open in EEF</t>
        </is>
      </c>
    </row>
    <row r="110" ht="43.25" customHeight="1" s="19">
      <c r="A110" s="25" t="n">
        <v>109</v>
      </c>
      <c r="B110" s="25" t="inlineStr">
        <is>
          <t>★★★☆☆</t>
        </is>
      </c>
      <c r="C110" s="25" t="inlineStr">
        <is>
          <t>3 – Adjacent (AI/data/CS/cyber/energy)</t>
        </is>
      </c>
      <c r="D110" s="25" t="inlineStr">
        <is>
          <t>Computer science / Software</t>
        </is>
      </c>
      <c r="E110" s="26" t="inlineStr">
        <is>
          <t>Master indifférencié (recherche et professionnel) mention Master of Information Technology Innovative Information Systems - 2IS</t>
        </is>
      </c>
      <c r="F110" s="26" t="inlineStr">
        <is>
          <t>major: Master of Information Technology Innovative Information Systems - 2IS</t>
        </is>
      </c>
      <c r="G110" s="25" t="inlineStr">
        <is>
          <t>Master indifférencié (recherche et professionnel)</t>
        </is>
      </c>
      <c r="H110" s="25" t="inlineStr">
        <is>
          <t>Faculté d'informatique</t>
        </is>
      </c>
      <c r="I110" s="25" t="inlineStr">
        <is>
          <t>Université Toulouse I Capitole</t>
        </is>
      </c>
      <c r="J110" s="25" t="inlineStr">
        <is>
          <t>Site de Toulouse</t>
        </is>
      </c>
      <c r="K110" s="25" t="n"/>
      <c r="L110" s="25" t="inlineStr">
        <is>
          <t>Public university</t>
        </is>
      </c>
      <c r="M110" s="25" t="inlineStr">
        <is>
          <t>English</t>
        </is>
      </c>
      <c r="N110" s="25" t="inlineStr">
        <is>
          <t>Taught in English</t>
        </is>
      </c>
      <c r="O110" s="25" t="inlineStr">
        <is>
          <t>Bac +4 / Bac +5</t>
        </is>
      </c>
      <c r="P110" s="26" t="inlineStr">
        <is>
          <t>Eligible on level (4-yr BS ≈ Bac+4)</t>
        </is>
      </c>
      <c r="Q110" s="25" t="inlineStr">
        <is>
          <t>1/2</t>
        </is>
      </c>
      <c r="R110" s="25" t="n"/>
      <c r="S110" s="27" t="n">
        <v>3950</v>
      </c>
      <c r="T110" s="27" t="n">
        <v>255</v>
      </c>
      <c r="U110" s="25" t="n">
        <v>2</v>
      </c>
      <c r="V110" s="27">
        <f>IF(S110="","",S110*U110)</f>
        <v/>
      </c>
      <c r="W110" s="26" t="inlineStr">
        <is>
          <t>Catalogue: €3,950. = national differentiated master fee (2026-27: €3,950). Exemption to ~€255 possible (university quota).</t>
        </is>
      </c>
      <c r="X110" s="25" t="inlineStr">
        <is>
          <t>High</t>
        </is>
      </c>
      <c r="Y110" s="25" t="inlineStr">
        <is>
          <t>3950</t>
        </is>
      </c>
      <c r="Z110" s="26" t="inlineStr">
        <is>
          <t>higher education course at the university in France will have to pay an enrolment fee of €2902 for the Licence and €3950 for the Master … higher education course at the university in France will have to pay an enrolmen</t>
        </is>
      </c>
      <c r="AA110" s="26" t="n"/>
      <c r="AB110" s="25" t="n"/>
      <c r="AC110" s="25" t="inlineStr">
        <is>
          <t>Open</t>
        </is>
      </c>
      <c r="AD110" s="25" t="inlineStr">
        <is>
          <t>2026-10-01</t>
        </is>
      </c>
      <c r="AE110" s="25" t="inlineStr">
        <is>
          <t>2027-03-15</t>
        </is>
      </c>
      <c r="AF110" s="25" t="inlineStr">
        <is>
          <t>No</t>
        </is>
      </c>
      <c r="AG110" s="28" t="inlineStr">
        <is>
          <t>http://www.ut-capitole.fr</t>
        </is>
      </c>
      <c r="AH110" s="26" t="inlineStr">
        <is>
          <t>A language certificate is compulsory. The required level of english is B2. Minimum requirements in english are as follows : - CAMBRIDGE - FCE, CAE, CPE - IELTS (Academic module) overall 6 - TOEFL iBT 79</t>
        </is>
      </c>
      <c r="AI110" s="28" t="inlineStr">
        <is>
          <t>Open in EEF</t>
        </is>
      </c>
    </row>
    <row r="111" ht="43.25" customHeight="1" s="19">
      <c r="A111" s="25" t="n">
        <v>110</v>
      </c>
      <c r="B111" s="25" t="inlineStr">
        <is>
          <t>★★★☆☆</t>
        </is>
      </c>
      <c r="C111" s="25" t="inlineStr">
        <is>
          <t>3 – Adjacent (AI/data/CS/cyber/energy)</t>
        </is>
      </c>
      <c r="D111" s="25" t="inlineStr">
        <is>
          <t>IoT / Telecom / Networks</t>
        </is>
      </c>
      <c r="E111" s="26" t="inlineStr">
        <is>
          <t>Master indifférencié (recherche et professionnel) Sciences, technologies, santé mention Informatique parcours Cloud and Network Infrastructures (CNI)</t>
        </is>
      </c>
      <c r="F111" s="26" t="inlineStr">
        <is>
          <t>Science, Technology, Health (STS) – major: Computer Science – track: Cloud and Network Infrastructures (CNI)</t>
        </is>
      </c>
      <c r="G111" s="25" t="inlineStr">
        <is>
          <t>Master indifférencié (recherche et professionnel)</t>
        </is>
      </c>
      <c r="H111" s="25" t="inlineStr">
        <is>
          <t>Campus scientifique de BEAULIEU</t>
        </is>
      </c>
      <c r="I111" s="25" t="inlineStr">
        <is>
          <t>Université de Rennes</t>
        </is>
      </c>
      <c r="J111" s="25" t="inlineStr">
        <is>
          <t>Site de Rennes - ISTIC</t>
        </is>
      </c>
      <c r="K111" s="25" t="inlineStr">
        <is>
          <t>35042 RENNES Cedex</t>
        </is>
      </c>
      <c r="L111" s="25" t="inlineStr">
        <is>
          <t>Public university</t>
        </is>
      </c>
      <c r="M111" s="25" t="inlineStr">
        <is>
          <t>English</t>
        </is>
      </c>
      <c r="N111" s="25" t="inlineStr">
        <is>
          <t>Taught in English</t>
        </is>
      </c>
      <c r="O111" s="25" t="inlineStr">
        <is>
          <t>Bac +4 / Bac +5</t>
        </is>
      </c>
      <c r="P111" s="26" t="inlineStr">
        <is>
          <t>Eligible on level (4-yr BS ≈ Bac+4)</t>
        </is>
      </c>
      <c r="Q111" s="25" t="inlineStr">
        <is>
          <t>1/2</t>
        </is>
      </c>
      <c r="R111" s="25" t="inlineStr">
        <is>
          <t>12</t>
        </is>
      </c>
      <c r="S111" s="27" t="n">
        <v>3950</v>
      </c>
      <c r="T111" s="27" t="n">
        <v>255</v>
      </c>
      <c r="U111" s="25" t="n">
        <v>2</v>
      </c>
      <c r="V111" s="27">
        <f>IF(S111="","",S111*U111)</f>
        <v/>
      </c>
      <c r="W111" s="26" t="inlineStr">
        <is>
          <t>Catalogue: €3,950. = national differentiated master fee (2026-27: €3,950). Exemption to ~€255 possible (university quota).</t>
        </is>
      </c>
      <c r="X111" s="25" t="inlineStr">
        <is>
          <t>High</t>
        </is>
      </c>
      <c r="Y111" s="25" t="inlineStr">
        <is>
          <t>3950</t>
        </is>
      </c>
      <c r="Z111" s="26" t="inlineStr">
        <is>
          <t>ue, il faudra vous acquitter obligatoirement des frais d'inscription d'un montant de 3950 euros pour vous inscrire dans la formation … ue, il faudra vous acquitter obligatoirement des frais d'inscription d'un montant de</t>
        </is>
      </c>
      <c r="AA111" s="26" t="n"/>
      <c r="AB111" s="25" t="n"/>
      <c r="AC111" s="25" t="inlineStr">
        <is>
          <t>Open</t>
        </is>
      </c>
      <c r="AD111" s="25" t="inlineStr">
        <is>
          <t>2026-10-01</t>
        </is>
      </c>
      <c r="AE111" s="25" t="inlineStr">
        <is>
          <t>2027-03-15</t>
        </is>
      </c>
      <c r="AF111" s="25" t="inlineStr">
        <is>
          <t>No</t>
        </is>
      </c>
      <c r="AG111" s="28" t="inlineStr">
        <is>
          <t>http://cni.istic.univ-rennes.fr/</t>
        </is>
      </c>
      <c r="AH111" s="26" t="inlineStr">
        <is>
          <t>M2 CNI: Candidates should demonstrate strong foundations in the topics that are taught to students of the master 1 CNI program: classical cloud and networking technologies; software architectures; distributed system;inno</t>
        </is>
      </c>
      <c r="AI111" s="28" t="inlineStr">
        <is>
          <t>Open in EEF</t>
        </is>
      </c>
    </row>
    <row r="112" ht="32.8" customHeight="1" s="19">
      <c r="A112" s="25" t="n">
        <v>111</v>
      </c>
      <c r="B112" s="25" t="inlineStr">
        <is>
          <t>★★★☆☆</t>
        </is>
      </c>
      <c r="C112" s="25" t="inlineStr">
        <is>
          <t>3 – Adjacent (AI/data/CS/cyber/energy)</t>
        </is>
      </c>
      <c r="D112" s="25" t="inlineStr">
        <is>
          <t>Robotics / Automation / Mechatronics</t>
        </is>
      </c>
      <c r="E112" s="26" t="inlineStr">
        <is>
          <t>Master indifférencié (recherche et professionnel) Sciences, technologies, santé mention informatique parcours SIIA : Systèmes interactifs, intelligents et autonomes</t>
        </is>
      </c>
      <c r="F112" s="26" t="inlineStr">
        <is>
          <t>Science, Technology, Health (STS) – major: Computer Science – track: SIIA : Systems interactifs, Intelligent &amp; Autonomous</t>
        </is>
      </c>
      <c r="G112" s="25" t="inlineStr">
        <is>
          <t>Master indifférencié (recherche et professionnel)</t>
        </is>
      </c>
      <c r="H112" s="25" t="inlineStr">
        <is>
          <t>UFR sciences et techniques</t>
        </is>
      </c>
      <c r="I112" s="25" t="inlineStr">
        <is>
          <t>Université de Bretagne Occidentale</t>
        </is>
      </c>
      <c r="J112" s="25" t="inlineStr">
        <is>
          <t>Site de Brest</t>
        </is>
      </c>
      <c r="K112" s="25" t="n"/>
      <c r="L112" s="25" t="inlineStr">
        <is>
          <t>Public university</t>
        </is>
      </c>
      <c r="M112" s="25" t="inlineStr">
        <is>
          <t>English</t>
        </is>
      </c>
      <c r="N112" s="25" t="inlineStr">
        <is>
          <t>General</t>
        </is>
      </c>
      <c r="O112" s="25" t="inlineStr">
        <is>
          <t>Bac +4</t>
        </is>
      </c>
      <c r="P112" s="26" t="inlineStr">
        <is>
          <t>Eligible on level (4-yr BS ≈ Bac+4)</t>
        </is>
      </c>
      <c r="Q112" s="25" t="inlineStr">
        <is>
          <t>1</t>
        </is>
      </c>
      <c r="R112" s="25" t="inlineStr">
        <is>
          <t>12</t>
        </is>
      </c>
      <c r="S112" s="27" t="n">
        <v>3950</v>
      </c>
      <c r="T112" s="27" t="n">
        <v>255</v>
      </c>
      <c r="U112" s="25" t="n">
        <v>2</v>
      </c>
      <c r="V112" s="27">
        <f>IF(S112="","",S112*U112)</f>
        <v/>
      </c>
      <c r="W112" s="26" t="inlineStr">
        <is>
          <t>Catalogue: €3,950. = national differentiated master fee (2026-27: €3,950). Exemption to ~€255 possible (university quota).</t>
        </is>
      </c>
      <c r="X112" s="25" t="inlineStr">
        <is>
          <t>High</t>
        </is>
      </c>
      <c r="Y112" s="25" t="inlineStr">
        <is>
          <t>3950</t>
        </is>
      </c>
      <c r="Z112" s="26" t="n"/>
      <c r="AA112" s="26" t="n"/>
      <c r="AB112" s="25" t="n"/>
      <c r="AC112" s="25" t="inlineStr">
        <is>
          <t>Open</t>
        </is>
      </c>
      <c r="AD112" s="25" t="inlineStr">
        <is>
          <t>2026-10-01</t>
        </is>
      </c>
      <c r="AE112" s="25" t="inlineStr">
        <is>
          <t>2027-03-15</t>
        </is>
      </c>
      <c r="AF112" s="25" t="inlineStr">
        <is>
          <t>No</t>
        </is>
      </c>
      <c r="AG112" s="28" t="inlineStr">
        <is>
          <t>http://www.univ-brest.fr/ufr-sciences</t>
        </is>
      </c>
      <c r="AH112" s="26" t="inlineStr">
        <is>
          <t>Le master 2 est enseigné en anglais pour 100% Pour l'entrée en master 1, un bon niveau d'anglais est demandé L'université de Bretagne occidentale demande de présenter un Test de connaissance en français pour tous les can</t>
        </is>
      </c>
      <c r="AI112" s="28" t="inlineStr">
        <is>
          <t>Open in EEF</t>
        </is>
      </c>
    </row>
    <row r="113" ht="32.8" customHeight="1" s="19">
      <c r="A113" s="25" t="n">
        <v>112</v>
      </c>
      <c r="B113" s="25" t="inlineStr">
        <is>
          <t>★★★☆☆</t>
        </is>
      </c>
      <c r="C113" s="25" t="inlineStr">
        <is>
          <t>3 – Adjacent (AI/data/CS/cyber/energy)</t>
        </is>
      </c>
      <c r="D113" s="25" t="inlineStr">
        <is>
          <t>IoT / Telecom / Networks</t>
        </is>
      </c>
      <c r="E113" s="26" t="inlineStr">
        <is>
          <t>Master indifférencié (recherche et professionnel) Sciences, technologies, santé mention Informatique parcours Ubiquitous Networking (UBINET)</t>
        </is>
      </c>
      <c r="F113" s="26" t="inlineStr">
        <is>
          <t>Science, Technology, Health (STS) – major: Computer Science – track: Ubiquitous Networking (UBINET)</t>
        </is>
      </c>
      <c r="G113" s="25" t="inlineStr">
        <is>
          <t>Master indifférencié (recherche et professionnel)</t>
        </is>
      </c>
      <c r="H113" s="25" t="inlineStr">
        <is>
          <t>Sciences</t>
        </is>
      </c>
      <c r="I113" s="25" t="inlineStr">
        <is>
          <t>Université Côte d'Azur</t>
        </is>
      </c>
      <c r="J113" s="25" t="inlineStr">
        <is>
          <t>Site de Sophia Tech</t>
        </is>
      </c>
      <c r="K113" s="25" t="n"/>
      <c r="L113" s="25" t="inlineStr">
        <is>
          <t>Public university</t>
        </is>
      </c>
      <c r="M113" s="25" t="inlineStr">
        <is>
          <t>English</t>
        </is>
      </c>
      <c r="N113" s="25" t="inlineStr">
        <is>
          <t>General</t>
        </is>
      </c>
      <c r="O113" s="25" t="inlineStr">
        <is>
          <t>Bac +4 / Bac +5</t>
        </is>
      </c>
      <c r="P113" s="26" t="inlineStr">
        <is>
          <t>Eligible on level (4-yr BS ≈ Bac+4)</t>
        </is>
      </c>
      <c r="Q113" s="25" t="inlineStr">
        <is>
          <t>1/2</t>
        </is>
      </c>
      <c r="R113" s="25" t="inlineStr">
        <is>
          <t>12</t>
        </is>
      </c>
      <c r="S113" s="27" t="n">
        <v>3950</v>
      </c>
      <c r="T113" s="27" t="n">
        <v>255</v>
      </c>
      <c r="U113" s="25" t="n">
        <v>2</v>
      </c>
      <c r="V113" s="27">
        <f>IF(S113="","",S113*U113)</f>
        <v/>
      </c>
      <c r="W113" s="26" t="inlineStr">
        <is>
          <t>Catalogue: €3,941. = national differentiated master fee (2026-27: €3,950). Exemption to ~€255 possible (university quota).</t>
        </is>
      </c>
      <c r="X113" s="25" t="inlineStr">
        <is>
          <t>High</t>
        </is>
      </c>
      <c r="Y113" s="25" t="inlineStr">
        <is>
          <t>3941/3950</t>
        </is>
      </c>
      <c r="Z113" s="26" t="inlineStr">
        <is>
          <t>AUX ETUDIANTS EXTRACOMMUNAUTAIRES Pour l’année universitaire 2026-2027 : Licence : 2 902 € M</t>
        </is>
      </c>
      <c r="AA113" s="26" t="n"/>
      <c r="AB113" s="25" t="n"/>
      <c r="AC113" s="25" t="inlineStr">
        <is>
          <t>Open</t>
        </is>
      </c>
      <c r="AD113" s="25" t="inlineStr">
        <is>
          <t>2026-10-01</t>
        </is>
      </c>
      <c r="AE113" s="25" t="inlineStr">
        <is>
          <t>2027-03-15</t>
        </is>
      </c>
      <c r="AF113" s="25" t="inlineStr">
        <is>
          <t>No</t>
        </is>
      </c>
      <c r="AG113" s="28" t="inlineStr">
        <is>
          <t>https://univ-cotedazur.fr/formation/offre-de-formation/parcours-de-master/master-informatique-m2-parcours-ubinet</t>
        </is>
      </c>
      <c r="AH113" s="26" t="inlineStr">
        <is>
          <t>Le niveau de langue demandé est: - Niveau B2 en Anglais Les pré-requis sont: - de très bonnes bases en Mathématiques - un très bon niveau en Algorithmique - un très bon niveau en Programmation (Programmation Orientée Obj</t>
        </is>
      </c>
      <c r="AI113" s="28" t="inlineStr">
        <is>
          <t>Open in EEF</t>
        </is>
      </c>
    </row>
    <row r="114" ht="32.8" customHeight="1" s="19">
      <c r="A114" s="25" t="n">
        <v>113</v>
      </c>
      <c r="B114" s="25" t="inlineStr">
        <is>
          <t>★★★☆☆</t>
        </is>
      </c>
      <c r="C114" s="25" t="inlineStr">
        <is>
          <t>3 – Adjacent (AI/data/CS/cyber/energy)</t>
        </is>
      </c>
      <c r="D114" s="25" t="inlineStr">
        <is>
          <t>AI / Data science</t>
        </is>
      </c>
      <c r="E114" s="26" t="inlineStr">
        <is>
          <t>Master indifférencié (recherche et professionnel) Sciences, technologies, santé Méthodes informatiques parcours International EIT Fintech/Data Science</t>
        </is>
      </c>
      <c r="F114" s="26" t="inlineStr">
        <is>
          <t>Science, Technology, Health (STS) Methods informatiques – track: International EIT Fintech/Data Science</t>
        </is>
      </c>
      <c r="G114" s="25" t="inlineStr">
        <is>
          <t>Master indifférencié (recherche et professionnel)</t>
        </is>
      </c>
      <c r="H114" s="25" t="inlineStr">
        <is>
          <t>Campus scientifique de BEAULIEU</t>
        </is>
      </c>
      <c r="I114" s="25" t="inlineStr">
        <is>
          <t>Université de Rennes</t>
        </is>
      </c>
      <c r="J114" s="25" t="inlineStr">
        <is>
          <t>Site de Rennes - ISTIC</t>
        </is>
      </c>
      <c r="K114" s="25" t="inlineStr">
        <is>
          <t>35042 RENNES Cedex</t>
        </is>
      </c>
      <c r="L114" s="25" t="inlineStr">
        <is>
          <t>Public university</t>
        </is>
      </c>
      <c r="M114" s="25" t="inlineStr">
        <is>
          <t>English</t>
        </is>
      </c>
      <c r="N114" s="25" t="inlineStr">
        <is>
          <t>Taught in English</t>
        </is>
      </c>
      <c r="O114" s="25" t="inlineStr">
        <is>
          <t>Bac +4</t>
        </is>
      </c>
      <c r="P114" s="26" t="inlineStr">
        <is>
          <t>Eligible on level (4-yr BS ≈ Bac+4)</t>
        </is>
      </c>
      <c r="Q114" s="25" t="inlineStr">
        <is>
          <t>1</t>
        </is>
      </c>
      <c r="R114" s="25" t="inlineStr">
        <is>
          <t>12</t>
        </is>
      </c>
      <c r="S114" s="27" t="n">
        <v>3950</v>
      </c>
      <c r="T114" s="27" t="n">
        <v>255</v>
      </c>
      <c r="U114" s="25" t="n">
        <v>2</v>
      </c>
      <c r="V114" s="27">
        <f>IF(S114="","",S114*U114)</f>
        <v/>
      </c>
      <c r="W114" s="26" t="inlineStr">
        <is>
          <t>Catalogue: €3,950. = national differentiated master fee (2026-27: €3,950). Exemption to ~€255 possible (university quota).</t>
        </is>
      </c>
      <c r="X114" s="25" t="inlineStr">
        <is>
          <t>High</t>
        </is>
      </c>
      <c r="Y114" s="25" t="inlineStr">
        <is>
          <t>3950</t>
        </is>
      </c>
      <c r="Z114" s="26" t="inlineStr">
        <is>
          <t>ue, il faudra vous acquitter obligatoirement des frais d'inscription d'un montant de 3950 euros pour vous inscrire dans la formation</t>
        </is>
      </c>
      <c r="AA114" s="26" t="n"/>
      <c r="AB114" s="25" t="n"/>
      <c r="AC114" s="25" t="inlineStr">
        <is>
          <t>Open</t>
        </is>
      </c>
      <c r="AD114" s="25" t="inlineStr">
        <is>
          <t>2026-10-01</t>
        </is>
      </c>
      <c r="AE114" s="25" t="inlineStr">
        <is>
          <t>2027-03-15</t>
        </is>
      </c>
      <c r="AF114" s="25" t="inlineStr">
        <is>
          <t>No</t>
        </is>
      </c>
      <c r="AG114" s="28" t="inlineStr">
        <is>
          <t>https://istic.univ-rennes.fr/en/financial-technologies-track-eit-digital-master-school</t>
        </is>
      </c>
      <c r="AH114" s="26" t="inlineStr">
        <is>
          <t>The prerequisite includes: a professional English level for comprehension and communication ; at least 60 ECTS in computer sciences ; and an interest in innovation and entrepreneurship. Student applicants must have a str</t>
        </is>
      </c>
      <c r="AI114" s="28" t="inlineStr">
        <is>
          <t>Open in EEF</t>
        </is>
      </c>
    </row>
    <row r="115" ht="32.8" customHeight="1" s="19">
      <c r="A115" s="25" t="n">
        <v>114</v>
      </c>
      <c r="B115" s="25" t="inlineStr">
        <is>
          <t>★★★☆☆</t>
        </is>
      </c>
      <c r="C115" s="25" t="inlineStr">
        <is>
          <t>3 – Adjacent (AI/data/CS/cyber/energy)</t>
        </is>
      </c>
      <c r="D115" s="25" t="inlineStr">
        <is>
          <t>Computer science / Software</t>
        </is>
      </c>
      <c r="E115" s="26" t="inlineStr">
        <is>
          <t>Master Sciences, technologies, santé mention informatique parcours Computer Sciences</t>
        </is>
      </c>
      <c r="F115" s="26" t="inlineStr">
        <is>
          <t>Master Science, Technology, Health (STS) – major: Computer Science – track: Computer Sciences</t>
        </is>
      </c>
      <c r="G115" s="25" t="inlineStr">
        <is>
          <t>Master indifférencié (recherche et professionnel)</t>
        </is>
      </c>
      <c r="H115" s="25" t="inlineStr">
        <is>
          <t>Faculté des sciences et technologies</t>
        </is>
      </c>
      <c r="I115" s="25" t="inlineStr">
        <is>
          <t>Université de Lille</t>
        </is>
      </c>
      <c r="J115" s="25" t="inlineStr">
        <is>
          <t>Département Informatique</t>
        </is>
      </c>
      <c r="K115" s="25" t="n"/>
      <c r="L115" s="25" t="inlineStr">
        <is>
          <t>Public university</t>
        </is>
      </c>
      <c r="M115" s="25" t="inlineStr">
        <is>
          <t>English</t>
        </is>
      </c>
      <c r="N115" s="25" t="inlineStr">
        <is>
          <t>General</t>
        </is>
      </c>
      <c r="O115" s="25" t="inlineStr">
        <is>
          <t>Bac +4</t>
        </is>
      </c>
      <c r="P115" s="26" t="inlineStr">
        <is>
          <t>Eligible on level (4-yr BS ≈ Bac+4)</t>
        </is>
      </c>
      <c r="Q115" s="25" t="inlineStr">
        <is>
          <t>1</t>
        </is>
      </c>
      <c r="R115" s="25" t="inlineStr">
        <is>
          <t>12</t>
        </is>
      </c>
      <c r="S115" s="27" t="n">
        <v>3950</v>
      </c>
      <c r="T115" s="27" t="n">
        <v>255</v>
      </c>
      <c r="U115" s="25" t="n">
        <v>2</v>
      </c>
      <c r="V115" s="27">
        <f>IF(S115="","",S115*U115)</f>
        <v/>
      </c>
      <c r="W115" s="26" t="inlineStr">
        <is>
          <t>Catalogue: €3,950. = national differentiated master fee (2026-27: €3,950). Exemption to ~€255 possible (university quota).</t>
        </is>
      </c>
      <c r="X115" s="25" t="inlineStr">
        <is>
          <t>High</t>
        </is>
      </c>
      <c r="Y115" s="25" t="inlineStr">
        <is>
          <t>3950</t>
        </is>
      </c>
      <c r="Z115" s="26" t="n"/>
      <c r="AA115" s="26" t="inlineStr">
        <is>
          <t>Lille opposed the decree; continues exemptions for part of non-EU students (master €254 if exempted). Apply for exemption early.</t>
        </is>
      </c>
      <c r="AB115" s="28" t="inlineStr">
        <is>
          <t>https://observalgerie.com/2026/06/13/misc/frais-dinscription-en-france-lille-maintient-un-avantage-pour-les-etudiants-etrangers/</t>
        </is>
      </c>
      <c r="AC115" s="25" t="inlineStr">
        <is>
          <t>Open</t>
        </is>
      </c>
      <c r="AD115" s="25" t="inlineStr">
        <is>
          <t>2026-10-01</t>
        </is>
      </c>
      <c r="AE115" s="25" t="inlineStr">
        <is>
          <t>2027-03-15</t>
        </is>
      </c>
      <c r="AF115" s="25" t="inlineStr">
        <is>
          <t>No</t>
        </is>
      </c>
      <c r="AG115" s="28" t="inlineStr">
        <is>
          <t>https://formation.univ-lille.fr/fr/offre-de-formation/master-lmd-XB/master-informatique-MG001981/computer-sciences-MX195387.html</t>
        </is>
      </c>
      <c r="AH115" s="26" t="inlineStr">
        <is>
          <t>To enter in the computer science master program, the successful student should have been awareded a bachelor in Computer Science or an equivalent diploma. The curriculum of that degree should cover the following topics :</t>
        </is>
      </c>
      <c r="AI115" s="28" t="inlineStr">
        <is>
          <t>Open in EEF</t>
        </is>
      </c>
    </row>
    <row r="116" ht="32.8" customHeight="1" s="19">
      <c r="A116" s="25" t="n">
        <v>115</v>
      </c>
      <c r="B116" s="25" t="inlineStr">
        <is>
          <t>★★★☆☆</t>
        </is>
      </c>
      <c r="C116" s="25" t="inlineStr">
        <is>
          <t>3 – Adjacent (AI/data/CS/cyber/energy)</t>
        </is>
      </c>
      <c r="D116" s="25" t="inlineStr">
        <is>
          <t>AI / Data science</t>
        </is>
      </c>
      <c r="E116" s="26" t="inlineStr">
        <is>
          <t>Master Sciences, technologies, santé mention Sciences des données. parcours Data science.</t>
        </is>
      </c>
      <c r="F116" s="26" t="inlineStr">
        <is>
          <t>Master Science, Technology, Health (STS) – major: Data Science. – track: Data Science.</t>
        </is>
      </c>
      <c r="G116" s="25" t="inlineStr">
        <is>
          <t>Master indifférencié (recherche et professionnel)</t>
        </is>
      </c>
      <c r="H116" s="25" t="inlineStr">
        <is>
          <t>Faculté des sciences et technologies</t>
        </is>
      </c>
      <c r="I116" s="25" t="inlineStr">
        <is>
          <t>Université de Lille</t>
        </is>
      </c>
      <c r="J116" s="25" t="inlineStr">
        <is>
          <t>Département Informatique</t>
        </is>
      </c>
      <c r="K116" s="25" t="n"/>
      <c r="L116" s="25" t="inlineStr">
        <is>
          <t>Public university</t>
        </is>
      </c>
      <c r="M116" s="25" t="inlineStr">
        <is>
          <t>English</t>
        </is>
      </c>
      <c r="N116" s="25" t="inlineStr">
        <is>
          <t>General</t>
        </is>
      </c>
      <c r="O116" s="25" t="inlineStr">
        <is>
          <t>Bac +4 / Bac +5</t>
        </is>
      </c>
      <c r="P116" s="26" t="inlineStr">
        <is>
          <t>Eligible on level (4-yr BS ≈ Bac+4)</t>
        </is>
      </c>
      <c r="Q116" s="25" t="inlineStr">
        <is>
          <t>1/2</t>
        </is>
      </c>
      <c r="R116" s="25" t="inlineStr">
        <is>
          <t>12</t>
        </is>
      </c>
      <c r="S116" s="27" t="n">
        <v>3950</v>
      </c>
      <c r="T116" s="27" t="n">
        <v>255</v>
      </c>
      <c r="U116" s="25" t="n">
        <v>2</v>
      </c>
      <c r="V116" s="27">
        <f>IF(S116="","",S116*U116)</f>
        <v/>
      </c>
      <c r="W116" s="26" t="inlineStr">
        <is>
          <t>Catalogue: €3,950. = national differentiated master fee (2026-27: €3,950). Exemption to ~€255 possible (university quota).</t>
        </is>
      </c>
      <c r="X116" s="25" t="inlineStr">
        <is>
          <t>High</t>
        </is>
      </c>
      <c r="Y116" s="25" t="inlineStr">
        <is>
          <t>3950</t>
        </is>
      </c>
      <c r="Z116" s="26" t="n"/>
      <c r="AA116" s="26" t="inlineStr">
        <is>
          <t>Lille opposed the decree; continues exemptions for part of non-EU students (master €254 if exempted). Apply for exemption early.</t>
        </is>
      </c>
      <c r="AB116" s="28" t="inlineStr">
        <is>
          <t>https://observalgerie.com/2026/06/13/misc/frais-dinscription-en-france-lille-maintient-un-avantage-pour-les-etudiants-etrangers/</t>
        </is>
      </c>
      <c r="AC116" s="25" t="inlineStr">
        <is>
          <t>Open</t>
        </is>
      </c>
      <c r="AD116" s="25" t="inlineStr">
        <is>
          <t>2026-10-01</t>
        </is>
      </c>
      <c r="AE116" s="25" t="inlineStr">
        <is>
          <t>2027-03-15</t>
        </is>
      </c>
      <c r="AF116" s="25" t="inlineStr">
        <is>
          <t>No</t>
        </is>
      </c>
      <c r="AG116" s="28" t="inlineStr">
        <is>
          <t>https://formation.univ-lille.fr/fr/offre-de-formation/master-lmd-XB/master-science-des-donnees-MG020709/data-science-MX148265.html</t>
        </is>
      </c>
      <c r="AH116" s="26" t="inlineStr">
        <is>
          <t>Bachelor in mathematics, computer science, or maths/computer science for humanities (MIASHS). A very good level in maths and/or computer science is expected. English test with B2 level or official letter from English tea</t>
        </is>
      </c>
      <c r="AI116" s="28" t="inlineStr">
        <is>
          <t>Open in EEF</t>
        </is>
      </c>
    </row>
    <row r="117" ht="32.8" customHeight="1" s="19">
      <c r="A117" s="25" t="n">
        <v>116</v>
      </c>
      <c r="B117" s="25" t="inlineStr">
        <is>
          <t>★★★☆☆</t>
        </is>
      </c>
      <c r="C117" s="25" t="inlineStr">
        <is>
          <t>3 – Adjacent (AI/data/CS/cyber/energy)</t>
        </is>
      </c>
      <c r="D117" s="25" t="inlineStr">
        <is>
          <t>Computer science / Software</t>
        </is>
      </c>
      <c r="E117" s="26" t="inlineStr">
        <is>
          <t>Master indifférencié (recherche et professionnel) Computer Science Master of Computer Science - Quantum Information (IQ)</t>
        </is>
      </c>
      <c r="F117" s="26" t="inlineStr">
        <is>
          <t>Computer Science Master of Computer Science - Quantum Information (IQ)</t>
        </is>
      </c>
      <c r="G117" s="25" t="inlineStr">
        <is>
          <t>Master indifférencié (recherche et professionnel)</t>
        </is>
      </c>
      <c r="H117" s="25" t="inlineStr">
        <is>
          <t>Sciences et Ingénierie</t>
        </is>
      </c>
      <c r="I117" s="25" t="inlineStr">
        <is>
          <t>Sorbonne Université</t>
        </is>
      </c>
      <c r="J117" s="25" t="inlineStr">
        <is>
          <t>Site de Paris</t>
        </is>
      </c>
      <c r="K117" s="25" t="n"/>
      <c r="L117" s="25" t="inlineStr">
        <is>
          <t>Public university</t>
        </is>
      </c>
      <c r="M117" s="25" t="inlineStr">
        <is>
          <t>English</t>
        </is>
      </c>
      <c r="N117" s="25" t="inlineStr">
        <is>
          <t>Taught in English</t>
        </is>
      </c>
      <c r="O117" s="25" t="inlineStr">
        <is>
          <t>Bac +4 / Bac +5</t>
        </is>
      </c>
      <c r="P117" s="26" t="inlineStr">
        <is>
          <t>Eligible on level (4-yr BS ≈ Bac+4)</t>
        </is>
      </c>
      <c r="Q117" s="25" t="inlineStr">
        <is>
          <t>1/2</t>
        </is>
      </c>
      <c r="R117" s="25" t="n"/>
      <c r="S117" s="27" t="n">
        <v>3950</v>
      </c>
      <c r="T117" s="27" t="n">
        <v>255</v>
      </c>
      <c r="U117" s="25" t="n">
        <v>2</v>
      </c>
      <c r="V117" s="27">
        <f>IF(S117="","",S117*U117)</f>
        <v/>
      </c>
      <c r="W117" s="26" t="inlineStr">
        <is>
          <t>Not in catalogue. Public national master → 2026-27 differentiated fee €3,950; exemption to ~€254-255 depends on university quota (25% cap in 2027-28).</t>
        </is>
      </c>
      <c r="X117" s="25" t="inlineStr">
        <is>
          <t>Medium</t>
        </is>
      </c>
      <c r="Y117" s="25" t="n"/>
      <c r="Z117" s="26" t="n"/>
      <c r="AA117" s="26" t="inlineStr">
        <is>
          <t>Board vote 7 Jul 2026: Sorbonne Université says it can exempt all eligible non-EU applicants (pay same as EU, ~€254) for 2026-27.</t>
        </is>
      </c>
      <c r="AB117" s="28" t="inlineStr">
        <is>
          <t>https://www.sorbonne-universite.fr/actualites/le-conseil-dadministration-de-sorbonne-universite-vote-lunanimite-le-7-juillet-2026-sa</t>
        </is>
      </c>
      <c r="AC117" s="25" t="inlineStr">
        <is>
          <t>Open</t>
        </is>
      </c>
      <c r="AD117" s="25" t="inlineStr">
        <is>
          <t>2026-10-01</t>
        </is>
      </c>
      <c r="AE117" s="25" t="inlineStr">
        <is>
          <t>2027-03-15</t>
        </is>
      </c>
      <c r="AF117" s="25" t="inlineStr">
        <is>
          <t>No</t>
        </is>
      </c>
      <c r="AG117" s="28" t="inlineStr">
        <is>
          <t>https://sciences.sorbonne-universite.fr/en/masters/master-computer-science/qi</t>
        </is>
      </c>
      <c r="AH117" s="26" t="inlineStr">
        <is>
          <t>Bachelor’s holders in Computer Science, Computer Engineering or Information Systems. Students should have competence in mathematics, theoretical foundations of computer science, algorithms and computer architectures, and</t>
        </is>
      </c>
      <c r="AI117" s="28" t="inlineStr">
        <is>
          <t>Open in EEF</t>
        </is>
      </c>
    </row>
    <row r="118" ht="32.8" customHeight="1" s="19">
      <c r="A118" s="25" t="n">
        <v>117</v>
      </c>
      <c r="B118" s="25" t="inlineStr">
        <is>
          <t>★★★☆☆</t>
        </is>
      </c>
      <c r="C118" s="25" t="inlineStr">
        <is>
          <t>3 – Adjacent (AI/data/CS/cyber/energy)</t>
        </is>
      </c>
      <c r="D118" s="25" t="inlineStr">
        <is>
          <t>Computer science / Software</t>
        </is>
      </c>
      <c r="E118" s="26" t="inlineStr">
        <is>
          <t>Master indifférencié (recherche et professionnel) Computer Science Master of Computer Science - DIGIT : International Program</t>
        </is>
      </c>
      <c r="F118" s="26" t="inlineStr">
        <is>
          <t>Computer Science Master of Computer Science - DIGIT : International Program</t>
        </is>
      </c>
      <c r="G118" s="25" t="inlineStr">
        <is>
          <t>Master indifférencié (recherche et professionnel)</t>
        </is>
      </c>
      <c r="H118" s="25" t="inlineStr">
        <is>
          <t>Sciences et Ingénierie</t>
        </is>
      </c>
      <c r="I118" s="25" t="inlineStr">
        <is>
          <t>Sorbonne Université</t>
        </is>
      </c>
      <c r="J118" s="25" t="inlineStr">
        <is>
          <t>Site de Paris</t>
        </is>
      </c>
      <c r="K118" s="25" t="n"/>
      <c r="L118" s="25" t="inlineStr">
        <is>
          <t>Public university</t>
        </is>
      </c>
      <c r="M118" s="25" t="inlineStr">
        <is>
          <t>English</t>
        </is>
      </c>
      <c r="N118" s="25" t="inlineStr">
        <is>
          <t>Taught in English</t>
        </is>
      </c>
      <c r="O118" s="25" t="inlineStr">
        <is>
          <t>Bac +4 / Bac +5</t>
        </is>
      </c>
      <c r="P118" s="26" t="inlineStr">
        <is>
          <t>Eligible on level (4-yr BS ≈ Bac+4)</t>
        </is>
      </c>
      <c r="Q118" s="25" t="inlineStr">
        <is>
          <t>1/2</t>
        </is>
      </c>
      <c r="R118" s="25" t="n"/>
      <c r="S118" s="27" t="n">
        <v>3950</v>
      </c>
      <c r="T118" s="27" t="n">
        <v>255</v>
      </c>
      <c r="U118" s="25" t="n">
        <v>2</v>
      </c>
      <c r="V118" s="27">
        <f>IF(S118="","",S118*U118)</f>
        <v/>
      </c>
      <c r="W118" s="26" t="inlineStr">
        <is>
          <t>Not in catalogue. Public national master → 2026-27 differentiated fee €3,950; exemption to ~€254-255 depends on university quota (25% cap in 2027-28).</t>
        </is>
      </c>
      <c r="X118" s="25" t="inlineStr">
        <is>
          <t>Medium</t>
        </is>
      </c>
      <c r="Y118" s="25" t="n"/>
      <c r="Z118" s="26" t="n"/>
      <c r="AA118" s="26" t="inlineStr">
        <is>
          <t>Board vote 7 Jul 2026: Sorbonne Université says it can exempt all eligible non-EU applicants (pay same as EU, ~€254) for 2026-27.</t>
        </is>
      </c>
      <c r="AB118" s="28" t="inlineStr">
        <is>
          <t>https://www.sorbonne-universite.fr/actualites/le-conseil-dadministration-de-sorbonne-universite-vote-lunanimite-le-7-juillet-2026-sa</t>
        </is>
      </c>
      <c r="AC118" s="25" t="inlineStr">
        <is>
          <t>Open</t>
        </is>
      </c>
      <c r="AD118" s="25" t="inlineStr">
        <is>
          <t>2026-10-01</t>
        </is>
      </c>
      <c r="AE118" s="25" t="inlineStr">
        <is>
          <t>2027-03-15</t>
        </is>
      </c>
      <c r="AF118" s="25" t="inlineStr">
        <is>
          <t>No</t>
        </is>
      </c>
      <c r="AG118" s="28" t="inlineStr">
        <is>
          <t>https://sciences.sorbonne-universite.fr/en/formation-sciences/masters/master-informatique/digit-international</t>
        </is>
      </c>
      <c r="AH118" s="26" t="inlineStr">
        <is>
          <t>All courses are taught in English ADMISSION A Master of Science in Computer Science, Computer Engineering, or Information Systems. Students should have basic competence in mathematics, theoretical foundations of computer</t>
        </is>
      </c>
      <c r="AI118" s="28" t="inlineStr">
        <is>
          <t>Open in EEF</t>
        </is>
      </c>
    </row>
    <row r="119" ht="32.8" customHeight="1" s="19">
      <c r="A119" s="25" t="n">
        <v>118</v>
      </c>
      <c r="B119" s="25" t="inlineStr">
        <is>
          <t>★★★☆☆</t>
        </is>
      </c>
      <c r="C119" s="25" t="inlineStr">
        <is>
          <t>3 – Adjacent (AI/data/CS/cyber/energy)</t>
        </is>
      </c>
      <c r="D119" s="25" t="inlineStr">
        <is>
          <t>Computer science / Software</t>
        </is>
      </c>
      <c r="E119" s="26" t="inlineStr">
        <is>
          <t>Master indifférencié (recherche et professionnel) Computer Science parcours Master of Computer Science - High Performance Computing</t>
        </is>
      </c>
      <c r="F119" s="26" t="inlineStr">
        <is>
          <t>Computer Science – track: Master of Computer Science - High Performance Computing</t>
        </is>
      </c>
      <c r="G119" s="25" t="inlineStr">
        <is>
          <t>Master indifférencié (recherche et professionnel)</t>
        </is>
      </c>
      <c r="H119" s="25" t="inlineStr">
        <is>
          <t>Sciences et Ingénierie</t>
        </is>
      </c>
      <c r="I119" s="25" t="inlineStr">
        <is>
          <t>Sorbonne Université</t>
        </is>
      </c>
      <c r="J119" s="25" t="inlineStr">
        <is>
          <t>Site de Paris</t>
        </is>
      </c>
      <c r="K119" s="25" t="n"/>
      <c r="L119" s="25" t="inlineStr">
        <is>
          <t>Public university</t>
        </is>
      </c>
      <c r="M119" s="25" t="inlineStr">
        <is>
          <t>English</t>
        </is>
      </c>
      <c r="N119" s="25" t="inlineStr">
        <is>
          <t>Taught in English</t>
        </is>
      </c>
      <c r="O119" s="25" t="inlineStr">
        <is>
          <t>Bac +4</t>
        </is>
      </c>
      <c r="P119" s="26" t="inlineStr">
        <is>
          <t>Eligible on level (4-yr BS ≈ Bac+4)</t>
        </is>
      </c>
      <c r="Q119" s="25" t="inlineStr">
        <is>
          <t>1</t>
        </is>
      </c>
      <c r="R119" s="25" t="n"/>
      <c r="S119" s="27" t="n">
        <v>3950</v>
      </c>
      <c r="T119" s="27" t="n">
        <v>255</v>
      </c>
      <c r="U119" s="25" t="n">
        <v>2</v>
      </c>
      <c r="V119" s="27">
        <f>IF(S119="","",S119*U119)</f>
        <v/>
      </c>
      <c r="W119" s="26" t="inlineStr">
        <is>
          <t>Not in catalogue. Public national master → 2026-27 differentiated fee €3,950; exemption to ~€254-255 depends on university quota (25% cap in 2027-28).</t>
        </is>
      </c>
      <c r="X119" s="25" t="inlineStr">
        <is>
          <t>Medium</t>
        </is>
      </c>
      <c r="Y119" s="25" t="n"/>
      <c r="Z119" s="26" t="n"/>
      <c r="AA119" s="26" t="inlineStr">
        <is>
          <t>Board vote 7 Jul 2026: Sorbonne Université says it can exempt all eligible non-EU applicants (pay same as EU, ~€254) for 2026-27.</t>
        </is>
      </c>
      <c r="AB119" s="28" t="inlineStr">
        <is>
          <t>https://www.sorbonne-universite.fr/actualites/le-conseil-dadministration-de-sorbonne-universite-vote-lunanimite-le-7-juillet-2026-sa</t>
        </is>
      </c>
      <c r="AC119" s="25" t="inlineStr">
        <is>
          <t>Open</t>
        </is>
      </c>
      <c r="AD119" s="25" t="inlineStr">
        <is>
          <t>2026-10-01</t>
        </is>
      </c>
      <c r="AE119" s="25" t="inlineStr">
        <is>
          <t>2027-03-15</t>
        </is>
      </c>
      <c r="AF119" s="25" t="inlineStr">
        <is>
          <t>No</t>
        </is>
      </c>
      <c r="AG119" s="28" t="inlineStr">
        <is>
          <t>https://sciences.sorbonne-universite.fr/en/Masters/masters-degree-mathematics-and-applications/masters-high-performance-computing-hpc</t>
        </is>
      </c>
      <c r="AH119" s="26" t="inlineStr">
        <is>
          <t>Level Required : Bachelor (Licence) degree in Mathematics and/or Computer Science English proficiency : English speaking/writing skills strong enough to follow a curriculum taught in English (CECRL B2). All students must</t>
        </is>
      </c>
      <c r="AI119" s="28" t="inlineStr">
        <is>
          <t>Open in EEF</t>
        </is>
      </c>
    </row>
    <row r="120" ht="32.8" customHeight="1" s="19">
      <c r="A120" s="25" t="n">
        <v>119</v>
      </c>
      <c r="B120" s="25" t="inlineStr">
        <is>
          <t>★★★☆☆</t>
        </is>
      </c>
      <c r="C120" s="25" t="inlineStr">
        <is>
          <t>3 – Adjacent (AI/data/CS/cyber/energy)</t>
        </is>
      </c>
      <c r="D120" s="25" t="inlineStr">
        <is>
          <t>Computer science / Software</t>
        </is>
      </c>
      <c r="E120" s="26" t="inlineStr">
        <is>
          <t>Master indifférencié (recherche et professionnel) mention Master in Applied Mathematics and Informatics</t>
        </is>
      </c>
      <c r="F120" s="26" t="inlineStr">
        <is>
          <t>major: Master in Applied Mathematics and Informatics</t>
        </is>
      </c>
      <c r="G120" s="25" t="inlineStr">
        <is>
          <t>Master indifférencié (recherche et professionnel)</t>
        </is>
      </c>
      <c r="H120" s="25" t="inlineStr">
        <is>
          <t>Ecole nationale supérieure d'informatique et de mathématiques appliquées (Ensimag) - Grenoble INP</t>
        </is>
      </c>
      <c r="I120" s="25" t="inlineStr">
        <is>
          <t>Grenoble INP</t>
        </is>
      </c>
      <c r="J120" s="25" t="inlineStr">
        <is>
          <t>Site de Saint-Martin-d'Hères</t>
        </is>
      </c>
      <c r="K120" s="25" t="n"/>
      <c r="L120" s="25" t="inlineStr">
        <is>
          <t>Public school / institute</t>
        </is>
      </c>
      <c r="M120" s="25" t="inlineStr">
        <is>
          <t>English</t>
        </is>
      </c>
      <c r="N120" s="25" t="inlineStr">
        <is>
          <t>Taught in English</t>
        </is>
      </c>
      <c r="O120" s="25" t="inlineStr">
        <is>
          <t>Bac +4 / Bac +5</t>
        </is>
      </c>
      <c r="P120" s="26" t="inlineStr">
        <is>
          <t>Eligible on level (4-yr BS ≈ Bac+4)</t>
        </is>
      </c>
      <c r="Q120" s="25" t="inlineStr">
        <is>
          <t>1/2</t>
        </is>
      </c>
      <c r="R120" s="25" t="n"/>
      <c r="S120" s="27" t="n">
        <v>3950</v>
      </c>
      <c r="T120" s="27" t="n">
        <v>255</v>
      </c>
      <c r="U120" s="25" t="n">
        <v>2</v>
      </c>
      <c r="V120" s="27">
        <f>IF(S120="","",S120*U120)</f>
        <v/>
      </c>
      <c r="W120" s="26" t="inlineStr">
        <is>
          <t>Not in catalogue. Public national master → 2026-27 differentiated fee €3,950; exemption to ~€254-255 depends on university quota (25% cap in 2027-28).</t>
        </is>
      </c>
      <c r="X120" s="25" t="inlineStr">
        <is>
          <t>Medium</t>
        </is>
      </c>
      <c r="Y120" s="25" t="n"/>
      <c r="Z120" s="26" t="n"/>
      <c r="AA120" s="26" t="inlineStr">
        <is>
          <t>UGA (incl. Grenoble INP masters): 2026-27 broad exemptions on request (pay national €254). From 2027-28 the decree caps apply; exemptions based on resources.</t>
        </is>
      </c>
      <c r="AB120" s="28" t="inlineStr">
        <is>
          <t>https://www.univ-grenoble-alpes.fr/actualites/a-la-une/actualites-universite/etudiants-internationaux-ce-que-change-le-nouveau-decret-sur-les-droits-d-inscription-a-l-uga-1775870.kjsp</t>
        </is>
      </c>
      <c r="AC120" s="25" t="inlineStr">
        <is>
          <t>Open</t>
        </is>
      </c>
      <c r="AD120" s="25" t="inlineStr">
        <is>
          <t>2026-10-01</t>
        </is>
      </c>
      <c r="AE120" s="25" t="inlineStr">
        <is>
          <t>2027-03-15</t>
        </is>
      </c>
      <c r="AF120" s="25" t="inlineStr">
        <is>
          <t>No</t>
        </is>
      </c>
      <c r="AG120" s="28" t="inlineStr">
        <is>
          <t>https://m-ai.imag.fr/</t>
        </is>
      </c>
      <c r="AH120" s="26" t="inlineStr">
        <is>
          <t>***PAGE CURRENTLY BEING UPDATED FOR THE 2027–2028 ACADEMIC YEAR*** Before applying, it is important to check the cost of the programme as well as the level of financial resources required for your year of study in France</t>
        </is>
      </c>
      <c r="AI120" s="28" t="inlineStr">
        <is>
          <t>Open in EEF</t>
        </is>
      </c>
    </row>
    <row r="121" ht="32.8" customHeight="1" s="19">
      <c r="A121" s="25" t="n">
        <v>120</v>
      </c>
      <c r="B121" s="25" t="inlineStr">
        <is>
          <t>★★★☆☆</t>
        </is>
      </c>
      <c r="C121" s="25" t="inlineStr">
        <is>
          <t>3 – Adjacent (AI/data/CS/cyber/energy)</t>
        </is>
      </c>
      <c r="D121" s="25" t="inlineStr">
        <is>
          <t>Computer science / Software</t>
        </is>
      </c>
      <c r="E121" s="26" t="inlineStr">
        <is>
          <t>Master indifférencié (recherche et professionnel) parcours Information Technology for Smart and Sustainable Mobility (IT4SSM) - EUNICE Alliance</t>
        </is>
      </c>
      <c r="F121" s="26" t="inlineStr">
        <is>
          <t>track: Information Technology for Smart and Sustainable Mobility (IT4SSM) - EUNICE Alliance</t>
        </is>
      </c>
      <c r="G121" s="25" t="inlineStr">
        <is>
          <t>Master indifférencié (recherche et professionnel)</t>
        </is>
      </c>
      <c r="H121" s="25" t="inlineStr">
        <is>
          <t>INSA HAUTS-DE-FRANCE</t>
        </is>
      </c>
      <c r="I121" s="25" t="inlineStr">
        <is>
          <t>Université polytechnique Hauts-de-France (UPHF)</t>
        </is>
      </c>
      <c r="J121" s="25" t="inlineStr">
        <is>
          <t>Site de Valenciennes</t>
        </is>
      </c>
      <c r="K121" s="25" t="n"/>
      <c r="L121" s="25" t="inlineStr">
        <is>
          <t>Public school / institute</t>
        </is>
      </c>
      <c r="M121" s="25" t="inlineStr">
        <is>
          <t>English</t>
        </is>
      </c>
      <c r="N121" s="25" t="inlineStr">
        <is>
          <t>Taught in English</t>
        </is>
      </c>
      <c r="O121" s="25" t="inlineStr">
        <is>
          <t>Bac +4</t>
        </is>
      </c>
      <c r="P121" s="26" t="inlineStr">
        <is>
          <t>Eligible on level (4-yr BS ≈ Bac+4)</t>
        </is>
      </c>
      <c r="Q121" s="25" t="inlineStr">
        <is>
          <t>1</t>
        </is>
      </c>
      <c r="R121" s="25" t="inlineStr">
        <is>
          <t>10</t>
        </is>
      </c>
      <c r="S121" s="27" t="n">
        <v>3950</v>
      </c>
      <c r="T121" s="27" t="n">
        <v>255</v>
      </c>
      <c r="U121" s="25" t="n">
        <v>2</v>
      </c>
      <c r="V121" s="27">
        <f>IF(S121="","",S121*U121)</f>
        <v/>
      </c>
      <c r="W121" s="26" t="inlineStr">
        <is>
          <t>Not in catalogue. Public national master → 2026-27 differentiated fee €3,950; exemption to ~€254-255 depends on university quota (25% cap in 2027-28).</t>
        </is>
      </c>
      <c r="X121" s="25" t="inlineStr">
        <is>
          <t>Medium</t>
        </is>
      </c>
      <c r="Y121" s="25" t="n"/>
      <c r="Z121" s="26" t="n"/>
      <c r="AA121" s="26" t="n"/>
      <c r="AB121" s="25" t="n"/>
      <c r="AC121" s="25" t="inlineStr">
        <is>
          <t>Open</t>
        </is>
      </c>
      <c r="AD121" s="25" t="inlineStr">
        <is>
          <t>2026-10-01</t>
        </is>
      </c>
      <c r="AE121" s="25" t="inlineStr">
        <is>
          <t>2027-03-15</t>
        </is>
      </c>
      <c r="AF121" s="25" t="inlineStr">
        <is>
          <t>No</t>
        </is>
      </c>
      <c r="AG121" s="28" t="inlineStr">
        <is>
          <t>https://formations.uphf.fr/fr/formations/master-master/master-informatique-KZZQ4B8O/information-technology-for-smart-and-sustainable-mobility-it4ssm-eunice-alliance-LS4R6Q1G.html</t>
        </is>
      </c>
      <c r="AH121" s="26" t="inlineStr">
        <is>
          <t>ADMISSION REQUIREMENTS :For the first year - Master 1 : open to students with Bachelor degree in computer science (after a licence / bachelor), or another engineering or technology specialty that fulfills the following r</t>
        </is>
      </c>
      <c r="AI121" s="28" t="inlineStr">
        <is>
          <t>Open in EEF</t>
        </is>
      </c>
    </row>
    <row r="122" ht="32.8" customHeight="1" s="19">
      <c r="A122" s="25" t="n">
        <v>121</v>
      </c>
      <c r="B122" s="25" t="inlineStr">
        <is>
          <t>★★★☆☆</t>
        </is>
      </c>
      <c r="C122" s="25" t="inlineStr">
        <is>
          <t>3 – Adjacent (AI/data/CS/cyber/energy)</t>
        </is>
      </c>
      <c r="D122" s="25" t="inlineStr">
        <is>
          <t>Computer science / Software</t>
        </is>
      </c>
      <c r="E122" s="26" t="inlineStr">
        <is>
          <t>Master indifférencié (recherche et professionnel) parcours Master of Science in Informatics at Grenoble (MOSIG)</t>
        </is>
      </c>
      <c r="F122" s="26" t="inlineStr">
        <is>
          <t>track: Master of Science in Informatics at Grenoble (MOSIG)</t>
        </is>
      </c>
      <c r="G122" s="25" t="inlineStr">
        <is>
          <t>Master indifférencié (recherche et professionnel)</t>
        </is>
      </c>
      <c r="H122" s="25" t="inlineStr">
        <is>
          <t>Ecole nationale supérieure d'informatique et de mathématiques appliquées (Ensimag) - Grenoble INP</t>
        </is>
      </c>
      <c r="I122" s="25" t="inlineStr">
        <is>
          <t>Grenoble INP</t>
        </is>
      </c>
      <c r="J122" s="25" t="inlineStr">
        <is>
          <t>Site de Saint-Martin-d'Hères</t>
        </is>
      </c>
      <c r="K122" s="25" t="n"/>
      <c r="L122" s="25" t="inlineStr">
        <is>
          <t>Public school / institute</t>
        </is>
      </c>
      <c r="M122" s="25" t="inlineStr">
        <is>
          <t>English</t>
        </is>
      </c>
      <c r="N122" s="25" t="inlineStr">
        <is>
          <t>Taught in English</t>
        </is>
      </c>
      <c r="O122" s="25" t="inlineStr">
        <is>
          <t>Bac +4 / Bac +5</t>
        </is>
      </c>
      <c r="P122" s="26" t="inlineStr">
        <is>
          <t>Eligible on level (4-yr BS ≈ Bac+4)</t>
        </is>
      </c>
      <c r="Q122" s="25" t="inlineStr">
        <is>
          <t>1/2</t>
        </is>
      </c>
      <c r="R122" s="25" t="n"/>
      <c r="S122" s="27" t="n">
        <v>3950</v>
      </c>
      <c r="T122" s="27" t="n">
        <v>255</v>
      </c>
      <c r="U122" s="25" t="n">
        <v>2</v>
      </c>
      <c r="V122" s="27">
        <f>IF(S122="","",S122*U122)</f>
        <v/>
      </c>
      <c r="W122" s="26" t="inlineStr">
        <is>
          <t>Not in catalogue. Public national master → 2026-27 differentiated fee €3,950; exemption to ~€254-255 depends on university quota (25% cap in 2027-28).</t>
        </is>
      </c>
      <c r="X122" s="25" t="inlineStr">
        <is>
          <t>Medium</t>
        </is>
      </c>
      <c r="Y122" s="25" t="n"/>
      <c r="Z122" s="26" t="n"/>
      <c r="AA122" s="26" t="inlineStr">
        <is>
          <t>UGA (incl. Grenoble INP masters): 2026-27 broad exemptions on request (pay national €254). From 2027-28 the decree caps apply; exemptions based on resources.</t>
        </is>
      </c>
      <c r="AB122" s="28" t="inlineStr">
        <is>
          <t>https://www.univ-grenoble-alpes.fr/actualites/a-la-une/actualites-universite/etudiants-internationaux-ce-que-change-le-nouveau-decret-sur-les-droits-d-inscription-a-l-uga-1775870.kjsp</t>
        </is>
      </c>
      <c r="AC122" s="25" t="inlineStr">
        <is>
          <t>Open</t>
        </is>
      </c>
      <c r="AD122" s="25" t="inlineStr">
        <is>
          <t>2026-10-01</t>
        </is>
      </c>
      <c r="AE122" s="25" t="inlineStr">
        <is>
          <t>2027-03-15</t>
        </is>
      </c>
      <c r="AF122" s="25" t="inlineStr">
        <is>
          <t>Yes</t>
        </is>
      </c>
      <c r="AG122" s="28" t="inlineStr">
        <is>
          <t>https://mosig.imag.fr/</t>
        </is>
      </c>
      <c r="AH122" s="26" t="inlineStr">
        <is>
          <t>***PAGE CURRENTLY BEING UPDATED FOR THE 2027–2028 ACADEMIC YEAR*** Before applying, it is important to check the cost of the programme as well as the level of financial resources required for your year of study in France</t>
        </is>
      </c>
      <c r="AI122" s="28" t="inlineStr">
        <is>
          <t>Open in EEF</t>
        </is>
      </c>
    </row>
    <row r="123" ht="32.8" customHeight="1" s="19">
      <c r="A123" s="25" t="n">
        <v>122</v>
      </c>
      <c r="B123" s="25" t="inlineStr">
        <is>
          <t>★★★☆☆</t>
        </is>
      </c>
      <c r="C123" s="25" t="inlineStr">
        <is>
          <t>3 – Adjacent (AI/data/CS/cyber/energy)</t>
        </is>
      </c>
      <c r="D123" s="25" t="inlineStr">
        <is>
          <t>AI / Data science</t>
        </is>
      </c>
      <c r="E123" s="26" t="inlineStr">
        <is>
          <t>Master indifférencié (recherche et professionnel) Sciences, Technologies, Santé mention Artificial Intelligence parcours Artificial Intelligence</t>
        </is>
      </c>
      <c r="F123" s="26" t="inlineStr">
        <is>
          <t>Science, Technology, Health (STS) – major: Artificial Intelligence – track: Artificial Intelligence</t>
        </is>
      </c>
      <c r="G123" s="25" t="inlineStr">
        <is>
          <t>Master indifférencié (recherche et professionnel)</t>
        </is>
      </c>
      <c r="H123" s="25" t="inlineStr">
        <is>
          <t>UFR d'informatique, mathématiques et mathématiques appliquées</t>
        </is>
      </c>
      <c r="I123" s="25" t="inlineStr">
        <is>
          <t>Université de Grenoble Alpes</t>
        </is>
      </c>
      <c r="J123" s="25" t="inlineStr">
        <is>
          <t>Site de Grenoble - Campus de Saint Martin d'Hères</t>
        </is>
      </c>
      <c r="K123" s="25" t="n"/>
      <c r="L123" s="25" t="inlineStr">
        <is>
          <t>Public university</t>
        </is>
      </c>
      <c r="M123" s="25" t="inlineStr">
        <is>
          <t>English</t>
        </is>
      </c>
      <c r="N123" s="25" t="inlineStr">
        <is>
          <t>Taught in English</t>
        </is>
      </c>
      <c r="O123" s="25" t="inlineStr">
        <is>
          <t>Bac +4 / Bac +5</t>
        </is>
      </c>
      <c r="P123" s="26" t="inlineStr">
        <is>
          <t>Eligible on level (4-yr BS ≈ Bac+4)</t>
        </is>
      </c>
      <c r="Q123" s="25" t="inlineStr">
        <is>
          <t>1/2</t>
        </is>
      </c>
      <c r="R123" s="25" t="n"/>
      <c r="S123" s="27" t="n">
        <v>3950</v>
      </c>
      <c r="T123" s="27" t="n">
        <v>255</v>
      </c>
      <c r="U123" s="25" t="n">
        <v>2</v>
      </c>
      <c r="V123" s="27">
        <f>IF(S123="","",S123*U123)</f>
        <v/>
      </c>
      <c r="W123" s="26" t="inlineStr">
        <is>
          <t>Not in catalogue. Public national master → 2026-27 differentiated fee €3,950; exemption to ~€254-255 depends on university quota (25% cap in 2027-28).</t>
        </is>
      </c>
      <c r="X123" s="25" t="inlineStr">
        <is>
          <t>Medium</t>
        </is>
      </c>
      <c r="Y123" s="25" t="n"/>
      <c r="Z123" s="26" t="n"/>
      <c r="AA123" s="26" t="inlineStr">
        <is>
          <t>UGA (incl. Grenoble INP masters): 2026-27 broad exemptions on request (pay national €254). From 2027-28 the decree caps apply; exemptions based on resources.</t>
        </is>
      </c>
      <c r="AB123" s="28" t="inlineStr">
        <is>
          <t>https://www.univ-grenoble-alpes.fr/actualites/a-la-une/actualites-universite/etudiants-internationaux-ce-que-change-le-nouveau-decret-sur-les-droits-d-inscription-a-l-uga-1775870.kjsp</t>
        </is>
      </c>
      <c r="AC123" s="25" t="inlineStr">
        <is>
          <t>Open</t>
        </is>
      </c>
      <c r="AD123" s="25" t="inlineStr">
        <is>
          <t>2026-10-01</t>
        </is>
      </c>
      <c r="AE123" s="25" t="inlineStr">
        <is>
          <t>2027-03-15</t>
        </is>
      </c>
      <c r="AF123" s="25" t="inlineStr">
        <is>
          <t>Yes</t>
        </is>
      </c>
      <c r="AG123" s="28" t="inlineStr">
        <is>
          <t>https://m-ai.imag.fr/</t>
        </is>
      </c>
      <c r="AH123" s="26" t="inlineStr">
        <is>
          <t>To be admitted to the program, candidates must have previously completed their undergraduate studies and been awarded a Bachelor degree (or or an equivalent degree) in computer science, computer engineering, mathematics</t>
        </is>
      </c>
      <c r="AI123" s="28" t="inlineStr">
        <is>
          <t>Open in EEF</t>
        </is>
      </c>
    </row>
    <row r="124" ht="32.8" customHeight="1" s="19">
      <c r="A124" s="25" t="n">
        <v>123</v>
      </c>
      <c r="B124" s="25" t="inlineStr">
        <is>
          <t>★★★☆☆</t>
        </is>
      </c>
      <c r="C124" s="25" t="inlineStr">
        <is>
          <t>3 – Adjacent (AI/data/CS/cyber/energy)</t>
        </is>
      </c>
      <c r="D124" s="25" t="inlineStr">
        <is>
          <t>Cybersecurity</t>
        </is>
      </c>
      <c r="E124" s="26" t="inlineStr">
        <is>
          <t>Master indifférencié (recherche et professionnel) Sciences, Technologies, Santé mention Cybersecurity parcours Cybersecurity</t>
        </is>
      </c>
      <c r="F124" s="26" t="inlineStr">
        <is>
          <t>Science, Technology, Health (STS) – major: Cybersecurity – track: Cybersecurity</t>
        </is>
      </c>
      <c r="G124" s="25" t="inlineStr">
        <is>
          <t>Master indifférencié (recherche et professionnel)</t>
        </is>
      </c>
      <c r="H124" s="25" t="inlineStr">
        <is>
          <t>UFR d'informatique, mathématiques et mathématiques appliquées</t>
        </is>
      </c>
      <c r="I124" s="25" t="inlineStr">
        <is>
          <t>Université de Grenoble Alpes</t>
        </is>
      </c>
      <c r="J124" s="25" t="inlineStr">
        <is>
          <t>Site de Grenoble - Campus de Saint Martin d'Hères</t>
        </is>
      </c>
      <c r="K124" s="25" t="n"/>
      <c r="L124" s="25" t="inlineStr">
        <is>
          <t>Public university</t>
        </is>
      </c>
      <c r="M124" s="25" t="inlineStr">
        <is>
          <t>English</t>
        </is>
      </c>
      <c r="N124" s="25" t="inlineStr">
        <is>
          <t>Taught in English</t>
        </is>
      </c>
      <c r="O124" s="25" t="inlineStr">
        <is>
          <t>Bac +4 / Bac +5</t>
        </is>
      </c>
      <c r="P124" s="26" t="inlineStr">
        <is>
          <t>Eligible on level (4-yr BS ≈ Bac+4)</t>
        </is>
      </c>
      <c r="Q124" s="25" t="inlineStr">
        <is>
          <t>1/2</t>
        </is>
      </c>
      <c r="R124" s="25" t="n"/>
      <c r="S124" s="27" t="n">
        <v>3950</v>
      </c>
      <c r="T124" s="27" t="n">
        <v>255</v>
      </c>
      <c r="U124" s="25" t="n">
        <v>2</v>
      </c>
      <c r="V124" s="27">
        <f>IF(S124="","",S124*U124)</f>
        <v/>
      </c>
      <c r="W124" s="26" t="inlineStr">
        <is>
          <t>Not in catalogue. Public national master → 2026-27 differentiated fee €3,950; exemption to ~€254-255 depends on university quota (25% cap in 2027-28).</t>
        </is>
      </c>
      <c r="X124" s="25" t="inlineStr">
        <is>
          <t>Medium</t>
        </is>
      </c>
      <c r="Y124" s="25" t="n"/>
      <c r="Z124" s="26" t="n"/>
      <c r="AA124" s="26" t="inlineStr">
        <is>
          <t>UGA (incl. Grenoble INP masters): 2026-27 broad exemptions on request (pay national €254). From 2027-28 the decree caps apply; exemptions based on resources.</t>
        </is>
      </c>
      <c r="AB124" s="28" t="inlineStr">
        <is>
          <t>https://www.univ-grenoble-alpes.fr/actualites/a-la-une/actualites-universite/etudiants-internationaux-ce-que-change-le-nouveau-decret-sur-les-droits-d-inscription-a-l-uga-1775870.kjsp</t>
        </is>
      </c>
      <c r="AC124" s="25" t="inlineStr">
        <is>
          <t>Open</t>
        </is>
      </c>
      <c r="AD124" s="25" t="inlineStr">
        <is>
          <t>2026-10-01</t>
        </is>
      </c>
      <c r="AE124" s="25" t="inlineStr">
        <is>
          <t>2027-03-15</t>
        </is>
      </c>
      <c r="AF124" s="25" t="inlineStr">
        <is>
          <t>Yes</t>
        </is>
      </c>
      <c r="AG124" s="28" t="inlineStr">
        <is>
          <t>https://im2ag.univ-grenoble-alpes.fr/formation/offre-de-formation/</t>
        </is>
      </c>
      <c r="AH124" s="26" t="inlineStr">
        <is>
          <t>- English proficiency : English scores required (equivalent to CEFR level B2): Cambridge C1 Advanced (CAE), score C / Cambridge C2 Proficiency (CPE) score C / IELTS Academic score 6.0 / Pearson Test of English Academic P</t>
        </is>
      </c>
      <c r="AI124" s="28" t="inlineStr">
        <is>
          <t>Open in EEF</t>
        </is>
      </c>
    </row>
    <row r="125" ht="22.35" customHeight="1" s="19">
      <c r="A125" s="25" t="n">
        <v>124</v>
      </c>
      <c r="B125" s="25" t="inlineStr">
        <is>
          <t>★★★☆☆</t>
        </is>
      </c>
      <c r="C125" s="25" t="inlineStr">
        <is>
          <t>3 – Adjacent (AI/data/CS/cyber/energy)</t>
        </is>
      </c>
      <c r="D125" s="25" t="inlineStr">
        <is>
          <t>Computer science / Software</t>
        </is>
      </c>
      <c r="E125" s="26" t="inlineStr">
        <is>
          <t>Master indifférencié (recherche et professionnel) Sciences, technologies, santé mention Informatique</t>
        </is>
      </c>
      <c r="F125" s="26" t="inlineStr">
        <is>
          <t>Science, Technology, Health (STS) – major: Computer Science</t>
        </is>
      </c>
      <c r="G125" s="25" t="inlineStr">
        <is>
          <t>Master indifférencié (recherche et professionnel)</t>
        </is>
      </c>
      <c r="H125" s="25" t="inlineStr">
        <is>
          <t>UFR Sciences et Techniques</t>
        </is>
      </c>
      <c r="I125" s="25" t="inlineStr">
        <is>
          <t>Université Marie et Louis Pasteur</t>
        </is>
      </c>
      <c r="J125" s="25" t="inlineStr">
        <is>
          <t>Site de Besançon</t>
        </is>
      </c>
      <c r="K125" s="25" t="inlineStr">
        <is>
          <t>25030 BESANCON CEDEX</t>
        </is>
      </c>
      <c r="L125" s="25" t="inlineStr">
        <is>
          <t>Public university</t>
        </is>
      </c>
      <c r="M125" s="25" t="inlineStr">
        <is>
          <t>English</t>
        </is>
      </c>
      <c r="N125" s="25" t="inlineStr">
        <is>
          <t>Taught in English</t>
        </is>
      </c>
      <c r="O125" s="25" t="inlineStr">
        <is>
          <t>Bac +4</t>
        </is>
      </c>
      <c r="P125" s="26" t="inlineStr">
        <is>
          <t>Eligible on level (4-yr BS ≈ Bac+4)</t>
        </is>
      </c>
      <c r="Q125" s="25" t="inlineStr">
        <is>
          <t>1</t>
        </is>
      </c>
      <c r="R125" s="25" t="inlineStr">
        <is>
          <t>12</t>
        </is>
      </c>
      <c r="S125" s="27" t="n">
        <v>3950</v>
      </c>
      <c r="T125" s="27" t="n">
        <v>255</v>
      </c>
      <c r="U125" s="25" t="n">
        <v>2</v>
      </c>
      <c r="V125" s="27">
        <f>IF(S125="","",S125*U125)</f>
        <v/>
      </c>
      <c r="W125" s="26" t="inlineStr">
        <is>
          <t>Not in catalogue. Public national master → 2026-27 differentiated fee €3,950; exemption to ~€254-255 depends on university quota (25% cap in 2027-28).</t>
        </is>
      </c>
      <c r="X125" s="25" t="inlineStr">
        <is>
          <t>Medium</t>
        </is>
      </c>
      <c r="Y125" s="25" t="n"/>
      <c r="Z125" s="26" t="n"/>
      <c r="AA125" s="26" t="inlineStr">
        <is>
          <t>UMLP: individual exemption requests assessed on personal resources.</t>
        </is>
      </c>
      <c r="AB125" s="28" t="inlineStr">
        <is>
          <t>https://www.umlp.fr/sites/default/files/2026-07-02-page-droits-differencies-vf.pdf</t>
        </is>
      </c>
      <c r="AC125" s="25" t="inlineStr">
        <is>
          <t>Open</t>
        </is>
      </c>
      <c r="AD125" s="25" t="inlineStr">
        <is>
          <t>2026-10-01</t>
        </is>
      </c>
      <c r="AE125" s="25" t="inlineStr">
        <is>
          <t>2027-03-15</t>
        </is>
      </c>
      <c r="AF125" s="25" t="inlineStr">
        <is>
          <t>No</t>
        </is>
      </c>
      <c r="AG125" s="28" t="inlineStr">
        <is>
          <t>https://taughtie.campusfrance.org/tiesearch/#/program/3544</t>
        </is>
      </c>
      <c r="AH125" s="26" t="inlineStr">
        <is>
          <t>Please follow the link : https://etudesenfrance.diplomatie.gouv.fr/catalogue-formations/formation/60857/site/6954</t>
        </is>
      </c>
      <c r="AI125" s="28" t="inlineStr">
        <is>
          <t>Open in EEF</t>
        </is>
      </c>
    </row>
    <row r="126" ht="32.8" customHeight="1" s="19">
      <c r="A126" s="25" t="n">
        <v>125</v>
      </c>
      <c r="B126" s="25" t="inlineStr">
        <is>
          <t>★★★☆☆</t>
        </is>
      </c>
      <c r="C126" s="25" t="inlineStr">
        <is>
          <t>3 – Adjacent (AI/data/CS/cyber/energy)</t>
        </is>
      </c>
      <c r="D126" s="25" t="inlineStr">
        <is>
          <t>Computer science / Software</t>
        </is>
      </c>
      <c r="E126" s="26" t="inlineStr">
        <is>
          <t>Master indifférencié (recherche et professionnel) Sciences, Technologies, Santé mention Informatique parcours Computer Science</t>
        </is>
      </c>
      <c r="F126" s="26" t="inlineStr">
        <is>
          <t>Science, Technology, Health (STS) – major: Computer Science – track: Computer Science</t>
        </is>
      </c>
      <c r="G126" s="25" t="inlineStr">
        <is>
          <t>Master indifférencié (recherche et professionnel)</t>
        </is>
      </c>
      <c r="H126" s="25" t="inlineStr">
        <is>
          <t>UFR d'informatique, mathématiques et mathématiques appliquées</t>
        </is>
      </c>
      <c r="I126" s="25" t="inlineStr">
        <is>
          <t>Université de Grenoble Alpes</t>
        </is>
      </c>
      <c r="J126" s="25" t="inlineStr">
        <is>
          <t>Site de Grenoble - Campus de Saint Martin d'Hères</t>
        </is>
      </c>
      <c r="K126" s="25" t="n"/>
      <c r="L126" s="25" t="inlineStr">
        <is>
          <t>Public university</t>
        </is>
      </c>
      <c r="M126" s="25" t="inlineStr">
        <is>
          <t>English</t>
        </is>
      </c>
      <c r="N126" s="25" t="inlineStr">
        <is>
          <t>Taught in English</t>
        </is>
      </c>
      <c r="O126" s="25" t="inlineStr">
        <is>
          <t>Bac +4</t>
        </is>
      </c>
      <c r="P126" s="26" t="inlineStr">
        <is>
          <t>Eligible on level (4-yr BS ≈ Bac+4)</t>
        </is>
      </c>
      <c r="Q126" s="25" t="inlineStr">
        <is>
          <t>1</t>
        </is>
      </c>
      <c r="R126" s="25" t="n"/>
      <c r="S126" s="27" t="n">
        <v>3950</v>
      </c>
      <c r="T126" s="27" t="n">
        <v>255</v>
      </c>
      <c r="U126" s="25" t="n">
        <v>2</v>
      </c>
      <c r="V126" s="27">
        <f>IF(S126="","",S126*U126)</f>
        <v/>
      </c>
      <c r="W126" s="26" t="inlineStr">
        <is>
          <t>Not in catalogue. Public national master → 2026-27 differentiated fee €3,950; exemption to ~€254-255 depends on university quota (25% cap in 2027-28).</t>
        </is>
      </c>
      <c r="X126" s="25" t="inlineStr">
        <is>
          <t>Medium</t>
        </is>
      </c>
      <c r="Y126" s="25" t="n"/>
      <c r="Z126" s="26" t="n"/>
      <c r="AA126" s="26" t="inlineStr">
        <is>
          <t>UGA (incl. Grenoble INP masters): 2026-27 broad exemptions on request (pay national €254). From 2027-28 the decree caps apply; exemptions based on resources.</t>
        </is>
      </c>
      <c r="AB126" s="28" t="inlineStr">
        <is>
          <t>https://www.univ-grenoble-alpes.fr/actualites/a-la-une/actualites-universite/etudiants-internationaux-ce-que-change-le-nouveau-decret-sur-les-droits-d-inscription-a-l-uga-1775870.kjsp</t>
        </is>
      </c>
      <c r="AC126" s="25" t="inlineStr">
        <is>
          <t>Open</t>
        </is>
      </c>
      <c r="AD126" s="25" t="inlineStr">
        <is>
          <t>2026-10-01</t>
        </is>
      </c>
      <c r="AE126" s="25" t="inlineStr">
        <is>
          <t>2027-03-15</t>
        </is>
      </c>
      <c r="AF126" s="25" t="inlineStr">
        <is>
          <t>Yes</t>
        </is>
      </c>
      <c r="AG126" s="28" t="inlineStr">
        <is>
          <t>https://mosig.imag.fr</t>
        </is>
      </c>
      <c r="AH126" s="26" t="inlineStr">
        <is>
          <t>Requirements: Admission to the program: having previously completed undergraduate studies and having been awarded a Bachelor degree in either Science (BSc) or Engineering (BEng) that includes courses in computing and sol</t>
        </is>
      </c>
      <c r="AI126" s="28" t="inlineStr">
        <is>
          <t>Open in EEF</t>
        </is>
      </c>
    </row>
    <row r="127" ht="32.8" customHeight="1" s="19">
      <c r="A127" s="25" t="n">
        <v>126</v>
      </c>
      <c r="B127" s="25" t="inlineStr">
        <is>
          <t>★★★☆☆</t>
        </is>
      </c>
      <c r="C127" s="25" t="inlineStr">
        <is>
          <t>3 – Adjacent (AI/data/CS/cyber/energy)</t>
        </is>
      </c>
      <c r="D127" s="25" t="inlineStr">
        <is>
          <t>Computer science / Software</t>
        </is>
      </c>
      <c r="E127" s="26" t="inlineStr">
        <is>
          <t>Master indifférencié (recherche et professionnel) Sciences, technologies, santé mention informatique parcours international of computer science</t>
        </is>
      </c>
      <c r="F127" s="26" t="inlineStr">
        <is>
          <t>Science, Technology, Health (STS) – major: Computer Science – track: international of computer Science</t>
        </is>
      </c>
      <c r="G127" s="25" t="inlineStr">
        <is>
          <t>Master indifférencié (recherche et professionnel)</t>
        </is>
      </c>
      <c r="H127" s="25" t="inlineStr">
        <is>
          <t>ISIMA</t>
        </is>
      </c>
      <c r="I127" s="25" t="inlineStr">
        <is>
          <t>Université Clermont Auvergne</t>
        </is>
      </c>
      <c r="J127" s="25" t="inlineStr">
        <is>
          <t>Site de Aubière</t>
        </is>
      </c>
      <c r="K127" s="25" t="n"/>
      <c r="L127" s="25" t="inlineStr">
        <is>
          <t>Public university</t>
        </is>
      </c>
      <c r="M127" s="25" t="inlineStr">
        <is>
          <t>English</t>
        </is>
      </c>
      <c r="N127" s="25" t="inlineStr">
        <is>
          <t>General</t>
        </is>
      </c>
      <c r="O127" s="25" t="inlineStr">
        <is>
          <t>Bac +4 / Bac +5</t>
        </is>
      </c>
      <c r="P127" s="26" t="inlineStr">
        <is>
          <t>Eligible on level (4-yr BS ≈ Bac+4)</t>
        </is>
      </c>
      <c r="Q127" s="25" t="inlineStr">
        <is>
          <t>1/2</t>
        </is>
      </c>
      <c r="R127" s="25" t="n"/>
      <c r="S127" s="27" t="n">
        <v>3950</v>
      </c>
      <c r="T127" s="27" t="n">
        <v>255</v>
      </c>
      <c r="U127" s="25" t="n">
        <v>2</v>
      </c>
      <c r="V127" s="27">
        <f>IF(S127="","",S127*U127)</f>
        <v/>
      </c>
      <c r="W127" s="26" t="inlineStr">
        <is>
          <t>Not in catalogue. Public national master → 2026-27 differentiated fee €3,950; exemption to ~€254-255 depends on university quota (25% cap in 2027-28).</t>
        </is>
      </c>
      <c r="X127" s="25" t="inlineStr">
        <is>
          <t>Medium</t>
        </is>
      </c>
      <c r="Y127" s="25" t="n"/>
      <c r="Z127" s="26" t="n"/>
      <c r="AA127" s="26" t="inlineStr">
        <is>
          <t>UCA board (Dec 2025) kept its partial-exemption framework for 2026-27 (pre-decree; re-check).</t>
        </is>
      </c>
      <c r="AB127" s="28" t="inlineStr">
        <is>
          <t>https://www.uca.fr/medias/fichier/delib-ca-20251205-15-tarifs-differencies_1765204050111-pdf</t>
        </is>
      </c>
      <c r="AC127" s="25" t="inlineStr">
        <is>
          <t>Open</t>
        </is>
      </c>
      <c r="AD127" s="25" t="inlineStr">
        <is>
          <t>2026-10-01</t>
        </is>
      </c>
      <c r="AE127" s="25" t="inlineStr">
        <is>
          <t>2027-03-15</t>
        </is>
      </c>
      <c r="AF127" s="25" t="inlineStr">
        <is>
          <t>No</t>
        </is>
      </c>
      <c r="AG127" s="28" t="inlineStr">
        <is>
          <t>https://www.uca.fr/formation/nos-formations/catalogue-des-formations/master-info</t>
        </is>
      </c>
      <c r="AH127" s="26" t="inlineStr">
        <is>
          <t>M1 Informatique ou équivalent (doctorants et ingénieurs pour les étudiants étrangers) pour l'admission en M2. Un test est recommandé seulement en anglais avec un niveau B2. Capacité d'accueil limitée à 15 places.</t>
        </is>
      </c>
      <c r="AI127" s="28" t="inlineStr">
        <is>
          <t>Open in EEF</t>
        </is>
      </c>
    </row>
    <row r="128" ht="32.8" customHeight="1" s="19">
      <c r="A128" s="25" t="n">
        <v>127</v>
      </c>
      <c r="B128" s="25" t="inlineStr">
        <is>
          <t>★★★☆☆</t>
        </is>
      </c>
      <c r="C128" s="25" t="inlineStr">
        <is>
          <t>3 – Adjacent (AI/data/CS/cyber/energy)</t>
        </is>
      </c>
      <c r="D128" s="25" t="inlineStr">
        <is>
          <t>Computer science / Software</t>
        </is>
      </c>
      <c r="E128" s="26" t="inlineStr">
        <is>
          <t>Master indifférencié (recherche et professionnel) Sciences, technologies, santé mention Informatique parcours Parcours international EIPHI*</t>
        </is>
      </c>
      <c r="F128" s="26" t="inlineStr">
        <is>
          <t>Science, Technology, Health (STS) – major: Computer Science – track: track: international EIPHI*</t>
        </is>
      </c>
      <c r="G128" s="25" t="inlineStr">
        <is>
          <t>Master indifférencié (recherche et professionnel)</t>
        </is>
      </c>
      <c r="H128" s="25" t="inlineStr">
        <is>
          <t>UFR Sciences et Techniques</t>
        </is>
      </c>
      <c r="I128" s="25" t="inlineStr">
        <is>
          <t>Université Marie et Louis Pasteur</t>
        </is>
      </c>
      <c r="J128" s="25" t="inlineStr">
        <is>
          <t>Site de Besançon</t>
        </is>
      </c>
      <c r="K128" s="25" t="inlineStr">
        <is>
          <t>25030 BESANCON CEDEX</t>
        </is>
      </c>
      <c r="L128" s="25" t="inlineStr">
        <is>
          <t>Public university</t>
        </is>
      </c>
      <c r="M128" s="25" t="inlineStr">
        <is>
          <t>English</t>
        </is>
      </c>
      <c r="N128" s="25" t="inlineStr">
        <is>
          <t>Taught in English</t>
        </is>
      </c>
      <c r="O128" s="25" t="inlineStr">
        <is>
          <t>Bac +4</t>
        </is>
      </c>
      <c r="P128" s="26" t="inlineStr">
        <is>
          <t>Eligible on level (4-yr BS ≈ Bac+4)</t>
        </is>
      </c>
      <c r="Q128" s="25" t="inlineStr">
        <is>
          <t>1</t>
        </is>
      </c>
      <c r="R128" s="25" t="inlineStr">
        <is>
          <t>12</t>
        </is>
      </c>
      <c r="S128" s="27" t="n">
        <v>3950</v>
      </c>
      <c r="T128" s="27" t="n">
        <v>255</v>
      </c>
      <c r="U128" s="25" t="n">
        <v>2</v>
      </c>
      <c r="V128" s="27">
        <f>IF(S128="","",S128*U128)</f>
        <v/>
      </c>
      <c r="W128" s="26" t="inlineStr">
        <is>
          <t>Not in catalogue. Public national master → 2026-27 differentiated fee €3,950; exemption to ~€254-255 depends on university quota (25% cap in 2027-28).</t>
        </is>
      </c>
      <c r="X128" s="25" t="inlineStr">
        <is>
          <t>Medium</t>
        </is>
      </c>
      <c r="Y128" s="25" t="n"/>
      <c r="Z128" s="26" t="n"/>
      <c r="AA128" s="26" t="inlineStr">
        <is>
          <t>UMLP: individual exemption requests assessed on personal resources.</t>
        </is>
      </c>
      <c r="AB128" s="28" t="inlineStr">
        <is>
          <t>https://www.umlp.fr/sites/default/files/2026-07-02-page-droits-differencies-vf.pdf</t>
        </is>
      </c>
      <c r="AC128" s="25" t="inlineStr">
        <is>
          <t>Open</t>
        </is>
      </c>
      <c r="AD128" s="25" t="inlineStr">
        <is>
          <t>2026-10-01</t>
        </is>
      </c>
      <c r="AE128" s="25" t="inlineStr">
        <is>
          <t>2027-03-15</t>
        </is>
      </c>
      <c r="AF128" s="25" t="inlineStr">
        <is>
          <t>No</t>
        </is>
      </c>
      <c r="AG128" s="28" t="inlineStr">
        <is>
          <t>https://taughtie.campusfrance.org/tiesearch/#/program/3544</t>
        </is>
      </c>
      <c r="AH128" s="26" t="inlineStr">
        <is>
          <t>We are looking for motivated students interested in computer science and its applications in Information Technology and Engineering Sciences. A precise description of program's expectations and goals can be found at http</t>
        </is>
      </c>
      <c r="AI128" s="28" t="inlineStr">
        <is>
          <t>Open in EEF</t>
        </is>
      </c>
    </row>
    <row r="129" ht="32.8" customHeight="1" s="19">
      <c r="A129" s="25" t="n">
        <v>128</v>
      </c>
      <c r="B129" s="25" t="inlineStr">
        <is>
          <t>★★★☆☆</t>
        </is>
      </c>
      <c r="C129" s="25" t="inlineStr">
        <is>
          <t>3 – Adjacent (AI/data/CS/cyber/energy)</t>
        </is>
      </c>
      <c r="D129" s="25" t="inlineStr">
        <is>
          <t>Computer science / Software</t>
        </is>
      </c>
      <c r="E129" s="26" t="inlineStr">
        <is>
          <t>Master Sciences, technologies, santé Information Technology for Smart and Sustainable Mobility (IT4SSM) - EUNICE Alliance</t>
        </is>
      </c>
      <c r="F129" s="26" t="inlineStr">
        <is>
          <t>Master Science, Technology, Health (STS) Information Technology for Smart and Sustainable Mobility (IT4SSM) - EUNICE Alliance</t>
        </is>
      </c>
      <c r="G129" s="25" t="inlineStr">
        <is>
          <t>Master indifférencié (recherche et professionnel)</t>
        </is>
      </c>
      <c r="H129" s="25" t="inlineStr">
        <is>
          <t>INSA HAUTS-DE-FRANCE</t>
        </is>
      </c>
      <c r="I129" s="25" t="inlineStr">
        <is>
          <t>Université polytechnique Hauts-de-France (UPHF)</t>
        </is>
      </c>
      <c r="J129" s="25" t="inlineStr">
        <is>
          <t>Site de Valenciennes</t>
        </is>
      </c>
      <c r="K129" s="25" t="n"/>
      <c r="L129" s="25" t="inlineStr">
        <is>
          <t>Public school / institute</t>
        </is>
      </c>
      <c r="M129" s="25" t="inlineStr">
        <is>
          <t>English</t>
        </is>
      </c>
      <c r="N129" s="25" t="inlineStr">
        <is>
          <t>General</t>
        </is>
      </c>
      <c r="O129" s="25" t="inlineStr">
        <is>
          <t>Bac +4</t>
        </is>
      </c>
      <c r="P129" s="26" t="inlineStr">
        <is>
          <t>Eligible on level (4-yr BS ≈ Bac+4)</t>
        </is>
      </c>
      <c r="Q129" s="25" t="inlineStr">
        <is>
          <t>1</t>
        </is>
      </c>
      <c r="R129" s="25" t="inlineStr">
        <is>
          <t>10</t>
        </is>
      </c>
      <c r="S129" s="27" t="n">
        <v>3950</v>
      </c>
      <c r="T129" s="27" t="n">
        <v>255</v>
      </c>
      <c r="U129" s="25" t="n">
        <v>2</v>
      </c>
      <c r="V129" s="27">
        <f>IF(S129="","",S129*U129)</f>
        <v/>
      </c>
      <c r="W129" s="26" t="inlineStr">
        <is>
          <t>Not in catalogue. Public national master → 2026-27 differentiated fee €3,950; exemption to ~€254-255 depends on university quota (25% cap in 2027-28).</t>
        </is>
      </c>
      <c r="X129" s="25" t="inlineStr">
        <is>
          <t>Medium</t>
        </is>
      </c>
      <c r="Y129" s="25" t="n"/>
      <c r="Z129" s="26" t="n"/>
      <c r="AA129" s="26" t="n"/>
      <c r="AB129" s="25" t="n"/>
      <c r="AC129" s="25" t="inlineStr">
        <is>
          <t>Open</t>
        </is>
      </c>
      <c r="AD129" s="25" t="inlineStr">
        <is>
          <t>2026-10-01</t>
        </is>
      </c>
      <c r="AE129" s="25" t="inlineStr">
        <is>
          <t>2027-03-15</t>
        </is>
      </c>
      <c r="AF129" s="25" t="inlineStr">
        <is>
          <t>No</t>
        </is>
      </c>
      <c r="AG129" s="28" t="inlineStr">
        <is>
          <t>https://formations.uphf.fr/fr/formations/master-master/master-informatique-KZZQ4B8O/information-technology-for-smart-and-sustainable-mobility-it4ssm-eunice-alliance-LS4R6Q1G.html</t>
        </is>
      </c>
      <c r="AH129" s="26" t="inlineStr">
        <is>
          <t>ADMISSION REQUIREMENTS :For the first year - Master 1 : open to students with Bachelor degree in computer science (after a licence / bachelor), or another engineering or technology specialty that fulfills the following r</t>
        </is>
      </c>
      <c r="AI129" s="28" t="inlineStr">
        <is>
          <t>Open in EEF</t>
        </is>
      </c>
    </row>
    <row r="130" ht="43.25" customHeight="1" s="19">
      <c r="A130" s="25" t="n">
        <v>129</v>
      </c>
      <c r="B130" s="25" t="inlineStr">
        <is>
          <t>★★★☆☆</t>
        </is>
      </c>
      <c r="C130" s="25" t="inlineStr">
        <is>
          <t>3 – Adjacent (AI/data/CS/cyber/energy)</t>
        </is>
      </c>
      <c r="D130" s="25" t="inlineStr">
        <is>
          <t>Computer science / Software</t>
        </is>
      </c>
      <c r="E130" s="26" t="inlineStr">
        <is>
          <t>Master indifférencié (recherche et professionnel) Sciences, technologies, santé mention mathématiques et leurs applications parcours Méthodes Stochastiques et Informatique pour la Décision MSID</t>
        </is>
      </c>
      <c r="F130" s="26" t="inlineStr">
        <is>
          <t>Science, Technology, Health (STS) – major: Mathematics &amp; their Applications – track: Methods Stochastiques &amp; Computer Science for the Decision MSID</t>
        </is>
      </c>
      <c r="G130" s="25" t="inlineStr">
        <is>
          <t>Master indifférencié (recherche et professionnel)</t>
        </is>
      </c>
      <c r="H130" s="25" t="inlineStr">
        <is>
          <t>Collège STEE - Sciences et Technologies pour l'Energie et l'Environnement</t>
        </is>
      </c>
      <c r="I130" s="25" t="inlineStr">
        <is>
          <t>Université Pau et Pays de l'Adour</t>
        </is>
      </c>
      <c r="J130" s="25" t="inlineStr">
        <is>
          <t>Collège STEE - site de Pau</t>
        </is>
      </c>
      <c r="K130" s="25" t="n"/>
      <c r="L130" s="25" t="inlineStr">
        <is>
          <t>Public university</t>
        </is>
      </c>
      <c r="M130" s="25" t="inlineStr">
        <is>
          <t>French &amp; English</t>
        </is>
      </c>
      <c r="N130" s="25" t="inlineStr">
        <is>
          <t>General</t>
        </is>
      </c>
      <c r="O130" s="25" t="inlineStr">
        <is>
          <t>Bac +4 / Bac +5</t>
        </is>
      </c>
      <c r="P130" s="26" t="inlineStr">
        <is>
          <t>Eligible on level (4-yr BS ≈ Bac+4)</t>
        </is>
      </c>
      <c r="Q130" s="25" t="inlineStr">
        <is>
          <t>1/2</t>
        </is>
      </c>
      <c r="R130" s="25" t="n"/>
      <c r="S130" s="27" t="n">
        <v>3950</v>
      </c>
      <c r="T130" s="27" t="n">
        <v>255</v>
      </c>
      <c r="U130" s="25" t="n">
        <v>2</v>
      </c>
      <c r="V130" s="27">
        <f>IF(S130="","",S130*U130)</f>
        <v/>
      </c>
      <c r="W130" s="26" t="inlineStr">
        <is>
          <t>Catalogue: €3,950. = national differentiated master fee (2026-27: €3,950). Exemption to ~€255 possible (university quota).</t>
        </is>
      </c>
      <c r="X130" s="25" t="inlineStr">
        <is>
          <t>High</t>
        </is>
      </c>
      <c r="Y130" s="25" t="inlineStr">
        <is>
          <t>3950</t>
        </is>
      </c>
      <c r="Z130" s="26" t="inlineStr">
        <is>
          <t>oits d'inscription nationaux pour une inscription en formation initiale s'élèvent à 3 950 € / an (les droits différenciés sont appliqués aux … ployeur, par exemple) doivent payer des droits spécifiques , s'élevant au mi</t>
        </is>
      </c>
      <c r="AA130" s="26" t="n"/>
      <c r="AB130" s="25" t="n"/>
      <c r="AC130" s="25" t="inlineStr">
        <is>
          <t>Open</t>
        </is>
      </c>
      <c r="AD130" s="25" t="inlineStr">
        <is>
          <t>2026-10-01</t>
        </is>
      </c>
      <c r="AE130" s="25" t="inlineStr">
        <is>
          <t>2027-03-15</t>
        </is>
      </c>
      <c r="AF130" s="25" t="inlineStr">
        <is>
          <t>No</t>
        </is>
      </c>
      <c r="AG130" s="28" t="inlineStr">
        <is>
          <t>https://formation.univ-pau.fr/fr/catalogue/master-XB/master-mention-mathematiques-et-applications-L3Y9AGO1/parcours-methodes-stochastiques-et-informatiques-pour-la-decision-L3Y9BRCU.html</t>
        </is>
      </c>
      <c r="AH130" s="26" t="inlineStr">
        <is>
          <t>Compétences fondamentales requises pour accéder à la formation Niveau licence de mathématiques en analyse, algèbre linéaire et bilinéaire Niveau licence de mathématiques en probabilités Notions en programmation et bases</t>
        </is>
      </c>
      <c r="AI130" s="28" t="inlineStr">
        <is>
          <t>Open in EEF</t>
        </is>
      </c>
    </row>
    <row r="131" ht="32.8" customHeight="1" s="19">
      <c r="A131" s="25" t="n">
        <v>130</v>
      </c>
      <c r="B131" s="25" t="inlineStr">
        <is>
          <t>★★★☆☆</t>
        </is>
      </c>
      <c r="C131" s="25" t="inlineStr">
        <is>
          <t>3 – Adjacent (AI/data/CS/cyber/energy)</t>
        </is>
      </c>
      <c r="D131" s="25" t="inlineStr">
        <is>
          <t>Computer science / Software</t>
        </is>
      </c>
      <c r="E131" s="26" t="inlineStr">
        <is>
          <t>Master Indifférencié Sciences, technologies, santé mention informatique parcours Graduate Programme Smart Computing</t>
        </is>
      </c>
      <c r="F131" s="26" t="inlineStr">
        <is>
          <t>Master Indifférencié Science, Technology, Health (STS) – major: Computer Science – track: Graduate Programme Smart Computing</t>
        </is>
      </c>
      <c r="G131" s="25" t="inlineStr">
        <is>
          <t>Master indifférencié (recherche et professionnel)</t>
        </is>
      </c>
      <c r="H131" s="25" t="inlineStr">
        <is>
          <t>UFR de sciences et techniques</t>
        </is>
      </c>
      <c r="I131" s="25" t="inlineStr">
        <is>
          <t>Nantes Université</t>
        </is>
      </c>
      <c r="J131" s="25" t="inlineStr">
        <is>
          <t>Site de Nantes</t>
        </is>
      </c>
      <c r="K131" s="25" t="n"/>
      <c r="L131" s="25" t="inlineStr">
        <is>
          <t>Public university</t>
        </is>
      </c>
      <c r="M131" s="25" t="inlineStr">
        <is>
          <t>French &amp; English</t>
        </is>
      </c>
      <c r="N131" s="25" t="inlineStr">
        <is>
          <t>General</t>
        </is>
      </c>
      <c r="O131" s="25" t="inlineStr">
        <is>
          <t>Bac +4 / Bac +5</t>
        </is>
      </c>
      <c r="P131" s="26" t="inlineStr">
        <is>
          <t>Eligible on level (4-yr BS ≈ Bac+4)</t>
        </is>
      </c>
      <c r="Q131" s="25" t="inlineStr">
        <is>
          <t>1/2</t>
        </is>
      </c>
      <c r="R131" s="25" t="n"/>
      <c r="S131" s="27" t="n">
        <v>3950</v>
      </c>
      <c r="T131" s="27" t="n">
        <v>255</v>
      </c>
      <c r="U131" s="25" t="n">
        <v>2</v>
      </c>
      <c r="V131" s="27">
        <f>IF(S131="","",S131*U131)</f>
        <v/>
      </c>
      <c r="W131" s="26" t="inlineStr">
        <is>
          <t>Catalogue: €3,950. = national differentiated master fee (2026-27: €3,950). Exemption to ~€255 possible (university quota).</t>
        </is>
      </c>
      <c r="X131" s="25" t="inlineStr">
        <is>
          <t>High</t>
        </is>
      </c>
      <c r="Y131" s="25" t="inlineStr">
        <is>
          <t>3950</t>
        </is>
      </c>
      <c r="Z131" s="26" t="n"/>
      <c r="AA131" s="26" t="n"/>
      <c r="AB131" s="25" t="n"/>
      <c r="AC131" s="25" t="inlineStr">
        <is>
          <t>Open</t>
        </is>
      </c>
      <c r="AD131" s="25" t="inlineStr">
        <is>
          <t>2026-10-01</t>
        </is>
      </c>
      <c r="AE131" s="25" t="inlineStr">
        <is>
          <t>2027-03-15</t>
        </is>
      </c>
      <c r="AF131" s="25" t="inlineStr">
        <is>
          <t>Yes</t>
        </is>
      </c>
      <c r="AG131" s="28" t="inlineStr">
        <is>
          <t>https://sciences-techniques.univ-nantes.fr/formations/masters/graduate-programme-smart-computing-master-level</t>
        </is>
      </c>
      <c r="AH131" s="26" t="inlineStr">
        <is>
          <t>Vous souhaitez rejoindre notre formation et enrichir votre parcours académique en France ? Découvrez ci-dessous les conditions d'admission à Nantes Université, pour préparer votre dossier en toute sérénité. Master 1 : Pr</t>
        </is>
      </c>
      <c r="AI131" s="28" t="inlineStr">
        <is>
          <t>Open in EEF</t>
        </is>
      </c>
    </row>
    <row r="132" ht="32.8" customHeight="1" s="19">
      <c r="A132" s="25" t="n">
        <v>131</v>
      </c>
      <c r="B132" s="25" t="inlineStr">
        <is>
          <t>★★★☆☆</t>
        </is>
      </c>
      <c r="C132" s="25" t="inlineStr">
        <is>
          <t>3 – Adjacent (AI/data/CS/cyber/energy)</t>
        </is>
      </c>
      <c r="D132" s="25" t="inlineStr">
        <is>
          <t>AI / Data science</t>
        </is>
      </c>
      <c r="E132" s="26" t="inlineStr">
        <is>
          <t>Master Sciences, technologies, santé, mention Informatique Intelligence Artificielle</t>
        </is>
      </c>
      <c r="F132" s="26" t="inlineStr">
        <is>
          <t>Master Science, Technology, Health (STS), – major: Computer Science Artificial Intelligence</t>
        </is>
      </c>
      <c r="G132" s="25" t="inlineStr">
        <is>
          <t>Master indifférencié (recherche et professionnel)</t>
        </is>
      </c>
      <c r="H132" s="25" t="inlineStr">
        <is>
          <t>Sciences</t>
        </is>
      </c>
      <c r="I132" s="25" t="inlineStr">
        <is>
          <t>Université Côte d'Azur</t>
        </is>
      </c>
      <c r="J132" s="25" t="inlineStr">
        <is>
          <t>Site de Sophia Tech</t>
        </is>
      </c>
      <c r="K132" s="25" t="n"/>
      <c r="L132" s="25" t="inlineStr">
        <is>
          <t>Public university</t>
        </is>
      </c>
      <c r="M132" s="25" t="inlineStr">
        <is>
          <t>French &amp; English</t>
        </is>
      </c>
      <c r="N132" s="25" t="inlineStr">
        <is>
          <t>General</t>
        </is>
      </c>
      <c r="O132" s="25" t="inlineStr">
        <is>
          <t>Bac +4</t>
        </is>
      </c>
      <c r="P132" s="26" t="inlineStr">
        <is>
          <t>Eligible on level (4-yr BS ≈ Bac+4)</t>
        </is>
      </c>
      <c r="Q132" s="25" t="inlineStr">
        <is>
          <t>1</t>
        </is>
      </c>
      <c r="R132" s="25" t="inlineStr">
        <is>
          <t>12</t>
        </is>
      </c>
      <c r="S132" s="27" t="n">
        <v>3950</v>
      </c>
      <c r="T132" s="27" t="n">
        <v>255</v>
      </c>
      <c r="U132" s="25" t="n">
        <v>2</v>
      </c>
      <c r="V132" s="27">
        <f>IF(S132="","",S132*U132)</f>
        <v/>
      </c>
      <c r="W132" s="26" t="inlineStr">
        <is>
          <t>Catalogue: €3,950. = national differentiated master fee (2026-27: €3,950). Exemption to ~€255 possible (university quota).</t>
        </is>
      </c>
      <c r="X132" s="25" t="inlineStr">
        <is>
          <t>High</t>
        </is>
      </c>
      <c r="Y132" s="25" t="inlineStr">
        <is>
          <t>3950</t>
        </is>
      </c>
      <c r="Z132" s="26" t="inlineStr">
        <is>
          <t>AUX ETUDIANTS EXTRACOMMUNAUTAIRES Pour l’année universitaire 2026-2027 : Licence : 2 902 € M</t>
        </is>
      </c>
      <c r="AA132" s="26" t="n"/>
      <c r="AB132" s="25" t="n"/>
      <c r="AC132" s="25" t="inlineStr">
        <is>
          <t>Open</t>
        </is>
      </c>
      <c r="AD132" s="25" t="inlineStr">
        <is>
          <t>2026-10-01</t>
        </is>
      </c>
      <c r="AE132" s="25" t="inlineStr">
        <is>
          <t>2027-03-15</t>
        </is>
      </c>
      <c r="AF132" s="25" t="inlineStr">
        <is>
          <t>No</t>
        </is>
      </c>
      <c r="AG132" s="28" t="inlineStr">
        <is>
          <t>https://univ-cotedazur.fr/formation/offre-de-formation/parcours-de-master/master-informatique-parcours-intelligence-artificielle</t>
        </is>
      </c>
      <c r="AH132" s="26" t="inlineStr">
        <is>
          <t>Diplôme : Licence en Informatique ou diplôme équivalent. Niveau académique : le candidat doit être classé parmi les 10 % meilleurs étudiants de sa promotion lors de sa dernière année d’études. Français : niveau B2 minimu</t>
        </is>
      </c>
      <c r="AI132" s="28" t="inlineStr">
        <is>
          <t>Open in EEF</t>
        </is>
      </c>
    </row>
    <row r="133" ht="32.8" customHeight="1" s="19">
      <c r="A133" s="25" t="n">
        <v>132</v>
      </c>
      <c r="B133" s="25" t="inlineStr">
        <is>
          <t>★★★☆☆</t>
        </is>
      </c>
      <c r="C133" s="25" t="inlineStr">
        <is>
          <t>3 – Adjacent (AI/data/CS/cyber/energy)</t>
        </is>
      </c>
      <c r="D133" s="25" t="inlineStr">
        <is>
          <t>AI / Data science</t>
        </is>
      </c>
      <c r="E133" s="26" t="inlineStr">
        <is>
          <t>Master Sciences, technologies, santé mention informatique parcours Artificial Intelligence For Connected Industries (AI4CI)</t>
        </is>
      </c>
      <c r="F133" s="26" t="inlineStr">
        <is>
          <t>Master Science, Technology, Health (STS) – major: Computer Science – track: Artificial Intelligence For Connected Industries (AI4CI)</t>
        </is>
      </c>
      <c r="G133" s="25" t="inlineStr">
        <is>
          <t>Master indifférencié (recherche et professionnel)</t>
        </is>
      </c>
      <c r="H133" s="25" t="inlineStr">
        <is>
          <t>Centre d'enseignement et de recherche en informatique</t>
        </is>
      </c>
      <c r="I133" s="25" t="inlineStr">
        <is>
          <t>Avignon Université</t>
        </is>
      </c>
      <c r="J133" s="25" t="inlineStr">
        <is>
          <t>Site de Avignon</t>
        </is>
      </c>
      <c r="K133" s="25" t="n"/>
      <c r="L133" s="25" t="inlineStr">
        <is>
          <t>Public university</t>
        </is>
      </c>
      <c r="M133" s="25" t="inlineStr">
        <is>
          <t>French &amp; English</t>
        </is>
      </c>
      <c r="N133" s="25" t="inlineStr">
        <is>
          <t>General</t>
        </is>
      </c>
      <c r="O133" s="25" t="inlineStr">
        <is>
          <t>Bac +4 / Bac +5</t>
        </is>
      </c>
      <c r="P133" s="26" t="inlineStr">
        <is>
          <t>Eligible on level (4-yr BS ≈ Bac+4)</t>
        </is>
      </c>
      <c r="Q133" s="25" t="inlineStr">
        <is>
          <t>1/2</t>
        </is>
      </c>
      <c r="R133" s="25" t="n"/>
      <c r="S133" s="27" t="n">
        <v>3950</v>
      </c>
      <c r="T133" s="27" t="n">
        <v>255</v>
      </c>
      <c r="U133" s="25" t="n">
        <v>2</v>
      </c>
      <c r="V133" s="27">
        <f>IF(S133="","",S133*U133)</f>
        <v/>
      </c>
      <c r="W133" s="26" t="inlineStr">
        <is>
          <t>Catalogue: €3,950. = national differentiated master fee (2026-27: €3,950). Exemption to ~€255 possible (university quota).</t>
        </is>
      </c>
      <c r="X133" s="25" t="inlineStr">
        <is>
          <t>High</t>
        </is>
      </c>
      <c r="Y133" s="25" t="inlineStr">
        <is>
          <t>3950</t>
        </is>
      </c>
      <c r="Z133" s="26" t="n"/>
      <c r="AA133" s="26" t="n"/>
      <c r="AB133" s="25" t="n"/>
      <c r="AC133" s="25" t="inlineStr">
        <is>
          <t>Open</t>
        </is>
      </c>
      <c r="AD133" s="25" t="inlineStr">
        <is>
          <t>2026-10-01</t>
        </is>
      </c>
      <c r="AE133" s="25" t="inlineStr">
        <is>
          <t>2027-03-15</t>
        </is>
      </c>
      <c r="AF133" s="25" t="inlineStr">
        <is>
          <t>No</t>
        </is>
      </c>
      <c r="AG133" s="28" t="inlineStr">
        <is>
          <t>https://ai4ci.eu/</t>
        </is>
      </c>
      <c r="AH133" s="26" t="inlineStr">
        <is>
          <t>Le master a une mention en informatique. Il fait partie d’un master international coordonné par le CNAM. AI4CI répond à un défi majeur auquel est confronté l'ensemble du secteur industriel européen : le besoin de profess</t>
        </is>
      </c>
      <c r="AI133" s="28" t="inlineStr">
        <is>
          <t>Open in EEF</t>
        </is>
      </c>
    </row>
    <row r="134" ht="53.7" customHeight="1" s="19">
      <c r="A134" s="25" t="n">
        <v>133</v>
      </c>
      <c r="B134" s="25" t="inlineStr">
        <is>
          <t>★★★☆☆</t>
        </is>
      </c>
      <c r="C134" s="25" t="inlineStr">
        <is>
          <t>3 – Adjacent (AI/data/CS/cyber/energy)</t>
        </is>
      </c>
      <c r="D134" s="25" t="inlineStr">
        <is>
          <t>Computer science / Software</t>
        </is>
      </c>
      <c r="E134" s="26" t="inlineStr">
        <is>
          <t>Master Sciences, technologies, santé, mention Informatique parcours Systèmes logiciels et calculs distribués (SLCD)</t>
        </is>
      </c>
      <c r="F134" s="26" t="inlineStr">
        <is>
          <t>Master Science, Technology, Health (STS), – major: Computer Science – track: Systems Software &amp; calculs Distributed (SLCD)</t>
        </is>
      </c>
      <c r="G134" s="25" t="inlineStr">
        <is>
          <t>Master indifférencié (recherche et professionnel)</t>
        </is>
      </c>
      <c r="H134" s="25" t="inlineStr">
        <is>
          <t>Sciences</t>
        </is>
      </c>
      <c r="I134" s="25" t="inlineStr">
        <is>
          <t>Université Côte d'Azur</t>
        </is>
      </c>
      <c r="J134" s="25" t="inlineStr">
        <is>
          <t>Site de Sophia Tech</t>
        </is>
      </c>
      <c r="K134" s="25" t="n"/>
      <c r="L134" s="25" t="inlineStr">
        <is>
          <t>Public university</t>
        </is>
      </c>
      <c r="M134" s="25" t="inlineStr">
        <is>
          <t>French &amp; English</t>
        </is>
      </c>
      <c r="N134" s="25" t="inlineStr">
        <is>
          <t>General</t>
        </is>
      </c>
      <c r="O134" s="25" t="inlineStr">
        <is>
          <t>Bac +4 / Bac +5</t>
        </is>
      </c>
      <c r="P134" s="26" t="inlineStr">
        <is>
          <t>Eligible on level (4-yr BS ≈ Bac+4)</t>
        </is>
      </c>
      <c r="Q134" s="25" t="inlineStr">
        <is>
          <t>1/2</t>
        </is>
      </c>
      <c r="R134" s="25" t="inlineStr">
        <is>
          <t>12</t>
        </is>
      </c>
      <c r="S134" s="27" t="n">
        <v>3950</v>
      </c>
      <c r="T134" s="27" t="n">
        <v>255</v>
      </c>
      <c r="U134" s="25" t="n">
        <v>2</v>
      </c>
      <c r="V134" s="27">
        <f>IF(S134="","",S134*U134)</f>
        <v/>
      </c>
      <c r="W134" s="26" t="inlineStr">
        <is>
          <t>Catalogue: €3,950. = national differentiated master fee (2026-27: €3,950). Exemption to ~€255 possible (university quota).</t>
        </is>
      </c>
      <c r="X134" s="25" t="inlineStr">
        <is>
          <t>High</t>
        </is>
      </c>
      <c r="Y134" s="25" t="inlineStr">
        <is>
          <t>3950</t>
        </is>
      </c>
      <c r="Z134" s="26" t="inlineStr">
        <is>
          <t>AUX ETUDIANTS EXTRACOMMUNAUTAIRES Pour l’année universitaire 2026-2027 : Licence : 2 902 € M PROCEDURE D’INSCRIPTION L’étudiant(e) doit effe … AUX ETUDIANTS EXTRACOMMUNAUTAIRES Pour l’année universitaire 2026-2027 : Li</t>
        </is>
      </c>
      <c r="AA134" s="26" t="n"/>
      <c r="AB134" s="25" t="n"/>
      <c r="AC134" s="25" t="inlineStr">
        <is>
          <t>Open</t>
        </is>
      </c>
      <c r="AD134" s="25" t="inlineStr">
        <is>
          <t>2026-10-01</t>
        </is>
      </c>
      <c r="AE134" s="25" t="inlineStr">
        <is>
          <t>2027-03-15</t>
        </is>
      </c>
      <c r="AF134" s="25" t="inlineStr">
        <is>
          <t>No</t>
        </is>
      </c>
      <c r="AG134" s="28" t="inlineStr">
        <is>
          <t>https://univ-cotedazur.fr/formation/offre-de-formation/parcours-de-master/master-informatique-parcours-systemes-logiciels-et-calculs-distribues</t>
        </is>
      </c>
      <c r="AH134" s="26" t="inlineStr">
        <is>
          <t>Connaissances fondamentales requises : solides bases en informatique, notamment en programmation, algorithmique, structures de données, systèmes et réseaux. Des connaissances en intelligence artificielle (IA) et en techn</t>
        </is>
      </c>
      <c r="AI134" s="28" t="inlineStr">
        <is>
          <t>Open in EEF</t>
        </is>
      </c>
    </row>
    <row r="135" ht="32.8" customHeight="1" s="19">
      <c r="A135" s="25" t="n">
        <v>134</v>
      </c>
      <c r="B135" s="25" t="inlineStr">
        <is>
          <t>★★★☆☆</t>
        </is>
      </c>
      <c r="C135" s="25" t="inlineStr">
        <is>
          <t>3 – Adjacent (AI/data/CS/cyber/energy)</t>
        </is>
      </c>
      <c r="D135" s="25" t="inlineStr">
        <is>
          <t>AI / Data science</t>
        </is>
      </c>
      <c r="E135" s="26" t="inlineStr">
        <is>
          <t>Master Sciences, technologies, santé, mention Ingénierie des systèmes complexes parcours Bioinformatique et Intelligence Artificielle</t>
        </is>
      </c>
      <c r="F135" s="26" t="inlineStr">
        <is>
          <t>Master Science, Technology, Health (STS), – major: Complex Systems Engineering – track: Bioinformatics &amp; Artificial Intelligence</t>
        </is>
      </c>
      <c r="G135" s="25" t="inlineStr">
        <is>
          <t>Master indifférencié (recherche et professionnel)</t>
        </is>
      </c>
      <c r="H135" s="25" t="inlineStr">
        <is>
          <t>Université de technologie de Compiègne</t>
        </is>
      </c>
      <c r="I135" s="25" t="n"/>
      <c r="J135" s="25" t="inlineStr">
        <is>
          <t>Site de Compiègne</t>
        </is>
      </c>
      <c r="K135" s="25" t="n"/>
      <c r="L135" s="25" t="inlineStr">
        <is>
          <t>Public university</t>
        </is>
      </c>
      <c r="M135" s="25" t="inlineStr">
        <is>
          <t>French &amp; English</t>
        </is>
      </c>
      <c r="N135" s="25" t="inlineStr">
        <is>
          <t>General</t>
        </is>
      </c>
      <c r="O135" s="25" t="inlineStr">
        <is>
          <t>Bac +4 / Bac +5</t>
        </is>
      </c>
      <c r="P135" s="26" t="inlineStr">
        <is>
          <t>Eligible on level (4-yr BS ≈ Bac+4)</t>
        </is>
      </c>
      <c r="Q135" s="25" t="inlineStr">
        <is>
          <t>1/2</t>
        </is>
      </c>
      <c r="R135" s="25" t="n"/>
      <c r="S135" s="27" t="n">
        <v>3950</v>
      </c>
      <c r="T135" s="27" t="n">
        <v>255</v>
      </c>
      <c r="U135" s="25" t="n">
        <v>2</v>
      </c>
      <c r="V135" s="27">
        <f>IF(S135="","",S135*U135)</f>
        <v/>
      </c>
      <c r="W135" s="26" t="inlineStr">
        <is>
          <t>Catalogue: €3,950. = national differentiated master fee (2026-27: €3,950). Exemption to ~€255 possible (university quota).</t>
        </is>
      </c>
      <c r="X135" s="25" t="inlineStr">
        <is>
          <t>High</t>
        </is>
      </c>
      <c r="Y135" s="25" t="inlineStr">
        <is>
          <t>3950</t>
        </is>
      </c>
      <c r="Z135" s="26" t="n"/>
      <c r="AA135" s="26" t="n"/>
      <c r="AB135" s="25" t="n"/>
      <c r="AC135" s="25" t="inlineStr">
        <is>
          <t>Open</t>
        </is>
      </c>
      <c r="AD135" s="25" t="inlineStr">
        <is>
          <t>2026-10-01</t>
        </is>
      </c>
      <c r="AE135" s="25" t="inlineStr">
        <is>
          <t>2027-03-15</t>
        </is>
      </c>
      <c r="AF135" s="25" t="inlineStr">
        <is>
          <t>No</t>
        </is>
      </c>
      <c r="AG135" s="25" t="n"/>
      <c r="AH135" s="26" t="inlineStr">
        <is>
          <t>Avoir validé le diplôme d'accès avec une moyenne supérieure ou égale à 12/20. Mentions de licences conseillées pour une entrée en M1 : Bioinformatique Mathématiques Informatique Sciences de la vie Biologie Biotechnologie</t>
        </is>
      </c>
      <c r="AI135" s="28" t="inlineStr">
        <is>
          <t>Open in EEF</t>
        </is>
      </c>
    </row>
    <row r="136" ht="32.8" customHeight="1" s="19">
      <c r="A136" s="25" t="n">
        <v>135</v>
      </c>
      <c r="B136" s="25" t="inlineStr">
        <is>
          <t>★★★☆☆</t>
        </is>
      </c>
      <c r="C136" s="25" t="inlineStr">
        <is>
          <t>3 – Adjacent (AI/data/CS/cyber/energy)</t>
        </is>
      </c>
      <c r="D136" s="25" t="inlineStr">
        <is>
          <t>AI / Data science</t>
        </is>
      </c>
      <c r="E136" s="26" t="inlineStr">
        <is>
          <t>Master Sciences, technologies, santé parcours Santé et Intelligence Artificielle</t>
        </is>
      </c>
      <c r="F136" s="26" t="inlineStr">
        <is>
          <t>Master Science, Technology, Health (STS) – track: Health &amp; Artificial Intelligence</t>
        </is>
      </c>
      <c r="G136" s="25" t="inlineStr">
        <is>
          <t>Master indifférencié (recherche et professionnel)</t>
        </is>
      </c>
      <c r="H136" s="25" t="inlineStr">
        <is>
          <t>UFR de Sciences et techniques</t>
        </is>
      </c>
      <c r="I136" s="25" t="inlineStr">
        <is>
          <t>Université Bourgogne Europe</t>
        </is>
      </c>
      <c r="J136" s="25" t="inlineStr">
        <is>
          <t>Site de Dijon</t>
        </is>
      </c>
      <c r="K136" s="25" t="n"/>
      <c r="L136" s="25" t="inlineStr">
        <is>
          <t>Public university</t>
        </is>
      </c>
      <c r="M136" s="25" t="inlineStr">
        <is>
          <t>French &amp; English</t>
        </is>
      </c>
      <c r="N136" s="25" t="inlineStr">
        <is>
          <t>General</t>
        </is>
      </c>
      <c r="O136" s="25" t="inlineStr">
        <is>
          <t>Bac +4</t>
        </is>
      </c>
      <c r="P136" s="26" t="inlineStr">
        <is>
          <t>Eligible on level (4-yr BS ≈ Bac+4)</t>
        </is>
      </c>
      <c r="Q136" s="25" t="inlineStr">
        <is>
          <t>1</t>
        </is>
      </c>
      <c r="R136" s="25" t="n"/>
      <c r="S136" s="27" t="n">
        <v>3950</v>
      </c>
      <c r="T136" s="27" t="n">
        <v>255</v>
      </c>
      <c r="U136" s="25" t="n">
        <v>2</v>
      </c>
      <c r="V136" s="27">
        <f>IF(S136="","",S136*U136)</f>
        <v/>
      </c>
      <c r="W136" s="26" t="inlineStr">
        <is>
          <t>Catalogue: €3,950. = national differentiated master fee (2026-27: €3,950). Exemption to ~€255 possible (university quota).</t>
        </is>
      </c>
      <c r="X136" s="25" t="inlineStr">
        <is>
          <t>High</t>
        </is>
      </c>
      <c r="Y136" s="25" t="inlineStr">
        <is>
          <t>3950</t>
        </is>
      </c>
      <c r="Z136" s="26" t="n"/>
      <c r="AA136" s="26" t="n"/>
      <c r="AB136" s="25" t="n"/>
      <c r="AC136" s="25" t="inlineStr">
        <is>
          <t>Open</t>
        </is>
      </c>
      <c r="AD136" s="25" t="inlineStr">
        <is>
          <t>2026-10-01</t>
        </is>
      </c>
      <c r="AE136" s="25" t="inlineStr">
        <is>
          <t>2027-03-15</t>
        </is>
      </c>
      <c r="AF136" s="25" t="inlineStr">
        <is>
          <t>No</t>
        </is>
      </c>
      <c r="AG136" s="28" t="inlineStr">
        <is>
          <t>https://formations.ube.fr/fr/offre-de-formation/master-XB/master-informatique-LMGC26NA/sante-et-intelligence-artificielle-health-ai-LMGEPLWL.html</t>
        </is>
      </c>
      <c r="AH136" s="26" t="inlineStr">
        <is>
          <t>Le test de connaissance du français de niveau B2 est exigé pour cette formation, sauf pour les candidats issus de pays francophones et dont la langue officielle est le français. En ANGLAIS : B2 attesté par TOFL/TOEIC/IEL</t>
        </is>
      </c>
      <c r="AI136" s="28" t="inlineStr">
        <is>
          <t>Open in EEF</t>
        </is>
      </c>
    </row>
    <row r="137" ht="32.8" customHeight="1" s="19">
      <c r="A137" s="25" t="n">
        <v>136</v>
      </c>
      <c r="B137" s="25" t="inlineStr">
        <is>
          <t>★★★☆☆</t>
        </is>
      </c>
      <c r="C137" s="25" t="inlineStr">
        <is>
          <t>3 – Adjacent (AI/data/CS/cyber/energy)</t>
        </is>
      </c>
      <c r="D137" s="25" t="inlineStr">
        <is>
          <t>Computer science / Software</t>
        </is>
      </c>
      <c r="E137" s="26" t="inlineStr">
        <is>
          <t>diplôme d'ingénieur de l'Institut national des sciences appliquées de Rennes spécialité Informatique</t>
        </is>
      </c>
      <c r="F137" s="26" t="inlineStr">
        <is>
          <t>Engineering diploma of INSA of Rennes – specialisation: Computer Science</t>
        </is>
      </c>
      <c r="G137" s="25" t="inlineStr">
        <is>
          <t>Diplôme d'ingénieur</t>
        </is>
      </c>
      <c r="H137" s="25" t="inlineStr">
        <is>
          <t>Institut national des sciences appliquées de Rennes</t>
        </is>
      </c>
      <c r="I137" s="25" t="n"/>
      <c r="J137" s="25" t="inlineStr">
        <is>
          <t>Site de Rennes</t>
        </is>
      </c>
      <c r="K137" s="25" t="n"/>
      <c r="L137" s="25" t="inlineStr">
        <is>
          <t>Public school / institute</t>
        </is>
      </c>
      <c r="M137" s="25" t="inlineStr">
        <is>
          <t>French &amp; English</t>
        </is>
      </c>
      <c r="N137" s="25" t="inlineStr">
        <is>
          <t>General</t>
        </is>
      </c>
      <c r="O137" s="25" t="inlineStr">
        <is>
          <t>Bac +3 / Bac +4</t>
        </is>
      </c>
      <c r="P137" s="26" t="inlineStr">
        <is>
          <t>Eligible on level (4-yr BS ≈ Bac+4)</t>
        </is>
      </c>
      <c r="Q137" s="25" t="inlineStr">
        <is>
          <t>3/4</t>
        </is>
      </c>
      <c r="R137" s="25" t="n"/>
      <c r="S137" s="27" t="n">
        <v>3950</v>
      </c>
      <c r="T137" s="27" t="n">
        <v>628</v>
      </c>
      <c r="U137" s="25" t="n">
        <v>2</v>
      </c>
      <c r="V137" s="27">
        <f>IF(S137="","",S137*U137)</f>
        <v/>
      </c>
      <c r="W137" s="26" t="inlineStr">
        <is>
          <t>Not in catalogue. Public engineering diploma: national rate ~€601-628; many schools charge non-EU up to ~€3,950. Verify.</t>
        </is>
      </c>
      <c r="X137" s="25" t="inlineStr">
        <is>
          <t>Low</t>
        </is>
      </c>
      <c r="Y137" s="25" t="n"/>
      <c r="Z137" s="26" t="n"/>
      <c r="AA137" s="26" t="n"/>
      <c r="AB137" s="25" t="n"/>
      <c r="AC137" s="25" t="inlineStr">
        <is>
          <t>Open</t>
        </is>
      </c>
      <c r="AD137" s="25" t="inlineStr">
        <is>
          <t>2026-10-01</t>
        </is>
      </c>
      <c r="AE137" s="25" t="inlineStr">
        <is>
          <t>2027-03-15</t>
        </is>
      </c>
      <c r="AF137" s="25" t="inlineStr">
        <is>
          <t>Yes</t>
        </is>
      </c>
      <c r="AG137" s="28" t="inlineStr">
        <is>
          <t>http://www.insa-rennes.fr</t>
        </is>
      </c>
      <c r="AH137" s="26" t="inlineStr">
        <is>
          <t>Admissions en 3ème année du cycle ingénieur : candidatures à faire sur le site du groupe INSA : www.groupe-insa.fr/comment-candidater de début janvier à fin mars Admission en 4ème année du cycle ingénieur à l'INSA de Ren</t>
        </is>
      </c>
      <c r="AI137" s="28" t="inlineStr">
        <is>
          <t>Open in EEF</t>
        </is>
      </c>
    </row>
    <row r="138" ht="32.8" customHeight="1" s="19">
      <c r="A138" s="25" t="n">
        <v>137</v>
      </c>
      <c r="B138" s="25" t="inlineStr">
        <is>
          <t>★★★☆☆</t>
        </is>
      </c>
      <c r="C138" s="25" t="inlineStr">
        <is>
          <t>3 – Adjacent (AI/data/CS/cyber/energy)</t>
        </is>
      </c>
      <c r="D138" s="25" t="inlineStr">
        <is>
          <t>Other engineering / maths</t>
        </is>
      </c>
      <c r="E138" s="26" t="inlineStr">
        <is>
          <t>diplôme d'ingénieur de l'Institut national des sciences appliquées de Rennes spécialité Mathématiques Appliquées</t>
        </is>
      </c>
      <c r="F138" s="26" t="inlineStr">
        <is>
          <t>Engineering diploma of INSA of Rennes – specialisation: Applied Mathematics</t>
        </is>
      </c>
      <c r="G138" s="25" t="inlineStr">
        <is>
          <t>Diplôme d'ingénieur</t>
        </is>
      </c>
      <c r="H138" s="25" t="inlineStr">
        <is>
          <t>Institut national des sciences appliquées de Rennes</t>
        </is>
      </c>
      <c r="I138" s="25" t="n"/>
      <c r="J138" s="25" t="inlineStr">
        <is>
          <t>Site de Rennes</t>
        </is>
      </c>
      <c r="K138" s="25" t="n"/>
      <c r="L138" s="25" t="inlineStr">
        <is>
          <t>Public school / institute</t>
        </is>
      </c>
      <c r="M138" s="25" t="inlineStr">
        <is>
          <t>French &amp; English</t>
        </is>
      </c>
      <c r="N138" s="25" t="inlineStr">
        <is>
          <t>General</t>
        </is>
      </c>
      <c r="O138" s="25" t="inlineStr">
        <is>
          <t>Bac +3 / Bac +4</t>
        </is>
      </c>
      <c r="P138" s="26" t="inlineStr">
        <is>
          <t>Eligible on level (4-yr BS ≈ Bac+4)</t>
        </is>
      </c>
      <c r="Q138" s="25" t="inlineStr">
        <is>
          <t>3/4</t>
        </is>
      </c>
      <c r="R138" s="25" t="n"/>
      <c r="S138" s="27" t="n">
        <v>3950</v>
      </c>
      <c r="T138" s="27" t="n">
        <v>628</v>
      </c>
      <c r="U138" s="25" t="n">
        <v>2</v>
      </c>
      <c r="V138" s="27">
        <f>IF(S138="","",S138*U138)</f>
        <v/>
      </c>
      <c r="W138" s="26" t="inlineStr">
        <is>
          <t>Not in catalogue. Public engineering diploma: national rate ~€601-628; many schools charge non-EU up to ~€3,950. Verify.</t>
        </is>
      </c>
      <c r="X138" s="25" t="inlineStr">
        <is>
          <t>Low</t>
        </is>
      </c>
      <c r="Y138" s="25" t="n"/>
      <c r="Z138" s="26" t="n"/>
      <c r="AA138" s="26" t="n"/>
      <c r="AB138" s="25" t="n"/>
      <c r="AC138" s="25" t="inlineStr">
        <is>
          <t>Open</t>
        </is>
      </c>
      <c r="AD138" s="25" t="inlineStr">
        <is>
          <t>2026-10-01</t>
        </is>
      </c>
      <c r="AE138" s="25" t="inlineStr">
        <is>
          <t>2027-03-15</t>
        </is>
      </c>
      <c r="AF138" s="25" t="inlineStr">
        <is>
          <t>Yes</t>
        </is>
      </c>
      <c r="AG138" s="28" t="inlineStr">
        <is>
          <t>http://www.insa-rennes.fr</t>
        </is>
      </c>
      <c r="AH138" s="26" t="inlineStr">
        <is>
          <t>Admissions en 3ème année du cycle ingénieur : candidatures à faire sur le site du groupe INSA : www.groupe-insa.fr/comment-candidater du 20 janvier au 22 mars Admission en 4ème année du cycle ingénieur à l'INSA de Rennes</t>
        </is>
      </c>
      <c r="AI138" s="28" t="inlineStr">
        <is>
          <t>Open in EEF</t>
        </is>
      </c>
    </row>
    <row r="139" ht="32.8" customHeight="1" s="19">
      <c r="A139" s="25" t="n">
        <v>138</v>
      </c>
      <c r="B139" s="25" t="inlineStr">
        <is>
          <t>★★★☆☆</t>
        </is>
      </c>
      <c r="C139" s="25" t="inlineStr">
        <is>
          <t>3 – Adjacent (AI/data/CS/cyber/energy)</t>
        </is>
      </c>
      <c r="D139" s="25" t="inlineStr">
        <is>
          <t>Computer science / Software</t>
        </is>
      </c>
      <c r="E139" s="26" t="inlineStr">
        <is>
          <t>Diplôme d'Ingénieur de l'Université de Technologie de Troyes spécialité Informatique et Systèmes d'Information</t>
        </is>
      </c>
      <c r="F139" s="26" t="inlineStr">
        <is>
          <t>Engineering diploma of University of Technology of Troyes – specialisation: Computer Science &amp; Information Systems</t>
        </is>
      </c>
      <c r="G139" s="25" t="inlineStr">
        <is>
          <t>Diplôme d'ingénieur</t>
        </is>
      </c>
      <c r="H139" s="25" t="inlineStr">
        <is>
          <t>Université de technologie de Troyes</t>
        </is>
      </c>
      <c r="I139" s="25" t="n"/>
      <c r="J139" s="25" t="inlineStr">
        <is>
          <t>Site de Troyes</t>
        </is>
      </c>
      <c r="K139" s="25" t="n"/>
      <c r="L139" s="25" t="inlineStr">
        <is>
          <t>Public university</t>
        </is>
      </c>
      <c r="M139" s="25" t="inlineStr">
        <is>
          <t>French &amp; English</t>
        </is>
      </c>
      <c r="N139" s="25" t="inlineStr">
        <is>
          <t>General</t>
        </is>
      </c>
      <c r="O139" s="25" t="inlineStr">
        <is>
          <t>Bac +3 / Bac +4 / Bac +5</t>
        </is>
      </c>
      <c r="P139" s="26" t="inlineStr">
        <is>
          <t>Eligible on level (4-yr BS ≈ Bac+4)</t>
        </is>
      </c>
      <c r="Q139" s="25" t="inlineStr">
        <is>
          <t>3/4/5</t>
        </is>
      </c>
      <c r="R139" s="25" t="inlineStr">
        <is>
          <t>12</t>
        </is>
      </c>
      <c r="S139" s="27" t="n">
        <v>3950</v>
      </c>
      <c r="T139" s="27" t="n">
        <v>628</v>
      </c>
      <c r="U139" s="25" t="n">
        <v>2</v>
      </c>
      <c r="V139" s="27">
        <f>IF(S139="","",S139*U139)</f>
        <v/>
      </c>
      <c r="W139" s="26" t="inlineStr">
        <is>
          <t>Not in catalogue. Public engineering diploma: national rate ~€601-628; many schools charge non-EU up to ~€3,950. Verify.</t>
        </is>
      </c>
      <c r="X139" s="25" t="inlineStr">
        <is>
          <t>Low</t>
        </is>
      </c>
      <c r="Y139" s="25" t="n"/>
      <c r="Z139" s="26" t="n"/>
      <c r="AA139" s="26" t="n"/>
      <c r="AB139" s="25" t="n"/>
      <c r="AC139" s="25" t="inlineStr">
        <is>
          <t>Open</t>
        </is>
      </c>
      <c r="AD139" s="25" t="inlineStr">
        <is>
          <t>2026-10-01</t>
        </is>
      </c>
      <c r="AE139" s="25" t="inlineStr">
        <is>
          <t>2027-03-15</t>
        </is>
      </c>
      <c r="AF139" s="25" t="inlineStr">
        <is>
          <t>Yes</t>
        </is>
      </c>
      <c r="AG139" s="28" t="inlineStr">
        <is>
          <t>http://www.utt.fr</t>
        </is>
      </c>
      <c r="AH139" s="26" t="inlineStr">
        <is>
          <t>Admission en 1ère année de branche : La formation est ouverte, en 3ème année d'igénieur, aux titulaires d’un diplôme national conférant le grade de bac +2 minimum, d'un titre étranger ou français admis par équivalence, L</t>
        </is>
      </c>
      <c r="AI139" s="28" t="inlineStr">
        <is>
          <t>Open in EEF</t>
        </is>
      </c>
    </row>
    <row r="140" ht="32.8" customHeight="1" s="19">
      <c r="A140" s="25" t="n">
        <v>139</v>
      </c>
      <c r="B140" s="25" t="inlineStr">
        <is>
          <t>★★★☆☆</t>
        </is>
      </c>
      <c r="C140" s="25" t="inlineStr">
        <is>
          <t>3 – Adjacent (AI/data/CS/cyber/energy)</t>
        </is>
      </c>
      <c r="D140" s="25" t="inlineStr">
        <is>
          <t>AI / Data science</t>
        </is>
      </c>
      <c r="E140" s="26" t="inlineStr">
        <is>
          <t>Master of Science (MSc) Data Science &amp; Artificial Intelligence</t>
        </is>
      </c>
      <c r="F140" s="26" t="inlineStr">
        <is>
          <t>Master of Science (MSc) Data Science &amp; Artificial Intelligence</t>
        </is>
      </c>
      <c r="G140" s="25" t="inlineStr">
        <is>
          <t>Master of Science (MSc)</t>
        </is>
      </c>
      <c r="H140" s="25" t="inlineStr">
        <is>
          <t>MSc</t>
        </is>
      </c>
      <c r="I140" s="25" t="inlineStr">
        <is>
          <t>Université Côte d'Azur</t>
        </is>
      </c>
      <c r="J140" s="25" t="inlineStr">
        <is>
          <t>UniCA</t>
        </is>
      </c>
      <c r="K140" s="25" t="inlineStr">
        <is>
          <t>06100 Nice cedex</t>
        </is>
      </c>
      <c r="L140" s="25" t="inlineStr">
        <is>
          <t>Public university</t>
        </is>
      </c>
      <c r="M140" s="25" t="inlineStr">
        <is>
          <t>English</t>
        </is>
      </c>
      <c r="N140" s="25" t="inlineStr">
        <is>
          <t>Taught in English</t>
        </is>
      </c>
      <c r="O140" s="25" t="inlineStr">
        <is>
          <t>Bac +3 / Bac +4</t>
        </is>
      </c>
      <c r="P140" s="26" t="inlineStr">
        <is>
          <t>Eligible on level (4-yr BS ≈ Bac+4)</t>
        </is>
      </c>
      <c r="Q140" s="25" t="inlineStr">
        <is>
          <t>1/2</t>
        </is>
      </c>
      <c r="R140" s="25" t="inlineStr">
        <is>
          <t>12</t>
        </is>
      </c>
      <c r="S140" s="27" t="n">
        <v>5500</v>
      </c>
      <c r="T140" s="27" t="n"/>
      <c r="U140" s="25" t="n">
        <v>1</v>
      </c>
      <c r="V140" s="27">
        <f>IF(S140="","",S140*U140)</f>
        <v/>
      </c>
      <c r="W140" s="26" t="inlineStr">
        <is>
          <t>Catalogue fee €5,500/yr (entered by institution).</t>
        </is>
      </c>
      <c r="X140" s="25" t="inlineStr">
        <is>
          <t>High</t>
        </is>
      </c>
      <c r="Y140" s="25" t="inlineStr">
        <is>
          <t>5500</t>
        </is>
      </c>
      <c r="Z140" s="26" t="inlineStr">
        <is>
          <t>fr Fees: €5,500 per year for international students for the … fr Fees: €5,500 per year for international students for the</t>
        </is>
      </c>
      <c r="AA140" s="26" t="n"/>
      <c r="AB140" s="25" t="n"/>
      <c r="AC140" s="25" t="inlineStr">
        <is>
          <t>Open</t>
        </is>
      </c>
      <c r="AD140" s="25" t="inlineStr">
        <is>
          <t>2026-10-01</t>
        </is>
      </c>
      <c r="AE140" s="25" t="inlineStr">
        <is>
          <t>2027-03-15</t>
        </is>
      </c>
      <c r="AF140" s="25" t="inlineStr">
        <is>
          <t>Yes</t>
        </is>
      </c>
      <c r="AG140" s="28" t="inlineStr">
        <is>
          <t>https://univ-cotedazur.eu/msc/msc-data-science-and-artificial-intelligence</t>
        </is>
      </c>
      <c r="AH140" s="26" t="inlineStr">
        <is>
          <t>Admission will be done based on application files Applications for year 1 : Bachelor (Licence) in Mathematics, Computer Science or equivalent required. applications for year 2 : Master in Mathematics, Computer Science or</t>
        </is>
      </c>
      <c r="AI140" s="28" t="inlineStr">
        <is>
          <t>Open in EEF</t>
        </is>
      </c>
    </row>
    <row r="141" ht="32.8" customHeight="1" s="19">
      <c r="A141" s="25" t="n">
        <v>140</v>
      </c>
      <c r="B141" s="25" t="inlineStr">
        <is>
          <t>★★★☆☆</t>
        </is>
      </c>
      <c r="C141" s="25" t="inlineStr">
        <is>
          <t>3 – Adjacent (AI/data/CS/cyber/energy)</t>
        </is>
      </c>
      <c r="D141" s="25" t="inlineStr">
        <is>
          <t>Cybersecurity</t>
        </is>
      </c>
      <c r="E141" s="26" t="inlineStr">
        <is>
          <t>Master of Science in Information Technology (IT), track in Cybersecurity</t>
        </is>
      </c>
      <c r="F141" s="26" t="inlineStr">
        <is>
          <t>Master of Science in Information Technology (IT), track in Cybersecurity</t>
        </is>
      </c>
      <c r="G141" s="25" t="inlineStr">
        <is>
          <t>Master indifférencié (recherche et professionnel)</t>
        </is>
      </c>
      <c r="H141" s="25" t="inlineStr">
        <is>
          <t>IMT Atlantique</t>
        </is>
      </c>
      <c r="I141" s="25" t="inlineStr">
        <is>
          <t>IMT Atlantique</t>
        </is>
      </c>
      <c r="J141" s="25" t="inlineStr">
        <is>
          <t>Campus de Rennes</t>
        </is>
      </c>
      <c r="K141" s="25" t="n"/>
      <c r="L141" s="25" t="inlineStr">
        <is>
          <t>Public school / institute</t>
        </is>
      </c>
      <c r="M141" s="25" t="inlineStr">
        <is>
          <t>English</t>
        </is>
      </c>
      <c r="N141" s="25" t="inlineStr">
        <is>
          <t>Taught in English</t>
        </is>
      </c>
      <c r="O141" s="25" t="inlineStr">
        <is>
          <t>Bac +4 / Bac +5</t>
        </is>
      </c>
      <c r="P141" s="26" t="inlineStr">
        <is>
          <t>Eligible on level (4-yr BS ≈ Bac+4)</t>
        </is>
      </c>
      <c r="Q141" s="25" t="inlineStr">
        <is>
          <t>1/2</t>
        </is>
      </c>
      <c r="R141" s="25" t="n"/>
      <c r="S141" s="27" t="n">
        <v>6500</v>
      </c>
      <c r="T141" s="27" t="n"/>
      <c r="U141" s="25" t="n">
        <v>2</v>
      </c>
      <c r="V141" s="27">
        <f>IF(S141="","",S141*U141)</f>
        <v/>
      </c>
      <c r="W141" s="26" t="inlineStr">
        <is>
          <t>Catalogue fee €6,500/yr (entered by institution).</t>
        </is>
      </c>
      <c r="X141" s="25" t="inlineStr">
        <is>
          <t>High</t>
        </is>
      </c>
      <c r="Y141" s="25" t="inlineStr">
        <is>
          <t>6500</t>
        </is>
      </c>
      <c r="Z141" s="26" t="n"/>
      <c r="AA141" s="26" t="n"/>
      <c r="AB141" s="25" t="n"/>
      <c r="AC141" s="25" t="inlineStr">
        <is>
          <t>Open</t>
        </is>
      </c>
      <c r="AD141" s="25" t="inlineStr">
        <is>
          <t>2026-10-01</t>
        </is>
      </c>
      <c r="AE141" s="25" t="inlineStr">
        <is>
          <t>2027-03-15</t>
        </is>
      </c>
      <c r="AF141" s="25" t="inlineStr">
        <is>
          <t>Yes</t>
        </is>
      </c>
      <c r="AG141" s="28" t="inlineStr">
        <is>
          <t>https://www.imt-atlantique.fr/en/study/masters/msc/it-cybersecurity</t>
        </is>
      </c>
      <c r="AH141" s="26" t="inlineStr">
        <is>
          <t>100% taught in English Admission The entry requirements include a first-class Bachelor's degree or a four-year degree in one of the academic topics offered by the Master's course. Candidates have to show an outstanding a</t>
        </is>
      </c>
      <c r="AI141" s="28" t="inlineStr">
        <is>
          <t>Open in EEF</t>
        </is>
      </c>
    </row>
    <row r="142" ht="32.8" customHeight="1" s="19">
      <c r="A142" s="25" t="n">
        <v>141</v>
      </c>
      <c r="B142" s="25" t="inlineStr">
        <is>
          <t>★★★☆☆</t>
        </is>
      </c>
      <c r="C142" s="25" t="inlineStr">
        <is>
          <t>3 – Adjacent (AI/data/CS/cyber/energy)</t>
        </is>
      </c>
      <c r="D142" s="25" t="inlineStr">
        <is>
          <t>AI / Data science</t>
        </is>
      </c>
      <c r="E142" s="26" t="inlineStr">
        <is>
          <t>Master of Science in Information Technology (IT), track in Data Science (DS)</t>
        </is>
      </c>
      <c r="F142" s="26" t="inlineStr">
        <is>
          <t>Master of Science in Information Technology (IT), track in Data Science (DS)</t>
        </is>
      </c>
      <c r="G142" s="25" t="inlineStr">
        <is>
          <t>Master indifférencié (recherche et professionnel)</t>
        </is>
      </c>
      <c r="H142" s="25" t="inlineStr">
        <is>
          <t>IMT Atlantique</t>
        </is>
      </c>
      <c r="I142" s="25" t="inlineStr">
        <is>
          <t>IMT Atlantique</t>
        </is>
      </c>
      <c r="J142" s="25" t="inlineStr">
        <is>
          <t>Campus de Brest</t>
        </is>
      </c>
      <c r="K142" s="25" t="inlineStr">
        <is>
          <t>83818</t>
        </is>
      </c>
      <c r="L142" s="25" t="inlineStr">
        <is>
          <t>Public school / institute</t>
        </is>
      </c>
      <c r="M142" s="25" t="inlineStr">
        <is>
          <t>English</t>
        </is>
      </c>
      <c r="N142" s="25" t="inlineStr">
        <is>
          <t>Taught in English</t>
        </is>
      </c>
      <c r="O142" s="25" t="inlineStr">
        <is>
          <t>Bac +4 / Bac +5</t>
        </is>
      </c>
      <c r="P142" s="26" t="inlineStr">
        <is>
          <t>Eligible on level (4-yr BS ≈ Bac+4)</t>
        </is>
      </c>
      <c r="Q142" s="25" t="inlineStr">
        <is>
          <t>1/2</t>
        </is>
      </c>
      <c r="R142" s="25" t="n"/>
      <c r="S142" s="27" t="n">
        <v>6500</v>
      </c>
      <c r="T142" s="27" t="n"/>
      <c r="U142" s="25" t="n">
        <v>2</v>
      </c>
      <c r="V142" s="27">
        <f>IF(S142="","",S142*U142)</f>
        <v/>
      </c>
      <c r="W142" s="26" t="inlineStr">
        <is>
          <t>Catalogue fee €6,500/yr (entered by institution).</t>
        </is>
      </c>
      <c r="X142" s="25" t="inlineStr">
        <is>
          <t>High</t>
        </is>
      </c>
      <c r="Y142" s="25" t="inlineStr">
        <is>
          <t>6500</t>
        </is>
      </c>
      <c r="Z142" s="26" t="n"/>
      <c r="AA142" s="26" t="n"/>
      <c r="AB142" s="25" t="n"/>
      <c r="AC142" s="25" t="inlineStr">
        <is>
          <t>Open</t>
        </is>
      </c>
      <c r="AD142" s="25" t="inlineStr">
        <is>
          <t>2026-10-01</t>
        </is>
      </c>
      <c r="AE142" s="25" t="inlineStr">
        <is>
          <t>2027-03-15</t>
        </is>
      </c>
      <c r="AF142" s="25" t="inlineStr">
        <is>
          <t>Yes</t>
        </is>
      </c>
      <c r="AG142" s="28" t="inlineStr">
        <is>
          <t>https://www.imt-atlantique.fr/en/study/msc/it-ds</t>
        </is>
      </c>
      <c r="AH142" s="26" t="inlineStr">
        <is>
          <t>100% taught in English Admission This program is aimed at graduates with a Bachelor of Science or equivalent degree obtained after 4 years' higher education in fields such as Computer Science, Mathematics, etc. A good ba</t>
        </is>
      </c>
      <c r="AI142" s="28" t="inlineStr">
        <is>
          <t>Open in EEF</t>
        </is>
      </c>
    </row>
    <row r="143" ht="43.25" customHeight="1" s="19">
      <c r="A143" s="25" t="n">
        <v>142</v>
      </c>
      <c r="B143" s="25" t="inlineStr">
        <is>
          <t>★★★☆☆</t>
        </is>
      </c>
      <c r="C143" s="25" t="inlineStr">
        <is>
          <t>3 – Adjacent (AI/data/CS/cyber/energy)</t>
        </is>
      </c>
      <c r="D143" s="25" t="inlineStr">
        <is>
          <t>AI / Data science</t>
        </is>
      </c>
      <c r="E143" s="26" t="inlineStr">
        <is>
          <t>Mastère Spécialisé "Cybersécurité des Infrastructures et des Données"</t>
        </is>
      </c>
      <c r="F143" s="26" t="inlineStr">
        <is>
          <t>Specialised Master (MS) "Cybersecurity of Infrastructures &amp; of Data"</t>
        </is>
      </c>
      <c r="G143" s="25" t="inlineStr">
        <is>
          <t>Mastère spécialisé</t>
        </is>
      </c>
      <c r="H143" s="25" t="inlineStr">
        <is>
          <t>Télécom SudParis</t>
        </is>
      </c>
      <c r="I143" s="25" t="n"/>
      <c r="J143" s="25" t="inlineStr">
        <is>
          <t>Site de Palaiseau</t>
        </is>
      </c>
      <c r="K143" s="25" t="n"/>
      <c r="L143" s="25" t="inlineStr">
        <is>
          <t>Public school / institute</t>
        </is>
      </c>
      <c r="M143" s="25" t="inlineStr">
        <is>
          <t>French &amp; English</t>
        </is>
      </c>
      <c r="N143" s="25" t="inlineStr">
        <is>
          <t>General</t>
        </is>
      </c>
      <c r="O143" s="25" t="inlineStr">
        <is>
          <t>Bac +6</t>
        </is>
      </c>
      <c r="P143" s="26" t="inlineStr">
        <is>
          <t>Possible – MS rules allow Bac+4 + ≥3 yrs work experience (you have 3)</t>
        </is>
      </c>
      <c r="Q143" s="25" t="inlineStr">
        <is>
          <t>1</t>
        </is>
      </c>
      <c r="R143" s="25" t="inlineStr">
        <is>
          <t>13</t>
        </is>
      </c>
      <c r="S143" s="27" t="n">
        <v>8000</v>
      </c>
      <c r="T143" s="27" t="n"/>
      <c r="U143" s="25" t="n">
        <v>1</v>
      </c>
      <c r="V143" s="27">
        <f>IF(S143="","",S143*U143)</f>
        <v/>
      </c>
      <c r="W143" s="26" t="inlineStr">
        <is>
          <t>Catalogue fee €8,000/yr (entered by institution).</t>
        </is>
      </c>
      <c r="X143" s="25" t="inlineStr">
        <is>
          <t>High</t>
        </is>
      </c>
      <c r="Y143" s="25" t="inlineStr">
        <is>
          <t>8000</t>
        </is>
      </c>
      <c r="Z143" s="26" t="inlineStr">
        <is>
          <t>000 € - salariés (avec un financement de leur employeur … 000 € - alternants (financement par l'entreprise d'accu</t>
        </is>
      </c>
      <c r="AA143" s="26" t="n"/>
      <c r="AB143" s="25" t="n"/>
      <c r="AC143" s="25" t="inlineStr">
        <is>
          <t>Open</t>
        </is>
      </c>
      <c r="AD143" s="25" t="inlineStr">
        <is>
          <t>2026-10-01</t>
        </is>
      </c>
      <c r="AE143" s="25" t="inlineStr">
        <is>
          <t>2027-03-15</t>
        </is>
      </c>
      <c r="AF143" s="25" t="inlineStr">
        <is>
          <t>Yes</t>
        </is>
      </c>
      <c r="AG143" s="28" t="inlineStr">
        <is>
          <t>https://www.telecom-sudparis.eu/formation/mastere-specialise-cybersecurite/</t>
        </is>
      </c>
      <c r="AH143" s="26" t="inlineStr">
        <is>
          <t>« Cybersécurité des Infrastructures et des Données » TEMPS PARTIEL Titre RNCP36855 de niveau 7 : « Expe rt en Gouvernance de la Sécurité des Réseaux et des Systèmes (MS) » Les personnes concernées : professionnels de l’i</t>
        </is>
      </c>
      <c r="AI143" s="28" t="inlineStr">
        <is>
          <t>Open in EEF</t>
        </is>
      </c>
    </row>
    <row r="144" ht="43.25" customHeight="1" s="19">
      <c r="A144" s="25" t="n">
        <v>143</v>
      </c>
      <c r="B144" s="25" t="inlineStr">
        <is>
          <t>★★★☆☆</t>
        </is>
      </c>
      <c r="C144" s="25" t="inlineStr">
        <is>
          <t>3 – Adjacent (AI/data/CS/cyber/energy)</t>
        </is>
      </c>
      <c r="D144" s="25" t="inlineStr">
        <is>
          <t>IoT / Telecom / Networks</t>
        </is>
      </c>
      <c r="E144" s="26" t="inlineStr">
        <is>
          <t>Mastère Spécialisé "Réseaux et Services"</t>
        </is>
      </c>
      <c r="F144" s="26" t="inlineStr">
        <is>
          <t>Specialised Master (MS) "Networks &amp; Services"</t>
        </is>
      </c>
      <c r="G144" s="25" t="inlineStr">
        <is>
          <t>Mastère spécialisé</t>
        </is>
      </c>
      <c r="H144" s="25" t="inlineStr">
        <is>
          <t>Télécom SudParis</t>
        </is>
      </c>
      <c r="I144" s="25" t="n"/>
      <c r="J144" s="25" t="inlineStr">
        <is>
          <t>Site de Evry</t>
        </is>
      </c>
      <c r="K144" s="25" t="n"/>
      <c r="L144" s="25" t="inlineStr">
        <is>
          <t>Public school / institute</t>
        </is>
      </c>
      <c r="M144" s="25" t="inlineStr">
        <is>
          <t>French &amp; English</t>
        </is>
      </c>
      <c r="N144" s="25" t="inlineStr">
        <is>
          <t>General</t>
        </is>
      </c>
      <c r="O144" s="25" t="inlineStr">
        <is>
          <t>Bac +6</t>
        </is>
      </c>
      <c r="P144" s="26" t="inlineStr">
        <is>
          <t>Possible – MS rules allow Bac+4 + ≥3 yrs work experience (you have 3)</t>
        </is>
      </c>
      <c r="Q144" s="25" t="inlineStr">
        <is>
          <t>1</t>
        </is>
      </c>
      <c r="R144" s="25" t="inlineStr">
        <is>
          <t>13</t>
        </is>
      </c>
      <c r="S144" s="27" t="n">
        <v>8000</v>
      </c>
      <c r="T144" s="27" t="n"/>
      <c r="U144" s="25" t="n">
        <v>1</v>
      </c>
      <c r="V144" s="27">
        <f>IF(S144="","",S144*U144)</f>
        <v/>
      </c>
      <c r="W144" s="26" t="inlineStr">
        <is>
          <t>Catalogue fee €8,000/yr (entered by institution).</t>
        </is>
      </c>
      <c r="X144" s="25" t="inlineStr">
        <is>
          <t>High</t>
        </is>
      </c>
      <c r="Y144" s="25" t="inlineStr">
        <is>
          <t>8000</t>
        </is>
      </c>
      <c r="Z144" s="26" t="inlineStr">
        <is>
          <t>000 € - salariés (avec un financement de leur employeur … 500 € - alternants (financement par l'entreprise d'accu</t>
        </is>
      </c>
      <c r="AA144" s="26" t="n"/>
      <c r="AB144" s="25" t="n"/>
      <c r="AC144" s="25" t="inlineStr">
        <is>
          <t>Open</t>
        </is>
      </c>
      <c r="AD144" s="25" t="inlineStr">
        <is>
          <t>2026-10-01</t>
        </is>
      </c>
      <c r="AE144" s="25" t="inlineStr">
        <is>
          <t>2027-03-15</t>
        </is>
      </c>
      <c r="AF144" s="25" t="inlineStr">
        <is>
          <t>Yes</t>
        </is>
      </c>
      <c r="AG144" s="28" t="inlineStr">
        <is>
          <t>https://www.telecom-sudparis.eu/formation/mastere-specialise-reseaux-services/</t>
        </is>
      </c>
      <c r="AH144" s="26" t="inlineStr">
        <is>
          <t>Mastère Spécialisé® : Réseaux et Services - TEMPS PARTIEL Titre RNCP36854 de niveau 7 : « Expert en Infrastructures de Réseaux et en Services Associés » Les personnes concernées : professionnels de l’informatique, désire</t>
        </is>
      </c>
      <c r="AI144" s="28" t="inlineStr">
        <is>
          <t>Open in EEF</t>
        </is>
      </c>
    </row>
    <row r="145" ht="32.8" customHeight="1" s="19">
      <c r="A145" s="25" t="n">
        <v>144</v>
      </c>
      <c r="B145" s="25" t="inlineStr">
        <is>
          <t>★★★☆☆</t>
        </is>
      </c>
      <c r="C145" s="25" t="inlineStr">
        <is>
          <t>3 – Adjacent (AI/data/CS/cyber/energy)</t>
        </is>
      </c>
      <c r="D145" s="25" t="inlineStr">
        <is>
          <t>Computer science / Software</t>
        </is>
      </c>
      <c r="E145" s="26" t="inlineStr">
        <is>
          <t>Master's degree in Computer Science</t>
        </is>
      </c>
      <c r="F145" s="26" t="inlineStr">
        <is>
          <t>Master's degree in Computer Science</t>
        </is>
      </c>
      <c r="G145" s="25" t="inlineStr">
        <is>
          <t>Diplôme d'ingénieur</t>
        </is>
      </c>
      <c r="H145" s="25" t="inlineStr">
        <is>
          <t>CESI Ecole d'Ingénieurs</t>
        </is>
      </c>
      <c r="I145" s="25" t="inlineStr">
        <is>
          <t>CESI</t>
        </is>
      </c>
      <c r="J145" s="25" t="inlineStr">
        <is>
          <t>Campus d'Aix-en-Provence</t>
        </is>
      </c>
      <c r="K145" s="25" t="inlineStr">
        <is>
          <t>13290 Aix-en-Provence</t>
        </is>
      </c>
      <c r="L145" s="25" t="inlineStr">
        <is>
          <t>Private / EESPIG</t>
        </is>
      </c>
      <c r="M145" s="25" t="inlineStr">
        <is>
          <t>English</t>
        </is>
      </c>
      <c r="N145" s="25" t="inlineStr">
        <is>
          <t>Taught in English</t>
        </is>
      </c>
      <c r="O145" s="25" t="inlineStr">
        <is>
          <t>Bac +4</t>
        </is>
      </c>
      <c r="P145" s="26" t="inlineStr">
        <is>
          <t>Eligible on level (4-yr BS ≈ Bac+4)</t>
        </is>
      </c>
      <c r="Q145" s="25" t="inlineStr">
        <is>
          <t>1</t>
        </is>
      </c>
      <c r="R145" s="25" t="inlineStr">
        <is>
          <t>12</t>
        </is>
      </c>
      <c r="S145" s="27" t="n">
        <v>8500</v>
      </c>
      <c r="T145" s="27" t="n"/>
      <c r="U145" s="25" t="n">
        <v>2</v>
      </c>
      <c r="V145" s="27">
        <f>IF(S145="","",S145*U145)</f>
        <v/>
      </c>
      <c r="W145" s="26" t="inlineStr">
        <is>
          <t>Catalogue fee €8,500/yr (entered by institution).</t>
        </is>
      </c>
      <c r="X145" s="25" t="inlineStr">
        <is>
          <t>High</t>
        </is>
      </c>
      <c r="Y145" s="25" t="inlineStr">
        <is>
          <t>8500</t>
        </is>
      </c>
      <c r="Z145" s="26" t="n"/>
      <c r="AA145" s="26" t="n"/>
      <c r="AB145" s="25" t="n"/>
      <c r="AC145" s="25" t="inlineStr">
        <is>
          <t>Open</t>
        </is>
      </c>
      <c r="AD145" s="25" t="inlineStr">
        <is>
          <t>2026-10-01</t>
        </is>
      </c>
      <c r="AE145" s="25" t="inlineStr">
        <is>
          <t>2027-03-15</t>
        </is>
      </c>
      <c r="AF145" s="25" t="inlineStr">
        <is>
          <t>Yes</t>
        </is>
      </c>
      <c r="AG145" s="28" t="inlineStr">
        <is>
          <t>https://www.cesi.fr/en/trainings/master-degree-in-computer-science/</t>
        </is>
      </c>
      <c r="AH145" s="26" t="inlineStr">
        <is>
          <t>Admission to 1st year of master: Hold a diploma equivalent to a first-year university Master's degree, attesting to four years of higher education after the end of secondary school, in a scientific or technical field. At</t>
        </is>
      </c>
      <c r="AI145" s="28" t="inlineStr">
        <is>
          <t>Open in EEF</t>
        </is>
      </c>
    </row>
    <row r="146" ht="32.8" customHeight="1" s="19">
      <c r="A146" s="25" t="n">
        <v>145</v>
      </c>
      <c r="B146" s="25" t="inlineStr">
        <is>
          <t>★★★☆☆</t>
        </is>
      </c>
      <c r="C146" s="25" t="inlineStr">
        <is>
          <t>3 – Adjacent (AI/data/CS/cyber/energy)</t>
        </is>
      </c>
      <c r="D146" s="25" t="inlineStr">
        <is>
          <t>Computer science / Software</t>
        </is>
      </c>
      <c r="E146" s="26" t="inlineStr">
        <is>
          <t>Master's degree in Computer Science</t>
        </is>
      </c>
      <c r="F146" s="26" t="inlineStr">
        <is>
          <t>Master's degree in Computer Science</t>
        </is>
      </c>
      <c r="G146" s="25" t="inlineStr">
        <is>
          <t>Diplôme d'ingénieur</t>
        </is>
      </c>
      <c r="H146" s="25" t="inlineStr">
        <is>
          <t>CESI Ecole d'Ingénieurs</t>
        </is>
      </c>
      <c r="I146" s="25" t="inlineStr">
        <is>
          <t>CESI</t>
        </is>
      </c>
      <c r="J146" s="25" t="inlineStr">
        <is>
          <t>Campus de Lyon</t>
        </is>
      </c>
      <c r="K146" s="25" t="inlineStr">
        <is>
          <t>69100 VILLEURBANNE</t>
        </is>
      </c>
      <c r="L146" s="25" t="inlineStr">
        <is>
          <t>Private / EESPIG</t>
        </is>
      </c>
      <c r="M146" s="25" t="inlineStr">
        <is>
          <t>English</t>
        </is>
      </c>
      <c r="N146" s="25" t="inlineStr">
        <is>
          <t>Taught in English</t>
        </is>
      </c>
      <c r="O146" s="25" t="inlineStr">
        <is>
          <t>Bac +4</t>
        </is>
      </c>
      <c r="P146" s="26" t="inlineStr">
        <is>
          <t>Eligible on level (4-yr BS ≈ Bac+4)</t>
        </is>
      </c>
      <c r="Q146" s="25" t="inlineStr">
        <is>
          <t>1</t>
        </is>
      </c>
      <c r="R146" s="25" t="inlineStr">
        <is>
          <t>12</t>
        </is>
      </c>
      <c r="S146" s="27" t="n">
        <v>8500</v>
      </c>
      <c r="T146" s="27" t="n"/>
      <c r="U146" s="25" t="n">
        <v>2</v>
      </c>
      <c r="V146" s="27">
        <f>IF(S146="","",S146*U146)</f>
        <v/>
      </c>
      <c r="W146" s="26" t="inlineStr">
        <is>
          <t>Catalogue fee €8,500/yr (entered by institution).</t>
        </is>
      </c>
      <c r="X146" s="25" t="inlineStr">
        <is>
          <t>High</t>
        </is>
      </c>
      <c r="Y146" s="25" t="inlineStr">
        <is>
          <t>8500</t>
        </is>
      </c>
      <c r="Z146" s="26" t="n"/>
      <c r="AA146" s="26" t="n"/>
      <c r="AB146" s="25" t="n"/>
      <c r="AC146" s="25" t="inlineStr">
        <is>
          <t>Open</t>
        </is>
      </c>
      <c r="AD146" s="25" t="inlineStr">
        <is>
          <t>2026-10-01</t>
        </is>
      </c>
      <c r="AE146" s="25" t="inlineStr">
        <is>
          <t>2027-03-15</t>
        </is>
      </c>
      <c r="AF146" s="25" t="inlineStr">
        <is>
          <t>Yes</t>
        </is>
      </c>
      <c r="AG146" s="28" t="inlineStr">
        <is>
          <t>https://www.cesi.fr/en/trainings/master-degree-in-computer-science/</t>
        </is>
      </c>
      <c r="AH146" s="26" t="inlineStr">
        <is>
          <t>Admission to 1st year of master: Hold a diploma equivalent to a first-year university Master's degree, attesting to four years of higher education after the end of secondary school, in a scientific or technical field. At</t>
        </is>
      </c>
      <c r="AI146" s="28" t="inlineStr">
        <is>
          <t>Open in EEF</t>
        </is>
      </c>
    </row>
    <row r="147" ht="32.8" customHeight="1" s="19">
      <c r="A147" s="25" t="n">
        <v>146</v>
      </c>
      <c r="B147" s="25" t="inlineStr">
        <is>
          <t>★★★☆☆</t>
        </is>
      </c>
      <c r="C147" s="25" t="inlineStr">
        <is>
          <t>3 – Adjacent (AI/data/CS/cyber/energy)</t>
        </is>
      </c>
      <c r="D147" s="25" t="inlineStr">
        <is>
          <t>Computer science / Software</t>
        </is>
      </c>
      <c r="E147" s="26" t="inlineStr">
        <is>
          <t>Master's degree in Computer Science</t>
        </is>
      </c>
      <c r="F147" s="26" t="inlineStr">
        <is>
          <t>Master's degree in Computer Science</t>
        </is>
      </c>
      <c r="G147" s="25" t="inlineStr">
        <is>
          <t>Diplôme d'ingénieur</t>
        </is>
      </c>
      <c r="H147" s="25" t="inlineStr">
        <is>
          <t>CESI Ecole d'Ingénieurs</t>
        </is>
      </c>
      <c r="I147" s="25" t="inlineStr">
        <is>
          <t>CESI</t>
        </is>
      </c>
      <c r="J147" s="25" t="inlineStr">
        <is>
          <t>Campus de Paris</t>
        </is>
      </c>
      <c r="K147" s="25" t="inlineStr">
        <is>
          <t>92000 Nanterre</t>
        </is>
      </c>
      <c r="L147" s="25" t="inlineStr">
        <is>
          <t>Private / EESPIG</t>
        </is>
      </c>
      <c r="M147" s="25" t="inlineStr">
        <is>
          <t>English</t>
        </is>
      </c>
      <c r="N147" s="25" t="inlineStr">
        <is>
          <t>Taught in English</t>
        </is>
      </c>
      <c r="O147" s="25" t="inlineStr">
        <is>
          <t>Bac +4</t>
        </is>
      </c>
      <c r="P147" s="26" t="inlineStr">
        <is>
          <t>Eligible on level (4-yr BS ≈ Bac+4)</t>
        </is>
      </c>
      <c r="Q147" s="25" t="inlineStr">
        <is>
          <t>1</t>
        </is>
      </c>
      <c r="R147" s="25" t="inlineStr">
        <is>
          <t>12</t>
        </is>
      </c>
      <c r="S147" s="27" t="n">
        <v>8500</v>
      </c>
      <c r="T147" s="27" t="n"/>
      <c r="U147" s="25" t="n">
        <v>2</v>
      </c>
      <c r="V147" s="27">
        <f>IF(S147="","",S147*U147)</f>
        <v/>
      </c>
      <c r="W147" s="26" t="inlineStr">
        <is>
          <t>Catalogue fee €8,500/yr (entered by institution).</t>
        </is>
      </c>
      <c r="X147" s="25" t="inlineStr">
        <is>
          <t>High</t>
        </is>
      </c>
      <c r="Y147" s="25" t="inlineStr">
        <is>
          <t>8500</t>
        </is>
      </c>
      <c r="Z147" s="26" t="n"/>
      <c r="AA147" s="26" t="n"/>
      <c r="AB147" s="25" t="n"/>
      <c r="AC147" s="25" t="inlineStr">
        <is>
          <t>Open</t>
        </is>
      </c>
      <c r="AD147" s="25" t="inlineStr">
        <is>
          <t>2026-10-01</t>
        </is>
      </c>
      <c r="AE147" s="25" t="inlineStr">
        <is>
          <t>2027-03-15</t>
        </is>
      </c>
      <c r="AF147" s="25" t="inlineStr">
        <is>
          <t>Yes</t>
        </is>
      </c>
      <c r="AG147" s="28" t="inlineStr">
        <is>
          <t>https://www.cesi.fr/en/trainings/master-degree-in-computer-science/</t>
        </is>
      </c>
      <c r="AH147" s="26" t="inlineStr">
        <is>
          <t>Admission to 1st year of master: Hold a diploma equivalent to a first-year university Master's degree, attesting to four years of higher education after the end of secondary school, in a scientific or technical field. At</t>
        </is>
      </c>
      <c r="AI147" s="28" t="inlineStr">
        <is>
          <t>Open in EEF</t>
        </is>
      </c>
    </row>
    <row r="148" ht="32.8" customHeight="1" s="19">
      <c r="A148" s="25" t="n">
        <v>147</v>
      </c>
      <c r="B148" s="25" t="inlineStr">
        <is>
          <t>★★★☆☆</t>
        </is>
      </c>
      <c r="C148" s="25" t="inlineStr">
        <is>
          <t>3 – Adjacent (AI/data/CS/cyber/energy)</t>
        </is>
      </c>
      <c r="D148" s="25" t="inlineStr">
        <is>
          <t>Computer science / Software</t>
        </is>
      </c>
      <c r="E148" s="26" t="inlineStr">
        <is>
          <t>Master's degree in Computer Science</t>
        </is>
      </c>
      <c r="F148" s="26" t="inlineStr">
        <is>
          <t>Master's degree in Computer Science</t>
        </is>
      </c>
      <c r="G148" s="25" t="inlineStr">
        <is>
          <t>Diplôme d'ingénieur</t>
        </is>
      </c>
      <c r="H148" s="25" t="inlineStr">
        <is>
          <t>CESI Ecole d'Ingénieurs</t>
        </is>
      </c>
      <c r="I148" s="25" t="inlineStr">
        <is>
          <t>CESI</t>
        </is>
      </c>
      <c r="J148" s="25" t="inlineStr">
        <is>
          <t>Campus de Rouen</t>
        </is>
      </c>
      <c r="K148" s="25" t="inlineStr">
        <is>
          <t>76808 Saint Etienne du Rouvray</t>
        </is>
      </c>
      <c r="L148" s="25" t="inlineStr">
        <is>
          <t>Private / EESPIG</t>
        </is>
      </c>
      <c r="M148" s="25" t="inlineStr">
        <is>
          <t>English</t>
        </is>
      </c>
      <c r="N148" s="25" t="inlineStr">
        <is>
          <t>Taught in English</t>
        </is>
      </c>
      <c r="O148" s="25" t="inlineStr">
        <is>
          <t>Bac +4</t>
        </is>
      </c>
      <c r="P148" s="26" t="inlineStr">
        <is>
          <t>Eligible on level (4-yr BS ≈ Bac+4)</t>
        </is>
      </c>
      <c r="Q148" s="25" t="inlineStr">
        <is>
          <t>1</t>
        </is>
      </c>
      <c r="R148" s="25" t="inlineStr">
        <is>
          <t>12</t>
        </is>
      </c>
      <c r="S148" s="27" t="n">
        <v>8500</v>
      </c>
      <c r="T148" s="27" t="n"/>
      <c r="U148" s="25" t="n">
        <v>2</v>
      </c>
      <c r="V148" s="27">
        <f>IF(S148="","",S148*U148)</f>
        <v/>
      </c>
      <c r="W148" s="26" t="inlineStr">
        <is>
          <t>Catalogue fee €8,500/yr (entered by institution).</t>
        </is>
      </c>
      <c r="X148" s="25" t="inlineStr">
        <is>
          <t>High</t>
        </is>
      </c>
      <c r="Y148" s="25" t="inlineStr">
        <is>
          <t>8500</t>
        </is>
      </c>
      <c r="Z148" s="26" t="n"/>
      <c r="AA148" s="26" t="n"/>
      <c r="AB148" s="25" t="n"/>
      <c r="AC148" s="25" t="inlineStr">
        <is>
          <t>Open</t>
        </is>
      </c>
      <c r="AD148" s="25" t="inlineStr">
        <is>
          <t>2026-10-01</t>
        </is>
      </c>
      <c r="AE148" s="25" t="inlineStr">
        <is>
          <t>2027-03-15</t>
        </is>
      </c>
      <c r="AF148" s="25" t="inlineStr">
        <is>
          <t>Yes</t>
        </is>
      </c>
      <c r="AG148" s="28" t="inlineStr">
        <is>
          <t>https://www.cesi.fr/en/trainings/master-degree-in-computer-science/</t>
        </is>
      </c>
      <c r="AH148" s="26" t="inlineStr">
        <is>
          <t>Admission to 1st year of master: Hold a diploma equivalent to a first-year university Master's degree, attesting to four years of higher education after the end of secondary school, in a scientific or technical field. At</t>
        </is>
      </c>
      <c r="AI148" s="28" t="inlineStr">
        <is>
          <t>Open in EEF</t>
        </is>
      </c>
    </row>
    <row r="149" ht="32.8" customHeight="1" s="19">
      <c r="A149" s="25" t="n">
        <v>148</v>
      </c>
      <c r="B149" s="25" t="inlineStr">
        <is>
          <t>★★★☆☆</t>
        </is>
      </c>
      <c r="C149" s="25" t="inlineStr">
        <is>
          <t>3 – Adjacent (AI/data/CS/cyber/energy)</t>
        </is>
      </c>
      <c r="D149" s="25" t="inlineStr">
        <is>
          <t>Computer science / Software</t>
        </is>
      </c>
      <c r="E149" s="26" t="inlineStr">
        <is>
          <t>Master's degree in Computer Science</t>
        </is>
      </c>
      <c r="F149" s="26" t="inlineStr">
        <is>
          <t>Master's degree in Computer Science</t>
        </is>
      </c>
      <c r="G149" s="25" t="inlineStr">
        <is>
          <t>Diplôme d'ingénieur</t>
        </is>
      </c>
      <c r="H149" s="25" t="inlineStr">
        <is>
          <t>CESI Ecole d'Ingénieurs</t>
        </is>
      </c>
      <c r="I149" s="25" t="inlineStr">
        <is>
          <t>CESI</t>
        </is>
      </c>
      <c r="J149" s="25" t="inlineStr">
        <is>
          <t>Campus de Strasbourg</t>
        </is>
      </c>
      <c r="K149" s="25" t="inlineStr">
        <is>
          <t>67380 Lingolsheim</t>
        </is>
      </c>
      <c r="L149" s="25" t="inlineStr">
        <is>
          <t>Private / EESPIG</t>
        </is>
      </c>
      <c r="M149" s="25" t="inlineStr">
        <is>
          <t>English</t>
        </is>
      </c>
      <c r="N149" s="25" t="inlineStr">
        <is>
          <t>Taught in English</t>
        </is>
      </c>
      <c r="O149" s="25" t="inlineStr">
        <is>
          <t>Bac +4</t>
        </is>
      </c>
      <c r="P149" s="26" t="inlineStr">
        <is>
          <t>Eligible on level (4-yr BS ≈ Bac+4)</t>
        </is>
      </c>
      <c r="Q149" s="25" t="inlineStr">
        <is>
          <t>1</t>
        </is>
      </c>
      <c r="R149" s="25" t="inlineStr">
        <is>
          <t>12</t>
        </is>
      </c>
      <c r="S149" s="27" t="n">
        <v>8500</v>
      </c>
      <c r="T149" s="27" t="n"/>
      <c r="U149" s="25" t="n">
        <v>2</v>
      </c>
      <c r="V149" s="27">
        <f>IF(S149="","",S149*U149)</f>
        <v/>
      </c>
      <c r="W149" s="26" t="inlineStr">
        <is>
          <t>Catalogue fee €8,500/yr (entered by institution).</t>
        </is>
      </c>
      <c r="X149" s="25" t="inlineStr">
        <is>
          <t>High</t>
        </is>
      </c>
      <c r="Y149" s="25" t="inlineStr">
        <is>
          <t>8500</t>
        </is>
      </c>
      <c r="Z149" s="26" t="n"/>
      <c r="AA149" s="26" t="n"/>
      <c r="AB149" s="25" t="n"/>
      <c r="AC149" s="25" t="inlineStr">
        <is>
          <t>Open</t>
        </is>
      </c>
      <c r="AD149" s="25" t="inlineStr">
        <is>
          <t>2026-10-01</t>
        </is>
      </c>
      <c r="AE149" s="25" t="inlineStr">
        <is>
          <t>2027-03-15</t>
        </is>
      </c>
      <c r="AF149" s="25" t="inlineStr">
        <is>
          <t>Yes</t>
        </is>
      </c>
      <c r="AG149" s="28" t="inlineStr">
        <is>
          <t>https://www.cesi.fr/en/trainings/master-degree-in-computer-science/</t>
        </is>
      </c>
      <c r="AH149" s="26" t="inlineStr">
        <is>
          <t>Admission to 1st year of master: Hold a diploma equivalent to a first-year university Master's degree, attesting to four years of higher education after the end of secondary school, in a scientific or technical field. At</t>
        </is>
      </c>
      <c r="AI149" s="28" t="inlineStr">
        <is>
          <t>Open in EEF</t>
        </is>
      </c>
    </row>
    <row r="150" ht="32.8" customHeight="1" s="19">
      <c r="A150" s="25" t="n">
        <v>149</v>
      </c>
      <c r="B150" s="25" t="inlineStr">
        <is>
          <t>★★★☆☆</t>
        </is>
      </c>
      <c r="C150" s="25" t="inlineStr">
        <is>
          <t>3 – Adjacent (AI/data/CS/cyber/energy)</t>
        </is>
      </c>
      <c r="D150" s="25" t="inlineStr">
        <is>
          <t>Computer science / Software</t>
        </is>
      </c>
      <c r="E150" s="26" t="inlineStr">
        <is>
          <t>Master's degree in Computer Science</t>
        </is>
      </c>
      <c r="F150" s="26" t="inlineStr">
        <is>
          <t>Master's degree in Computer Science</t>
        </is>
      </c>
      <c r="G150" s="25" t="inlineStr">
        <is>
          <t>Diplôme d'ingénieur</t>
        </is>
      </c>
      <c r="H150" s="25" t="inlineStr">
        <is>
          <t>CESI Ecole d'Ingénieurs</t>
        </is>
      </c>
      <c r="I150" s="25" t="inlineStr">
        <is>
          <t>CESI</t>
        </is>
      </c>
      <c r="J150" s="25" t="inlineStr">
        <is>
          <t>Campus de Toulouse</t>
        </is>
      </c>
      <c r="K150" s="25" t="inlineStr">
        <is>
          <t>31670 Labège</t>
        </is>
      </c>
      <c r="L150" s="25" t="inlineStr">
        <is>
          <t>Private / EESPIG</t>
        </is>
      </c>
      <c r="M150" s="25" t="inlineStr">
        <is>
          <t>English</t>
        </is>
      </c>
      <c r="N150" s="25" t="inlineStr">
        <is>
          <t>Taught in English</t>
        </is>
      </c>
      <c r="O150" s="25" t="inlineStr">
        <is>
          <t>Bac +4</t>
        </is>
      </c>
      <c r="P150" s="26" t="inlineStr">
        <is>
          <t>Eligible on level (4-yr BS ≈ Bac+4)</t>
        </is>
      </c>
      <c r="Q150" s="25" t="inlineStr">
        <is>
          <t>1</t>
        </is>
      </c>
      <c r="R150" s="25" t="inlineStr">
        <is>
          <t>12</t>
        </is>
      </c>
      <c r="S150" s="27" t="n">
        <v>8500</v>
      </c>
      <c r="T150" s="27" t="n"/>
      <c r="U150" s="25" t="n">
        <v>2</v>
      </c>
      <c r="V150" s="27">
        <f>IF(S150="","",S150*U150)</f>
        <v/>
      </c>
      <c r="W150" s="26" t="inlineStr">
        <is>
          <t>Catalogue fee €8,500/yr (entered by institution).</t>
        </is>
      </c>
      <c r="X150" s="25" t="inlineStr">
        <is>
          <t>High</t>
        </is>
      </c>
      <c r="Y150" s="25" t="inlineStr">
        <is>
          <t>8500</t>
        </is>
      </c>
      <c r="Z150" s="26" t="n"/>
      <c r="AA150" s="26" t="n"/>
      <c r="AB150" s="25" t="n"/>
      <c r="AC150" s="25" t="inlineStr">
        <is>
          <t>Open</t>
        </is>
      </c>
      <c r="AD150" s="25" t="inlineStr">
        <is>
          <t>2026-10-01</t>
        </is>
      </c>
      <c r="AE150" s="25" t="inlineStr">
        <is>
          <t>2027-03-15</t>
        </is>
      </c>
      <c r="AF150" s="25" t="inlineStr">
        <is>
          <t>Yes</t>
        </is>
      </c>
      <c r="AG150" s="28" t="inlineStr">
        <is>
          <t>https://www.cesi.fr/en/trainings/master-degree-in-computer-science/</t>
        </is>
      </c>
      <c r="AH150" s="26" t="inlineStr">
        <is>
          <t>Admission to 1st year of master: Hold a diploma equivalent to a first-year university Master's degree, attesting to four years of higher education after the end of secondary school, in a scientific or technical field. At</t>
        </is>
      </c>
      <c r="AI150" s="28" t="inlineStr">
        <is>
          <t>Open in EEF</t>
        </is>
      </c>
    </row>
    <row r="151" ht="32.8" customHeight="1" s="19">
      <c r="A151" s="25" t="n">
        <v>150</v>
      </c>
      <c r="B151" s="25" t="inlineStr">
        <is>
          <t>★★★☆☆</t>
        </is>
      </c>
      <c r="C151" s="25" t="inlineStr">
        <is>
          <t>3 – Adjacent (AI/data/CS/cyber/energy)</t>
        </is>
      </c>
      <c r="D151" s="25" t="inlineStr">
        <is>
          <t>Computer science / Software</t>
        </is>
      </c>
      <c r="E151" s="26" t="inlineStr">
        <is>
          <t>Diplôme d'ingénieur Ingénieur CESI - Ingénieur en informatique et sciences du numérique</t>
        </is>
      </c>
      <c r="F151" s="26" t="inlineStr">
        <is>
          <t>Engineering diploma Engineer CESI - Engineer in Computer Science &amp; Sciences of Digital</t>
        </is>
      </c>
      <c r="G151" s="25" t="inlineStr">
        <is>
          <t>Diplôme d'ingénieur</t>
        </is>
      </c>
      <c r="H151" s="25" t="inlineStr">
        <is>
          <t>CESI Ecole d'Ingénieurs</t>
        </is>
      </c>
      <c r="I151" s="25" t="inlineStr">
        <is>
          <t>CESI</t>
        </is>
      </c>
      <c r="J151" s="25" t="inlineStr">
        <is>
          <t>Campus de Dijon</t>
        </is>
      </c>
      <c r="K151" s="25" t="inlineStr">
        <is>
          <t>21800 QUETIGNY - France</t>
        </is>
      </c>
      <c r="L151" s="25" t="inlineStr">
        <is>
          <t>Private / EESPIG</t>
        </is>
      </c>
      <c r="M151" s="25" t="inlineStr">
        <is>
          <t>French &amp; English</t>
        </is>
      </c>
      <c r="N151" s="25" t="inlineStr">
        <is>
          <t>General</t>
        </is>
      </c>
      <c r="O151" s="25" t="inlineStr">
        <is>
          <t>Bac +1 / Bac +2 / Bac +3 / Bac +4 / Bac +5</t>
        </is>
      </c>
      <c r="P151" s="26" t="inlineStr">
        <is>
          <t>Eligible on level (4-yr BS ≈ Bac+4)</t>
        </is>
      </c>
      <c r="Q151" s="25" t="inlineStr">
        <is>
          <t>1/2/3/4/5</t>
        </is>
      </c>
      <c r="R151" s="25" t="inlineStr">
        <is>
          <t>10</t>
        </is>
      </c>
      <c r="S151" s="27" t="n">
        <v>8500</v>
      </c>
      <c r="T151" s="27" t="n"/>
      <c r="U151" s="25" t="n">
        <v>2</v>
      </c>
      <c r="V151" s="27">
        <f>IF(S151="","",S151*U151)</f>
        <v/>
      </c>
      <c r="W151" s="26" t="inlineStr">
        <is>
          <t>Catalogue fee €8,500/yr (entered by institution).</t>
        </is>
      </c>
      <c r="X151" s="25" t="inlineStr">
        <is>
          <t>High</t>
        </is>
      </c>
      <c r="Y151" s="25" t="inlineStr">
        <is>
          <t>8500</t>
        </is>
      </c>
      <c r="Z151" s="26" t="n"/>
      <c r="AA151" s="26" t="n"/>
      <c r="AB151" s="25" t="n"/>
      <c r="AC151" s="25" t="inlineStr">
        <is>
          <t>Open</t>
        </is>
      </c>
      <c r="AD151" s="25" t="inlineStr">
        <is>
          <t>2026-10-01</t>
        </is>
      </c>
      <c r="AE151" s="25" t="inlineStr">
        <is>
          <t>2027-03-15</t>
        </is>
      </c>
      <c r="AF151" s="25" t="inlineStr">
        <is>
          <t>Yes</t>
        </is>
      </c>
      <c r="AG151" s="28" t="inlineStr">
        <is>
          <t>https://www.cesi.fr/formation/ingenieur-e-specialite-informatique-sous-statut-etudiant-2019208/</t>
        </is>
      </c>
      <c r="AH151" s="26" t="inlineStr">
        <is>
          <t>La formation d’ingénieur CESI, spécialité informatique et sciences du numérique, dure 5 ans : 2 ans en cycle préparatoire et 3 ans en cycle ingénieur. Selon votre niveau de formation actuel, vous pouvez entrer en cycle p</t>
        </is>
      </c>
      <c r="AI151" s="28" t="inlineStr">
        <is>
          <t>Open in EEF</t>
        </is>
      </c>
    </row>
    <row r="152" ht="32.8" customHeight="1" s="19">
      <c r="A152" s="25" t="n">
        <v>151</v>
      </c>
      <c r="B152" s="25" t="inlineStr">
        <is>
          <t>★★★☆☆</t>
        </is>
      </c>
      <c r="C152" s="25" t="inlineStr">
        <is>
          <t>3 – Adjacent (AI/data/CS/cyber/energy)</t>
        </is>
      </c>
      <c r="D152" s="25" t="inlineStr">
        <is>
          <t>AI / Data science</t>
        </is>
      </c>
      <c r="E152" s="26" t="inlineStr">
        <is>
          <t>Master in Artificial Intelligence and Cybersecurity</t>
        </is>
      </c>
      <c r="F152" s="26" t="inlineStr">
        <is>
          <t>Master in Artificial Intelligence and Cybersecurity</t>
        </is>
      </c>
      <c r="G152" s="25" t="inlineStr">
        <is>
          <t>Master indifférencié (recherche et professionnel)</t>
        </is>
      </c>
      <c r="H152" s="25" t="inlineStr">
        <is>
          <t>ESIEE - Paris</t>
        </is>
      </c>
      <c r="I152" s="25" t="inlineStr">
        <is>
          <t>ESIEE - École Supérieure d'Ingénieurs en Électronique et Électrotechnique</t>
        </is>
      </c>
      <c r="J152" s="25" t="inlineStr">
        <is>
          <t>Site de Noisy-le-Grand</t>
        </is>
      </c>
      <c r="K152" s="25" t="n"/>
      <c r="L152" s="25" t="inlineStr">
        <is>
          <t>Private / EESPIG</t>
        </is>
      </c>
      <c r="M152" s="25" t="inlineStr">
        <is>
          <t>English</t>
        </is>
      </c>
      <c r="N152" s="25" t="inlineStr">
        <is>
          <t>Taught in English</t>
        </is>
      </c>
      <c r="O152" s="25" t="inlineStr">
        <is>
          <t>Bac +4</t>
        </is>
      </c>
      <c r="P152" s="26" t="inlineStr">
        <is>
          <t>Eligible on level (4-yr BS ≈ Bac+4)</t>
        </is>
      </c>
      <c r="Q152" s="25" t="inlineStr">
        <is>
          <t>1</t>
        </is>
      </c>
      <c r="R152" s="25" t="inlineStr">
        <is>
          <t>12</t>
        </is>
      </c>
      <c r="S152" s="27" t="n">
        <v>8680</v>
      </c>
      <c r="T152" s="27" t="n"/>
      <c r="U152" s="25" t="n">
        <v>2</v>
      </c>
      <c r="V152" s="27">
        <f>IF(S152="","",S152*U152)</f>
        <v/>
      </c>
      <c r="W152" s="26" t="inlineStr">
        <is>
          <t>Catalogue fee €8,680/yr (entered by institution).</t>
        </is>
      </c>
      <c r="X152" s="25" t="inlineStr">
        <is>
          <t>High</t>
        </is>
      </c>
      <c r="Y152" s="25" t="inlineStr">
        <is>
          <t>8680</t>
        </is>
      </c>
      <c r="Z152" s="26" t="n"/>
      <c r="AA152" s="26" t="n"/>
      <c r="AB152" s="25" t="n"/>
      <c r="AC152" s="25" t="inlineStr">
        <is>
          <t>Open</t>
        </is>
      </c>
      <c r="AD152" s="25" t="inlineStr">
        <is>
          <t>2026-10-01</t>
        </is>
      </c>
      <c r="AE152" s="25" t="inlineStr">
        <is>
          <t>2027-03-15</t>
        </is>
      </c>
      <c r="AF152" s="25" t="inlineStr">
        <is>
          <t>Yes</t>
        </is>
      </c>
      <c r="AG152" s="28" t="inlineStr">
        <is>
          <t>https://www.esiee.fr/en/programmes/international-programmes/artificial-intelligence-and-cybersecurity</t>
        </is>
      </c>
      <c r="AH152" s="26" t="inlineStr">
        <is>
          <t>The admission requirements for this programme are as follows: -Non-European students: A Bachelor's degree or equivalent in related fields of study. -European students: A Licence 3 or a Master 1 or equivalent in related f</t>
        </is>
      </c>
      <c r="AI152" s="28" t="inlineStr">
        <is>
          <t>Open in EEF</t>
        </is>
      </c>
    </row>
    <row r="153" ht="32.8" customHeight="1" s="19">
      <c r="A153" s="25" t="n">
        <v>152</v>
      </c>
      <c r="B153" s="25" t="inlineStr">
        <is>
          <t>★★★☆☆</t>
        </is>
      </c>
      <c r="C153" s="25" t="inlineStr">
        <is>
          <t>3 – Adjacent (AI/data/CS/cyber/energy)</t>
        </is>
      </c>
      <c r="D153" s="25" t="inlineStr">
        <is>
          <t>AI / Data science</t>
        </is>
      </c>
      <c r="E153" s="26" t="inlineStr">
        <is>
          <t>Master of Science (MSc) Cyber Security and Data Science</t>
        </is>
      </c>
      <c r="F153" s="26" t="inlineStr">
        <is>
          <t>Master of Science (MSc) Cyber Security and Data Science</t>
        </is>
      </c>
      <c r="G153" s="25" t="inlineStr">
        <is>
          <t>Master of Science (MSc)</t>
        </is>
      </c>
      <c r="H153" s="25" t="inlineStr">
        <is>
          <t>ESAIP Ecole d’Ingénieurs</t>
        </is>
      </c>
      <c r="I153" s="25" t="n"/>
      <c r="J153" s="25" t="inlineStr">
        <is>
          <t>ESAIP Campus Ouest</t>
        </is>
      </c>
      <c r="K153" s="25" t="inlineStr">
        <is>
          <t>49124 Saint Barthélemy d'Anjou</t>
        </is>
      </c>
      <c r="L153" s="25" t="inlineStr">
        <is>
          <t>Private / EESPIG</t>
        </is>
      </c>
      <c r="M153" s="25" t="inlineStr">
        <is>
          <t>English</t>
        </is>
      </c>
      <c r="N153" s="25" t="inlineStr">
        <is>
          <t>Taught in English</t>
        </is>
      </c>
      <c r="O153" s="25" t="inlineStr">
        <is>
          <t>Bac +3</t>
        </is>
      </c>
      <c r="P153" s="26" t="inlineStr">
        <is>
          <t>Eligible on level (4-yr BS ≈ Bac+4)</t>
        </is>
      </c>
      <c r="Q153" s="25" t="inlineStr">
        <is>
          <t>1</t>
        </is>
      </c>
      <c r="R153" s="25" t="inlineStr">
        <is>
          <t>10</t>
        </is>
      </c>
      <c r="S153" s="27" t="n">
        <v>9500</v>
      </c>
      <c r="T153" s="27" t="n"/>
      <c r="U153" s="25" t="n">
        <v>2</v>
      </c>
      <c r="V153" s="27">
        <f>IF(S153="","",S153*U153)</f>
        <v/>
      </c>
      <c r="W153" s="26" t="inlineStr">
        <is>
          <t>Catalogue fee €9,500/yr (entered by institution).</t>
        </is>
      </c>
      <c r="X153" s="25" t="inlineStr">
        <is>
          <t>High</t>
        </is>
      </c>
      <c r="Y153" s="25" t="inlineStr">
        <is>
          <t>9500</t>
        </is>
      </c>
      <c r="Z153" s="26" t="n"/>
      <c r="AA153" s="26" t="n"/>
      <c r="AB153" s="25" t="n"/>
      <c r="AC153" s="25" t="inlineStr">
        <is>
          <t>Open</t>
        </is>
      </c>
      <c r="AD153" s="25" t="inlineStr">
        <is>
          <t>2026-10-01</t>
        </is>
      </c>
      <c r="AE153" s="25" t="inlineStr">
        <is>
          <t>2027-03-15</t>
        </is>
      </c>
      <c r="AF153" s="25" t="inlineStr">
        <is>
          <t>Yes</t>
        </is>
      </c>
      <c r="AG153" s="28" t="inlineStr">
        <is>
          <t>https://en.esaip.org/</t>
        </is>
      </c>
      <c r="AH153" s="26" t="inlineStr">
        <is>
          <t>Post Graduate degree. French National Qualification - Level 1. European Qualification Framework - Level 7. MSc program offers 30 ECTS per semester The MSc in Cybersecurity and Data Science is a two-year, career oriented</t>
        </is>
      </c>
      <c r="AI153" s="28" t="inlineStr">
        <is>
          <t>Open in EEF</t>
        </is>
      </c>
    </row>
    <row r="154" ht="32.8" customHeight="1" s="19">
      <c r="A154" s="25" t="n">
        <v>153</v>
      </c>
      <c r="B154" s="25" t="inlineStr">
        <is>
          <t>★★★☆☆</t>
        </is>
      </c>
      <c r="C154" s="25" t="inlineStr">
        <is>
          <t>3 – Adjacent (AI/data/CS/cyber/energy)</t>
        </is>
      </c>
      <c r="D154" s="25" t="inlineStr">
        <is>
          <t>Computer science / Software</t>
        </is>
      </c>
      <c r="E154" s="26" t="inlineStr">
        <is>
          <t>Computer Science Engineering Degree</t>
        </is>
      </c>
      <c r="F154" s="26" t="inlineStr">
        <is>
          <t>Computer Science Engineering Degree</t>
        </is>
      </c>
      <c r="G154" s="25" t="inlineStr">
        <is>
          <t>Diplôme d'ingénieur</t>
        </is>
      </c>
      <c r="H154" s="25" t="inlineStr">
        <is>
          <t>CESI Ecole d'Ingénieurs</t>
        </is>
      </c>
      <c r="I154" s="25" t="inlineStr">
        <is>
          <t>CESI</t>
        </is>
      </c>
      <c r="J154" s="25" t="inlineStr">
        <is>
          <t>Campus de Paris</t>
        </is>
      </c>
      <c r="K154" s="25" t="inlineStr">
        <is>
          <t>92000 Nanterre</t>
        </is>
      </c>
      <c r="L154" s="25" t="inlineStr">
        <is>
          <t>Private / EESPIG</t>
        </is>
      </c>
      <c r="M154" s="25" t="inlineStr">
        <is>
          <t>English</t>
        </is>
      </c>
      <c r="N154" s="25" t="inlineStr">
        <is>
          <t>Taught in English</t>
        </is>
      </c>
      <c r="O154" s="25" t="inlineStr">
        <is>
          <t>Bac +3 / Bac +4</t>
        </is>
      </c>
      <c r="P154" s="26" t="inlineStr">
        <is>
          <t>Eligible on level (4-yr BS ≈ Bac+4)</t>
        </is>
      </c>
      <c r="Q154" s="25" t="inlineStr">
        <is>
          <t>1/2</t>
        </is>
      </c>
      <c r="R154" s="25" t="inlineStr">
        <is>
          <t>10</t>
        </is>
      </c>
      <c r="S154" s="27" t="n">
        <v>9500</v>
      </c>
      <c r="T154" s="27" t="n"/>
      <c r="U154" s="25" t="n">
        <v>2</v>
      </c>
      <c r="V154" s="27">
        <f>IF(S154="","",S154*U154)</f>
        <v/>
      </c>
      <c r="W154" s="26" t="inlineStr">
        <is>
          <t>Catalogue fee €9,500/yr (entered by institution).</t>
        </is>
      </c>
      <c r="X154" s="25" t="inlineStr">
        <is>
          <t>High</t>
        </is>
      </c>
      <c r="Y154" s="25" t="inlineStr">
        <is>
          <t>10500/9500</t>
        </is>
      </c>
      <c r="Z154" s="26" t="inlineStr">
        <is>
          <t>2850 euros … The balance of 6650 euros must be paid before the start of the course</t>
        </is>
      </c>
      <c r="AA154" s="26" t="n"/>
      <c r="AB154" s="25" t="n"/>
      <c r="AC154" s="25" t="inlineStr">
        <is>
          <t>Open</t>
        </is>
      </c>
      <c r="AD154" s="25" t="inlineStr">
        <is>
          <t>2026-10-01</t>
        </is>
      </c>
      <c r="AE154" s="25" t="inlineStr">
        <is>
          <t>2027-03-15</t>
        </is>
      </c>
      <c r="AF154" s="25" t="inlineStr">
        <is>
          <t>Yes</t>
        </is>
      </c>
      <c r="AG154" s="28" t="inlineStr">
        <is>
          <t>https://www.cesi.fr/programmes/cursus-ingenieur-3-ans/</t>
        </is>
      </c>
      <c r="AH154" s="26" t="inlineStr">
        <is>
          <t>Admission to 1st year of engineering studies: Hold a diploma equivalent to a university bachelor's degree, attesting to three years of higher education after the end of secondary school, in a scientific or technical fiel</t>
        </is>
      </c>
      <c r="AI154" s="28" t="inlineStr">
        <is>
          <t>Open in EEF</t>
        </is>
      </c>
    </row>
    <row r="155" ht="32.8" customHeight="1" s="19">
      <c r="A155" s="25" t="n">
        <v>154</v>
      </c>
      <c r="B155" s="25" t="inlineStr">
        <is>
          <t>★★★☆☆</t>
        </is>
      </c>
      <c r="C155" s="25" t="inlineStr">
        <is>
          <t>3 – Adjacent (AI/data/CS/cyber/energy)</t>
        </is>
      </c>
      <c r="D155" s="25" t="inlineStr">
        <is>
          <t>Computer science / Software</t>
        </is>
      </c>
      <c r="E155" s="26" t="inlineStr">
        <is>
          <t>Computer Science Engineering Degree</t>
        </is>
      </c>
      <c r="F155" s="26" t="inlineStr">
        <is>
          <t>Computer Science Engineering Degree</t>
        </is>
      </c>
      <c r="G155" s="25" t="inlineStr">
        <is>
          <t>Diplôme d'ingénieur</t>
        </is>
      </c>
      <c r="H155" s="25" t="inlineStr">
        <is>
          <t>CESI Ecole d'Ingénieurs</t>
        </is>
      </c>
      <c r="I155" s="25" t="inlineStr">
        <is>
          <t>CESI</t>
        </is>
      </c>
      <c r="J155" s="25" t="inlineStr">
        <is>
          <t>Campus de Lyon</t>
        </is>
      </c>
      <c r="K155" s="25" t="inlineStr">
        <is>
          <t>69100 VILLEURBANNE</t>
        </is>
      </c>
      <c r="L155" s="25" t="inlineStr">
        <is>
          <t>Private / EESPIG</t>
        </is>
      </c>
      <c r="M155" s="25" t="inlineStr">
        <is>
          <t>English</t>
        </is>
      </c>
      <c r="N155" s="25" t="inlineStr">
        <is>
          <t>Taught in English</t>
        </is>
      </c>
      <c r="O155" s="25" t="inlineStr">
        <is>
          <t>Bac +3 / Bac +4</t>
        </is>
      </c>
      <c r="P155" s="26" t="inlineStr">
        <is>
          <t>Eligible on level (4-yr BS ≈ Bac+4)</t>
        </is>
      </c>
      <c r="Q155" s="25" t="inlineStr">
        <is>
          <t>1/2</t>
        </is>
      </c>
      <c r="R155" s="25" t="inlineStr">
        <is>
          <t>10</t>
        </is>
      </c>
      <c r="S155" s="27" t="n">
        <v>9500</v>
      </c>
      <c r="T155" s="27" t="n"/>
      <c r="U155" s="25" t="n">
        <v>2</v>
      </c>
      <c r="V155" s="27">
        <f>IF(S155="","",S155*U155)</f>
        <v/>
      </c>
      <c r="W155" s="26" t="inlineStr">
        <is>
          <t>Catalogue fee €9,500/yr (entered by institution).</t>
        </is>
      </c>
      <c r="X155" s="25" t="inlineStr">
        <is>
          <t>High</t>
        </is>
      </c>
      <c r="Y155" s="25" t="inlineStr">
        <is>
          <t>10500/9500</t>
        </is>
      </c>
      <c r="Z155" s="26" t="n"/>
      <c r="AA155" s="26" t="n"/>
      <c r="AB155" s="25" t="n"/>
      <c r="AC155" s="25" t="inlineStr">
        <is>
          <t>Open</t>
        </is>
      </c>
      <c r="AD155" s="25" t="inlineStr">
        <is>
          <t>2026-10-01</t>
        </is>
      </c>
      <c r="AE155" s="25" t="inlineStr">
        <is>
          <t>2027-03-15</t>
        </is>
      </c>
      <c r="AF155" s="25" t="inlineStr">
        <is>
          <t>Yes</t>
        </is>
      </c>
      <c r="AG155" s="28" t="inlineStr">
        <is>
          <t>https://www.cesi.fr/en/trainings/master-degree-in-computer-science/</t>
        </is>
      </c>
      <c r="AH155" s="26" t="inlineStr">
        <is>
          <t>Admission to 1st year of curriculum: Hold a diploma equivalent to a university bachelor's degree, attesting to three years of higher education after the end of secondary school, in a scientific or technical field. Docume</t>
        </is>
      </c>
      <c r="AI155" s="28" t="inlineStr">
        <is>
          <t>Open in EEF</t>
        </is>
      </c>
    </row>
    <row r="156" ht="32.8" customHeight="1" s="19">
      <c r="A156" s="25" t="n">
        <v>155</v>
      </c>
      <c r="B156" s="25" t="inlineStr">
        <is>
          <t>★★★☆☆</t>
        </is>
      </c>
      <c r="C156" s="25" t="inlineStr">
        <is>
          <t>3 – Adjacent (AI/data/CS/cyber/energy)</t>
        </is>
      </c>
      <c r="D156" s="25" t="inlineStr">
        <is>
          <t>Computer science / Software</t>
        </is>
      </c>
      <c r="E156" s="26" t="inlineStr">
        <is>
          <t>Computer Science Engineering Degree</t>
        </is>
      </c>
      <c r="F156" s="26" t="inlineStr">
        <is>
          <t>Computer Science Engineering Degree</t>
        </is>
      </c>
      <c r="G156" s="25" t="inlineStr">
        <is>
          <t>Diplôme d'ingénieur</t>
        </is>
      </c>
      <c r="H156" s="25" t="inlineStr">
        <is>
          <t>CESI Ecole d'Ingénieurs</t>
        </is>
      </c>
      <c r="I156" s="25" t="inlineStr">
        <is>
          <t>CESI</t>
        </is>
      </c>
      <c r="J156" s="25" t="inlineStr">
        <is>
          <t>Campus de Toulouse</t>
        </is>
      </c>
      <c r="K156" s="25" t="inlineStr">
        <is>
          <t>31670 Labège</t>
        </is>
      </c>
      <c r="L156" s="25" t="inlineStr">
        <is>
          <t>Private / EESPIG</t>
        </is>
      </c>
      <c r="M156" s="25" t="inlineStr">
        <is>
          <t>English</t>
        </is>
      </c>
      <c r="N156" s="25" t="inlineStr">
        <is>
          <t>Taught in English</t>
        </is>
      </c>
      <c r="O156" s="25" t="inlineStr">
        <is>
          <t>Bac +3 / Bac +4</t>
        </is>
      </c>
      <c r="P156" s="26" t="inlineStr">
        <is>
          <t>Eligible on level (4-yr BS ≈ Bac+4)</t>
        </is>
      </c>
      <c r="Q156" s="25" t="inlineStr">
        <is>
          <t>1/2</t>
        </is>
      </c>
      <c r="R156" s="25" t="inlineStr">
        <is>
          <t>10</t>
        </is>
      </c>
      <c r="S156" s="27" t="n">
        <v>9500</v>
      </c>
      <c r="T156" s="27" t="n"/>
      <c r="U156" s="25" t="n">
        <v>2</v>
      </c>
      <c r="V156" s="27">
        <f>IF(S156="","",S156*U156)</f>
        <v/>
      </c>
      <c r="W156" s="26" t="inlineStr">
        <is>
          <t>Catalogue fee €9,500/yr (entered by institution).</t>
        </is>
      </c>
      <c r="X156" s="25" t="inlineStr">
        <is>
          <t>High</t>
        </is>
      </c>
      <c r="Y156" s="25" t="inlineStr">
        <is>
          <t>10500/9500</t>
        </is>
      </c>
      <c r="Z156" s="26" t="n"/>
      <c r="AA156" s="26" t="n"/>
      <c r="AB156" s="25" t="n"/>
      <c r="AC156" s="25" t="inlineStr">
        <is>
          <t>Open</t>
        </is>
      </c>
      <c r="AD156" s="25" t="inlineStr">
        <is>
          <t>2026-10-01</t>
        </is>
      </c>
      <c r="AE156" s="25" t="inlineStr">
        <is>
          <t>2027-03-15</t>
        </is>
      </c>
      <c r="AF156" s="25" t="inlineStr">
        <is>
          <t>Yes</t>
        </is>
      </c>
      <c r="AG156" s="28" t="inlineStr">
        <is>
          <t>https://www.cesi.fr/programmes/cursus-ingenieur-3-ans/</t>
        </is>
      </c>
      <c r="AH156" s="26" t="inlineStr">
        <is>
          <t>Admission to 1st year of curriculum: Hold a diploma equivalent to a university bachelor's degree, attesting to three years of higher education after the end of secondary school, in a scientific or technical field. Docume</t>
        </is>
      </c>
      <c r="AI156" s="28" t="inlineStr">
        <is>
          <t>Open in EEF</t>
        </is>
      </c>
    </row>
    <row r="157" ht="32.8" customHeight="1" s="19">
      <c r="A157" s="25" t="n">
        <v>156</v>
      </c>
      <c r="B157" s="25" t="inlineStr">
        <is>
          <t>★★★☆☆</t>
        </is>
      </c>
      <c r="C157" s="25" t="inlineStr">
        <is>
          <t>3 – Adjacent (AI/data/CS/cyber/energy)</t>
        </is>
      </c>
      <c r="D157" s="25" t="inlineStr">
        <is>
          <t>AI / Data science</t>
        </is>
      </c>
      <c r="E157" s="26" t="inlineStr">
        <is>
          <t>Diplôme d'ingénieur Master of Science and Engineering ISEN – Data and Artificial Intelligence</t>
        </is>
      </c>
      <c r="F157" s="26" t="inlineStr">
        <is>
          <t>Engineering diploma Master of Science and Engineering ISEN – Data and Artificial Intelligence</t>
        </is>
      </c>
      <c r="G157" s="25" t="inlineStr">
        <is>
          <t>Diplôme d'ingénieur</t>
        </is>
      </c>
      <c r="H157" s="25" t="inlineStr">
        <is>
          <t>JUNIA</t>
        </is>
      </c>
      <c r="I157" s="25" t="inlineStr">
        <is>
          <t>Université catholique de Lille</t>
        </is>
      </c>
      <c r="J157" s="25" t="inlineStr">
        <is>
          <t>Lille</t>
        </is>
      </c>
      <c r="K157" s="25" t="n"/>
      <c r="L157" s="25" t="inlineStr">
        <is>
          <t>Private / EESPIG</t>
        </is>
      </c>
      <c r="M157" s="25" t="inlineStr">
        <is>
          <t>English</t>
        </is>
      </c>
      <c r="N157" s="25" t="inlineStr">
        <is>
          <t>Taught in English</t>
        </is>
      </c>
      <c r="O157" s="25" t="inlineStr">
        <is>
          <t>Bac +4</t>
        </is>
      </c>
      <c r="P157" s="26" t="inlineStr">
        <is>
          <t>Eligible on level (4-yr BS ≈ Bac+4)</t>
        </is>
      </c>
      <c r="Q157" s="25" t="inlineStr">
        <is>
          <t>1</t>
        </is>
      </c>
      <c r="R157" s="25" t="inlineStr">
        <is>
          <t>12</t>
        </is>
      </c>
      <c r="S157" s="27" t="n">
        <v>9527</v>
      </c>
      <c r="T157" s="27" t="n"/>
      <c r="U157" s="25" t="n">
        <v>2</v>
      </c>
      <c r="V157" s="27">
        <f>IF(S157="","",S157*U157)</f>
        <v/>
      </c>
      <c r="W157" s="26" t="inlineStr">
        <is>
          <t>Catalogue fee €9,527/yr (entered by institution).</t>
        </is>
      </c>
      <c r="X157" s="25" t="inlineStr">
        <is>
          <t>High</t>
        </is>
      </c>
      <c r="Y157" s="25" t="inlineStr">
        <is>
          <t>9527</t>
        </is>
      </c>
      <c r="Z157" s="26" t="n"/>
      <c r="AA157" s="26" t="n"/>
      <c r="AB157" s="25" t="n"/>
      <c r="AC157" s="25" t="inlineStr">
        <is>
          <t>Open</t>
        </is>
      </c>
      <c r="AD157" s="25" t="inlineStr">
        <is>
          <t>2026-10-01</t>
        </is>
      </c>
      <c r="AE157" s="25" t="inlineStr">
        <is>
          <t>2027-03-15</t>
        </is>
      </c>
      <c r="AF157" s="25" t="inlineStr">
        <is>
          <t>Yes</t>
        </is>
      </c>
      <c r="AG157" s="28" t="inlineStr">
        <is>
          <t>https://www.junia.com/en/academics/master-of-science-and-engineering-in-data-and-artificial-intelligence/</t>
        </is>
      </c>
      <c r="AH157" s="26" t="inlineStr">
        <is>
          <t>Minimum Bachelor degree in Digital and Information technology, IT Engineering or any related fields. B2 level in English certified by an official test score (TOEFL, TOEIC, IELTS or equivalent) except for students from co</t>
        </is>
      </c>
      <c r="AI157" s="28" t="inlineStr">
        <is>
          <t>Open in EEF</t>
        </is>
      </c>
    </row>
    <row r="158" ht="32.8" customHeight="1" s="19">
      <c r="A158" s="25" t="n">
        <v>157</v>
      </c>
      <c r="B158" s="25" t="inlineStr">
        <is>
          <t>★★★☆☆</t>
        </is>
      </c>
      <c r="C158" s="25" t="inlineStr">
        <is>
          <t>3 – Adjacent (AI/data/CS/cyber/energy)</t>
        </is>
      </c>
      <c r="D158" s="25" t="inlineStr">
        <is>
          <t>Computer science / Software</t>
        </is>
      </c>
      <c r="E158" s="26" t="inlineStr">
        <is>
          <t>Diplôme d'ingénieur Master of Science and Engineering ISEN – Information systems and Software engineering</t>
        </is>
      </c>
      <c r="F158" s="26" t="inlineStr">
        <is>
          <t>Engineering diploma Master of Science and Engineering ISEN – Information systems and Software engineering</t>
        </is>
      </c>
      <c r="G158" s="25" t="inlineStr">
        <is>
          <t>Diplôme d'ingénieur</t>
        </is>
      </c>
      <c r="H158" s="25" t="inlineStr">
        <is>
          <t>JUNIA</t>
        </is>
      </c>
      <c r="I158" s="25" t="inlineStr">
        <is>
          <t>Université catholique de Lille</t>
        </is>
      </c>
      <c r="J158" s="25" t="inlineStr">
        <is>
          <t>Lille</t>
        </is>
      </c>
      <c r="K158" s="25" t="n"/>
      <c r="L158" s="25" t="inlineStr">
        <is>
          <t>Private / EESPIG</t>
        </is>
      </c>
      <c r="M158" s="25" t="inlineStr">
        <is>
          <t>English</t>
        </is>
      </c>
      <c r="N158" s="25" t="inlineStr">
        <is>
          <t>Taught in English</t>
        </is>
      </c>
      <c r="O158" s="25" t="inlineStr">
        <is>
          <t>Bac +4</t>
        </is>
      </c>
      <c r="P158" s="26" t="inlineStr">
        <is>
          <t>Eligible on level (4-yr BS ≈ Bac+4)</t>
        </is>
      </c>
      <c r="Q158" s="25" t="inlineStr">
        <is>
          <t>1</t>
        </is>
      </c>
      <c r="R158" s="25" t="inlineStr">
        <is>
          <t>12</t>
        </is>
      </c>
      <c r="S158" s="27" t="n">
        <v>9527</v>
      </c>
      <c r="T158" s="27" t="n"/>
      <c r="U158" s="25" t="n">
        <v>2</v>
      </c>
      <c r="V158" s="27">
        <f>IF(S158="","",S158*U158)</f>
        <v/>
      </c>
      <c r="W158" s="26" t="inlineStr">
        <is>
          <t>Catalogue fee €9,527/yr (entered by institution).</t>
        </is>
      </c>
      <c r="X158" s="25" t="inlineStr">
        <is>
          <t>High</t>
        </is>
      </c>
      <c r="Y158" s="25" t="inlineStr">
        <is>
          <t>9527</t>
        </is>
      </c>
      <c r="Z158" s="26" t="n"/>
      <c r="AA158" s="26" t="n"/>
      <c r="AB158" s="25" t="n"/>
      <c r="AC158" s="25" t="inlineStr">
        <is>
          <t>Open</t>
        </is>
      </c>
      <c r="AD158" s="25" t="inlineStr">
        <is>
          <t>2026-10-01</t>
        </is>
      </c>
      <c r="AE158" s="25" t="inlineStr">
        <is>
          <t>2027-03-15</t>
        </is>
      </c>
      <c r="AF158" s="25" t="inlineStr">
        <is>
          <t>Yes</t>
        </is>
      </c>
      <c r="AG158" s="28" t="inlineStr">
        <is>
          <t>https://www.junia.com/en/academics/master-of-science-and-engineering-in-information-systems-and-software-engineering/</t>
        </is>
      </c>
      <c r="AH158" s="26" t="inlineStr">
        <is>
          <t>Minimum Bachelor degree in Digital and Information technology, IT Engineering or any related fields B2 level in English certified by an official test score (TOEFL, TOEIC, IELTS or equivalent) except for students from cou</t>
        </is>
      </c>
      <c r="AI158" s="28" t="inlineStr">
        <is>
          <t>Open in EEF</t>
        </is>
      </c>
    </row>
    <row r="159" ht="32.8" customHeight="1" s="19">
      <c r="A159" s="25" t="n">
        <v>158</v>
      </c>
      <c r="B159" s="25" t="inlineStr">
        <is>
          <t>★★★☆☆</t>
        </is>
      </c>
      <c r="C159" s="25" t="inlineStr">
        <is>
          <t>3 – Adjacent (AI/data/CS/cyber/energy)</t>
        </is>
      </c>
      <c r="D159" s="25" t="inlineStr">
        <is>
          <t>Other engineering / maths</t>
        </is>
      </c>
      <c r="E159" s="26" t="inlineStr">
        <is>
          <t>Master indifférencié (recherche et professionnel) mention Master of Science and Technology: Complex Systems Engineering (CSE)</t>
        </is>
      </c>
      <c r="F159" s="26" t="inlineStr">
        <is>
          <t>major: Master of Science and Technology: Complex Systems Engineering (CSE)</t>
        </is>
      </c>
      <c r="G159" s="25" t="inlineStr">
        <is>
          <t>Master indifférencié (recherche et professionnel)</t>
        </is>
      </c>
      <c r="H159" s="25" t="inlineStr">
        <is>
          <t>Ecole centrale de Marseille</t>
        </is>
      </c>
      <c r="I159" s="25" t="n"/>
      <c r="J159" s="25" t="inlineStr">
        <is>
          <t>Ecole Centrale de Marseille</t>
        </is>
      </c>
      <c r="K159" s="25" t="inlineStr">
        <is>
          <t>13013 MARSEILLE</t>
        </is>
      </c>
      <c r="L159" s="25" t="inlineStr">
        <is>
          <t>Public school / institute</t>
        </is>
      </c>
      <c r="M159" s="25" t="inlineStr">
        <is>
          <t>English</t>
        </is>
      </c>
      <c r="N159" s="25" t="inlineStr">
        <is>
          <t>Taught in English</t>
        </is>
      </c>
      <c r="O159" s="25" t="inlineStr">
        <is>
          <t>Bac +4</t>
        </is>
      </c>
      <c r="P159" s="26" t="inlineStr">
        <is>
          <t>Eligible on level (4-yr BS ≈ Bac+4)</t>
        </is>
      </c>
      <c r="Q159" s="25" t="inlineStr">
        <is>
          <t>1</t>
        </is>
      </c>
      <c r="R159" s="25" t="inlineStr">
        <is>
          <t>24</t>
        </is>
      </c>
      <c r="S159" s="27" t="n">
        <v>10270</v>
      </c>
      <c r="T159" s="27" t="n"/>
      <c r="U159" s="25" t="n">
        <v>2</v>
      </c>
      <c r="V159" s="27">
        <f>IF(S159="","",S159*U159)</f>
        <v/>
      </c>
      <c r="W159" s="26" t="inlineStr">
        <is>
          <t>Catalogue fee €10,270/yr (entered by institution).</t>
        </is>
      </c>
      <c r="X159" s="25" t="inlineStr">
        <is>
          <t>High</t>
        </is>
      </c>
      <c r="Y159" s="25" t="inlineStr">
        <is>
          <t>10270</t>
        </is>
      </c>
      <c r="Z159" s="26" t="inlineStr">
        <is>
          <t>you about our decision Deadline for applications: June 1st, 2026 Fees European Students: €6 750 / year* Non-European Students: €10 270 € / y</t>
        </is>
      </c>
      <c r="AA159" s="26" t="n"/>
      <c r="AB159" s="25" t="n"/>
      <c r="AC159" s="25" t="inlineStr">
        <is>
          <t>Open</t>
        </is>
      </c>
      <c r="AD159" s="25" t="inlineStr">
        <is>
          <t>2026-10-01</t>
        </is>
      </c>
      <c r="AE159" s="25" t="inlineStr">
        <is>
          <t>2027-03-15</t>
        </is>
      </c>
      <c r="AF159" s="25" t="inlineStr">
        <is>
          <t>Yes</t>
        </is>
      </c>
      <c r="AG159" s="28" t="inlineStr">
        <is>
          <t>https://www.centrale-mediterranee.fr/fr/formation/masters/master-science-and-technology-complex-systems-engineering-msct-cse</t>
        </is>
      </c>
      <c r="AH159" s="26" t="inlineStr">
        <is>
          <t>The Master of Science and Technology in Complex Systems Engineering is an international program open to students and young professionals from all over the world. Diversity of cultural background and gender are valued. Th</t>
        </is>
      </c>
      <c r="AI159" s="28" t="inlineStr">
        <is>
          <t>Open in EEF</t>
        </is>
      </c>
    </row>
    <row r="160" ht="32.8" customHeight="1" s="19">
      <c r="A160" s="25" t="n">
        <v>159</v>
      </c>
      <c r="B160" s="25" t="inlineStr">
        <is>
          <t>★★★☆☆</t>
        </is>
      </c>
      <c r="C160" s="25" t="inlineStr">
        <is>
          <t>3 – Adjacent (AI/data/CS/cyber/energy)</t>
        </is>
      </c>
      <c r="D160" s="25" t="inlineStr">
        <is>
          <t>Computer science / Software</t>
        </is>
      </c>
      <c r="E160" s="26" t="inlineStr">
        <is>
          <t>Computer Science Engineering Degree</t>
        </is>
      </c>
      <c r="F160" s="26" t="inlineStr">
        <is>
          <t>Computer Science Engineering Degree</t>
        </is>
      </c>
      <c r="G160" s="25" t="inlineStr">
        <is>
          <t>Diplôme d'ingénieur</t>
        </is>
      </c>
      <c r="H160" s="25" t="inlineStr">
        <is>
          <t>CESI Ecole d'Ingénieurs</t>
        </is>
      </c>
      <c r="I160" s="25" t="inlineStr">
        <is>
          <t>CESI</t>
        </is>
      </c>
      <c r="J160" s="25" t="inlineStr">
        <is>
          <t>Campus de Nice</t>
        </is>
      </c>
      <c r="K160" s="25" t="inlineStr">
        <is>
          <t>06200 Nice</t>
        </is>
      </c>
      <c r="L160" s="25" t="inlineStr">
        <is>
          <t>Private / EESPIG</t>
        </is>
      </c>
      <c r="M160" s="25" t="inlineStr">
        <is>
          <t>English</t>
        </is>
      </c>
      <c r="N160" s="25" t="inlineStr">
        <is>
          <t>Taught in English</t>
        </is>
      </c>
      <c r="O160" s="25" t="inlineStr">
        <is>
          <t>Bac +3 / Bac +4 / Bac +5</t>
        </is>
      </c>
      <c r="P160" s="26" t="inlineStr">
        <is>
          <t>Eligible on level (4-yr BS ≈ Bac+4)</t>
        </is>
      </c>
      <c r="Q160" s="25" t="inlineStr">
        <is>
          <t>1/2/3</t>
        </is>
      </c>
      <c r="R160" s="25" t="inlineStr">
        <is>
          <t>10</t>
        </is>
      </c>
      <c r="S160" s="27" t="n">
        <v>10500</v>
      </c>
      <c r="T160" s="27" t="n"/>
      <c r="U160" s="25" t="n">
        <v>2</v>
      </c>
      <c r="V160" s="27">
        <f>IF(S160="","",S160*U160)</f>
        <v/>
      </c>
      <c r="W160" s="26" t="inlineStr">
        <is>
          <t>Catalogue fee €10,500/yr (entered by institution).</t>
        </is>
      </c>
      <c r="X160" s="25" t="inlineStr">
        <is>
          <t>High</t>
        </is>
      </c>
      <c r="Y160" s="25" t="inlineStr">
        <is>
          <t>10500</t>
        </is>
      </c>
      <c r="Z160" s="26" t="inlineStr">
        <is>
          <t>2850 euros … The balance of 6650 euros must be paid before the start of the course</t>
        </is>
      </c>
      <c r="AA160" s="26" t="n"/>
      <c r="AB160" s="25" t="n"/>
      <c r="AC160" s="25" t="inlineStr">
        <is>
          <t>Open</t>
        </is>
      </c>
      <c r="AD160" s="25" t="inlineStr">
        <is>
          <t>2026-10-01</t>
        </is>
      </c>
      <c r="AE160" s="25" t="inlineStr">
        <is>
          <t>2027-03-15</t>
        </is>
      </c>
      <c r="AF160" s="25" t="inlineStr">
        <is>
          <t>Yes</t>
        </is>
      </c>
      <c r="AG160" s="28" t="inlineStr">
        <is>
          <t>https://www.cesi.fr/programmes/cursus-ingenieur-3-ans/</t>
        </is>
      </c>
      <c r="AH160" s="26" t="inlineStr">
        <is>
          <t>Admission to 1st year of engineering studies: Hold a diploma equivalent to a university bachelor's degree, attesting to three years of higher education after the end of secondary school, in a scientific or technical fiel</t>
        </is>
      </c>
      <c r="AI160" s="28" t="inlineStr">
        <is>
          <t>Open in EEF</t>
        </is>
      </c>
    </row>
    <row r="161" ht="32.8" customHeight="1" s="19">
      <c r="A161" s="25" t="n">
        <v>160</v>
      </c>
      <c r="B161" s="25" t="inlineStr">
        <is>
          <t>★★★☆☆</t>
        </is>
      </c>
      <c r="C161" s="25" t="inlineStr">
        <is>
          <t>3 – Adjacent (AI/data/CS/cyber/energy)</t>
        </is>
      </c>
      <c r="D161" s="25" t="inlineStr">
        <is>
          <t>Computer science / Software</t>
        </is>
      </c>
      <c r="E161" s="26" t="inlineStr">
        <is>
          <t>Computer Science Engineering Degree</t>
        </is>
      </c>
      <c r="F161" s="26" t="inlineStr">
        <is>
          <t>Computer Science Engineering Degree</t>
        </is>
      </c>
      <c r="G161" s="25" t="inlineStr">
        <is>
          <t>Diplôme d'ingénieur</t>
        </is>
      </c>
      <c r="H161" s="25" t="inlineStr">
        <is>
          <t>CESI Ecole d'Ingénieurs</t>
        </is>
      </c>
      <c r="I161" s="25" t="inlineStr">
        <is>
          <t>CESI</t>
        </is>
      </c>
      <c r="J161" s="25" t="inlineStr">
        <is>
          <t>Campus de Rouen</t>
        </is>
      </c>
      <c r="K161" s="25" t="inlineStr">
        <is>
          <t>76808 Saint Etienne du Rouvray</t>
        </is>
      </c>
      <c r="L161" s="25" t="inlineStr">
        <is>
          <t>Private / EESPIG</t>
        </is>
      </c>
      <c r="M161" s="25" t="inlineStr">
        <is>
          <t>English</t>
        </is>
      </c>
      <c r="N161" s="25" t="inlineStr">
        <is>
          <t>Taught in English</t>
        </is>
      </c>
      <c r="O161" s="25" t="inlineStr">
        <is>
          <t>Bac +3</t>
        </is>
      </c>
      <c r="P161" s="26" t="inlineStr">
        <is>
          <t>Eligible on level (4-yr BS ≈ Bac+4)</t>
        </is>
      </c>
      <c r="Q161" s="25" t="inlineStr">
        <is>
          <t>1</t>
        </is>
      </c>
      <c r="R161" s="25" t="inlineStr">
        <is>
          <t>10</t>
        </is>
      </c>
      <c r="S161" s="27" t="n">
        <v>10500</v>
      </c>
      <c r="T161" s="27" t="n"/>
      <c r="U161" s="25" t="n">
        <v>2</v>
      </c>
      <c r="V161" s="27">
        <f>IF(S161="","",S161*U161)</f>
        <v/>
      </c>
      <c r="W161" s="26" t="inlineStr">
        <is>
          <t>Catalogue fee €10,500/yr (entered by institution).</t>
        </is>
      </c>
      <c r="X161" s="25" t="inlineStr">
        <is>
          <t>High</t>
        </is>
      </c>
      <c r="Y161" s="25" t="inlineStr">
        <is>
          <t>10500</t>
        </is>
      </c>
      <c r="Z161" s="26" t="n"/>
      <c r="AA161" s="26" t="n"/>
      <c r="AB161" s="25" t="n"/>
      <c r="AC161" s="25" t="inlineStr">
        <is>
          <t>Open</t>
        </is>
      </c>
      <c r="AD161" s="25" t="inlineStr">
        <is>
          <t>2026-10-01</t>
        </is>
      </c>
      <c r="AE161" s="25" t="inlineStr">
        <is>
          <t>2027-03-15</t>
        </is>
      </c>
      <c r="AF161" s="25" t="inlineStr">
        <is>
          <t>Yes</t>
        </is>
      </c>
      <c r="AG161" s="28" t="inlineStr">
        <is>
          <t>https://www.cesi.fr/programmes/cursus-ingenieur-3-ans/</t>
        </is>
      </c>
      <c r="AH161" s="26" t="inlineStr">
        <is>
          <t>Admission to 1st year of curriculum: Hold a diploma equivalent to a university bachelor's degree, attesting to three years of higher education after the end of secondary school, in a scientific or technical field. Docume</t>
        </is>
      </c>
      <c r="AI161" s="28" t="inlineStr">
        <is>
          <t>Open in EEF</t>
        </is>
      </c>
    </row>
    <row r="162" ht="32.8" customHeight="1" s="19">
      <c r="A162" s="25" t="n">
        <v>161</v>
      </c>
      <c r="B162" s="25" t="inlineStr">
        <is>
          <t>★★★☆☆</t>
        </is>
      </c>
      <c r="C162" s="25" t="inlineStr">
        <is>
          <t>3 – Adjacent (AI/data/CS/cyber/energy)</t>
        </is>
      </c>
      <c r="D162" s="25" t="inlineStr">
        <is>
          <t>Computer science / Software</t>
        </is>
      </c>
      <c r="E162" s="26" t="inlineStr">
        <is>
          <t>Computer Science Engineering Degree</t>
        </is>
      </c>
      <c r="F162" s="26" t="inlineStr">
        <is>
          <t>Computer Science Engineering Degree</t>
        </is>
      </c>
      <c r="G162" s="25" t="inlineStr">
        <is>
          <t>Diplôme d'ingénieur</t>
        </is>
      </c>
      <c r="H162" s="25" t="inlineStr">
        <is>
          <t>CESI Ecole d'Ingénieurs</t>
        </is>
      </c>
      <c r="I162" s="25" t="inlineStr">
        <is>
          <t>CESI</t>
        </is>
      </c>
      <c r="J162" s="25" t="inlineStr">
        <is>
          <t>Campus de Strasbourg</t>
        </is>
      </c>
      <c r="K162" s="25" t="inlineStr">
        <is>
          <t>67380 Lingolsheim</t>
        </is>
      </c>
      <c r="L162" s="25" t="inlineStr">
        <is>
          <t>Private / EESPIG</t>
        </is>
      </c>
      <c r="M162" s="25" t="inlineStr">
        <is>
          <t>English</t>
        </is>
      </c>
      <c r="N162" s="25" t="inlineStr">
        <is>
          <t>Taught in English</t>
        </is>
      </c>
      <c r="O162" s="25" t="inlineStr">
        <is>
          <t>Bac +3</t>
        </is>
      </c>
      <c r="P162" s="26" t="inlineStr">
        <is>
          <t>Eligible on level (4-yr BS ≈ Bac+4)</t>
        </is>
      </c>
      <c r="Q162" s="25" t="inlineStr">
        <is>
          <t>1</t>
        </is>
      </c>
      <c r="R162" s="25" t="inlineStr">
        <is>
          <t>10</t>
        </is>
      </c>
      <c r="S162" s="27" t="n">
        <v>10500</v>
      </c>
      <c r="T162" s="27" t="n"/>
      <c r="U162" s="25" t="n">
        <v>2</v>
      </c>
      <c r="V162" s="27">
        <f>IF(S162="","",S162*U162)</f>
        <v/>
      </c>
      <c r="W162" s="26" t="inlineStr">
        <is>
          <t>Catalogue fee €10,500/yr (entered by institution).</t>
        </is>
      </c>
      <c r="X162" s="25" t="inlineStr">
        <is>
          <t>High</t>
        </is>
      </c>
      <c r="Y162" s="25" t="inlineStr">
        <is>
          <t>10500</t>
        </is>
      </c>
      <c r="Z162" s="26" t="n"/>
      <c r="AA162" s="26" t="n"/>
      <c r="AB162" s="25" t="n"/>
      <c r="AC162" s="25" t="inlineStr">
        <is>
          <t>Open</t>
        </is>
      </c>
      <c r="AD162" s="25" t="inlineStr">
        <is>
          <t>2026-10-01</t>
        </is>
      </c>
      <c r="AE162" s="25" t="inlineStr">
        <is>
          <t>2027-03-15</t>
        </is>
      </c>
      <c r="AF162" s="25" t="inlineStr">
        <is>
          <t>Yes</t>
        </is>
      </c>
      <c r="AG162" s="28" t="inlineStr">
        <is>
          <t>https://www.cesi.fr/programmes/cursus-ingenieur-3-ans/</t>
        </is>
      </c>
      <c r="AH162" s="26" t="inlineStr">
        <is>
          <t>Admission to 1st year of curriculum: Hold a diploma equivalent to a university bachelor's degree, attesting to three years of higher education after the end of secondary school, in a scientific or technical field. Docume</t>
        </is>
      </c>
      <c r="AI162" s="28" t="inlineStr">
        <is>
          <t>Open in EEF</t>
        </is>
      </c>
    </row>
    <row r="163" ht="32.8" customHeight="1" s="19">
      <c r="A163" s="25" t="n">
        <v>162</v>
      </c>
      <c r="B163" s="25" t="inlineStr">
        <is>
          <t>★★★☆☆</t>
        </is>
      </c>
      <c r="C163" s="25" t="inlineStr">
        <is>
          <t>3 – Adjacent (AI/data/CS/cyber/energy)</t>
        </is>
      </c>
      <c r="D163" s="25" t="inlineStr">
        <is>
          <t>Computer science / Software</t>
        </is>
      </c>
      <c r="E163" s="26" t="inlineStr">
        <is>
          <t>Computer Science Engineering Degree</t>
        </is>
      </c>
      <c r="F163" s="26" t="inlineStr">
        <is>
          <t>Computer Science Engineering Degree</t>
        </is>
      </c>
      <c r="G163" s="25" t="inlineStr">
        <is>
          <t>Diplôme d'ingénieur</t>
        </is>
      </c>
      <c r="H163" s="25" t="inlineStr">
        <is>
          <t>CESI Ecole d'Ingénieurs</t>
        </is>
      </c>
      <c r="I163" s="25" t="inlineStr">
        <is>
          <t>CESI</t>
        </is>
      </c>
      <c r="J163" s="25" t="inlineStr">
        <is>
          <t>Campus d'Aix-en-Provence</t>
        </is>
      </c>
      <c r="K163" s="25" t="inlineStr">
        <is>
          <t>13290 Aix-en-Provence</t>
        </is>
      </c>
      <c r="L163" s="25" t="inlineStr">
        <is>
          <t>Private / EESPIG</t>
        </is>
      </c>
      <c r="M163" s="25" t="inlineStr">
        <is>
          <t>English</t>
        </is>
      </c>
      <c r="N163" s="25" t="inlineStr">
        <is>
          <t>Taught in English</t>
        </is>
      </c>
      <c r="O163" s="25" t="inlineStr">
        <is>
          <t>Bac +3</t>
        </is>
      </c>
      <c r="P163" s="26" t="inlineStr">
        <is>
          <t>Eligible on level (4-yr BS ≈ Bac+4)</t>
        </is>
      </c>
      <c r="Q163" s="25" t="inlineStr">
        <is>
          <t>1</t>
        </is>
      </c>
      <c r="R163" s="25" t="inlineStr">
        <is>
          <t>10</t>
        </is>
      </c>
      <c r="S163" s="27" t="n">
        <v>10500</v>
      </c>
      <c r="T163" s="27" t="n"/>
      <c r="U163" s="25" t="n">
        <v>2</v>
      </c>
      <c r="V163" s="27">
        <f>IF(S163="","",S163*U163)</f>
        <v/>
      </c>
      <c r="W163" s="26" t="inlineStr">
        <is>
          <t>Catalogue fee €10,500/yr (entered by institution).</t>
        </is>
      </c>
      <c r="X163" s="25" t="inlineStr">
        <is>
          <t>High</t>
        </is>
      </c>
      <c r="Y163" s="25" t="inlineStr">
        <is>
          <t>10500</t>
        </is>
      </c>
      <c r="Z163" s="26" t="n"/>
      <c r="AA163" s="26" t="n"/>
      <c r="AB163" s="25" t="n"/>
      <c r="AC163" s="25" t="inlineStr">
        <is>
          <t>Open</t>
        </is>
      </c>
      <c r="AD163" s="25" t="inlineStr">
        <is>
          <t>2026-10-01</t>
        </is>
      </c>
      <c r="AE163" s="25" t="inlineStr">
        <is>
          <t>2027-03-15</t>
        </is>
      </c>
      <c r="AF163" s="25" t="inlineStr">
        <is>
          <t>Yes</t>
        </is>
      </c>
      <c r="AG163" s="25" t="n"/>
      <c r="AH163" s="26" t="inlineStr">
        <is>
          <t>Admission to 1st year of curriculum: Hold a diploma equivalent to a university bachelor's degree, attesting to three years of higher education after the end of secondary school, in a scientific or technical field. Docume</t>
        </is>
      </c>
      <c r="AI163" s="28" t="inlineStr">
        <is>
          <t>Open in EEF</t>
        </is>
      </c>
    </row>
    <row r="164" ht="32.8" customHeight="1" s="19">
      <c r="A164" s="25" t="n">
        <v>163</v>
      </c>
      <c r="B164" s="25" t="inlineStr">
        <is>
          <t>★★★☆☆</t>
        </is>
      </c>
      <c r="C164" s="25" t="inlineStr">
        <is>
          <t>3 – Adjacent (AI/data/CS/cyber/energy)</t>
        </is>
      </c>
      <c r="D164" s="25" t="inlineStr">
        <is>
          <t>Cybersecurity</t>
        </is>
      </c>
      <c r="E164" s="26" t="inlineStr">
        <is>
          <t>Master pro Sciences, technologies, santé, mention Informatique parcours CYBER</t>
        </is>
      </c>
      <c r="F164" s="26" t="inlineStr">
        <is>
          <t>Master pro Science, Technology, Health (STS), – major: Computer Science – track: CYBER</t>
        </is>
      </c>
      <c r="G164" s="25" t="inlineStr">
        <is>
          <t>Master professionnel</t>
        </is>
      </c>
      <c r="H164" s="25" t="inlineStr">
        <is>
          <t>Candidatures FGES</t>
        </is>
      </c>
      <c r="I164" s="25" t="inlineStr">
        <is>
          <t>Université catholique de Lille</t>
        </is>
      </c>
      <c r="J164" s="25" t="inlineStr">
        <is>
          <t>Site de Lille (Vauban)</t>
        </is>
      </c>
      <c r="K164" s="25" t="n"/>
      <c r="L164" s="25" t="inlineStr">
        <is>
          <t>Private / EESPIG</t>
        </is>
      </c>
      <c r="M164" s="25" t="inlineStr">
        <is>
          <t>French &amp; English</t>
        </is>
      </c>
      <c r="N164" s="25" t="inlineStr">
        <is>
          <t>General</t>
        </is>
      </c>
      <c r="O164" s="25" t="inlineStr">
        <is>
          <t>Bac +4 / Bac +5</t>
        </is>
      </c>
      <c r="P164" s="26" t="inlineStr">
        <is>
          <t>Eligible on level (4-yr BS ≈ Bac+4)</t>
        </is>
      </c>
      <c r="Q164" s="25" t="inlineStr">
        <is>
          <t>1/2</t>
        </is>
      </c>
      <c r="R164" s="25" t="inlineStr">
        <is>
          <t>12</t>
        </is>
      </c>
      <c r="S164" s="27" t="n">
        <v>11997</v>
      </c>
      <c r="T164" s="27" t="n"/>
      <c r="U164" s="25" t="n">
        <v>1</v>
      </c>
      <c r="V164" s="27">
        <f>IF(S164="","",S164*U164)</f>
        <v/>
      </c>
      <c r="W164" s="26" t="inlineStr">
        <is>
          <t>Catalogue fee €11,997/yr (entered by institution).</t>
        </is>
      </c>
      <c r="X164" s="25" t="inlineStr">
        <is>
          <t>High</t>
        </is>
      </c>
      <c r="Y164" s="25" t="inlineStr">
        <is>
          <t>11997</t>
        </is>
      </c>
      <c r="Z164" s="26" t="inlineStr">
        <is>
          <t>00€ et 11 997 … 00€ (en fonction des revenus des parents)</t>
        </is>
      </c>
      <c r="AA164" s="26" t="n"/>
      <c r="AB164" s="25" t="n"/>
      <c r="AC164" s="25" t="inlineStr">
        <is>
          <t>Open</t>
        </is>
      </c>
      <c r="AD164" s="25" t="inlineStr">
        <is>
          <t>2026-10-01</t>
        </is>
      </c>
      <c r="AE164" s="25" t="inlineStr">
        <is>
          <t>2027-03-15</t>
        </is>
      </c>
      <c r="AF164" s="25" t="inlineStr">
        <is>
          <t>Yes</t>
        </is>
      </c>
      <c r="AG164" s="28" t="inlineStr">
        <is>
          <t>https://www.fges.fr/formations/master-cyber/</t>
        </is>
      </c>
      <c r="AH164" s="26" t="inlineStr">
        <is>
          <t>Le Master CYBER est un Master d'expertise en informatique focalisant sur la cybersécurité et le développement sûr de logiciel. Il exige, en prérequis, un diplôme en informatique de niveau Licence (Bac+3) minimum. Ce mast</t>
        </is>
      </c>
      <c r="AI164" s="28" t="inlineStr">
        <is>
          <t>Open in EEF</t>
        </is>
      </c>
    </row>
    <row r="165" ht="32.8" customHeight="1" s="19">
      <c r="A165" s="25" t="n">
        <v>164</v>
      </c>
      <c r="B165" s="25" t="inlineStr">
        <is>
          <t>★★★☆☆</t>
        </is>
      </c>
      <c r="C165" s="25" t="inlineStr">
        <is>
          <t>3 – Adjacent (AI/data/CS/cyber/energy)</t>
        </is>
      </c>
      <c r="D165" s="25" t="inlineStr">
        <is>
          <t>AI / Data science</t>
        </is>
      </c>
      <c r="E165" s="26" t="inlineStr">
        <is>
          <t>Master pro Sciences, technologies, santé, mention Informatique parcours Data et Intelligence Artificielle DATA&amp;IA</t>
        </is>
      </c>
      <c r="F165" s="26" t="inlineStr">
        <is>
          <t>Master pro Science, Technology, Health (STS), – major: Computer Science – track: Data &amp; Artificial Intelligence DATA&amp;IA</t>
        </is>
      </c>
      <c r="G165" s="25" t="inlineStr">
        <is>
          <t>Master professionnel</t>
        </is>
      </c>
      <c r="H165" s="25" t="inlineStr">
        <is>
          <t>Candidatures FGES</t>
        </is>
      </c>
      <c r="I165" s="25" t="inlineStr">
        <is>
          <t>Université catholique de Lille</t>
        </is>
      </c>
      <c r="J165" s="25" t="inlineStr">
        <is>
          <t>Site de Lille (Vauban)</t>
        </is>
      </c>
      <c r="K165" s="25" t="n"/>
      <c r="L165" s="25" t="inlineStr">
        <is>
          <t>Private / EESPIG</t>
        </is>
      </c>
      <c r="M165" s="25" t="inlineStr">
        <is>
          <t>French &amp; English</t>
        </is>
      </c>
      <c r="N165" s="25" t="inlineStr">
        <is>
          <t>General</t>
        </is>
      </c>
      <c r="O165" s="25" t="inlineStr">
        <is>
          <t>Bac +4 / Bac +5</t>
        </is>
      </c>
      <c r="P165" s="26" t="inlineStr">
        <is>
          <t>Eligible on level (4-yr BS ≈ Bac+4)</t>
        </is>
      </c>
      <c r="Q165" s="25" t="inlineStr">
        <is>
          <t>1/2</t>
        </is>
      </c>
      <c r="R165" s="25" t="inlineStr">
        <is>
          <t>12</t>
        </is>
      </c>
      <c r="S165" s="27" t="n">
        <v>11997</v>
      </c>
      <c r="T165" s="27" t="n"/>
      <c r="U165" s="25" t="n">
        <v>1</v>
      </c>
      <c r="V165" s="27">
        <f>IF(S165="","",S165*U165)</f>
        <v/>
      </c>
      <c r="W165" s="26" t="inlineStr">
        <is>
          <t>Catalogue fee €11,997/yr (entered by institution).</t>
        </is>
      </c>
      <c r="X165" s="25" t="inlineStr">
        <is>
          <t>High</t>
        </is>
      </c>
      <c r="Y165" s="25" t="inlineStr">
        <is>
          <t>11997</t>
        </is>
      </c>
      <c r="Z165" s="26" t="inlineStr">
        <is>
          <t>00€ et 11 997 … 00€ (en fonction des revenus des parents)</t>
        </is>
      </c>
      <c r="AA165" s="26" t="n"/>
      <c r="AB165" s="25" t="n"/>
      <c r="AC165" s="25" t="inlineStr">
        <is>
          <t>Open</t>
        </is>
      </c>
      <c r="AD165" s="25" t="inlineStr">
        <is>
          <t>2026-10-01</t>
        </is>
      </c>
      <c r="AE165" s="25" t="inlineStr">
        <is>
          <t>2027-03-15</t>
        </is>
      </c>
      <c r="AF165" s="25" t="inlineStr">
        <is>
          <t>Yes</t>
        </is>
      </c>
      <c r="AG165" s="28" t="inlineStr">
        <is>
          <t>https://www.fges.fr/formations/master-data-intelligence-artificielle/</t>
        </is>
      </c>
      <c r="AH165" s="26" t="inlineStr">
        <is>
          <t>Le Master Data &amp; IA prépare aux métiers de la data et de l’IA, avec un objectif de transformer les données en solutions innovantes et en valeur ajoutée pour la prise de décision. Il exige, en prérequis, un diplôme de niv</t>
        </is>
      </c>
      <c r="AI165" s="28" t="inlineStr">
        <is>
          <t>Open in EEF</t>
        </is>
      </c>
    </row>
    <row r="166" ht="22.35" customHeight="1" s="19">
      <c r="A166" s="25" t="n">
        <v>165</v>
      </c>
      <c r="B166" s="25" t="inlineStr">
        <is>
          <t>★★★☆☆</t>
        </is>
      </c>
      <c r="C166" s="25" t="inlineStr">
        <is>
          <t>3 – Adjacent (AI/data/CS/cyber/energy)</t>
        </is>
      </c>
      <c r="D166" s="25" t="inlineStr">
        <is>
          <t>Other engineering / maths</t>
        </is>
      </c>
      <c r="E166" s="26" t="inlineStr">
        <is>
          <t>mastère spé. Air-Ground Collaborative Systems Engineering</t>
        </is>
      </c>
      <c r="F166" s="26" t="inlineStr">
        <is>
          <t>Specialised Master (MS) Air-Ground Collaborative Systems Engineering</t>
        </is>
      </c>
      <c r="G166" s="25" t="inlineStr">
        <is>
          <t>Mastère spécialisé</t>
        </is>
      </c>
      <c r="H166" s="25" t="inlineStr">
        <is>
          <t>Ecole nationale de l'aviation civile</t>
        </is>
      </c>
      <c r="I166" s="25" t="n"/>
      <c r="J166" s="25" t="inlineStr">
        <is>
          <t>Site de Toulouse</t>
        </is>
      </c>
      <c r="K166" s="25" t="n"/>
      <c r="L166" s="25" t="inlineStr">
        <is>
          <t>Public school / institute</t>
        </is>
      </c>
      <c r="M166" s="25" t="inlineStr">
        <is>
          <t>English</t>
        </is>
      </c>
      <c r="N166" s="25" t="inlineStr">
        <is>
          <t>General</t>
        </is>
      </c>
      <c r="O166" s="25" t="inlineStr">
        <is>
          <t>Bac +5</t>
        </is>
      </c>
      <c r="P166" s="26" t="inlineStr">
        <is>
          <t>Possible – MS rules allow Bac+4 + ≥3 yrs work experience (you have 3)</t>
        </is>
      </c>
      <c r="Q166" s="25" t="inlineStr">
        <is>
          <t>1</t>
        </is>
      </c>
      <c r="R166" s="25" t="n"/>
      <c r="S166" s="27" t="n">
        <v>12000</v>
      </c>
      <c r="T166" s="27" t="n"/>
      <c r="U166" s="25" t="n">
        <v>1</v>
      </c>
      <c r="V166" s="27">
        <f>IF(S166="","",S166*U166)</f>
        <v/>
      </c>
      <c r="W166" s="26" t="inlineStr">
        <is>
          <t>Not in catalogue. Mastère Spécialisé programmes typically cost €9k–€23k. Verify.</t>
        </is>
      </c>
      <c r="X166" s="25" t="inlineStr">
        <is>
          <t>Low</t>
        </is>
      </c>
      <c r="Y166" s="25" t="n"/>
      <c r="Z166" s="26" t="n"/>
      <c r="AA166" s="26" t="n"/>
      <c r="AB166" s="25" t="n"/>
      <c r="AC166" s="25" t="inlineStr">
        <is>
          <t>Open</t>
        </is>
      </c>
      <c r="AD166" s="25" t="inlineStr">
        <is>
          <t>2026-10-01</t>
        </is>
      </c>
      <c r="AE166" s="25" t="inlineStr">
        <is>
          <t>2027-03-15</t>
        </is>
      </c>
      <c r="AF166" s="25" t="inlineStr">
        <is>
          <t>No</t>
        </is>
      </c>
      <c r="AG166" s="28" t="inlineStr">
        <is>
          <t>http://www.enac.fr</t>
        </is>
      </c>
      <c r="AH166" s="26" t="n"/>
      <c r="AI166" s="28" t="inlineStr">
        <is>
          <t>Open in EEF</t>
        </is>
      </c>
    </row>
    <row r="167" ht="22.35" customHeight="1" s="19">
      <c r="A167" s="25" t="n">
        <v>166</v>
      </c>
      <c r="B167" s="25" t="inlineStr">
        <is>
          <t>★★★☆☆</t>
        </is>
      </c>
      <c r="C167" s="25" t="inlineStr">
        <is>
          <t>3 – Adjacent (AI/data/CS/cyber/energy)</t>
        </is>
      </c>
      <c r="D167" s="25" t="inlineStr">
        <is>
          <t>AI / Data science</t>
        </is>
      </c>
      <c r="E167" s="26" t="inlineStr">
        <is>
          <t>Mastère en sciences (MSc) Master of Science in Biotechnology and Artificial Intelligence</t>
        </is>
      </c>
      <c r="F167" s="26" t="inlineStr">
        <is>
          <t>Mastère in Sciences (MSc) Master of Science in Biotechnology and Artificial Intelligence</t>
        </is>
      </c>
      <c r="G167" s="25" t="inlineStr">
        <is>
          <t>Mastère en sciences (MSc)</t>
        </is>
      </c>
      <c r="H167" s="25" t="inlineStr">
        <is>
          <t>Institut Sup'Biotech de Paris</t>
        </is>
      </c>
      <c r="I167" s="25" t="n"/>
      <c r="J167" s="25" t="inlineStr">
        <is>
          <t>Site de Villejuif</t>
        </is>
      </c>
      <c r="K167" s="25" t="n"/>
      <c r="L167" s="25" t="inlineStr">
        <is>
          <t>Private / EESPIG</t>
        </is>
      </c>
      <c r="M167" s="25" t="inlineStr">
        <is>
          <t>English</t>
        </is>
      </c>
      <c r="N167" s="25" t="inlineStr">
        <is>
          <t>Taught in English</t>
        </is>
      </c>
      <c r="O167" s="25" t="inlineStr">
        <is>
          <t>Bac +4</t>
        </is>
      </c>
      <c r="P167" s="26" t="inlineStr">
        <is>
          <t>Eligible on level (4-yr BS ≈ Bac+4)</t>
        </is>
      </c>
      <c r="Q167" s="25" t="inlineStr">
        <is>
          <t>1</t>
        </is>
      </c>
      <c r="R167" s="25" t="n"/>
      <c r="S167" s="27" t="n">
        <v>13950</v>
      </c>
      <c r="T167" s="27" t="n"/>
      <c r="U167" s="25" t="n">
        <v>2</v>
      </c>
      <c r="V167" s="27">
        <f>IF(S167="","",S167*U167)</f>
        <v/>
      </c>
      <c r="W167" s="26" t="inlineStr">
        <is>
          <t>Catalogue fee €13,950/yr (entered by institution).</t>
        </is>
      </c>
      <c r="X167" s="25" t="inlineStr">
        <is>
          <t>High</t>
        </is>
      </c>
      <c r="Y167" s="25" t="inlineStr">
        <is>
          <t>13950</t>
        </is>
      </c>
      <c r="Z167" s="26" t="n"/>
      <c r="AA167" s="26" t="n"/>
      <c r="AB167" s="25" t="n"/>
      <c r="AC167" s="25" t="inlineStr">
        <is>
          <t>Open</t>
        </is>
      </c>
      <c r="AD167" s="25" t="inlineStr">
        <is>
          <t>2026-10-01</t>
        </is>
      </c>
      <c r="AE167" s="25" t="inlineStr">
        <is>
          <t>2027-03-15</t>
        </is>
      </c>
      <c r="AF167" s="25" t="inlineStr">
        <is>
          <t>Yes</t>
        </is>
      </c>
      <c r="AG167" s="25" t="n"/>
      <c r="AH167" s="26" t="n"/>
      <c r="AI167" s="28" t="inlineStr">
        <is>
          <t>Open in EEF</t>
        </is>
      </c>
    </row>
    <row r="168" ht="32.8" customHeight="1" s="19">
      <c r="A168" s="25" t="n">
        <v>167</v>
      </c>
      <c r="B168" s="25" t="inlineStr">
        <is>
          <t>★★★☆☆</t>
        </is>
      </c>
      <c r="C168" s="25" t="inlineStr">
        <is>
          <t>3 – Adjacent (AI/data/CS/cyber/energy)</t>
        </is>
      </c>
      <c r="D168" s="25" t="inlineStr">
        <is>
          <t>Computer science / Software</t>
        </is>
      </c>
      <c r="E168" s="26" t="inlineStr">
        <is>
          <t>Master in Sciences &amp; Technology, major "Information Systems"</t>
        </is>
      </c>
      <c r="F168" s="26" t="inlineStr">
        <is>
          <t>Master in Sciences &amp; Technology, major "Information Systems"</t>
        </is>
      </c>
      <c r="G168" s="25" t="inlineStr">
        <is>
          <t>Master indifférencié (recherche et professionnel)</t>
        </is>
      </c>
      <c r="H168" s="25" t="inlineStr">
        <is>
          <t>Ecole supérieure d'ingénieurs en génie électrique</t>
        </is>
      </c>
      <c r="I168" s="25" t="n"/>
      <c r="J168" s="25" t="inlineStr">
        <is>
          <t>Site de Saint-Etienne-du-Rouvray</t>
        </is>
      </c>
      <c r="K168" s="25" t="n"/>
      <c r="L168" s="25" t="inlineStr">
        <is>
          <t>Private / EESPIG</t>
        </is>
      </c>
      <c r="M168" s="25" t="inlineStr">
        <is>
          <t>English</t>
        </is>
      </c>
      <c r="N168" s="25" t="inlineStr">
        <is>
          <t>Taught in English</t>
        </is>
      </c>
      <c r="O168" s="25" t="inlineStr">
        <is>
          <t>Bac +4 / Bac +5</t>
        </is>
      </c>
      <c r="P168" s="26" t="inlineStr">
        <is>
          <t>Eligible on level (4-yr BS ≈ Bac+4)</t>
        </is>
      </c>
      <c r="Q168" s="25" t="inlineStr">
        <is>
          <t>1/2</t>
        </is>
      </c>
      <c r="R168" s="25" t="inlineStr">
        <is>
          <t>18</t>
        </is>
      </c>
      <c r="S168" s="27" t="n">
        <v>14000</v>
      </c>
      <c r="T168" s="27" t="n"/>
      <c r="U168" s="25" t="n">
        <v>2</v>
      </c>
      <c r="V168" s="27">
        <f>IF(S168="","",S168*U168)</f>
        <v/>
      </c>
      <c r="W168" s="26" t="inlineStr">
        <is>
          <t>Catalogue fee €14,000/yr (entered by institution).</t>
        </is>
      </c>
      <c r="X168" s="25" t="inlineStr">
        <is>
          <t>High</t>
        </is>
      </c>
      <c r="Y168" s="25" t="inlineStr">
        <is>
          <t>17000/14000</t>
        </is>
      </c>
      <c r="Z168" s="26" t="n"/>
      <c r="AA168" s="26" t="n"/>
      <c r="AB168" s="25" t="n"/>
      <c r="AC168" s="25" t="inlineStr">
        <is>
          <t>Open</t>
        </is>
      </c>
      <c r="AD168" s="25" t="inlineStr">
        <is>
          <t>2026-10-01</t>
        </is>
      </c>
      <c r="AE168" s="25" t="inlineStr">
        <is>
          <t>2027-03-15</t>
        </is>
      </c>
      <c r="AF168" s="25" t="inlineStr">
        <is>
          <t>Yes</t>
        </is>
      </c>
      <c r="AG168" s="28" t="inlineStr">
        <is>
          <t>http://www.esigelec.fr</t>
        </is>
      </c>
      <c r="AH168" s="26" t="inlineStr">
        <is>
          <t>All courses are taught in English Admission Bachelor degree in engineering domains (Computer Science, Information Technology,..) English proficiency Level equivalent to 6.0 at IELTS Interview in english with a representa</t>
        </is>
      </c>
      <c r="AI168" s="28" t="inlineStr">
        <is>
          <t>Open in EEF</t>
        </is>
      </c>
    </row>
    <row r="169" ht="22.35" customHeight="1" s="19">
      <c r="A169" s="25" t="n">
        <v>168</v>
      </c>
      <c r="B169" s="25" t="inlineStr">
        <is>
          <t>★★★☆☆</t>
        </is>
      </c>
      <c r="C169" s="25" t="inlineStr">
        <is>
          <t>3 – Adjacent (AI/data/CS/cyber/energy)</t>
        </is>
      </c>
      <c r="D169" s="25" t="inlineStr">
        <is>
          <t>Cybersecurity</t>
        </is>
      </c>
      <c r="E169" s="26" t="inlineStr">
        <is>
          <t>Master of Science (MSc) Master of Science in Computer Science - Computer Security</t>
        </is>
      </c>
      <c r="F169" s="26" t="inlineStr">
        <is>
          <t>Master of Science (MSc) Master of Science in Computer Science - Computer Security</t>
        </is>
      </c>
      <c r="G169" s="25" t="inlineStr">
        <is>
          <t>Master of Science (MSc)</t>
        </is>
      </c>
      <c r="H169" s="25" t="inlineStr">
        <is>
          <t>Ecole pour l'informatique et les techniques avancées</t>
        </is>
      </c>
      <c r="I169" s="25" t="n"/>
      <c r="J169" s="25" t="inlineStr">
        <is>
          <t>Site de Le Kremlin-Bicêtre</t>
        </is>
      </c>
      <c r="K169" s="25" t="n"/>
      <c r="L169" s="25" t="inlineStr">
        <is>
          <t>Private / EESPIG</t>
        </is>
      </c>
      <c r="M169" s="25" t="inlineStr">
        <is>
          <t>English</t>
        </is>
      </c>
      <c r="N169" s="25" t="inlineStr">
        <is>
          <t>Taught in English</t>
        </is>
      </c>
      <c r="O169" s="25" t="inlineStr">
        <is>
          <t>Bac +4 / Bac +5</t>
        </is>
      </c>
      <c r="P169" s="26" t="inlineStr">
        <is>
          <t>Eligible on level (4-yr BS ≈ Bac+4)</t>
        </is>
      </c>
      <c r="Q169" s="25" t="inlineStr">
        <is>
          <t>1/2</t>
        </is>
      </c>
      <c r="R169" s="25" t="n"/>
      <c r="S169" s="27" t="n">
        <v>14760</v>
      </c>
      <c r="T169" s="27" t="n"/>
      <c r="U169" s="25" t="n">
        <v>2</v>
      </c>
      <c r="V169" s="27">
        <f>IF(S169="","",S169*U169)</f>
        <v/>
      </c>
      <c r="W169" s="26" t="inlineStr">
        <is>
          <t>Catalogue fee €14,760/yr (entered by institution).</t>
        </is>
      </c>
      <c r="X169" s="25" t="inlineStr">
        <is>
          <t>High</t>
        </is>
      </c>
      <c r="Y169" s="25" t="inlineStr">
        <is>
          <t>14760</t>
        </is>
      </c>
      <c r="Z169" s="26" t="n"/>
      <c r="AA169" s="26" t="n"/>
      <c r="AB169" s="25" t="n"/>
      <c r="AC169" s="25" t="inlineStr">
        <is>
          <t>Open</t>
        </is>
      </c>
      <c r="AD169" s="25" t="inlineStr">
        <is>
          <t>2026-10-01</t>
        </is>
      </c>
      <c r="AE169" s="25" t="inlineStr">
        <is>
          <t>2027-03-15</t>
        </is>
      </c>
      <c r="AF169" s="25" t="inlineStr">
        <is>
          <t>Yes</t>
        </is>
      </c>
      <c r="AG169" s="25" t="n"/>
      <c r="AH169" s="26" t="n"/>
      <c r="AI169" s="28" t="inlineStr">
        <is>
          <t>Open in EEF</t>
        </is>
      </c>
    </row>
    <row r="170" ht="22.35" customHeight="1" s="19">
      <c r="A170" s="25" t="n">
        <v>169</v>
      </c>
      <c r="B170" s="25" t="inlineStr">
        <is>
          <t>★★★☆☆</t>
        </is>
      </c>
      <c r="C170" s="25" t="inlineStr">
        <is>
          <t>3 – Adjacent (AI/data/CS/cyber/energy)</t>
        </is>
      </c>
      <c r="D170" s="25" t="inlineStr">
        <is>
          <t>AI / Data science</t>
        </is>
      </c>
      <c r="E170" s="26" t="inlineStr">
        <is>
          <t>Master of Science (MSc) Master of Science in Computer Science - Data Science &amp; Analytics</t>
        </is>
      </c>
      <c r="F170" s="26" t="inlineStr">
        <is>
          <t>Master of Science (MSc) Master of Science in Computer Science - Data Science &amp; Analytics</t>
        </is>
      </c>
      <c r="G170" s="25" t="inlineStr">
        <is>
          <t>Master of Science (MSc)</t>
        </is>
      </c>
      <c r="H170" s="25" t="inlineStr">
        <is>
          <t>Ecole pour l'informatique et les techniques avancées</t>
        </is>
      </c>
      <c r="I170" s="25" t="n"/>
      <c r="J170" s="25" t="inlineStr">
        <is>
          <t>Site de Le Kremlin-Bicêtre</t>
        </is>
      </c>
      <c r="K170" s="25" t="n"/>
      <c r="L170" s="25" t="inlineStr">
        <is>
          <t>Private / EESPIG</t>
        </is>
      </c>
      <c r="M170" s="25" t="inlineStr">
        <is>
          <t>English</t>
        </is>
      </c>
      <c r="N170" s="25" t="inlineStr">
        <is>
          <t>Taught in English</t>
        </is>
      </c>
      <c r="O170" s="25" t="inlineStr">
        <is>
          <t>Bac +4 / Bac +5</t>
        </is>
      </c>
      <c r="P170" s="26" t="inlineStr">
        <is>
          <t>Eligible on level (4-yr BS ≈ Bac+4)</t>
        </is>
      </c>
      <c r="Q170" s="25" t="inlineStr">
        <is>
          <t>1/2</t>
        </is>
      </c>
      <c r="R170" s="25" t="n"/>
      <c r="S170" s="27" t="n">
        <v>14760</v>
      </c>
      <c r="T170" s="27" t="n"/>
      <c r="U170" s="25" t="n">
        <v>2</v>
      </c>
      <c r="V170" s="27">
        <f>IF(S170="","",S170*U170)</f>
        <v/>
      </c>
      <c r="W170" s="26" t="inlineStr">
        <is>
          <t>Catalogue fee €14,760/yr (entered by institution).</t>
        </is>
      </c>
      <c r="X170" s="25" t="inlineStr">
        <is>
          <t>High</t>
        </is>
      </c>
      <c r="Y170" s="25" t="inlineStr">
        <is>
          <t>14760</t>
        </is>
      </c>
      <c r="Z170" s="26" t="n"/>
      <c r="AA170" s="26" t="n"/>
      <c r="AB170" s="25" t="n"/>
      <c r="AC170" s="25" t="inlineStr">
        <is>
          <t>Open</t>
        </is>
      </c>
      <c r="AD170" s="25" t="inlineStr">
        <is>
          <t>2026-10-01</t>
        </is>
      </c>
      <c r="AE170" s="25" t="inlineStr">
        <is>
          <t>2027-03-15</t>
        </is>
      </c>
      <c r="AF170" s="25" t="inlineStr">
        <is>
          <t>Yes</t>
        </is>
      </c>
      <c r="AG170" s="25" t="n"/>
      <c r="AH170" s="26" t="n"/>
      <c r="AI170" s="28" t="inlineStr">
        <is>
          <t>Open in EEF</t>
        </is>
      </c>
    </row>
    <row r="171" ht="22.35" customHeight="1" s="19">
      <c r="A171" s="25" t="n">
        <v>170</v>
      </c>
      <c r="B171" s="25" t="inlineStr">
        <is>
          <t>★★★☆☆</t>
        </is>
      </c>
      <c r="C171" s="25" t="inlineStr">
        <is>
          <t>3 – Adjacent (AI/data/CS/cyber/energy)</t>
        </is>
      </c>
      <c r="D171" s="25" t="inlineStr">
        <is>
          <t>Computer science / Software</t>
        </is>
      </c>
      <c r="E171" s="26" t="inlineStr">
        <is>
          <t>Master of Science (MSc) Master of Science in Computer Science - Software Engineering</t>
        </is>
      </c>
      <c r="F171" s="26" t="inlineStr">
        <is>
          <t>Master of Science (MSc) Master of Science in Computer Science - Software Engineering</t>
        </is>
      </c>
      <c r="G171" s="25" t="inlineStr">
        <is>
          <t>Master of Science (MSc)</t>
        </is>
      </c>
      <c r="H171" s="25" t="inlineStr">
        <is>
          <t>Ecole pour l'informatique et les techniques avancées</t>
        </is>
      </c>
      <c r="I171" s="25" t="n"/>
      <c r="J171" s="25" t="inlineStr">
        <is>
          <t>Site de Le Kremlin-Bicêtre</t>
        </is>
      </c>
      <c r="K171" s="25" t="n"/>
      <c r="L171" s="25" t="inlineStr">
        <is>
          <t>Private / EESPIG</t>
        </is>
      </c>
      <c r="M171" s="25" t="inlineStr">
        <is>
          <t>English</t>
        </is>
      </c>
      <c r="N171" s="25" t="inlineStr">
        <is>
          <t>Taught in English</t>
        </is>
      </c>
      <c r="O171" s="25" t="inlineStr">
        <is>
          <t>Bac +4 / Bac +5</t>
        </is>
      </c>
      <c r="P171" s="26" t="inlineStr">
        <is>
          <t>Eligible on level (4-yr BS ≈ Bac+4)</t>
        </is>
      </c>
      <c r="Q171" s="25" t="inlineStr">
        <is>
          <t>1/2</t>
        </is>
      </c>
      <c r="R171" s="25" t="n"/>
      <c r="S171" s="27" t="n">
        <v>14760</v>
      </c>
      <c r="T171" s="27" t="n"/>
      <c r="U171" s="25" t="n">
        <v>2</v>
      </c>
      <c r="V171" s="27">
        <f>IF(S171="","",S171*U171)</f>
        <v/>
      </c>
      <c r="W171" s="26" t="inlineStr">
        <is>
          <t>Catalogue fee €14,760/yr (entered by institution).</t>
        </is>
      </c>
      <c r="X171" s="25" t="inlineStr">
        <is>
          <t>High</t>
        </is>
      </c>
      <c r="Y171" s="25" t="inlineStr">
        <is>
          <t>14760</t>
        </is>
      </c>
      <c r="Z171" s="26" t="n"/>
      <c r="AA171" s="26" t="n"/>
      <c r="AB171" s="25" t="n"/>
      <c r="AC171" s="25" t="inlineStr">
        <is>
          <t>Open</t>
        </is>
      </c>
      <c r="AD171" s="25" t="inlineStr">
        <is>
          <t>2026-10-01</t>
        </is>
      </c>
      <c r="AE171" s="25" t="inlineStr">
        <is>
          <t>2027-03-15</t>
        </is>
      </c>
      <c r="AF171" s="25" t="inlineStr">
        <is>
          <t>Yes</t>
        </is>
      </c>
      <c r="AG171" s="25" t="n"/>
      <c r="AH171" s="26" t="n"/>
      <c r="AI171" s="28" t="inlineStr">
        <is>
          <t>Open in EEF</t>
        </is>
      </c>
    </row>
    <row r="172" ht="43.25" customHeight="1" s="19">
      <c r="A172" s="25" t="n">
        <v>171</v>
      </c>
      <c r="B172" s="25" t="inlineStr">
        <is>
          <t>★★★☆☆</t>
        </is>
      </c>
      <c r="C172" s="25" t="inlineStr">
        <is>
          <t>3 – Adjacent (AI/data/CS/cyber/energy)</t>
        </is>
      </c>
      <c r="D172" s="25" t="inlineStr">
        <is>
          <t>AI / Data science</t>
        </is>
      </c>
      <c r="E172" s="26" t="inlineStr">
        <is>
          <t>Master artificial intelligence (INtelligent systems for a sustainable Digital transformation of the Society)</t>
        </is>
      </c>
      <c r="F172" s="26" t="inlineStr">
        <is>
          <t>Master artificial intelligence (INtelligent systems for a sustainable Digital transformation of the Society)</t>
        </is>
      </c>
      <c r="G172" s="25" t="inlineStr">
        <is>
          <t>Master of Science (MSc)</t>
        </is>
      </c>
      <c r="H172" s="25" t="inlineStr">
        <is>
          <t>Institut national des sciences appliquées de Lyon</t>
        </is>
      </c>
      <c r="I172" s="25" t="n"/>
      <c r="J172" s="25" t="inlineStr">
        <is>
          <t>Site de Villeurbanne</t>
        </is>
      </c>
      <c r="K172" s="25" t="n"/>
      <c r="L172" s="25" t="inlineStr">
        <is>
          <t>Public school / institute</t>
        </is>
      </c>
      <c r="M172" s="25" t="inlineStr">
        <is>
          <t>English</t>
        </is>
      </c>
      <c r="N172" s="25" t="inlineStr">
        <is>
          <t>Taught in English</t>
        </is>
      </c>
      <c r="O172" s="25" t="inlineStr">
        <is>
          <t>Bac +4</t>
        </is>
      </c>
      <c r="P172" s="26" t="inlineStr">
        <is>
          <t>Eligible on level (4-yr BS ≈ Bac+4)</t>
        </is>
      </c>
      <c r="Q172" s="25" t="inlineStr">
        <is>
          <t>1</t>
        </is>
      </c>
      <c r="R172" s="25" t="inlineStr">
        <is>
          <t>12</t>
        </is>
      </c>
      <c r="S172" s="27" t="n">
        <v>14940</v>
      </c>
      <c r="T172" s="27" t="n"/>
      <c r="U172" s="25" t="n">
        <v>1</v>
      </c>
      <c r="V172" s="27">
        <f>IF(S172="","",S172*U172)</f>
        <v/>
      </c>
      <c r="W172" s="26" t="inlineStr">
        <is>
          <t>Catalogue fee €14,940/yr (entered by institution).</t>
        </is>
      </c>
      <c r="X172" s="25" t="inlineStr">
        <is>
          <t>High</t>
        </is>
      </c>
      <c r="Y172" s="25" t="inlineStr">
        <is>
          <t>14940</t>
        </is>
      </c>
      <c r="Z172" s="26" t="inlineStr">
        <is>
          <t>Please take note of a non-refundable application fee of 128 €</t>
        </is>
      </c>
      <c r="AA172" s="26" t="n"/>
      <c r="AB172" s="25" t="n"/>
      <c r="AC172" s="25" t="inlineStr">
        <is>
          <t>Open</t>
        </is>
      </c>
      <c r="AD172" s="25" t="inlineStr">
        <is>
          <t>2026-10-01</t>
        </is>
      </c>
      <c r="AE172" s="25" t="inlineStr">
        <is>
          <t>2027-03-15</t>
        </is>
      </c>
      <c r="AF172" s="25" t="inlineStr">
        <is>
          <t>No</t>
        </is>
      </c>
      <c r="AG172" s="28" t="inlineStr">
        <is>
          <t>https://www.insa-lyon.fr/fr/formation/master-minds-ia</t>
        </is>
      </c>
      <c r="AH172" s="26" t="inlineStr">
        <is>
          <t>Bachelor’s Degree,Master's Degree or equivalent in Computer Science, Computer Engineering, Electrical &amp; Electronics Engineering, Telecommunications Engineering or related discipline. English language proficiency: at leas</t>
        </is>
      </c>
      <c r="AI172" s="28" t="inlineStr">
        <is>
          <t>Open in EEF</t>
        </is>
      </c>
    </row>
    <row r="173" ht="32.8" customHeight="1" s="19">
      <c r="A173" s="25" t="n">
        <v>172</v>
      </c>
      <c r="B173" s="25" t="inlineStr">
        <is>
          <t>★★★☆☆</t>
        </is>
      </c>
      <c r="C173" s="25" t="inlineStr">
        <is>
          <t>3 – Adjacent (AI/data/CS/cyber/energy)</t>
        </is>
      </c>
      <c r="D173" s="25" t="inlineStr">
        <is>
          <t>AI / Data science</t>
        </is>
      </c>
      <c r="E173" s="26" t="inlineStr">
        <is>
          <t>Master of Science (MSc) MSc in Artificial Intelligence</t>
        </is>
      </c>
      <c r="F173" s="26" t="inlineStr">
        <is>
          <t>Master of Science (MSc) MSc in Artificial Intelligence</t>
        </is>
      </c>
      <c r="G173" s="25" t="inlineStr">
        <is>
          <t>Master of Science (MSc)</t>
        </is>
      </c>
      <c r="H173" s="25" t="inlineStr">
        <is>
          <t>CentraleSupelec</t>
        </is>
      </c>
      <c r="I173" s="25" t="inlineStr">
        <is>
          <t>CentraleSupelec</t>
        </is>
      </c>
      <c r="J173" s="25" t="inlineStr">
        <is>
          <t>Masters CentraleSupélec</t>
        </is>
      </c>
      <c r="K173" s="25" t="inlineStr">
        <is>
          <t>91190 Gif-sur-yvette</t>
        </is>
      </c>
      <c r="L173" s="25" t="inlineStr">
        <is>
          <t>Public school / institute</t>
        </is>
      </c>
      <c r="M173" s="25" t="inlineStr">
        <is>
          <t>English</t>
        </is>
      </c>
      <c r="N173" s="25" t="inlineStr">
        <is>
          <t>Taught in English</t>
        </is>
      </c>
      <c r="O173" s="25" t="inlineStr">
        <is>
          <t>Bac +4 / Bac +5</t>
        </is>
      </c>
      <c r="P173" s="26" t="inlineStr">
        <is>
          <t>Eligible on level (4-yr BS ≈ Bac+4)</t>
        </is>
      </c>
      <c r="Q173" s="25" t="inlineStr">
        <is>
          <t>1/2</t>
        </is>
      </c>
      <c r="R173" s="25" t="n"/>
      <c r="S173" s="27" t="n">
        <v>15000</v>
      </c>
      <c r="T173" s="27" t="n"/>
      <c r="U173" s="25" t="n">
        <v>2</v>
      </c>
      <c r="V173" s="27">
        <f>IF(S173="","",S173*U173)</f>
        <v/>
      </c>
      <c r="W173" s="26" t="inlineStr">
        <is>
          <t>Catalogue fee €15,000/yr (entered by institution).</t>
        </is>
      </c>
      <c r="X173" s="25" t="inlineStr">
        <is>
          <t>High</t>
        </is>
      </c>
      <c r="Y173" s="25" t="inlineStr">
        <is>
          <t>15000/20000</t>
        </is>
      </c>
      <c r="Z173" s="26" t="n"/>
      <c r="AA173" s="26" t="n"/>
      <c r="AB173" s="25" t="n"/>
      <c r="AC173" s="25" t="inlineStr">
        <is>
          <t>Open</t>
        </is>
      </c>
      <c r="AD173" s="25" t="inlineStr">
        <is>
          <t>2026-10-01</t>
        </is>
      </c>
      <c r="AE173" s="25" t="inlineStr">
        <is>
          <t>2027-03-15</t>
        </is>
      </c>
      <c r="AF173" s="25" t="inlineStr">
        <is>
          <t>Yes</t>
        </is>
      </c>
      <c r="AG173" s="28" t="inlineStr">
        <is>
          <t>https://www.centralesupelec.fr/programmes/master-science-artificial-intelligence</t>
        </is>
      </c>
      <c r="AH173" s="26" t="inlineStr">
        <is>
          <t>M1 Admission L3 in science or Bachelor of Science (3 or 4 years), or Business Schools or University Diploma of Technology (BUT) or Health Studies (LAS) Minimum B2 level in English Tuition Fees: €15,000, including €1,500€</t>
        </is>
      </c>
      <c r="AI173" s="28" t="inlineStr">
        <is>
          <t>Open in EEF</t>
        </is>
      </c>
    </row>
    <row r="174" ht="43.25" customHeight="1" s="19">
      <c r="A174" s="25" t="n">
        <v>173</v>
      </c>
      <c r="B174" s="25" t="inlineStr">
        <is>
          <t>★★★☆☆</t>
        </is>
      </c>
      <c r="C174" s="25" t="inlineStr">
        <is>
          <t>3 – Adjacent (AI/data/CS/cyber/energy)</t>
        </is>
      </c>
      <c r="D174" s="25" t="inlineStr">
        <is>
          <t>AI / Data science</t>
        </is>
      </c>
      <c r="E174" s="26" t="inlineStr">
        <is>
          <t>MSc&amp;T Artificial Intelligence &amp; advanced Visual Computing</t>
        </is>
      </c>
      <c r="F174" s="26" t="inlineStr">
        <is>
          <t>MSc&amp;T Artificial Intelligence &amp; advanced Visual Computing</t>
        </is>
      </c>
      <c r="G174" s="25" t="inlineStr">
        <is>
          <t>Master indifférencié (recherche et professionnel)</t>
        </is>
      </c>
      <c r="H174" s="25" t="inlineStr">
        <is>
          <t>Ecole polytechnique</t>
        </is>
      </c>
      <c r="I174" s="25" t="n"/>
      <c r="J174" s="25" t="inlineStr">
        <is>
          <t>Site de Palaiseau</t>
        </is>
      </c>
      <c r="K174" s="25" t="n"/>
      <c r="L174" s="25" t="inlineStr">
        <is>
          <t>Public school / institute</t>
        </is>
      </c>
      <c r="M174" s="25" t="inlineStr">
        <is>
          <t>English</t>
        </is>
      </c>
      <c r="N174" s="25" t="inlineStr">
        <is>
          <t>Taught in English</t>
        </is>
      </c>
      <c r="O174" s="25" t="inlineStr">
        <is>
          <t>Bac +4</t>
        </is>
      </c>
      <c r="P174" s="26" t="inlineStr">
        <is>
          <t>Eligible on level (4-yr BS ≈ Bac+4)</t>
        </is>
      </c>
      <c r="Q174" s="25" t="inlineStr">
        <is>
          <t>1</t>
        </is>
      </c>
      <c r="R174" s="25" t="n"/>
      <c r="S174" s="27" t="n">
        <v>15500</v>
      </c>
      <c r="T174" s="27" t="n"/>
      <c r="U174" s="25" t="n">
        <v>2</v>
      </c>
      <c r="V174" s="27">
        <f>IF(S174="","",S174*U174)</f>
        <v/>
      </c>
      <c r="W174" s="26" t="inlineStr">
        <is>
          <t>Not in catalogue. École polytechnique MSc&amp;T programs cost €15,500–19,200/yr (official page); IoT fee not published – verify.</t>
        </is>
      </c>
      <c r="X174" s="25" t="inlineStr">
        <is>
          <t>Low</t>
        </is>
      </c>
      <c r="Y174" s="25" t="n"/>
      <c r="Z174" s="26" t="n"/>
      <c r="AA174" s="26" t="n"/>
      <c r="AB174" s="25" t="n"/>
      <c r="AC174" s="25" t="inlineStr">
        <is>
          <t>Open</t>
        </is>
      </c>
      <c r="AD174" s="25" t="inlineStr">
        <is>
          <t>2026-10-01</t>
        </is>
      </c>
      <c r="AE174" s="25" t="inlineStr">
        <is>
          <t>2027-03-15</t>
        </is>
      </c>
      <c r="AF174" s="25" t="inlineStr">
        <is>
          <t>Yes</t>
        </is>
      </c>
      <c r="AG174" s="28" t="inlineStr">
        <is>
          <t>https://bit.ly/2ODB04w</t>
        </is>
      </c>
      <c r="AH174" s="26" t="inlineStr">
        <is>
          <t>Licence en mathématiques ou en Computer Science. Les candidats doivent avoir suivi au moins un cours de statistique et au moins un cours d'algorithmique. Les candidats ayant d'autres diplômes peuvent aussi postuler, à co</t>
        </is>
      </c>
      <c r="AI174" s="28" t="inlineStr">
        <is>
          <t>Open in EEF</t>
        </is>
      </c>
    </row>
    <row r="175" ht="43.25" customHeight="1" s="19">
      <c r="A175" s="25" t="n">
        <v>174</v>
      </c>
      <c r="B175" s="25" t="inlineStr">
        <is>
          <t>★★★☆☆</t>
        </is>
      </c>
      <c r="C175" s="25" t="inlineStr">
        <is>
          <t>3 – Adjacent (AI/data/CS/cyber/energy)</t>
        </is>
      </c>
      <c r="D175" s="25" t="inlineStr">
        <is>
          <t>Other engineering / maths</t>
        </is>
      </c>
      <c r="E175" s="26" t="inlineStr">
        <is>
          <t>Mastère Spécialisé® / Advanced Master SEN Systems Engineering</t>
        </is>
      </c>
      <c r="F175" s="26" t="inlineStr">
        <is>
          <t>Mastère Spécialisé® / Advanced Master SEN Systems Engineering</t>
        </is>
      </c>
      <c r="G175" s="25" t="inlineStr">
        <is>
          <t>Mastère spécialisé</t>
        </is>
      </c>
      <c r="H175" s="25" t="inlineStr">
        <is>
          <t>Institut supérieur de l'aéronautique et de l'espace</t>
        </is>
      </c>
      <c r="I175" s="25" t="n"/>
      <c r="J175" s="25" t="inlineStr">
        <is>
          <t>Site de Toulouse</t>
        </is>
      </c>
      <c r="K175" s="25" t="n"/>
      <c r="L175" s="25" t="inlineStr">
        <is>
          <t>Public school / institute</t>
        </is>
      </c>
      <c r="M175" s="25" t="inlineStr">
        <is>
          <t>English</t>
        </is>
      </c>
      <c r="N175" s="25" t="inlineStr">
        <is>
          <t>Taught in English</t>
        </is>
      </c>
      <c r="O175" s="25" t="inlineStr">
        <is>
          <t>Bac +6</t>
        </is>
      </c>
      <c r="P175" s="26" t="inlineStr">
        <is>
          <t>Possible – MS rules allow Bac+4 + ≥3 yrs work experience (you have 3)</t>
        </is>
      </c>
      <c r="Q175" s="25" t="inlineStr">
        <is>
          <t>1</t>
        </is>
      </c>
      <c r="R175" s="25" t="inlineStr">
        <is>
          <t>12</t>
        </is>
      </c>
      <c r="S175" s="27" t="n">
        <v>17000</v>
      </c>
      <c r="T175" s="27" t="n"/>
      <c r="U175" s="25" t="n">
        <v>1</v>
      </c>
      <c r="V175" s="27">
        <f>IF(S175="","",S175*U175)</f>
        <v/>
      </c>
      <c r="W175" s="26" t="inlineStr">
        <is>
          <t>ISAE-SUPAERO Advanced Master: €17,000 (non-EU self-funded) / €23,000 company-funded – 2025-26 rates (official site).</t>
        </is>
      </c>
      <c r="X175" s="25" t="inlineStr">
        <is>
          <t>High</t>
        </is>
      </c>
      <c r="Y175" s="25" t="n"/>
      <c r="Z175" s="26" t="n"/>
      <c r="AA175" s="26" t="n"/>
      <c r="AB175" s="25" t="n"/>
      <c r="AC175" s="25" t="inlineStr">
        <is>
          <t>Open</t>
        </is>
      </c>
      <c r="AD175" s="25" t="inlineStr">
        <is>
          <t>2026-10-01</t>
        </is>
      </c>
      <c r="AE175" s="25" t="inlineStr">
        <is>
          <t>2027-03-15</t>
        </is>
      </c>
      <c r="AF175" s="25" t="inlineStr">
        <is>
          <t>Yes</t>
        </is>
      </c>
      <c r="AG175" s="28" t="inlineStr">
        <is>
          <t>https://www.tsaae.fr/</t>
        </is>
      </c>
      <c r="AH175" s="26" t="inlineStr">
        <is>
          <t>Candidates can apply for our programme with the following backgrounds: Engineering degree Master 2 Master 1 with three years’ post-graduate professional experience A Master’s degree from a business school that is a membe</t>
        </is>
      </c>
      <c r="AI175" s="28" t="inlineStr">
        <is>
          <t>Open in EEF</t>
        </is>
      </c>
    </row>
    <row r="176" ht="43.25" customHeight="1" s="19">
      <c r="A176" s="25" t="n">
        <v>175</v>
      </c>
      <c r="B176" s="25" t="inlineStr">
        <is>
          <t>★★★☆☆</t>
        </is>
      </c>
      <c r="C176" s="25" t="inlineStr">
        <is>
          <t>3 – Adjacent (AI/data/CS/cyber/energy)</t>
        </is>
      </c>
      <c r="D176" s="25" t="inlineStr">
        <is>
          <t>Other engineering / maths</t>
        </is>
      </c>
      <c r="E176" s="26" t="inlineStr">
        <is>
          <t>Mastère Spécialisé® / Advanced Master SEN Systems Engineering</t>
        </is>
      </c>
      <c r="F176" s="26" t="inlineStr">
        <is>
          <t>Mastère Spécialisé® / Advanced Master SEN Systems Engineering</t>
        </is>
      </c>
      <c r="G176" s="25" t="inlineStr">
        <is>
          <t>Mastère spécialisé</t>
        </is>
      </c>
      <c r="H176" s="25" t="inlineStr">
        <is>
          <t>Institut supérieur de l'aéronautique et de l'espace</t>
        </is>
      </c>
      <c r="I176" s="25" t="n"/>
      <c r="J176" s="25" t="inlineStr">
        <is>
          <t>Site de Toulouse</t>
        </is>
      </c>
      <c r="K176" s="25" t="n"/>
      <c r="L176" s="25" t="inlineStr">
        <is>
          <t>Public school / institute</t>
        </is>
      </c>
      <c r="M176" s="25" t="inlineStr">
        <is>
          <t>English</t>
        </is>
      </c>
      <c r="N176" s="25" t="inlineStr">
        <is>
          <t>General</t>
        </is>
      </c>
      <c r="O176" s="25" t="inlineStr">
        <is>
          <t>Bac +6</t>
        </is>
      </c>
      <c r="P176" s="26" t="inlineStr">
        <is>
          <t>Possible – MS rules allow Bac+4 + ≥3 yrs work experience (you have 3)</t>
        </is>
      </c>
      <c r="Q176" s="25" t="inlineStr">
        <is>
          <t>1</t>
        </is>
      </c>
      <c r="R176" s="25" t="inlineStr">
        <is>
          <t>12</t>
        </is>
      </c>
      <c r="S176" s="27" t="n">
        <v>17000</v>
      </c>
      <c r="T176" s="27" t="n"/>
      <c r="U176" s="25" t="n">
        <v>1</v>
      </c>
      <c r="V176" s="27">
        <f>IF(S176="","",S176*U176)</f>
        <v/>
      </c>
      <c r="W176" s="26" t="inlineStr">
        <is>
          <t>ISAE-SUPAERO Advanced Master: €17,000 (non-EU self-funded) / €23,000 company-funded – 2025-26 rates (official site).</t>
        </is>
      </c>
      <c r="X176" s="25" t="inlineStr">
        <is>
          <t>High</t>
        </is>
      </c>
      <c r="Y176" s="25" t="n"/>
      <c r="Z176" s="26" t="n"/>
      <c r="AA176" s="26" t="n"/>
      <c r="AB176" s="25" t="n"/>
      <c r="AC176" s="25" t="inlineStr">
        <is>
          <t>Open</t>
        </is>
      </c>
      <c r="AD176" s="25" t="inlineStr">
        <is>
          <t>2026-10-01</t>
        </is>
      </c>
      <c r="AE176" s="25" t="inlineStr">
        <is>
          <t>2027-03-15</t>
        </is>
      </c>
      <c r="AF176" s="25" t="inlineStr">
        <is>
          <t>Yes</t>
        </is>
      </c>
      <c r="AG176" s="28" t="inlineStr">
        <is>
          <t>https://www.tsaae.fr/</t>
        </is>
      </c>
      <c r="AH176" s="26" t="inlineStr">
        <is>
          <t>Candidates can apply for our programme with the following backgrounds: Engineering degree Master 2 Master 1 with three years’ post-graduate professional experience A Master’s degree from a business school that is a membe</t>
        </is>
      </c>
      <c r="AI176" s="28" t="inlineStr">
        <is>
          <t>Open in EEF</t>
        </is>
      </c>
    </row>
    <row r="177" ht="43.25" customHeight="1" s="19">
      <c r="A177" s="25" t="n">
        <v>176</v>
      </c>
      <c r="B177" s="25" t="inlineStr">
        <is>
          <t>★★★☆☆</t>
        </is>
      </c>
      <c r="C177" s="25" t="inlineStr">
        <is>
          <t>3 – Adjacent (AI/data/CS/cyber/energy)</t>
        </is>
      </c>
      <c r="D177" s="25" t="inlineStr">
        <is>
          <t>Other engineering / maths</t>
        </is>
      </c>
      <c r="E177" s="26" t="inlineStr">
        <is>
          <t>Mastère Spécialisé® / Advanced Master TAS ASTRO Space Systems Engineering</t>
        </is>
      </c>
      <c r="F177" s="26" t="inlineStr">
        <is>
          <t>Mastère Spécialisé® / Advanced Master TAS ASTRO Space Systems Engineering</t>
        </is>
      </c>
      <c r="G177" s="25" t="inlineStr">
        <is>
          <t>Mastère spécialisé</t>
        </is>
      </c>
      <c r="H177" s="25" t="inlineStr">
        <is>
          <t>Institut supérieur de l'aéronautique et de l'espace</t>
        </is>
      </c>
      <c r="I177" s="25" t="n"/>
      <c r="J177" s="25" t="inlineStr">
        <is>
          <t>Site de Toulouse</t>
        </is>
      </c>
      <c r="K177" s="25" t="n"/>
      <c r="L177" s="25" t="inlineStr">
        <is>
          <t>Public school / institute</t>
        </is>
      </c>
      <c r="M177" s="25" t="inlineStr">
        <is>
          <t>English</t>
        </is>
      </c>
      <c r="N177" s="25" t="inlineStr">
        <is>
          <t>General</t>
        </is>
      </c>
      <c r="O177" s="25" t="inlineStr">
        <is>
          <t>Bac +6</t>
        </is>
      </c>
      <c r="P177" s="26" t="inlineStr">
        <is>
          <t>Possible – MS rules allow Bac+4 + ≥3 yrs work experience (you have 3)</t>
        </is>
      </c>
      <c r="Q177" s="25" t="inlineStr">
        <is>
          <t>1</t>
        </is>
      </c>
      <c r="R177" s="25" t="inlineStr">
        <is>
          <t>12</t>
        </is>
      </c>
      <c r="S177" s="27" t="n">
        <v>17000</v>
      </c>
      <c r="T177" s="27" t="n"/>
      <c r="U177" s="25" t="n">
        <v>1</v>
      </c>
      <c r="V177" s="27">
        <f>IF(S177="","",S177*U177)</f>
        <v/>
      </c>
      <c r="W177" s="26" t="inlineStr">
        <is>
          <t>ISAE-SUPAERO Advanced Master: €17,000 (non-EU self-funded) / €23,000 company-funded – 2025-26 rates (official site).</t>
        </is>
      </c>
      <c r="X177" s="25" t="inlineStr">
        <is>
          <t>High</t>
        </is>
      </c>
      <c r="Y177" s="25" t="n"/>
      <c r="Z177" s="26" t="n"/>
      <c r="AA177" s="26" t="n"/>
      <c r="AB177" s="25" t="n"/>
      <c r="AC177" s="25" t="inlineStr">
        <is>
          <t>Open</t>
        </is>
      </c>
      <c r="AD177" s="25" t="inlineStr">
        <is>
          <t>2026-10-01</t>
        </is>
      </c>
      <c r="AE177" s="25" t="inlineStr">
        <is>
          <t>2027-03-15</t>
        </is>
      </c>
      <c r="AF177" s="25" t="inlineStr">
        <is>
          <t>Yes</t>
        </is>
      </c>
      <c r="AG177" s="28" t="inlineStr">
        <is>
          <t>https://www.tsaae.fr/</t>
        </is>
      </c>
      <c r="AH177" s="26" t="inlineStr">
        <is>
          <t>Candidates can apply for our programme with the following backgrounds: Engineering degree Master 2 Master 1 with three years’ post-graduate professional experience A Master’s degree from a business school that is a membe</t>
        </is>
      </c>
      <c r="AI177" s="28" t="inlineStr">
        <is>
          <t>Open in EEF</t>
        </is>
      </c>
    </row>
    <row r="178" ht="43.25" customHeight="1" s="19">
      <c r="A178" s="25" t="n">
        <v>177</v>
      </c>
      <c r="B178" s="25" t="inlineStr">
        <is>
          <t>★★★☆☆</t>
        </is>
      </c>
      <c r="C178" s="25" t="inlineStr">
        <is>
          <t>3 – Adjacent (AI/data/CS/cyber/energy)</t>
        </is>
      </c>
      <c r="D178" s="25" t="inlineStr">
        <is>
          <t>Other engineering / maths</t>
        </is>
      </c>
      <c r="E178" s="26" t="inlineStr">
        <is>
          <t>Mastère Spécialisé® / Advanced Master TAS ASTRO - Space Systems Engineering</t>
        </is>
      </c>
      <c r="F178" s="26" t="inlineStr">
        <is>
          <t>Mastère Spécialisé® / Advanced Master TAS ASTRO - Space Systems Engineering</t>
        </is>
      </c>
      <c r="G178" s="25" t="inlineStr">
        <is>
          <t>Mastère spécialisé</t>
        </is>
      </c>
      <c r="H178" s="25" t="inlineStr">
        <is>
          <t>Institut supérieur de l'aéronautique et de l'espace</t>
        </is>
      </c>
      <c r="I178" s="25" t="n"/>
      <c r="J178" s="25" t="inlineStr">
        <is>
          <t>Site de Toulouse</t>
        </is>
      </c>
      <c r="K178" s="25" t="n"/>
      <c r="L178" s="25" t="inlineStr">
        <is>
          <t>Public school / institute</t>
        </is>
      </c>
      <c r="M178" s="25" t="inlineStr">
        <is>
          <t>English</t>
        </is>
      </c>
      <c r="N178" s="25" t="inlineStr">
        <is>
          <t>Taught in English</t>
        </is>
      </c>
      <c r="O178" s="25" t="inlineStr">
        <is>
          <t>Bac +6</t>
        </is>
      </c>
      <c r="P178" s="26" t="inlineStr">
        <is>
          <t>Possible – MS rules allow Bac+4 + ≥3 yrs work experience (you have 3)</t>
        </is>
      </c>
      <c r="Q178" s="25" t="inlineStr">
        <is>
          <t>1</t>
        </is>
      </c>
      <c r="R178" s="25" t="inlineStr">
        <is>
          <t>12</t>
        </is>
      </c>
      <c r="S178" s="27" t="n">
        <v>17000</v>
      </c>
      <c r="T178" s="27" t="n"/>
      <c r="U178" s="25" t="n">
        <v>1</v>
      </c>
      <c r="V178" s="27">
        <f>IF(S178="","",S178*U178)</f>
        <v/>
      </c>
      <c r="W178" s="26" t="inlineStr">
        <is>
          <t>ISAE-SUPAERO Advanced Master: €17,000 (non-EU self-funded) / €23,000 company-funded – 2025-26 rates (official site).</t>
        </is>
      </c>
      <c r="X178" s="25" t="inlineStr">
        <is>
          <t>High</t>
        </is>
      </c>
      <c r="Y178" s="25" t="n"/>
      <c r="Z178" s="26" t="n"/>
      <c r="AA178" s="26" t="n"/>
      <c r="AB178" s="25" t="n"/>
      <c r="AC178" s="25" t="inlineStr">
        <is>
          <t>Open</t>
        </is>
      </c>
      <c r="AD178" s="25" t="inlineStr">
        <is>
          <t>2026-10-01</t>
        </is>
      </c>
      <c r="AE178" s="25" t="inlineStr">
        <is>
          <t>2027-03-15</t>
        </is>
      </c>
      <c r="AF178" s="25" t="inlineStr">
        <is>
          <t>Yes</t>
        </is>
      </c>
      <c r="AG178" s="28" t="inlineStr">
        <is>
          <t>https://www.tsaae.fr/</t>
        </is>
      </c>
      <c r="AH178" s="26" t="inlineStr">
        <is>
          <t>Candidates can apply for our programme with the following backgrounds: Engineering degree Master 2 Master 1 with three years’ post-graduate professional experience A Master’s degree from a business school that is a membe</t>
        </is>
      </c>
      <c r="AI178" s="28" t="inlineStr">
        <is>
          <t>Open in EEF</t>
        </is>
      </c>
    </row>
    <row r="179" ht="22.35" customHeight="1" s="19">
      <c r="A179" s="25" t="n">
        <v>178</v>
      </c>
      <c r="B179" s="25" t="inlineStr">
        <is>
          <t>★★★☆☆</t>
        </is>
      </c>
      <c r="C179" s="25" t="inlineStr">
        <is>
          <t>3 – Adjacent (AI/data/CS/cyber/energy)</t>
        </is>
      </c>
      <c r="D179" s="25" t="inlineStr">
        <is>
          <t>AI / Data science</t>
        </is>
      </c>
      <c r="E179" s="26" t="inlineStr">
        <is>
          <t>Master of Science (MSc) spécialité Artificial Intelligence Systems (MSc - AIS)</t>
        </is>
      </c>
      <c r="F179" s="26" t="inlineStr">
        <is>
          <t>Master of Science (MSc) spécialité Artificial Intelligence Systems (MSc - AIS)</t>
        </is>
      </c>
      <c r="G179" s="25" t="inlineStr">
        <is>
          <t>Master of Science (MSc)</t>
        </is>
      </c>
      <c r="H179" s="25" t="inlineStr">
        <is>
          <t>Ecole pour l'informatique et les techniques avancées</t>
        </is>
      </c>
      <c r="I179" s="25" t="n"/>
      <c r="J179" s="25" t="inlineStr">
        <is>
          <t>Site de Le Kremlin-Bicêtre</t>
        </is>
      </c>
      <c r="K179" s="25" t="n"/>
      <c r="L179" s="25" t="inlineStr">
        <is>
          <t>Private / EESPIG</t>
        </is>
      </c>
      <c r="M179" s="25" t="inlineStr">
        <is>
          <t>English</t>
        </is>
      </c>
      <c r="N179" s="25" t="inlineStr">
        <is>
          <t>Taught in English</t>
        </is>
      </c>
      <c r="O179" s="25" t="inlineStr">
        <is>
          <t>Bac +4 / Bac +5</t>
        </is>
      </c>
      <c r="P179" s="26" t="inlineStr">
        <is>
          <t>Eligible on level (4-yr BS ≈ Bac+4)</t>
        </is>
      </c>
      <c r="Q179" s="25" t="inlineStr">
        <is>
          <t>1/2</t>
        </is>
      </c>
      <c r="R179" s="25" t="inlineStr">
        <is>
          <t>6</t>
        </is>
      </c>
      <c r="S179" s="27" t="n">
        <v>18000</v>
      </c>
      <c r="T179" s="27" t="n"/>
      <c r="U179" s="25" t="n">
        <v>2</v>
      </c>
      <c r="V179" s="27">
        <f>IF(S179="","",S179*U179)</f>
        <v/>
      </c>
      <c r="W179" s="26" t="inlineStr">
        <is>
          <t>Catalogue fee €18,000/yr (entered by institution).</t>
        </is>
      </c>
      <c r="X179" s="25" t="inlineStr">
        <is>
          <t>High</t>
        </is>
      </c>
      <c r="Y179" s="25" t="inlineStr">
        <is>
          <t>18000</t>
        </is>
      </c>
      <c r="Z179" s="26" t="n"/>
      <c r="AA179" s="26" t="n"/>
      <c r="AB179" s="25" t="n"/>
      <c r="AC179" s="25" t="inlineStr">
        <is>
          <t>Open</t>
        </is>
      </c>
      <c r="AD179" s="25" t="inlineStr">
        <is>
          <t>2026-10-01</t>
        </is>
      </c>
      <c r="AE179" s="25" t="inlineStr">
        <is>
          <t>2027-03-15</t>
        </is>
      </c>
      <c r="AF179" s="25" t="inlineStr">
        <is>
          <t>Yes</t>
        </is>
      </c>
      <c r="AG179" s="28" t="inlineStr">
        <is>
          <t>https://www.epita.fr/en</t>
        </is>
      </c>
      <c r="AH179" s="26" t="n"/>
      <c r="AI179" s="28" t="inlineStr">
        <is>
          <t>Open in EEF</t>
        </is>
      </c>
    </row>
    <row r="180" ht="32.8" customHeight="1" s="19">
      <c r="A180" s="25" t="n">
        <v>179</v>
      </c>
      <c r="B180" s="25" t="inlineStr">
        <is>
          <t>★★★☆☆</t>
        </is>
      </c>
      <c r="C180" s="25" t="inlineStr">
        <is>
          <t>3 – Adjacent (AI/data/CS/cyber/energy)</t>
        </is>
      </c>
      <c r="D180" s="25" t="inlineStr">
        <is>
          <t>Biomedical / Health tech</t>
        </is>
      </c>
      <c r="E180" s="26" t="inlineStr">
        <is>
          <t>Master Sciences, Technologies and Health CS Computer Science parcours DS Data Science</t>
        </is>
      </c>
      <c r="F180" s="26" t="inlineStr">
        <is>
          <t>Master Sciences, Technologies and Health CS Computer Science – track: DS Data Science</t>
        </is>
      </c>
      <c r="G180" s="25" t="inlineStr">
        <is>
          <t>Master indifférencié (recherche et professionnel)</t>
        </is>
      </c>
      <c r="H180" s="25" t="inlineStr">
        <is>
          <t>EURECOM</t>
        </is>
      </c>
      <c r="I180" s="25" t="n"/>
      <c r="J180" s="25" t="inlineStr">
        <is>
          <t>EURECOM</t>
        </is>
      </c>
      <c r="K180" s="25" t="inlineStr">
        <is>
          <t>06410 Biot - Sophia Antipolis</t>
        </is>
      </c>
      <c r="L180" s="25" t="inlineStr">
        <is>
          <t>Private / EESPIG</t>
        </is>
      </c>
      <c r="M180" s="25" t="inlineStr">
        <is>
          <t>English</t>
        </is>
      </c>
      <c r="N180" s="25" t="inlineStr">
        <is>
          <t>Taught in English</t>
        </is>
      </c>
      <c r="O180" s="25" t="inlineStr">
        <is>
          <t>Bac +4</t>
        </is>
      </c>
      <c r="P180" s="26" t="inlineStr">
        <is>
          <t>Eligible on level (4-yr BS ≈ Bac+4)</t>
        </is>
      </c>
      <c r="Q180" s="25" t="inlineStr">
        <is>
          <t>1</t>
        </is>
      </c>
      <c r="R180" s="25" t="inlineStr">
        <is>
          <t>24</t>
        </is>
      </c>
      <c r="S180" s="27" t="n">
        <v>18000</v>
      </c>
      <c r="T180" s="27" t="n"/>
      <c r="U180" s="25" t="n">
        <v>2</v>
      </c>
      <c r="V180" s="27">
        <f>IF(S180="","",S180*U180)</f>
        <v/>
      </c>
      <c r="W180" s="26" t="inlineStr">
        <is>
          <t>Catalogue fee €18,000/yr (entered by institution).</t>
        </is>
      </c>
      <c r="X180" s="25" t="inlineStr">
        <is>
          <t>High</t>
        </is>
      </c>
      <c r="Y180" s="25" t="inlineStr">
        <is>
          <t>18000</t>
        </is>
      </c>
      <c r="Z180" s="26" t="inlineStr">
        <is>
          <t>h or French Final admission to the program is contingent upon the receipt of a deposit of €1000 on tuition fees</t>
        </is>
      </c>
      <c r="AA180" s="26" t="n"/>
      <c r="AB180" s="25" t="n"/>
      <c r="AC180" s="25" t="inlineStr">
        <is>
          <t>Open</t>
        </is>
      </c>
      <c r="AD180" s="25" t="inlineStr">
        <is>
          <t>2026-10-01</t>
        </is>
      </c>
      <c r="AE180" s="25" t="inlineStr">
        <is>
          <t>2027-03-15</t>
        </is>
      </c>
      <c r="AF180" s="25" t="inlineStr">
        <is>
          <t>Yes</t>
        </is>
      </c>
      <c r="AG180" s="28" t="inlineStr">
        <is>
          <t>https://www.eurecom.fr/en/teaching/master-computer-science/msc-computer-science-data-science-track</t>
        </is>
      </c>
      <c r="AH180" s="26" t="inlineStr">
        <is>
          <t>To be eligible, candidates must hold: a Bachelor's degree or diploma equivalent to at least 3 years of higher education from a reputable university in the field of information and communication technologies. (Computer sc</t>
        </is>
      </c>
      <c r="AI180" s="28" t="inlineStr">
        <is>
          <t>Open in EEF</t>
        </is>
      </c>
    </row>
    <row r="181" ht="32.8" customHeight="1" s="19">
      <c r="A181" s="25" t="n">
        <v>180</v>
      </c>
      <c r="B181" s="25" t="inlineStr">
        <is>
          <t>★★★☆☆</t>
        </is>
      </c>
      <c r="C181" s="25" t="inlineStr">
        <is>
          <t>3 – Adjacent (AI/data/CS/cyber/energy)</t>
        </is>
      </c>
      <c r="D181" s="25" t="inlineStr">
        <is>
          <t>Biomedical / Health tech</t>
        </is>
      </c>
      <c r="E181" s="26" t="inlineStr">
        <is>
          <t>Master Sciences, Technologies &amp; Health in Computer Science - Digital Security track</t>
        </is>
      </c>
      <c r="F181" s="26" t="inlineStr">
        <is>
          <t>Master Sciences, Technologies &amp; Health in Computer Science - Digital Security track</t>
        </is>
      </c>
      <c r="G181" s="25" t="inlineStr">
        <is>
          <t>Master indifférencié (recherche et professionnel)</t>
        </is>
      </c>
      <c r="H181" s="25" t="inlineStr">
        <is>
          <t>EURECOM</t>
        </is>
      </c>
      <c r="I181" s="25" t="n"/>
      <c r="J181" s="25" t="inlineStr">
        <is>
          <t>EURECOM</t>
        </is>
      </c>
      <c r="K181" s="25" t="inlineStr">
        <is>
          <t>06410 Biot - Sophia Antipolis</t>
        </is>
      </c>
      <c r="L181" s="25" t="inlineStr">
        <is>
          <t>Private / EESPIG</t>
        </is>
      </c>
      <c r="M181" s="25" t="inlineStr">
        <is>
          <t>English</t>
        </is>
      </c>
      <c r="N181" s="25" t="inlineStr">
        <is>
          <t>Taught in English</t>
        </is>
      </c>
      <c r="O181" s="25" t="inlineStr">
        <is>
          <t>Bac +4</t>
        </is>
      </c>
      <c r="P181" s="26" t="inlineStr">
        <is>
          <t>Eligible on level (4-yr BS ≈ Bac+4)</t>
        </is>
      </c>
      <c r="Q181" s="25" t="inlineStr">
        <is>
          <t>1</t>
        </is>
      </c>
      <c r="R181" s="25" t="inlineStr">
        <is>
          <t>24</t>
        </is>
      </c>
      <c r="S181" s="27" t="n">
        <v>18000</v>
      </c>
      <c r="T181" s="27" t="n"/>
      <c r="U181" s="25" t="n">
        <v>2</v>
      </c>
      <c r="V181" s="27">
        <f>IF(S181="","",S181*U181)</f>
        <v/>
      </c>
      <c r="W181" s="26" t="inlineStr">
        <is>
          <t>Catalogue fee €18,000/yr (entered by institution).</t>
        </is>
      </c>
      <c r="X181" s="25" t="inlineStr">
        <is>
          <t>High</t>
        </is>
      </c>
      <c r="Y181" s="25" t="inlineStr">
        <is>
          <t>18000</t>
        </is>
      </c>
      <c r="Z181" s="26" t="inlineStr">
        <is>
          <t>h or French Final admission to the program is contingent upon the receipt of a deposit of €1000 on tuition fees</t>
        </is>
      </c>
      <c r="AA181" s="26" t="n"/>
      <c r="AB181" s="25" t="n"/>
      <c r="AC181" s="25" t="inlineStr">
        <is>
          <t>Open</t>
        </is>
      </c>
      <c r="AD181" s="25" t="inlineStr">
        <is>
          <t>2026-10-01</t>
        </is>
      </c>
      <c r="AE181" s="25" t="inlineStr">
        <is>
          <t>2027-03-15</t>
        </is>
      </c>
      <c r="AF181" s="25" t="inlineStr">
        <is>
          <t>Yes</t>
        </is>
      </c>
      <c r="AG181" s="28" t="inlineStr">
        <is>
          <t>https://www.eurecom.fr/en/teaching/master-computer-science/msc-computer-science-digital-security-track</t>
        </is>
      </c>
      <c r="AH181" s="26" t="inlineStr">
        <is>
          <t>To be eligible, candidates must hold: a Bachelor's degree or diploma equivalent to at least 3 years of higher education from a reputable university in the field of information and communication technologies. (Computer sc</t>
        </is>
      </c>
      <c r="AI181" s="28" t="inlineStr">
        <is>
          <t>Open in EEF</t>
        </is>
      </c>
    </row>
    <row r="182" ht="32.8" customHeight="1" s="19">
      <c r="A182" s="25" t="n">
        <v>181</v>
      </c>
      <c r="B182" s="25" t="inlineStr">
        <is>
          <t>★★★☆☆</t>
        </is>
      </c>
      <c r="C182" s="25" t="inlineStr">
        <is>
          <t>3 – Adjacent (AI/data/CS/cyber/energy)</t>
        </is>
      </c>
      <c r="D182" s="25" t="inlineStr">
        <is>
          <t>AI / Data science</t>
        </is>
      </c>
      <c r="E182" s="26" t="inlineStr">
        <is>
          <t>Master Sciences, technologies, santé mention Informatique parcours Science des données (Data Science)</t>
        </is>
      </c>
      <c r="F182" s="26" t="inlineStr">
        <is>
          <t>Master Science, Technology, Health (STS) – major: Computer Science – track: Data Science (Data Science)</t>
        </is>
      </c>
      <c r="G182" s="25" t="inlineStr">
        <is>
          <t>Master indifférencié (recherche et professionnel)</t>
        </is>
      </c>
      <c r="H182" s="25" t="inlineStr">
        <is>
          <t>EURECOM</t>
        </is>
      </c>
      <c r="I182" s="25" t="n"/>
      <c r="J182" s="25" t="inlineStr">
        <is>
          <t>EURECOM</t>
        </is>
      </c>
      <c r="K182" s="25" t="inlineStr">
        <is>
          <t>06410 Biot - Sophia Antipolis</t>
        </is>
      </c>
      <c r="L182" s="25" t="inlineStr">
        <is>
          <t>Private / EESPIG</t>
        </is>
      </c>
      <c r="M182" s="25" t="inlineStr">
        <is>
          <t>English</t>
        </is>
      </c>
      <c r="N182" s="25" t="inlineStr">
        <is>
          <t>General</t>
        </is>
      </c>
      <c r="O182" s="25" t="inlineStr">
        <is>
          <t>Bac +4</t>
        </is>
      </c>
      <c r="P182" s="26" t="inlineStr">
        <is>
          <t>Eligible on level (4-yr BS ≈ Bac+4)</t>
        </is>
      </c>
      <c r="Q182" s="25" t="inlineStr">
        <is>
          <t>1</t>
        </is>
      </c>
      <c r="R182" s="25" t="n"/>
      <c r="S182" s="27" t="n">
        <v>18000</v>
      </c>
      <c r="T182" s="27" t="n"/>
      <c r="U182" s="25" t="n">
        <v>2</v>
      </c>
      <c r="V182" s="27">
        <f>IF(S182="","",S182*U182)</f>
        <v/>
      </c>
      <c r="W182" s="26" t="inlineStr">
        <is>
          <t>Catalogue fee €18,000/yr (entered by institution).</t>
        </is>
      </c>
      <c r="X182" s="25" t="inlineStr">
        <is>
          <t>High</t>
        </is>
      </c>
      <c r="Y182" s="25" t="inlineStr">
        <is>
          <t>18000</t>
        </is>
      </c>
      <c r="Z182" s="26" t="inlineStr">
        <is>
          <t>dmission définitive dans le programme est conditionnée à la réception d’un acompte de 1000€ sur les frais de formation</t>
        </is>
      </c>
      <c r="AA182" s="26" t="n"/>
      <c r="AB182" s="25" t="n"/>
      <c r="AC182" s="25" t="inlineStr">
        <is>
          <t>Open</t>
        </is>
      </c>
      <c r="AD182" s="25" t="inlineStr">
        <is>
          <t>2026-10-01</t>
        </is>
      </c>
      <c r="AE182" s="25" t="inlineStr">
        <is>
          <t>2027-03-15</t>
        </is>
      </c>
      <c r="AF182" s="25" t="inlineStr">
        <is>
          <t>Yes</t>
        </is>
      </c>
      <c r="AG182" s="28" t="inlineStr">
        <is>
          <t>https://www.eurecom.fr/fr/les-formations/master-en-informatique/master-en-informatique-parcours-science-des-donnees</t>
        </is>
      </c>
      <c r="AH182" s="26" t="inlineStr">
        <is>
          <t>Pour être éligibles, les candidats doivent être titulaires: un diplôme de grade de Licence/Bachelor ou diplôme équivalent à 3 années minimum d'études supérieures d'une université réputée dans le domaine des technologies</t>
        </is>
      </c>
      <c r="AI182" s="28" t="inlineStr">
        <is>
          <t>Open in EEF</t>
        </is>
      </c>
    </row>
    <row r="183" ht="32.8" customHeight="1" s="19">
      <c r="A183" s="25" t="n">
        <v>182</v>
      </c>
      <c r="B183" s="25" t="inlineStr">
        <is>
          <t>★★★☆☆</t>
        </is>
      </c>
      <c r="C183" s="25" t="inlineStr">
        <is>
          <t>3 – Adjacent (AI/data/CS/cyber/energy)</t>
        </is>
      </c>
      <c r="D183" s="25" t="inlineStr">
        <is>
          <t>Cybersecurity</t>
        </is>
      </c>
      <c r="E183" s="26" t="inlineStr">
        <is>
          <t>Master Sciences, technologies, santé mention Informatique parcours Sécurité Numérique</t>
        </is>
      </c>
      <c r="F183" s="26" t="inlineStr">
        <is>
          <t>Master Science, Technology, Health (STS) – major: Computer Science – track: Security Digital</t>
        </is>
      </c>
      <c r="G183" s="25" t="inlineStr">
        <is>
          <t>Master indifférencié (recherche et professionnel)</t>
        </is>
      </c>
      <c r="H183" s="25" t="inlineStr">
        <is>
          <t>EURECOM</t>
        </is>
      </c>
      <c r="I183" s="25" t="n"/>
      <c r="J183" s="25" t="inlineStr">
        <is>
          <t>EURECOM</t>
        </is>
      </c>
      <c r="K183" s="25" t="inlineStr">
        <is>
          <t>06410 Biot - Sophia Antipolis</t>
        </is>
      </c>
      <c r="L183" s="25" t="inlineStr">
        <is>
          <t>Private / EESPIG</t>
        </is>
      </c>
      <c r="M183" s="25" t="inlineStr">
        <is>
          <t>English</t>
        </is>
      </c>
      <c r="N183" s="25" t="inlineStr">
        <is>
          <t>General</t>
        </is>
      </c>
      <c r="O183" s="25" t="inlineStr">
        <is>
          <t>Bac +4</t>
        </is>
      </c>
      <c r="P183" s="26" t="inlineStr">
        <is>
          <t>Eligible on level (4-yr BS ≈ Bac+4)</t>
        </is>
      </c>
      <c r="Q183" s="25" t="inlineStr">
        <is>
          <t>1</t>
        </is>
      </c>
      <c r="R183" s="25" t="inlineStr">
        <is>
          <t>24</t>
        </is>
      </c>
      <c r="S183" s="27" t="n">
        <v>18000</v>
      </c>
      <c r="T183" s="27" t="n"/>
      <c r="U183" s="25" t="n">
        <v>2</v>
      </c>
      <c r="V183" s="27">
        <f>IF(S183="","",S183*U183)</f>
        <v/>
      </c>
      <c r="W183" s="26" t="inlineStr">
        <is>
          <t>Catalogue fee €18,000/yr (entered by institution).</t>
        </is>
      </c>
      <c r="X183" s="25" t="inlineStr">
        <is>
          <t>High</t>
        </is>
      </c>
      <c r="Y183" s="25" t="inlineStr">
        <is>
          <t>18000</t>
        </is>
      </c>
      <c r="Z183" s="26" t="inlineStr">
        <is>
          <t>dmission définitive dans le programme est conditionnée à la réception d’un acompte de 1000€ sur les frais de formation</t>
        </is>
      </c>
      <c r="AA183" s="26" t="n"/>
      <c r="AB183" s="25" t="n"/>
      <c r="AC183" s="25" t="inlineStr">
        <is>
          <t>Open</t>
        </is>
      </c>
      <c r="AD183" s="25" t="inlineStr">
        <is>
          <t>2026-10-01</t>
        </is>
      </c>
      <c r="AE183" s="25" t="inlineStr">
        <is>
          <t>2027-03-15</t>
        </is>
      </c>
      <c r="AF183" s="25" t="inlineStr">
        <is>
          <t>Yes</t>
        </is>
      </c>
      <c r="AG183" s="28" t="inlineStr">
        <is>
          <t>https://www.eurecom.fr/fr/les-formations/master-en-informatique/master-en-informatique-parcours-securite-numerique</t>
        </is>
      </c>
      <c r="AH183" s="26" t="inlineStr">
        <is>
          <t>Pour être éligibles, les candidats doivent être titulaires: un diplôme de grade de Licence/Bachelor ou diplôme équivalent à 3 années minimum d'études supérieures d'une université réputée dans le domaine des technologies</t>
        </is>
      </c>
      <c r="AI183" s="28" t="inlineStr">
        <is>
          <t>Open in EEF</t>
        </is>
      </c>
    </row>
    <row r="184" ht="32.8" customHeight="1" s="19">
      <c r="A184" s="25" t="n">
        <v>183</v>
      </c>
      <c r="B184" s="25" t="inlineStr">
        <is>
          <t>★★☆☆☆</t>
        </is>
      </c>
      <c r="C184" s="25" t="inlineStr">
        <is>
          <t>2 – Broad / loosely related</t>
        </is>
      </c>
      <c r="D184" s="25" t="inlineStr">
        <is>
          <t>Other engineering / maths</t>
        </is>
      </c>
      <c r="E184" s="26" t="inlineStr">
        <is>
          <t>Master indifférencié (recherche et professionnel) Sciences, technologies, santé mention Biologie-santé parcours Cancer biology - International</t>
        </is>
      </c>
      <c r="F184" s="26" t="inlineStr">
        <is>
          <t>Science, Technology, Health (STS) – major: Biology-Health – track: Cancer biology - International</t>
        </is>
      </c>
      <c r="G184" s="25" t="inlineStr">
        <is>
          <t>Master indifférencié (recherche et professionnel)</t>
        </is>
      </c>
      <c r="H184" s="25" t="inlineStr">
        <is>
          <t>Unité de formation de biologie</t>
        </is>
      </c>
      <c r="I184" s="25" t="inlineStr">
        <is>
          <t>Université de Bordeaux</t>
        </is>
      </c>
      <c r="J184" s="25" t="inlineStr">
        <is>
          <t>Site de Talence</t>
        </is>
      </c>
      <c r="K184" s="25" t="n"/>
      <c r="L184" s="25" t="inlineStr">
        <is>
          <t>Public university</t>
        </is>
      </c>
      <c r="M184" s="25" t="inlineStr">
        <is>
          <t>English</t>
        </is>
      </c>
      <c r="N184" s="25" t="inlineStr">
        <is>
          <t>General</t>
        </is>
      </c>
      <c r="O184" s="25" t="inlineStr">
        <is>
          <t>Bac +4</t>
        </is>
      </c>
      <c r="P184" s="26" t="inlineStr">
        <is>
          <t>Eligible on level (4-yr BS ≈ Bac+4)</t>
        </is>
      </c>
      <c r="Q184" s="25" t="inlineStr">
        <is>
          <t>1</t>
        </is>
      </c>
      <c r="R184" s="25" t="n"/>
      <c r="S184" s="27" t="n">
        <v>3950</v>
      </c>
      <c r="T184" s="27" t="n">
        <v>255</v>
      </c>
      <c r="U184" s="25" t="n">
        <v>2</v>
      </c>
      <c r="V184" s="27">
        <f>IF(S184="","",S184*U184)</f>
        <v/>
      </c>
      <c r="W184" s="26" t="inlineStr">
        <is>
          <t>Not in catalogue. Public national master → 2026-27 differentiated fee €3,950; exemption to ~€254-255 depends on university quota (25% cap in 2027-28).</t>
        </is>
      </c>
      <c r="X184" s="25" t="inlineStr">
        <is>
          <t>Medium</t>
        </is>
      </c>
      <c r="Y184" s="25" t="n"/>
      <c r="Z184" s="26" t="n"/>
      <c r="AA184" s="26" t="n"/>
      <c r="AB184" s="25" t="n"/>
      <c r="AC184" s="25" t="inlineStr">
        <is>
          <t>Open</t>
        </is>
      </c>
      <c r="AD184" s="25" t="inlineStr">
        <is>
          <t>2026-10-01</t>
        </is>
      </c>
      <c r="AE184" s="25" t="inlineStr">
        <is>
          <t>2027-03-15</t>
        </is>
      </c>
      <c r="AF184" s="25" t="inlineStr">
        <is>
          <t>No</t>
        </is>
      </c>
      <c r="AG184" s="28" t="inlineStr">
        <is>
          <t>https://doctorat.u-bordeaux.fr/en/before-phd/graduate-programs/cancer-biology</t>
        </is>
      </c>
      <c r="AH184" s="26" t="inlineStr">
        <is>
          <t>Applicants must hold a Bachelor’s degree or an equivalent of 180 ECTS in Biology or a related field within the Life Sciences. For non-native English speakers, a language certificate demonstrating proficiency at the B2 le</t>
        </is>
      </c>
      <c r="AI184" s="28" t="inlineStr">
        <is>
          <t>Open in EEF</t>
        </is>
      </c>
    </row>
    <row r="185" ht="43.25" customHeight="1" s="19">
      <c r="A185" s="25" t="n">
        <v>184</v>
      </c>
      <c r="B185" s="25" t="inlineStr">
        <is>
          <t>★★☆☆☆</t>
        </is>
      </c>
      <c r="C185" s="25" t="inlineStr">
        <is>
          <t>2 – Broad / loosely related</t>
        </is>
      </c>
      <c r="D185" s="25" t="inlineStr">
        <is>
          <t>Other engineering / maths</t>
        </is>
      </c>
      <c r="E185" s="26" t="inlineStr">
        <is>
          <t>Master International Master Fluids Engineering for Industrial Processes</t>
        </is>
      </c>
      <c r="F185" s="26" t="inlineStr">
        <is>
          <t>Master International Master Fluids Engineering for Industrial Processes</t>
        </is>
      </c>
      <c r="G185" s="25" t="inlineStr">
        <is>
          <t>Master indifférencié (recherche et professionnel)</t>
        </is>
      </c>
      <c r="H185" s="25" t="inlineStr">
        <is>
          <t>Institut national des sciences appliquées de Toulouse</t>
        </is>
      </c>
      <c r="I185" s="25" t="n"/>
      <c r="J185" s="25" t="inlineStr">
        <is>
          <t>Site de Toulouse</t>
        </is>
      </c>
      <c r="K185" s="25" t="inlineStr">
        <is>
          <t>31077 Toulouse Cedex</t>
        </is>
      </c>
      <c r="L185" s="25" t="inlineStr">
        <is>
          <t>Public school / institute</t>
        </is>
      </c>
      <c r="M185" s="25" t="inlineStr">
        <is>
          <t>English</t>
        </is>
      </c>
      <c r="N185" s="25" t="inlineStr">
        <is>
          <t>General</t>
        </is>
      </c>
      <c r="O185" s="25" t="inlineStr">
        <is>
          <t>Bac +4 / Bac +5</t>
        </is>
      </c>
      <c r="P185" s="26" t="inlineStr">
        <is>
          <t>Eligible on level (4-yr BS ≈ Bac+4)</t>
        </is>
      </c>
      <c r="Q185" s="25" t="inlineStr">
        <is>
          <t>1/2</t>
        </is>
      </c>
      <c r="R185" s="25" t="n"/>
      <c r="S185" s="27" t="n">
        <v>9018</v>
      </c>
      <c r="T185" s="27" t="n"/>
      <c r="U185" s="25" t="n">
        <v>2</v>
      </c>
      <c r="V185" s="27">
        <f>IF(S185="","",S185*U185)</f>
        <v/>
      </c>
      <c r="W185" s="26" t="inlineStr">
        <is>
          <t>Catalogue fee €9,018/yr (entered by institution).</t>
        </is>
      </c>
      <c r="X185" s="25" t="inlineStr">
        <is>
          <t>High</t>
        </is>
      </c>
      <c r="Y185" s="25" t="inlineStr">
        <is>
          <t>9018</t>
        </is>
      </c>
      <c r="Z185" s="26" t="inlineStr">
        <is>
          <t>Tuition fees: €9018/year Fees reduced to €5389/year for academic partners, European students … ents from some developing countries, and selected students on a merit basis Tuition fees: €9018/year Fees reduced to €5389/ye</t>
        </is>
      </c>
      <c r="AA185" s="26" t="n"/>
      <c r="AB185" s="25" t="n"/>
      <c r="AC185" s="25" t="inlineStr">
        <is>
          <t>Open</t>
        </is>
      </c>
      <c r="AD185" s="25" t="inlineStr">
        <is>
          <t>2026-10-01</t>
        </is>
      </c>
      <c r="AE185" s="25" t="inlineStr">
        <is>
          <t>2027-03-15</t>
        </is>
      </c>
      <c r="AF185" s="25" t="inlineStr">
        <is>
          <t>Yes</t>
        </is>
      </c>
      <c r="AG185" s="28" t="inlineStr">
        <is>
          <t>https://msc-inp-insa-toulouse.fr/master-fluids-engineering-for-industrial-processes/</t>
        </is>
      </c>
      <c r="AH185" s="26" t="inlineStr">
        <is>
          <t>Fluids Engineering for Industrial Processes The lectures of this program concern the physics and modeling of transport phenomena in multiphase flows (bubbles, drops, granular media, emulsions and foams). Some of tits app</t>
        </is>
      </c>
      <c r="AI185" s="28" t="inlineStr">
        <is>
          <t>Open in EEF</t>
        </is>
      </c>
    </row>
    <row r="186" ht="32.8" customHeight="1" s="19">
      <c r="A186" s="25" t="n">
        <v>185</v>
      </c>
      <c r="B186" s="25" t="inlineStr">
        <is>
          <t>★★☆☆☆</t>
        </is>
      </c>
      <c r="C186" s="25" t="inlineStr">
        <is>
          <t>2 – Broad / loosely related</t>
        </is>
      </c>
      <c r="D186" s="25" t="inlineStr">
        <is>
          <t>Other engineering / maths</t>
        </is>
      </c>
      <c r="E186" s="26" t="inlineStr">
        <is>
          <t>ISEP Engineering Master Degree</t>
        </is>
      </c>
      <c r="F186" s="26" t="inlineStr">
        <is>
          <t>ISEP Engineering Master Degree</t>
        </is>
      </c>
      <c r="G186" s="25" t="inlineStr">
        <is>
          <t>Master indifférencié (recherche et professionnel)</t>
        </is>
      </c>
      <c r="H186" s="25" t="inlineStr">
        <is>
          <t>Institut supérieur d'électronique de Paris</t>
        </is>
      </c>
      <c r="I186" s="25" t="n"/>
      <c r="J186" s="25" t="inlineStr">
        <is>
          <t>Site de Paris</t>
        </is>
      </c>
      <c r="K186" s="25" t="n"/>
      <c r="L186" s="25" t="inlineStr">
        <is>
          <t>Private / EESPIG</t>
        </is>
      </c>
      <c r="M186" s="25" t="inlineStr">
        <is>
          <t>English</t>
        </is>
      </c>
      <c r="N186" s="25" t="inlineStr">
        <is>
          <t>Taught in English</t>
        </is>
      </c>
      <c r="O186" s="25" t="inlineStr">
        <is>
          <t>Bac +4 / Bac +5</t>
        </is>
      </c>
      <c r="P186" s="26" t="inlineStr">
        <is>
          <t>Eligible on level (4-yr BS ≈ Bac+4)</t>
        </is>
      </c>
      <c r="Q186" s="25" t="inlineStr">
        <is>
          <t>1/2</t>
        </is>
      </c>
      <c r="R186" s="25" t="inlineStr">
        <is>
          <t>12</t>
        </is>
      </c>
      <c r="S186" s="27" t="n">
        <v>10514</v>
      </c>
      <c r="T186" s="27" t="n"/>
      <c r="U186" s="25" t="n">
        <v>2</v>
      </c>
      <c r="V186" s="27">
        <f>IF(S186="","",S186*U186)</f>
        <v/>
      </c>
      <c r="W186" s="26" t="inlineStr">
        <is>
          <t>Catalogue fee €10,514/yr (entered by institution).</t>
        </is>
      </c>
      <c r="X186" s="25" t="inlineStr">
        <is>
          <t>High</t>
        </is>
      </c>
      <c r="Y186" s="25" t="inlineStr">
        <is>
          <t>11840/10514</t>
        </is>
      </c>
      <c r="Z186" s="26" t="n"/>
      <c r="AA186" s="26" t="n"/>
      <c r="AB186" s="25" t="n"/>
      <c r="AC186" s="25" t="inlineStr">
        <is>
          <t>Open</t>
        </is>
      </c>
      <c r="AD186" s="25" t="inlineStr">
        <is>
          <t>2026-10-01</t>
        </is>
      </c>
      <c r="AE186" s="25" t="inlineStr">
        <is>
          <t>2027-03-15</t>
        </is>
      </c>
      <c r="AF186" s="25" t="inlineStr">
        <is>
          <t>Yes</t>
        </is>
      </c>
      <c r="AG186" s="28" t="inlineStr">
        <is>
          <t>https://en.isep.fr/studying-at-isep/isep-engineering-master-degree/</t>
        </is>
      </c>
      <c r="AH186" s="26" t="inlineStr">
        <is>
          <t>Admission: Bachelor's degree in Electrical and Electronic Engineering, Telecommunications, Computer Science, Information Technology or in any relevant domains. English proficiency: IELTS (Minimum overall band score 6) or</t>
        </is>
      </c>
      <c r="AI186" s="28" t="inlineStr">
        <is>
          <t>Open in EEF</t>
        </is>
      </c>
    </row>
    <row r="187" ht="43.25" customHeight="1" s="19">
      <c r="A187" s="25" t="n">
        <v>186</v>
      </c>
      <c r="B187" s="25" t="inlineStr">
        <is>
          <t>★★☆☆☆</t>
        </is>
      </c>
      <c r="C187" s="25" t="inlineStr">
        <is>
          <t>2 – Broad / loosely related</t>
        </is>
      </c>
      <c r="D187" s="25" t="inlineStr">
        <is>
          <t>Other engineering / maths</t>
        </is>
      </c>
      <c r="E187" s="26" t="inlineStr">
        <is>
          <t>Master indifférencié (recherche et professionnel) Sciences, technologies, santé mention Aéronautique parcours</t>
        </is>
      </c>
      <c r="F187" s="26" t="inlineStr">
        <is>
          <t>Science, Technology, Health (STS) – major: Aeronautics – track:</t>
        </is>
      </c>
      <c r="G187" s="25" t="inlineStr">
        <is>
          <t>Master indifférencié (recherche et professionnel)</t>
        </is>
      </c>
      <c r="H187" s="25" t="inlineStr">
        <is>
          <t>Institut supérieur de l'aéronautique et de l'espace</t>
        </is>
      </c>
      <c r="I187" s="25" t="n"/>
      <c r="J187" s="25" t="inlineStr">
        <is>
          <t>Site de Toulouse</t>
        </is>
      </c>
      <c r="K187" s="25" t="n"/>
      <c r="L187" s="25" t="inlineStr">
        <is>
          <t>Public school / institute</t>
        </is>
      </c>
      <c r="M187" s="25" t="inlineStr">
        <is>
          <t>English</t>
        </is>
      </c>
      <c r="N187" s="25" t="inlineStr">
        <is>
          <t>General</t>
        </is>
      </c>
      <c r="O187" s="25" t="inlineStr">
        <is>
          <t>Bac +4</t>
        </is>
      </c>
      <c r="P187" s="26" t="inlineStr">
        <is>
          <t>Eligible on level (4-yr BS ≈ Bac+4)</t>
        </is>
      </c>
      <c r="Q187" s="25" t="inlineStr">
        <is>
          <t>1</t>
        </is>
      </c>
      <c r="R187" s="25" t="inlineStr">
        <is>
          <t>25</t>
        </is>
      </c>
      <c r="S187" s="27" t="n">
        <v>10600</v>
      </c>
      <c r="T187" s="27" t="n"/>
      <c r="U187" s="25" t="n">
        <v>2</v>
      </c>
      <c r="V187" s="27">
        <f>IF(S187="","",S187*U187)</f>
        <v/>
      </c>
      <c r="W187" s="26" t="inlineStr">
        <is>
          <t>Catalogue fee €10,600/yr (entered by institution).</t>
        </is>
      </c>
      <c r="X187" s="25" t="inlineStr">
        <is>
          <t>High</t>
        </is>
      </c>
      <c r="Y187" s="25" t="inlineStr">
        <is>
          <t>10600</t>
        </is>
      </c>
      <c r="Z187" s="26" t="n"/>
      <c r="AA187" s="26" t="n"/>
      <c r="AB187" s="25" t="n"/>
      <c r="AC187" s="25" t="inlineStr">
        <is>
          <t>Open</t>
        </is>
      </c>
      <c r="AD187" s="25" t="inlineStr">
        <is>
          <t>2026-10-01</t>
        </is>
      </c>
      <c r="AE187" s="25" t="inlineStr">
        <is>
          <t>2027-03-15</t>
        </is>
      </c>
      <c r="AF187" s="25" t="inlineStr">
        <is>
          <t>Yes</t>
        </is>
      </c>
      <c r="AG187" s="28" t="inlineStr">
        <is>
          <t>https://www.isae-supaero.fr/</t>
        </is>
      </c>
      <c r="AH187" s="26" t="inlineStr">
        <is>
          <t>Bachelor in Aerospace Engineering Electronics &amp; Electrical &amp; Telecommunication eng. Mechanical eng. Physics &amp; Mathematics science English proficiency CAE TOEFL IBT (79 minimum) TOEIC (785 minimum) IELTS (6.5 minimum)</t>
        </is>
      </c>
      <c r="AI187" s="28" t="inlineStr">
        <is>
          <t>Open in EEF</t>
        </is>
      </c>
    </row>
    <row r="188" ht="32.8" customHeight="1" s="19">
      <c r="A188" s="25" t="n">
        <v>187</v>
      </c>
      <c r="B188" s="25" t="inlineStr">
        <is>
          <t>★★☆☆☆</t>
        </is>
      </c>
      <c r="C188" s="25" t="inlineStr">
        <is>
          <t>2 – Broad / loosely related</t>
        </is>
      </c>
      <c r="D188" s="25" t="inlineStr">
        <is>
          <t>Other engineering / maths</t>
        </is>
      </c>
      <c r="E188" s="26" t="inlineStr">
        <is>
          <t>Master Automotive Engineering for Sustainable Mobility (pour étudiants internationaux)</t>
        </is>
      </c>
      <c r="F188" s="26" t="inlineStr">
        <is>
          <t>Master Automotive Engineering for Sustainable Mobility (for students international)</t>
        </is>
      </c>
      <c r="G188" s="25" t="inlineStr">
        <is>
          <t>Master indifférencié (recherche et professionnel)</t>
        </is>
      </c>
      <c r="H188" s="25" t="inlineStr">
        <is>
          <t>Institut supérieur de l'automobile et des transports</t>
        </is>
      </c>
      <c r="I188" s="25" t="inlineStr">
        <is>
          <t>Université Bourgogne Europe</t>
        </is>
      </c>
      <c r="J188" s="25" t="inlineStr">
        <is>
          <t>Site de Nevers</t>
        </is>
      </c>
      <c r="K188" s="25" t="n"/>
      <c r="L188" s="25" t="inlineStr">
        <is>
          <t>Public school / institute</t>
        </is>
      </c>
      <c r="M188" s="25" t="inlineStr">
        <is>
          <t>English</t>
        </is>
      </c>
      <c r="N188" s="25" t="inlineStr">
        <is>
          <t>General</t>
        </is>
      </c>
      <c r="O188" s="25" t="inlineStr">
        <is>
          <t>Bac +4</t>
        </is>
      </c>
      <c r="P188" s="26" t="inlineStr">
        <is>
          <t>Eligible on level (4-yr BS ≈ Bac+4)</t>
        </is>
      </c>
      <c r="Q188" s="25" t="inlineStr">
        <is>
          <t>1</t>
        </is>
      </c>
      <c r="R188" s="25" t="inlineStr">
        <is>
          <t>24</t>
        </is>
      </c>
      <c r="S188" s="27" t="n">
        <v>11500</v>
      </c>
      <c r="T188" s="27" t="n"/>
      <c r="U188" s="25" t="n">
        <v>2</v>
      </c>
      <c r="V188" s="27">
        <f>IF(S188="","",S188*U188)</f>
        <v/>
      </c>
      <c r="W188" s="26" t="inlineStr">
        <is>
          <t>Catalogue fee €11,500/yr (entered by institution).</t>
        </is>
      </c>
      <c r="X188" s="25" t="inlineStr">
        <is>
          <t>High</t>
        </is>
      </c>
      <c r="Y188" s="25" t="inlineStr">
        <is>
          <t>11500</t>
        </is>
      </c>
      <c r="Z188" s="26" t="n"/>
      <c r="AA188" s="26" t="n"/>
      <c r="AB188" s="25" t="n"/>
      <c r="AC188" s="25" t="inlineStr">
        <is>
          <t>Open</t>
        </is>
      </c>
      <c r="AD188" s="25" t="inlineStr">
        <is>
          <t>2026-10-01</t>
        </is>
      </c>
      <c r="AE188" s="25" t="inlineStr">
        <is>
          <t>2027-03-15</t>
        </is>
      </c>
      <c r="AF188" s="25" t="inlineStr">
        <is>
          <t>No</t>
        </is>
      </c>
      <c r="AG188" s="28" t="inlineStr">
        <is>
          <t>http://www.isat.fr/</t>
        </is>
      </c>
      <c r="AH188" s="26" t="inlineStr">
        <is>
          <t>Bachelor's degree or equivalent in mechanical engineering, electronics, computer science, automotive engineering, physics or chemical engineering, material engineering... English proficiency: TOEIC 785 / (TOEFL IBT 80) /</t>
        </is>
      </c>
      <c r="AI188" s="28" t="inlineStr">
        <is>
          <t>Open in EEF</t>
        </is>
      </c>
    </row>
    <row r="189" ht="32.8" customHeight="1" s="19">
      <c r="A189" s="25" t="n">
        <v>188</v>
      </c>
      <c r="B189" s="25" t="inlineStr">
        <is>
          <t>★★☆☆☆</t>
        </is>
      </c>
      <c r="C189" s="25" t="inlineStr">
        <is>
          <t>2 – Broad / loosely related</t>
        </is>
      </c>
      <c r="D189" s="25" t="inlineStr">
        <is>
          <t>Other engineering / maths</t>
        </is>
      </c>
      <c r="E189" s="26" t="inlineStr">
        <is>
          <t>Mastère Spécialisé ® « Aeronautical Operations &amp; Maintenance »</t>
        </is>
      </c>
      <c r="F189" s="26" t="inlineStr">
        <is>
          <t>Specialised Master (MS) ® « Aeronautical Operations &amp; Maintenance »</t>
        </is>
      </c>
      <c r="G189" s="25" t="inlineStr">
        <is>
          <t>Mastère spécialisé</t>
        </is>
      </c>
      <c r="H189" s="25" t="inlineStr">
        <is>
          <t>Ecole supérieure des techniques aéronautiques et de construction automobile</t>
        </is>
      </c>
      <c r="I189" s="25" t="n"/>
      <c r="J189" s="25" t="inlineStr">
        <is>
          <t>Campus Paris-Saclay</t>
        </is>
      </c>
      <c r="K189" s="25" t="inlineStr">
        <is>
          <t>78180 Montigny-le-Bretonneux</t>
        </is>
      </c>
      <c r="L189" s="25" t="inlineStr">
        <is>
          <t>Private / EESPIG</t>
        </is>
      </c>
      <c r="M189" s="25" t="inlineStr">
        <is>
          <t>English</t>
        </is>
      </c>
      <c r="N189" s="25" t="inlineStr">
        <is>
          <t>Taught in English</t>
        </is>
      </c>
      <c r="O189" s="25" t="inlineStr">
        <is>
          <t>Bac +6</t>
        </is>
      </c>
      <c r="P189" s="26" t="inlineStr">
        <is>
          <t>Possible – MS rules allow Bac+4 + ≥3 yrs work experience (you have 3)</t>
        </is>
      </c>
      <c r="Q189" s="25" t="inlineStr">
        <is>
          <t>6</t>
        </is>
      </c>
      <c r="R189" s="25" t="inlineStr">
        <is>
          <t>12</t>
        </is>
      </c>
      <c r="S189" s="27" t="n">
        <v>12000</v>
      </c>
      <c r="T189" s="27" t="n"/>
      <c r="U189" s="25" t="n">
        <v>1</v>
      </c>
      <c r="V189" s="27">
        <f>IF(S189="","",S189*U189)</f>
        <v/>
      </c>
      <c r="W189" s="26" t="inlineStr">
        <is>
          <t>Not in catalogue. Mastère Spécialisé programmes typically cost €9k–€23k. Verify.</t>
        </is>
      </c>
      <c r="X189" s="25" t="inlineStr">
        <is>
          <t>Low</t>
        </is>
      </c>
      <c r="Y189" s="25" t="n"/>
      <c r="Z189" s="26" t="inlineStr">
        <is>
          <t>f your degree diploma - Resume - Motivation letter - Recommendation letter - Payment of 75€ application fee</t>
        </is>
      </c>
      <c r="AA189" s="26" t="n"/>
      <c r="AB189" s="25" t="n"/>
      <c r="AC189" s="25" t="inlineStr">
        <is>
          <t>Open</t>
        </is>
      </c>
      <c r="AD189" s="25" t="inlineStr">
        <is>
          <t>2026-10-01</t>
        </is>
      </c>
      <c r="AE189" s="25" t="inlineStr">
        <is>
          <t>2027-03-15</t>
        </is>
      </c>
      <c r="AF189" s="25" t="inlineStr">
        <is>
          <t>Yes</t>
        </is>
      </c>
      <c r="AG189" s="28" t="inlineStr">
        <is>
          <t>https://www.estaca.fr/en/programs/post-master-degree/aeronautical-operation-maintenance/</t>
        </is>
      </c>
      <c r="AH189" s="26" t="inlineStr">
        <is>
          <t>This program is open to all foreign and French students holding a Master Degree (preferably in scientific fields, business master may also apply) or having completed five years of studies in an Engineering degree. Applic</t>
        </is>
      </c>
      <c r="AI189" s="28" t="inlineStr">
        <is>
          <t>Open in EEF</t>
        </is>
      </c>
    </row>
    <row r="190" ht="43.25" customHeight="1" s="19">
      <c r="A190" s="25" t="n">
        <v>189</v>
      </c>
      <c r="B190" s="25" t="inlineStr">
        <is>
          <t>★★☆☆☆</t>
        </is>
      </c>
      <c r="C190" s="25" t="inlineStr">
        <is>
          <t>2 – Broad / loosely related</t>
        </is>
      </c>
      <c r="D190" s="25" t="inlineStr">
        <is>
          <t>Other engineering / maths</t>
        </is>
      </c>
      <c r="E190" s="26" t="inlineStr">
        <is>
          <t>Mastère Spécialisé® / Advanced Master AES Aeronautical &amp; space Structure</t>
        </is>
      </c>
      <c r="F190" s="26" t="inlineStr">
        <is>
          <t>Mastère Spécialisé® / Advanced Master AES Aeronautical &amp; space Structure</t>
        </is>
      </c>
      <c r="G190" s="25" t="inlineStr">
        <is>
          <t>Mastère spécialisé</t>
        </is>
      </c>
      <c r="H190" s="25" t="inlineStr">
        <is>
          <t>Institut supérieur de l'aéronautique et de l'espace</t>
        </is>
      </c>
      <c r="I190" s="25" t="n"/>
      <c r="J190" s="25" t="inlineStr">
        <is>
          <t>Site de Toulouse</t>
        </is>
      </c>
      <c r="K190" s="25" t="n"/>
      <c r="L190" s="25" t="inlineStr">
        <is>
          <t>Public school / institute</t>
        </is>
      </c>
      <c r="M190" s="25" t="inlineStr">
        <is>
          <t>English</t>
        </is>
      </c>
      <c r="N190" s="25" t="inlineStr">
        <is>
          <t>General</t>
        </is>
      </c>
      <c r="O190" s="25" t="inlineStr">
        <is>
          <t>Bac +6</t>
        </is>
      </c>
      <c r="P190" s="26" t="inlineStr">
        <is>
          <t>Possible – MS rules allow Bac+4 + ≥3 yrs work experience (you have 3)</t>
        </is>
      </c>
      <c r="Q190" s="25" t="inlineStr">
        <is>
          <t>1</t>
        </is>
      </c>
      <c r="R190" s="25" t="inlineStr">
        <is>
          <t>12</t>
        </is>
      </c>
      <c r="S190" s="27" t="n">
        <v>17000</v>
      </c>
      <c r="T190" s="27" t="n"/>
      <c r="U190" s="25" t="n">
        <v>1</v>
      </c>
      <c r="V190" s="27">
        <f>IF(S190="","",S190*U190)</f>
        <v/>
      </c>
      <c r="W190" s="26" t="inlineStr">
        <is>
          <t>ISAE-SUPAERO Advanced Master: €17,000 (non-EU self-funded) / €23,000 company-funded – 2025-26 rates (official site).</t>
        </is>
      </c>
      <c r="X190" s="25" t="inlineStr">
        <is>
          <t>High</t>
        </is>
      </c>
      <c r="Y190" s="25" t="n"/>
      <c r="Z190" s="26" t="n"/>
      <c r="AA190" s="26" t="n"/>
      <c r="AB190" s="25" t="n"/>
      <c r="AC190" s="25" t="inlineStr">
        <is>
          <t>Open</t>
        </is>
      </c>
      <c r="AD190" s="25" t="inlineStr">
        <is>
          <t>2026-10-01</t>
        </is>
      </c>
      <c r="AE190" s="25" t="inlineStr">
        <is>
          <t>2027-03-15</t>
        </is>
      </c>
      <c r="AF190" s="25" t="inlineStr">
        <is>
          <t>Yes</t>
        </is>
      </c>
      <c r="AG190" s="28" t="inlineStr">
        <is>
          <t>https://www.tsaae.fr/</t>
        </is>
      </c>
      <c r="AH190" s="26" t="inlineStr">
        <is>
          <t>Candidates can apply for our programme with the following backgrounds: Engineering degree Master 2 Master 1 with three years’ post-graduate professional experience A Master’s degree from a business school that is a membe</t>
        </is>
      </c>
      <c r="AI190" s="28" t="inlineStr">
        <is>
          <t>Open in EEF</t>
        </is>
      </c>
    </row>
    <row r="191" ht="43.25" customHeight="1" s="19">
      <c r="A191" s="25" t="n">
        <v>190</v>
      </c>
      <c r="B191" s="25" t="inlineStr">
        <is>
          <t>★★☆☆☆</t>
        </is>
      </c>
      <c r="C191" s="25" t="inlineStr">
        <is>
          <t>2 – Broad / loosely related</t>
        </is>
      </c>
      <c r="D191" s="25" t="inlineStr">
        <is>
          <t>Other engineering / maths</t>
        </is>
      </c>
      <c r="E191" s="26" t="inlineStr">
        <is>
          <t>Mastère spécialisé® / Advanced Master AES in Aeronautical &amp; Space Structure</t>
        </is>
      </c>
      <c r="F191" s="26" t="inlineStr">
        <is>
          <t>Specialised Master (MS)® / Advanced Master AES in Aeronautical &amp; Space Structure</t>
        </is>
      </c>
      <c r="G191" s="25" t="inlineStr">
        <is>
          <t>Mastère spécialisé</t>
        </is>
      </c>
      <c r="H191" s="25" t="inlineStr">
        <is>
          <t>Institut supérieur de l'aéronautique et de l'espace</t>
        </is>
      </c>
      <c r="I191" s="25" t="n"/>
      <c r="J191" s="25" t="inlineStr">
        <is>
          <t>Site de Toulouse</t>
        </is>
      </c>
      <c r="K191" s="25" t="n"/>
      <c r="L191" s="25" t="inlineStr">
        <is>
          <t>Public school / institute</t>
        </is>
      </c>
      <c r="M191" s="25" t="inlineStr">
        <is>
          <t>English</t>
        </is>
      </c>
      <c r="N191" s="25" t="inlineStr">
        <is>
          <t>Taught in English</t>
        </is>
      </c>
      <c r="O191" s="25" t="inlineStr">
        <is>
          <t>Bac +6</t>
        </is>
      </c>
      <c r="P191" s="26" t="inlineStr">
        <is>
          <t>Possible – MS rules allow Bac+4 + ≥3 yrs work experience (you have 3)</t>
        </is>
      </c>
      <c r="Q191" s="25" t="inlineStr">
        <is>
          <t>1</t>
        </is>
      </c>
      <c r="R191" s="25" t="inlineStr">
        <is>
          <t>12</t>
        </is>
      </c>
      <c r="S191" s="27" t="n">
        <v>17000</v>
      </c>
      <c r="T191" s="27" t="n"/>
      <c r="U191" s="25" t="n">
        <v>1</v>
      </c>
      <c r="V191" s="27">
        <f>IF(S191="","",S191*U191)</f>
        <v/>
      </c>
      <c r="W191" s="26" t="inlineStr">
        <is>
          <t>ISAE-SUPAERO Advanced Master: €17,000 (non-EU self-funded) / €23,000 company-funded – 2025-26 rates (official site).</t>
        </is>
      </c>
      <c r="X191" s="25" t="inlineStr">
        <is>
          <t>High</t>
        </is>
      </c>
      <c r="Y191" s="25" t="n"/>
      <c r="Z191" s="26" t="n"/>
      <c r="AA191" s="26" t="n"/>
      <c r="AB191" s="25" t="n"/>
      <c r="AC191" s="25" t="inlineStr">
        <is>
          <t>Open</t>
        </is>
      </c>
      <c r="AD191" s="25" t="inlineStr">
        <is>
          <t>2026-10-01</t>
        </is>
      </c>
      <c r="AE191" s="25" t="inlineStr">
        <is>
          <t>2027-03-15</t>
        </is>
      </c>
      <c r="AF191" s="25" t="inlineStr">
        <is>
          <t>Yes</t>
        </is>
      </c>
      <c r="AG191" s="28" t="inlineStr">
        <is>
          <t>https://www.tsaae.fr/</t>
        </is>
      </c>
      <c r="AH191" s="26" t="inlineStr">
        <is>
          <t>Candidates can apply for our programme with the following backgrounds: Engineering degree Master 2 Master 1 with three years’ post-graduate professional experience A Master’s degree from a business school that is a membe</t>
        </is>
      </c>
      <c r="AI191" s="28" t="inlineStr">
        <is>
          <t>Open in EEF</t>
        </is>
      </c>
    </row>
    <row r="192" ht="43.25" customHeight="1" s="19">
      <c r="A192" s="25" t="n">
        <v>191</v>
      </c>
      <c r="B192" s="25" t="inlineStr">
        <is>
          <t>★★☆☆☆</t>
        </is>
      </c>
      <c r="C192" s="25" t="inlineStr">
        <is>
          <t>2 – Broad / loosely related</t>
        </is>
      </c>
      <c r="D192" s="25" t="inlineStr">
        <is>
          <t>Other engineering / maths</t>
        </is>
      </c>
      <c r="E192" s="26" t="inlineStr">
        <is>
          <t>Mastère Spécialisé® / Advanced Master TAS AERO - Aeronautical Engineering</t>
        </is>
      </c>
      <c r="F192" s="26" t="inlineStr">
        <is>
          <t>Mastère Spécialisé® / Advanced Master TAS AERO - Aeronautical Engineering</t>
        </is>
      </c>
      <c r="G192" s="25" t="inlineStr">
        <is>
          <t>Mastère spécialisé</t>
        </is>
      </c>
      <c r="H192" s="25" t="inlineStr">
        <is>
          <t>Institut supérieur de l'aéronautique et de l'espace</t>
        </is>
      </c>
      <c r="I192" s="25" t="n"/>
      <c r="J192" s="25" t="inlineStr">
        <is>
          <t>Site de Toulouse</t>
        </is>
      </c>
      <c r="K192" s="25" t="n"/>
      <c r="L192" s="25" t="inlineStr">
        <is>
          <t>Public school / institute</t>
        </is>
      </c>
      <c r="M192" s="25" t="inlineStr">
        <is>
          <t>English</t>
        </is>
      </c>
      <c r="N192" s="25" t="inlineStr">
        <is>
          <t>General</t>
        </is>
      </c>
      <c r="O192" s="25" t="inlineStr">
        <is>
          <t>Bac +6</t>
        </is>
      </c>
      <c r="P192" s="26" t="inlineStr">
        <is>
          <t>Possible – MS rules allow Bac+4 + ≥3 yrs work experience (you have 3)</t>
        </is>
      </c>
      <c r="Q192" s="25" t="inlineStr">
        <is>
          <t>1</t>
        </is>
      </c>
      <c r="R192" s="25" t="inlineStr">
        <is>
          <t>12</t>
        </is>
      </c>
      <c r="S192" s="27" t="n">
        <v>17000</v>
      </c>
      <c r="T192" s="27" t="n"/>
      <c r="U192" s="25" t="n">
        <v>1</v>
      </c>
      <c r="V192" s="27">
        <f>IF(S192="","",S192*U192)</f>
        <v/>
      </c>
      <c r="W192" s="26" t="inlineStr">
        <is>
          <t>ISAE-SUPAERO Advanced Master: €17,000 (non-EU self-funded) / €23,000 company-funded – 2025-26 rates (official site).</t>
        </is>
      </c>
      <c r="X192" s="25" t="inlineStr">
        <is>
          <t>High</t>
        </is>
      </c>
      <c r="Y192" s="25" t="n"/>
      <c r="Z192" s="26" t="n"/>
      <c r="AA192" s="26" t="n"/>
      <c r="AB192" s="25" t="n"/>
      <c r="AC192" s="25" t="inlineStr">
        <is>
          <t>Open</t>
        </is>
      </c>
      <c r="AD192" s="25" t="inlineStr">
        <is>
          <t>2026-10-01</t>
        </is>
      </c>
      <c r="AE192" s="25" t="inlineStr">
        <is>
          <t>2027-03-15</t>
        </is>
      </c>
      <c r="AF192" s="25" t="inlineStr">
        <is>
          <t>Yes</t>
        </is>
      </c>
      <c r="AG192" s="28" t="inlineStr">
        <is>
          <t>https://www.tsaae.fr/</t>
        </is>
      </c>
      <c r="AH192" s="26" t="inlineStr">
        <is>
          <t>Candidates can apply for our programme with the following backgrounds: Engineering degree Master 2 Master 1 with three years’ post-graduate professional experience A Master’s degree from a business school that is a membe</t>
        </is>
      </c>
      <c r="AI192" s="28" t="inlineStr">
        <is>
          <t>Open in EEF</t>
        </is>
      </c>
    </row>
    <row r="193" ht="43.25" customHeight="1" s="19">
      <c r="A193" s="25" t="n">
        <v>192</v>
      </c>
      <c r="B193" s="25" t="inlineStr">
        <is>
          <t>★★☆☆☆</t>
        </is>
      </c>
      <c r="C193" s="25" t="inlineStr">
        <is>
          <t>2 – Broad / loosely related</t>
        </is>
      </c>
      <c r="D193" s="25" t="inlineStr">
        <is>
          <t>Other engineering / maths</t>
        </is>
      </c>
      <c r="E193" s="26" t="inlineStr">
        <is>
          <t>Mastère Spécialisé® / Advanced Master TAS AERO - Aeronautical Engineering</t>
        </is>
      </c>
      <c r="F193" s="26" t="inlineStr">
        <is>
          <t>Mastère Spécialisé® / Advanced Master TAS AERO - Aeronautical Engineering</t>
        </is>
      </c>
      <c r="G193" s="25" t="inlineStr">
        <is>
          <t>Mastère spécialisé</t>
        </is>
      </c>
      <c r="H193" s="25" t="inlineStr">
        <is>
          <t>Institut supérieur de l'aéronautique et de l'espace</t>
        </is>
      </c>
      <c r="I193" s="25" t="n"/>
      <c r="J193" s="25" t="inlineStr">
        <is>
          <t>Site de Toulouse</t>
        </is>
      </c>
      <c r="K193" s="25" t="n"/>
      <c r="L193" s="25" t="inlineStr">
        <is>
          <t>Public school / institute</t>
        </is>
      </c>
      <c r="M193" s="25" t="inlineStr">
        <is>
          <t>English</t>
        </is>
      </c>
      <c r="N193" s="25" t="inlineStr">
        <is>
          <t>Taught in English</t>
        </is>
      </c>
      <c r="O193" s="25" t="inlineStr">
        <is>
          <t>Bac +6</t>
        </is>
      </c>
      <c r="P193" s="26" t="inlineStr">
        <is>
          <t>Possible – MS rules allow Bac+4 + ≥3 yrs work experience (you have 3)</t>
        </is>
      </c>
      <c r="Q193" s="25" t="inlineStr">
        <is>
          <t>1</t>
        </is>
      </c>
      <c r="R193" s="25" t="inlineStr">
        <is>
          <t>12</t>
        </is>
      </c>
      <c r="S193" s="27" t="n">
        <v>17000</v>
      </c>
      <c r="T193" s="27" t="n"/>
      <c r="U193" s="25" t="n">
        <v>1</v>
      </c>
      <c r="V193" s="27">
        <f>IF(S193="","",S193*U193)</f>
        <v/>
      </c>
      <c r="W193" s="26" t="inlineStr">
        <is>
          <t>ISAE-SUPAERO Advanced Master: €17,000 (non-EU self-funded) / €23,000 company-funded – 2025-26 rates (official site).</t>
        </is>
      </c>
      <c r="X193" s="25" t="inlineStr">
        <is>
          <t>High</t>
        </is>
      </c>
      <c r="Y193" s="25" t="n"/>
      <c r="Z193" s="26" t="n"/>
      <c r="AA193" s="26" t="n"/>
      <c r="AB193" s="25" t="n"/>
      <c r="AC193" s="25" t="inlineStr">
        <is>
          <t>Open</t>
        </is>
      </c>
      <c r="AD193" s="25" t="inlineStr">
        <is>
          <t>2026-10-01</t>
        </is>
      </c>
      <c r="AE193" s="25" t="inlineStr">
        <is>
          <t>2027-03-15</t>
        </is>
      </c>
      <c r="AF193" s="25" t="inlineStr">
        <is>
          <t>Yes</t>
        </is>
      </c>
      <c r="AG193" s="28" t="inlineStr">
        <is>
          <t>https://www.tsaae.fr/</t>
        </is>
      </c>
      <c r="AH193" s="26" t="inlineStr">
        <is>
          <t>Candidates can apply for our programme with the following backgrounds: Engineering degree Master 2 Master 1 with three years’ post-graduate professional experience A Master’s degree from a business school that is a membe</t>
        </is>
      </c>
      <c r="AI193" s="28" t="inlineStr">
        <is>
          <t>Open in EEF</t>
        </is>
      </c>
    </row>
  </sheetData>
  <conditionalFormatting sqref="S2:S193">
    <cfRule type="cellIs" rank="0" priority="2" equalAverage="0" operator="lessThanOrEqual" aboveAverage="0" dxfId="6" text="" percent="0" bottom="0">
      <formula>1000</formula>
    </cfRule>
    <cfRule type="cellIs" rank="0" priority="3" equalAverage="0" operator="between" aboveAverage="0" dxfId="7" text="" percent="0" bottom="0">
      <formula>1001</formula>
      <formula>6000</formula>
    </cfRule>
    <cfRule type="cellIs" rank="0" priority="4" equalAverage="0" operator="greaterThan" aboveAverage="0" dxfId="8" text="" percent="0" bottom="0">
      <formula>6000</formula>
    </cfRule>
  </conditionalFormatting>
  <conditionalFormatting sqref="P2:P193">
    <cfRule type="expression" rank="0" priority="5" equalAverage="0" aboveAverage="0" dxfId="6" text="" percent="0" bottom="0">
      <formula>LEFT(P2,8)="Eligible"</formula>
    </cfRule>
    <cfRule type="expression" rank="0" priority="6" equalAverage="0" aboveAverage="0" dxfId="8" text="" percent="0" bottom="0">
      <formula>LEFT(P2,8)="Requires"</formula>
    </cfRule>
  </conditionalFormatting>
  <hyperlinks>
    <hyperlink xmlns:r="http://schemas.openxmlformats.org/officeDocument/2006/relationships" ref="AG2" display="https://master.roc.cnam.fr" r:id="rId1"/>
    <hyperlink xmlns:r="http://schemas.openxmlformats.org/officeDocument/2006/relationships" ref="AI2" display="Open in EEF" r:id="rId2"/>
    <hyperlink xmlns:r="http://schemas.openxmlformats.org/officeDocument/2006/relationships" ref="AB3" display="https://www.umontpellier.fr/en/international/etudier-a-letranger/etudiants-internationaux-annee-universitaire-2026-2027/" r:id="rId3"/>
    <hyperlink xmlns:r="http://schemas.openxmlformats.org/officeDocument/2006/relationships" ref="AG3" display="https://idil.edu.umontpellier.fr/master-idil/les-parcours/" r:id="rId4"/>
    <hyperlink xmlns:r="http://schemas.openxmlformats.org/officeDocument/2006/relationships" ref="AI3" display="Open in EEF" r:id="rId5"/>
    <hyperlink xmlns:r="http://schemas.openxmlformats.org/officeDocument/2006/relationships" ref="AB4" display="https://www.umlp.fr/sites/default/files/2026-07-02-page-droits-differencies-vf.pdf" r:id="rId6"/>
    <hyperlink xmlns:r="http://schemas.openxmlformats.org/officeDocument/2006/relationships" ref="AG4" display="https://formations.univ-fcomte.fr/fr/formations/feuilleter-le-catalogue/master-lmd-XB/master-electronique-energie-electrique-automatique-M4QUAZ0D.html" r:id="rId7"/>
    <hyperlink xmlns:r="http://schemas.openxmlformats.org/officeDocument/2006/relationships" ref="AI4" display="Open in EEF" r:id="rId8"/>
    <hyperlink xmlns:r="http://schemas.openxmlformats.org/officeDocument/2006/relationships" ref="AB5" display="https://www.univ-grenoble-alpes.fr/actualites/a-la-une/actualites-universite/etudiants-internationaux-ce-que-change-le-nouveau-decret-sur-les-droits-d-inscription-a-l-uga-1775870.kjsp" r:id="rId9"/>
    <hyperlink xmlns:r="http://schemas.openxmlformats.org/officeDocument/2006/relationships" ref="AG5" display="https://formations.univ-grenoble-alpes.fr/fr/offre-de-formation/master-XB/master-biologie-sante-IAQKB0GE/parcours-molecular-and-cellular-biology-1re-annee-IK43J2QV.html" r:id="rId10"/>
    <hyperlink xmlns:r="http://schemas.openxmlformats.org/officeDocument/2006/relationships" ref="AI5" display="Open in EEF" r:id="rId11"/>
    <hyperlink xmlns:r="http://schemas.openxmlformats.org/officeDocument/2006/relationships" ref="AB6" display="https://www.univ-grenoble-alpes.fr/actualites/a-la-une/actualites-universite/etudiants-internationaux-ce-que-change-le-nouveau-decret-sur-les-droits-d-inscription-a-l-uga-1775870.kjsp" r:id="rId12"/>
    <hyperlink xmlns:r="http://schemas.openxmlformats.org/officeDocument/2006/relationships" ref="AG6" display="https://formations.univ-grenoble-alpes.fr/fr/catalogue-2021/master-XB/master-ingenierie-de-la-sante-IAQKSXOB.html" r:id="rId13"/>
    <hyperlink xmlns:r="http://schemas.openxmlformats.org/officeDocument/2006/relationships" ref="AI6" display="Open in EEF" r:id="rId14"/>
    <hyperlink xmlns:r="http://schemas.openxmlformats.org/officeDocument/2006/relationships" ref="AG7" display="https://life.univ-cotedazur.fr/international/imagein" r:id="rId15"/>
    <hyperlink xmlns:r="http://schemas.openxmlformats.org/officeDocument/2006/relationships" ref="AI7" display="Open in EEF" r:id="rId16"/>
    <hyperlink xmlns:r="http://schemas.openxmlformats.org/officeDocument/2006/relationships" ref="AB8" display="https://www.umlp.fr/sites/default/files/2026-07-02-page-droits-differencies-vf.pdf" r:id="rId17"/>
    <hyperlink xmlns:r="http://schemas.openxmlformats.org/officeDocument/2006/relationships" ref="AG8" display="https://stgi.umlp.fr/" r:id="rId18"/>
    <hyperlink xmlns:r="http://schemas.openxmlformats.org/officeDocument/2006/relationships" ref="AI8" display="Open in EEF" r:id="rId19"/>
    <hyperlink xmlns:r="http://schemas.openxmlformats.org/officeDocument/2006/relationships" ref="AB9" display="https://www.unistra.fr/fr/node/8168" r:id="rId20"/>
    <hyperlink xmlns:r="http://schemas.openxmlformats.org/officeDocument/2006/relationships" ref="AG9" display="https://pharmacie.unistra.fr" r:id="rId21"/>
    <hyperlink xmlns:r="http://schemas.openxmlformats.org/officeDocument/2006/relationships" ref="AI9" display="Open in EEF" r:id="rId22"/>
    <hyperlink xmlns:r="http://schemas.openxmlformats.org/officeDocument/2006/relationships" ref="AB10" display="https://www.unistra.fr/fr/node/8168" r:id="rId23"/>
    <hyperlink xmlns:r="http://schemas.openxmlformats.org/officeDocument/2006/relationships" ref="AG10" display="http://sciencesvie.unistra.fr/" r:id="rId24"/>
    <hyperlink xmlns:r="http://schemas.openxmlformats.org/officeDocument/2006/relationships" ref="AI10" display="Open in EEF" r:id="rId25"/>
    <hyperlink xmlns:r="http://schemas.openxmlformats.org/officeDocument/2006/relationships" ref="AG11" display="https://www.unilim.fr/gradschool-ceramics-ict/formation/smart-iot/" r:id="rId26"/>
    <hyperlink xmlns:r="http://schemas.openxmlformats.org/officeDocument/2006/relationships" ref="AI11" display="Open in EEF" r:id="rId27"/>
    <hyperlink xmlns:r="http://schemas.openxmlformats.org/officeDocument/2006/relationships" ref="AB12" display="https://www.unistra.fr/fr/node/8168" r:id="rId28"/>
    <hyperlink xmlns:r="http://schemas.openxmlformats.org/officeDocument/2006/relationships" ref="AG12" display="https://chirurgie-dentaire.unistra.fr/" r:id="rId29"/>
    <hyperlink xmlns:r="http://schemas.openxmlformats.org/officeDocument/2006/relationships" ref="AI12" display="Open in EEF" r:id="rId30"/>
    <hyperlink xmlns:r="http://schemas.openxmlformats.org/officeDocument/2006/relationships" ref="AI13" display="Open in EEF" r:id="rId31"/>
    <hyperlink xmlns:r="http://schemas.openxmlformats.org/officeDocument/2006/relationships" ref="AB14" display="https://www.sorbonne-universite.fr/actualites/le-conseil-dadministration-de-sorbonne-universite-vote-lunanimite-le-7-juillet-2026-sa" r:id="rId32"/>
    <hyperlink xmlns:r="http://schemas.openxmlformats.org/officeDocument/2006/relationships" ref="AG14" display="https://masters-sdi.sorbonne-universite.fr/electronique-energie-electrique-automatique" r:id="rId33"/>
    <hyperlink xmlns:r="http://schemas.openxmlformats.org/officeDocument/2006/relationships" ref="AI14" display="Open in EEF" r:id="rId34"/>
    <hyperlink xmlns:r="http://schemas.openxmlformats.org/officeDocument/2006/relationships" ref="AB15" display="https://www.univ-grenoble-alpes.fr/actualites/a-la-une/actualites-universite/etudiants-internationaux-ce-que-change-le-nouveau-decret-sur-les-droits-d-inscription-a-l-uga-1775870.kjsp" r:id="rId35"/>
    <hyperlink xmlns:r="http://schemas.openxmlformats.org/officeDocument/2006/relationships" ref="AG15" display="https://formations.univ-grenoble-alpes.fr/fr/catalogue-2021/master-XB/master-electronique-energie-electrique-automatique-IFZ3DRB9/parcours-microelectronique-integration-des-systemes-temps-reels-embarques-mistre-1re-et-2e-annees-IFZ5TP7C.html" r:id="rId36"/>
    <hyperlink xmlns:r="http://schemas.openxmlformats.org/officeDocument/2006/relationships" ref="AI15" display="Open in EEF" r:id="rId37"/>
    <hyperlink xmlns:r="http://schemas.openxmlformats.org/officeDocument/2006/relationships" ref="AB16" display="https://www.sorbonne-universite.fr/actualites/le-conseil-dadministration-de-sorbonne-universite-vote-lunanimite-le-7-juillet-2026-sa" r:id="rId38"/>
    <hyperlink xmlns:r="http://schemas.openxmlformats.org/officeDocument/2006/relationships" ref="AG16" display="https://masters-sdi.sorbonne-universite.fr/electronique-energie-electrique-automatique" r:id="rId39"/>
    <hyperlink xmlns:r="http://schemas.openxmlformats.org/officeDocument/2006/relationships" ref="AI16" display="Open in EEF" r:id="rId40"/>
    <hyperlink xmlns:r="http://schemas.openxmlformats.org/officeDocument/2006/relationships" ref="AB17" display="https://u-paris.fr/droits-dinscription-tarifs-exonerations/" r:id="rId41"/>
    <hyperlink xmlns:r="http://schemas.openxmlformats.org/officeDocument/2006/relationships" ref="AG17" display="https://odf.u-paris.fr/fr/offre-de-formation/master-XB/sciences-technologies-sante-STS/ingenierie-de-la-sante-K2NDJ7KW.html" r:id="rId42"/>
    <hyperlink xmlns:r="http://schemas.openxmlformats.org/officeDocument/2006/relationships" ref="AI17" display="Open in EEF" r:id="rId43"/>
    <hyperlink xmlns:r="http://schemas.openxmlformats.org/officeDocument/2006/relationships" ref="AG18" display="https://www.mines-stetienne.fr/en/academic/msc-cyber-physical-social-systems-cps2/" r:id="rId44"/>
    <hyperlink xmlns:r="http://schemas.openxmlformats.org/officeDocument/2006/relationships" ref="AI18" display="Open in EEF" r:id="rId45"/>
    <hyperlink xmlns:r="http://schemas.openxmlformats.org/officeDocument/2006/relationships" ref="AB19" display="https://www.umlp.fr/sites/default/files/2026-07-02-page-droits-differencies-vf.pdf" r:id="rId46"/>
    <hyperlink xmlns:r="http://schemas.openxmlformats.org/officeDocument/2006/relationships" ref="AG19" display="http://isifc.univ-fcomte.fr" r:id="rId47"/>
    <hyperlink xmlns:r="http://schemas.openxmlformats.org/officeDocument/2006/relationships" ref="AI19" display="Open in EEF" r:id="rId48"/>
    <hyperlink xmlns:r="http://schemas.openxmlformats.org/officeDocument/2006/relationships" ref="AG20" display="http://www.esigelec.fr" r:id="rId49"/>
    <hyperlink xmlns:r="http://schemas.openxmlformats.org/officeDocument/2006/relationships" ref="AI20" display="Open in EEF" r:id="rId50"/>
    <hyperlink xmlns:r="http://schemas.openxmlformats.org/officeDocument/2006/relationships" ref="AG21" display="https://www.imt-atlantique.fr/en/study/masters/msc/it-embedded-ai" r:id="rId51"/>
    <hyperlink xmlns:r="http://schemas.openxmlformats.org/officeDocument/2006/relationships" ref="AI21" display="Open in EEF" r:id="rId52"/>
    <hyperlink xmlns:r="http://schemas.openxmlformats.org/officeDocument/2006/relationships" ref="AG22" display="https://www.imt-atlantique.fr/en/study/masters/msc/it-aeiot" r:id="rId53"/>
    <hyperlink xmlns:r="http://schemas.openxmlformats.org/officeDocument/2006/relationships" ref="AI22" display="Open in EEF" r:id="rId54"/>
    <hyperlink xmlns:r="http://schemas.openxmlformats.org/officeDocument/2006/relationships" ref="AG23" display="https://centralelille.fr/en/formation/masters/master-biomedical-engineering/" r:id="rId55"/>
    <hyperlink xmlns:r="http://schemas.openxmlformats.org/officeDocument/2006/relationships" ref="AI23" display="Open in EEF" r:id="rId56"/>
    <hyperlink xmlns:r="http://schemas.openxmlformats.org/officeDocument/2006/relationships" ref="AG24" display="https://isen-mediterranee.fr/en/formation/msc-master-of-science-in-intelligent-embedded-systems-engineering/" r:id="rId57"/>
    <hyperlink xmlns:r="http://schemas.openxmlformats.org/officeDocument/2006/relationships" ref="AI24" display="Open in EEF" r:id="rId58"/>
    <hyperlink xmlns:r="http://schemas.openxmlformats.org/officeDocument/2006/relationships" ref="AG25" display="http://www.insa-toulouse.fr/fr/formation.html" r:id="rId59"/>
    <hyperlink xmlns:r="http://schemas.openxmlformats.org/officeDocument/2006/relationships" ref="AI25" display="Open in EEF" r:id="rId60"/>
    <hyperlink xmlns:r="http://schemas.openxmlformats.org/officeDocument/2006/relationships" ref="AI26" display="Open in EEF" r:id="rId61"/>
    <hyperlink xmlns:r="http://schemas.openxmlformats.org/officeDocument/2006/relationships" ref="AG27" display="https://www.junia.com/en/home/" r:id="rId62"/>
    <hyperlink xmlns:r="http://schemas.openxmlformats.org/officeDocument/2006/relationships" ref="AI27" display="Open in EEF" r:id="rId63"/>
    <hyperlink xmlns:r="http://schemas.openxmlformats.org/officeDocument/2006/relationships" ref="AG28" display="https://www.junia.com/en/academics/master-of-science-and-engineering-in-electronics-and-embedded-systems/" r:id="rId64"/>
    <hyperlink xmlns:r="http://schemas.openxmlformats.org/officeDocument/2006/relationships" ref="AI28" display="Open in EEF" r:id="rId65"/>
    <hyperlink xmlns:r="http://schemas.openxmlformats.org/officeDocument/2006/relationships" ref="AG29" display="https://www.centrale-mediterranee.fr/fr/formation/masters/master-biomedical-engineering" r:id="rId66"/>
    <hyperlink xmlns:r="http://schemas.openxmlformats.org/officeDocument/2006/relationships" ref="AI29" display="Open in EEF" r:id="rId67"/>
    <hyperlink xmlns:r="http://schemas.openxmlformats.org/officeDocument/2006/relationships" ref="AG30" display="http://www.enseeiht.fr" r:id="rId68"/>
    <hyperlink xmlns:r="http://schemas.openxmlformats.org/officeDocument/2006/relationships" ref="AI30" display="Open in EEF" r:id="rId69"/>
    <hyperlink xmlns:r="http://schemas.openxmlformats.org/officeDocument/2006/relationships" ref="AG31" display="https://esigelec.fr/fr" r:id="rId70"/>
    <hyperlink xmlns:r="http://schemas.openxmlformats.org/officeDocument/2006/relationships" ref="AI31" display="Open in EEF" r:id="rId71"/>
    <hyperlink xmlns:r="http://schemas.openxmlformats.org/officeDocument/2006/relationships" ref="AG32" display="https://bit.ly/3sYFUba" r:id="rId72"/>
    <hyperlink xmlns:r="http://schemas.openxmlformats.org/officeDocument/2006/relationships" ref="AI32" display="Open in EEF" r:id="rId73"/>
    <hyperlink xmlns:r="http://schemas.openxmlformats.org/officeDocument/2006/relationships" ref="AG33" display="http://www.esigelec.fr" r:id="rId74"/>
    <hyperlink xmlns:r="http://schemas.openxmlformats.org/officeDocument/2006/relationships" ref="AI33" display="Open in EEF" r:id="rId75"/>
    <hyperlink xmlns:r="http://schemas.openxmlformats.org/officeDocument/2006/relationships" ref="AG34" display="https://www.tsaae.fr/" r:id="rId76"/>
    <hyperlink xmlns:r="http://schemas.openxmlformats.org/officeDocument/2006/relationships" ref="AI34" display="Open in EEF" r:id="rId77"/>
    <hyperlink xmlns:r="http://schemas.openxmlformats.org/officeDocument/2006/relationships" ref="AG35" display="https://www.tsaae.fr/" r:id="rId78"/>
    <hyperlink xmlns:r="http://schemas.openxmlformats.org/officeDocument/2006/relationships" ref="AI35" display="Open in EEF" r:id="rId79"/>
    <hyperlink xmlns:r="http://schemas.openxmlformats.org/officeDocument/2006/relationships" ref="AG36" display="https://www.eurecom.fr/fr/les-formations/master-en-reseaux-et-telecommunication/master-en-reseaux-et-telecommunication-1" r:id="rId80"/>
    <hyperlink xmlns:r="http://schemas.openxmlformats.org/officeDocument/2006/relationships" ref="AI36" display="Open in EEF" r:id="rId81"/>
    <hyperlink xmlns:r="http://schemas.openxmlformats.org/officeDocument/2006/relationships" ref="AG37" display="https://www.eurecom.fr/en/teaching/master-networks-and-telecommunication/msc-networks-and-telecommunication-internet-things" r:id="rId82"/>
    <hyperlink xmlns:r="http://schemas.openxmlformats.org/officeDocument/2006/relationships" ref="AI37" display="Open in EEF" r:id="rId83"/>
    <hyperlink xmlns:r="http://schemas.openxmlformats.org/officeDocument/2006/relationships" ref="AB38" display="https://observalgerie.com/2026/06/13/misc/frais-dinscription-en-france-lille-maintient-un-avantage-pour-les-etudiants-etrangers/" r:id="rId84"/>
    <hyperlink xmlns:r="http://schemas.openxmlformats.org/officeDocument/2006/relationships" ref="AG38" display="https://formation.univ-lille.fr/fr/offre-de-formation/master-lmd-XB/master-automatique-et-systemes-electriques-MG001978/energie-electrique-et-developpement-durable-electrical-engineering-for-sustainable-development-m2-MX002024.html" r:id="rId85"/>
    <hyperlink xmlns:r="http://schemas.openxmlformats.org/officeDocument/2006/relationships" ref="AI38" display="Open in EEF" r:id="rId86"/>
    <hyperlink xmlns:r="http://schemas.openxmlformats.org/officeDocument/2006/relationships" ref="AB39" display="https://www.unistra.fr/fr/node/8168" r:id="rId87"/>
    <hyperlink xmlns:r="http://schemas.openxmlformats.org/officeDocument/2006/relationships" ref="AG39" display="http://sciencesvie.unistra.fr/" r:id="rId88"/>
    <hyperlink xmlns:r="http://schemas.openxmlformats.org/officeDocument/2006/relationships" ref="AI39" display="Open in EEF" r:id="rId89"/>
    <hyperlink xmlns:r="http://schemas.openxmlformats.org/officeDocument/2006/relationships" ref="AB40" display="https://www.unistra.fr/fr/node/8168" r:id="rId90"/>
    <hyperlink xmlns:r="http://schemas.openxmlformats.org/officeDocument/2006/relationships" ref="AG40" display="http://sciencesvie.unistra.fr/" r:id="rId91"/>
    <hyperlink xmlns:r="http://schemas.openxmlformats.org/officeDocument/2006/relationships" ref="AI40" display="Open in EEF" r:id="rId92"/>
    <hyperlink xmlns:r="http://schemas.openxmlformats.org/officeDocument/2006/relationships" ref="AG41" display="http://sciences-tech.u-pec.fr" r:id="rId93"/>
    <hyperlink xmlns:r="http://schemas.openxmlformats.org/officeDocument/2006/relationships" ref="AI41" display="Open in EEF" r:id="rId94"/>
    <hyperlink xmlns:r="http://schemas.openxmlformats.org/officeDocument/2006/relationships" ref="AB42" display="https://www.unistra.fr/fr/node/8168" r:id="rId95"/>
    <hyperlink xmlns:r="http://schemas.openxmlformats.org/officeDocument/2006/relationships" ref="AG42" display="http://sciencesvie.unistra.fr/" r:id="rId96"/>
    <hyperlink xmlns:r="http://schemas.openxmlformats.org/officeDocument/2006/relationships" ref="AI42" display="Open in EEF" r:id="rId97"/>
    <hyperlink xmlns:r="http://schemas.openxmlformats.org/officeDocument/2006/relationships" ref="AG43" display="https://idmc.univ-lorraine.fr/idmc-master-degree-in-natural-language-processing/" r:id="rId98"/>
    <hyperlink xmlns:r="http://schemas.openxmlformats.org/officeDocument/2006/relationships" ref="AI43" display="Open in EEF" r:id="rId99"/>
    <hyperlink xmlns:r="http://schemas.openxmlformats.org/officeDocument/2006/relationships" ref="AB44" display="https://observalgerie.com/2026/06/13/misc/frais-dinscription-en-france-lille-maintient-un-avantage-pour-les-etudiants-etrangers/" r:id="rId100"/>
    <hyperlink xmlns:r="http://schemas.openxmlformats.org/officeDocument/2006/relationships" ref="AG44" display="https://formation.univ-lille.fr/fr/offre-de-formation/master-lmd-XB/master-physique-fondamentale-et-applications-MG001988/quantum-and-photonic-technologies-m1-m2-MX195427.html" r:id="rId101"/>
    <hyperlink xmlns:r="http://schemas.openxmlformats.org/officeDocument/2006/relationships" ref="AI44" display="Open in EEF" r:id="rId102"/>
    <hyperlink xmlns:r="http://schemas.openxmlformats.org/officeDocument/2006/relationships" ref="AB45" display="https://www.univ-lyon1.fr/formation/inscription-et-scolarite/etudiantes-et-etudiants-internationaux-droits-dinscription-differencies-et-exonerations" r:id="rId103"/>
    <hyperlink xmlns:r="http://schemas.openxmlformats.org/officeDocument/2006/relationships" ref="AG45" display="https://ufr-biosciences.univ-lyon1.fr" r:id="rId104"/>
    <hyperlink xmlns:r="http://schemas.openxmlformats.org/officeDocument/2006/relationships" ref="AI45" display="Open in EEF" r:id="rId105"/>
    <hyperlink xmlns:r="http://schemas.openxmlformats.org/officeDocument/2006/relationships" ref="AG46" display="https://eeap.cnam.fr" r:id="rId106"/>
    <hyperlink xmlns:r="http://schemas.openxmlformats.org/officeDocument/2006/relationships" ref="AI46" display="Open in EEF" r:id="rId107"/>
    <hyperlink xmlns:r="http://schemas.openxmlformats.org/officeDocument/2006/relationships" ref="AB47" display="https://observalgerie.com/2026/06/13/misc/frais-dinscription-en-france-lille-maintient-un-avantage-pour-les-etudiants-etrangers/" r:id="rId108"/>
    <hyperlink xmlns:r="http://schemas.openxmlformats.org/officeDocument/2006/relationships" ref="AG47" display="https://www.univ-lille.fr/formations/fr-00002031" r:id="rId109"/>
    <hyperlink xmlns:r="http://schemas.openxmlformats.org/officeDocument/2006/relationships" ref="AI47" display="Open in EEF" r:id="rId110"/>
    <hyperlink xmlns:r="http://schemas.openxmlformats.org/officeDocument/2006/relationships" ref="AG48" display="https://www.ec-lyon.fr/formation/international-master-nanoscale-engineering" r:id="rId111"/>
    <hyperlink xmlns:r="http://schemas.openxmlformats.org/officeDocument/2006/relationships" ref="AI48" display="Open in EEF" r:id="rId112"/>
    <hyperlink xmlns:r="http://schemas.openxmlformats.org/officeDocument/2006/relationships" ref="AG49" display="https://www.ec-lyon.fr/formation/international-master-nanoscale-engineering" r:id="rId113"/>
    <hyperlink xmlns:r="http://schemas.openxmlformats.org/officeDocument/2006/relationships" ref="AI49" display="Open in EEF" r:id="rId114"/>
    <hyperlink xmlns:r="http://schemas.openxmlformats.org/officeDocument/2006/relationships" ref="AB50" display="https://www.univ-grenoble-alpes.fr/actualites/a-la-une/actualites-universite/etudiants-internationaux-ce-que-change-le-nouveau-decret-sur-les-droits-d-inscription-a-l-uga-1775870.kjsp" r:id="rId115"/>
    <hyperlink xmlns:r="http://schemas.openxmlformats.org/officeDocument/2006/relationships" ref="AG50" display="https://ense3.grenoble-inp.fr/en/study-at-ense3/masters-in-english" r:id="rId116"/>
    <hyperlink xmlns:r="http://schemas.openxmlformats.org/officeDocument/2006/relationships" ref="AI50" display="Open in EEF" r:id="rId117"/>
    <hyperlink xmlns:r="http://schemas.openxmlformats.org/officeDocument/2006/relationships" ref="AG51" display="https://www.erasmus-mundus.emimep.eu/" r:id="rId118"/>
    <hyperlink xmlns:r="http://schemas.openxmlformats.org/officeDocument/2006/relationships" ref="AI51" display="Open in EEF" r:id="rId119"/>
    <hyperlink xmlns:r="http://schemas.openxmlformats.org/officeDocument/2006/relationships" ref="AB52" display="https://www.umlp.fr/sites/default/files/2026-07-02-page-droits-differencies-vf.pdf" r:id="rId120"/>
    <hyperlink xmlns:r="http://schemas.openxmlformats.org/officeDocument/2006/relationships" ref="AG52" location="/program/3551" display="https://taughtie.campusfrance.org/tiesearch/#/program/3551" r:id="rId121"/>
    <hyperlink xmlns:r="http://schemas.openxmlformats.org/officeDocument/2006/relationships" ref="AI52" display="Open in EEF" r:id="rId122"/>
    <hyperlink xmlns:r="http://schemas.openxmlformats.org/officeDocument/2006/relationships" ref="AB53" display="https://www.univ-amu.fr/fr/actualites/aix-marseille-universite-mobilise-pleinement-capacite-dexoneration-continuer-accueillir" r:id="rId123"/>
    <hyperlink xmlns:r="http://schemas.openxmlformats.org/officeDocument/2006/relationships" ref="AG53" display="https://formations.univ-amu.fr/fr/master/5SNN/PRSNN5C3" r:id="rId124"/>
    <hyperlink xmlns:r="http://schemas.openxmlformats.org/officeDocument/2006/relationships" ref="AI53" display="Open in EEF" r:id="rId125"/>
    <hyperlink xmlns:r="http://schemas.openxmlformats.org/officeDocument/2006/relationships" ref="AB54" display="https://www.umontpellier.fr/en/international/etudier-a-letranger/etudiants-internationaux-annee-universitaire-2026-2027/" r:id="rId126"/>
    <hyperlink xmlns:r="http://schemas.openxmlformats.org/officeDocument/2006/relationships" ref="AG54" display="https://idil.edu.umontpellier.fr/" r:id="rId127"/>
    <hyperlink xmlns:r="http://schemas.openxmlformats.org/officeDocument/2006/relationships" ref="AI54" display="Open in EEF" r:id="rId128"/>
    <hyperlink xmlns:r="http://schemas.openxmlformats.org/officeDocument/2006/relationships" ref="AB55" display="https://www.umontpellier.fr/en/international/etudier-a-letranger/etudiants-internationaux-annee-universitaire-2026-2027/" r:id="rId129"/>
    <hyperlink xmlns:r="http://schemas.openxmlformats.org/officeDocument/2006/relationships" ref="AG55" display="https://idil.edu.umontpellier.fr/" r:id="rId130"/>
    <hyperlink xmlns:r="http://schemas.openxmlformats.org/officeDocument/2006/relationships" ref="AI55" display="Open in EEF" r:id="rId131"/>
    <hyperlink xmlns:r="http://schemas.openxmlformats.org/officeDocument/2006/relationships" ref="AG56" display="http://www.polytech.univ-smb.fr/en/programs/masters/advanced-mechatronics.html" r:id="rId132"/>
    <hyperlink xmlns:r="http://schemas.openxmlformats.org/officeDocument/2006/relationships" ref="AI56" display="Open in EEF" r:id="rId133"/>
    <hyperlink xmlns:r="http://schemas.openxmlformats.org/officeDocument/2006/relationships" ref="AB57" display="https://www.umlp.fr/sites/default/files/2026-07-02-page-droits-differencies-vf.pdf" r:id="rId134"/>
    <hyperlink xmlns:r="http://schemas.openxmlformats.org/officeDocument/2006/relationships" ref="AG57" location="/program/3549" display="https://taughtie.campusfrance.org/tiesearch/#/program/3549" r:id="rId135"/>
    <hyperlink xmlns:r="http://schemas.openxmlformats.org/officeDocument/2006/relationships" ref="AI57" display="Open in EEF" r:id="rId136"/>
    <hyperlink xmlns:r="http://schemas.openxmlformats.org/officeDocument/2006/relationships" ref="AB58" display="https://www.univ-grenoble-alpes.fr/actualites/a-la-une/actualites-universite/etudiants-internationaux-ce-que-change-le-nouveau-decret-sur-les-droits-d-inscription-a-l-uga-1775870.kjsp" r:id="rId137"/>
    <hyperlink xmlns:r="http://schemas.openxmlformats.org/officeDocument/2006/relationships" ref="AG58" display="https://formations.univ-grenoble-alpes.fr/fr/catalogue-2021/master-XB/master-electronique-energie-electrique-automatique-IFZ3DRB9/parcours-electrical-engineering-and-control-systems-1ere-annee-KVQSSM5S.html" r:id="rId138"/>
    <hyperlink xmlns:r="http://schemas.openxmlformats.org/officeDocument/2006/relationships" ref="AI58" display="Open in EEF" r:id="rId139"/>
    <hyperlink xmlns:r="http://schemas.openxmlformats.org/officeDocument/2006/relationships" ref="AB59" display="https://www.univ-grenoble-alpes.fr/actualites/a-la-une/actualites-universite/etudiants-internationaux-ce-que-change-le-nouveau-decret-sur-les-droits-d-inscription-a-l-uga-1775870.kjsp" r:id="rId140"/>
    <hyperlink xmlns:r="http://schemas.openxmlformats.org/officeDocument/2006/relationships" ref="AG59" display="https://ense3.grenoble-inp.fr/en/study-at-ense3/masters-in-english" r:id="rId141"/>
    <hyperlink xmlns:r="http://schemas.openxmlformats.org/officeDocument/2006/relationships" ref="AI59" display="Open in EEF" r:id="rId142"/>
    <hyperlink xmlns:r="http://schemas.openxmlformats.org/officeDocument/2006/relationships" ref="AB60" display="https://www.umontpellier.fr/en/international/etudier-a-letranger/etudiants-internationaux-annee-universitaire-2026-2027/" r:id="rId143"/>
    <hyperlink xmlns:r="http://schemas.openxmlformats.org/officeDocument/2006/relationships" ref="AG60" display="http://www.eea.univ-montp2.fr/?-Robotique-Automatique-" r:id="rId144"/>
    <hyperlink xmlns:r="http://schemas.openxmlformats.org/officeDocument/2006/relationships" ref="AI60" display="Open in EEF" r:id="rId145"/>
    <hyperlink xmlns:r="http://schemas.openxmlformats.org/officeDocument/2006/relationships" ref="AB61" display="https://www.univ-grenoble-alpes.fr/actualites/a-la-une/actualites-universite/etudiants-internationaux-ce-que-change-le-nouveau-decret-sur-les-droits-d-inscription-a-l-uga-1775870.kjsp" r:id="rId146"/>
    <hyperlink xmlns:r="http://schemas.openxmlformats.org/officeDocument/2006/relationships" ref="AG61" display="https://formations.univ-grenoble-alpes.fr/fr/catalogue-2021/master-XB/master-nanosciences-et-nanotechnologies-IAQK78RT/parcours-nanophysics-quantum-physics-1re-annee-KLQGAWF7.html" r:id="rId147"/>
    <hyperlink xmlns:r="http://schemas.openxmlformats.org/officeDocument/2006/relationships" ref="AI61" display="Open in EEF" r:id="rId148"/>
    <hyperlink xmlns:r="http://schemas.openxmlformats.org/officeDocument/2006/relationships" ref="AB62" display="https://www.univ-grenoble-alpes.fr/actualites/a-la-une/actualites-universite/etudiants-internationaux-ce-que-change-le-nouveau-decret-sur-les-droits-d-inscription-a-l-uga-1775870.kjsp" r:id="rId149"/>
    <hyperlink xmlns:r="http://schemas.openxmlformats.org/officeDocument/2006/relationships" ref="AG62" display="https://formations.univ-grenoble-alpes.fr/fr/catalogue-2021/master-XB/master-nanosciences-et-nanotechnologies-IAQK78RT/parcours-physics-of-complex-matter-parcours-international-1re-annee-IATOD7FB.html" r:id="rId150"/>
    <hyperlink xmlns:r="http://schemas.openxmlformats.org/officeDocument/2006/relationships" ref="AI62" display="Open in EEF" r:id="rId151"/>
    <hyperlink xmlns:r="http://schemas.openxmlformats.org/officeDocument/2006/relationships" ref="AB63" display="https://www.univ-grenoble-alpes.fr/actualites/a-la-une/actualites-universite/etudiants-internationaux-ce-que-change-le-nouveau-decret-sur-les-droits-d-inscription-a-l-uga-1775870.kjsp" r:id="rId152"/>
    <hyperlink xmlns:r="http://schemas.openxmlformats.org/officeDocument/2006/relationships" ref="AG63" location="page-presentation" display="https://phelma.grenoble-inp.fr/fr/formation/master-nanosciences-and-nanotechnologies-parcours-nanomedicine-and-structural-biology#page-presentation" r:id="rId153"/>
    <hyperlink xmlns:r="http://schemas.openxmlformats.org/officeDocument/2006/relationships" ref="AI63" display="Open in EEF" r:id="rId154"/>
    <hyperlink xmlns:r="http://schemas.openxmlformats.org/officeDocument/2006/relationships" ref="AG64" location="/details-formation?type=formation&amp;id=131" display="https://formations.u-bordeaux.fr/#/details-formation?type=formation&amp;id=131" r:id="rId155"/>
    <hyperlink xmlns:r="http://schemas.openxmlformats.org/officeDocument/2006/relationships" ref="AI64" display="Open in EEF" r:id="rId156"/>
    <hyperlink xmlns:r="http://schemas.openxmlformats.org/officeDocument/2006/relationships" ref="AG65" display="https://life.univ-cotedazur.fr/international/erasmus-mundus-joint-master-membiomed" r:id="rId157"/>
    <hyperlink xmlns:r="http://schemas.openxmlformats.org/officeDocument/2006/relationships" ref="AI65" display="Open in EEF" r:id="rId158"/>
    <hyperlink xmlns:r="http://schemas.openxmlformats.org/officeDocument/2006/relationships" ref="AB66" display="https://www.univ-amu.fr/fr/actualites/aix-marseille-universite-mobilise-pleinement-capacite-dexoneration-continuer-accueillir" r:id="rId159"/>
    <hyperlink xmlns:r="http://schemas.openxmlformats.org/officeDocument/2006/relationships" ref="AG66" display="https://formations.univ-amu.fr/fr/master/5SNN/PRSNN5C3" r:id="rId160"/>
    <hyperlink xmlns:r="http://schemas.openxmlformats.org/officeDocument/2006/relationships" ref="AI66" display="Open in EEF" r:id="rId161"/>
    <hyperlink xmlns:r="http://schemas.openxmlformats.org/officeDocument/2006/relationships" ref="AB67" display="https://www.univ-amu.fr/fr/actualites/aix-marseille-universite-mobilise-pleinement-capacite-dexoneration-continuer-accueillir" r:id="rId162"/>
    <hyperlink xmlns:r="http://schemas.openxmlformats.org/officeDocument/2006/relationships" ref="AG67" display="https://formations.univ-amu.fr/fr/master/5SNE" r:id="rId163"/>
    <hyperlink xmlns:r="http://schemas.openxmlformats.org/officeDocument/2006/relationships" ref="AI67" display="Open in EEF" r:id="rId164"/>
    <hyperlink xmlns:r="http://schemas.openxmlformats.org/officeDocument/2006/relationships" ref="AB68" display="https://www.univ-amu.fr/fr/actualites/aix-marseille-universite-mobilise-pleinement-capacite-dexoneration-continuer-accueillir" r:id="rId165"/>
    <hyperlink xmlns:r="http://schemas.openxmlformats.org/officeDocument/2006/relationships" ref="AG68" display="https://formations.univ-amu.fr/fr/master/5SPF/PRSPF5C4" r:id="rId166"/>
    <hyperlink xmlns:r="http://schemas.openxmlformats.org/officeDocument/2006/relationships" ref="AI68" display="Open in EEF" r:id="rId167"/>
    <hyperlink xmlns:r="http://schemas.openxmlformats.org/officeDocument/2006/relationships" ref="AB69" display="https://www.umontpellier.fr/en/international/etudier-a-letranger/etudiants-internationaux-annee-universitaire-2026-2027/" r:id="rId168"/>
    <hyperlink xmlns:r="http://schemas.openxmlformats.org/officeDocument/2006/relationships" ref="AG69" display="https://idil.edu.umontpellier.fr/" r:id="rId169"/>
    <hyperlink xmlns:r="http://schemas.openxmlformats.org/officeDocument/2006/relationships" ref="AI69" display="Open in EEF" r:id="rId170"/>
    <hyperlink xmlns:r="http://schemas.openxmlformats.org/officeDocument/2006/relationships" ref="AB70" display="https://www.umontpellier.fr/en/international/etudier-a-letranger/etudiants-internationaux-annee-universitaire-2026-2027/" r:id="rId171"/>
    <hyperlink xmlns:r="http://schemas.openxmlformats.org/officeDocument/2006/relationships" ref="AG70" display="https://idil.edu.umontpellier.fr/" r:id="rId172"/>
    <hyperlink xmlns:r="http://schemas.openxmlformats.org/officeDocument/2006/relationships" ref="AI70" display="Open in EEF" r:id="rId173"/>
    <hyperlink xmlns:r="http://schemas.openxmlformats.org/officeDocument/2006/relationships" ref="AB71" display="https://u-paris.fr/droits-dinscription-tarifs-exonerations/" r:id="rId174"/>
    <hyperlink xmlns:r="http://schemas.openxmlformats.org/officeDocument/2006/relationships" ref="AG71" display="https://odf.u-paris.fr/fr/offre-de-formation/master-XB/sciences-technologies-sante-STS/sciences-cognitives-K5CBPO1E.html" r:id="rId175"/>
    <hyperlink xmlns:r="http://schemas.openxmlformats.org/officeDocument/2006/relationships" ref="AI71" display="Open in EEF" r:id="rId176"/>
    <hyperlink xmlns:r="http://schemas.openxmlformats.org/officeDocument/2006/relationships" ref="AB72" display="https://www.sorbonne-universite.fr/actualites/le-conseil-dadministration-de-sorbonne-universite-vote-lunanimite-le-7-juillet-2026-sa" r:id="rId177"/>
    <hyperlink xmlns:r="http://schemas.openxmlformats.org/officeDocument/2006/relationships" ref="AG72" display="https://sciences.sorbonne-universite.fr/formation-sciences/offre-de-formation/masters/master-sciences-cognitives" r:id="rId178"/>
    <hyperlink xmlns:r="http://schemas.openxmlformats.org/officeDocument/2006/relationships" ref="AI72" display="Open in EEF" r:id="rId179"/>
    <hyperlink xmlns:r="http://schemas.openxmlformats.org/officeDocument/2006/relationships" ref="AB73" display="https://u-paris.fr/droits-dinscription-tarifs-exonerations/" r:id="rId180"/>
    <hyperlink xmlns:r="http://schemas.openxmlformats.org/officeDocument/2006/relationships" ref="AG73" display="https://odf.u-paris.fr/fr/offre-de-formation/master-XB/sciences-technologies-sante-STS/sciences-cognitives-K5CBPO1E.html" r:id="rId181"/>
    <hyperlink xmlns:r="http://schemas.openxmlformats.org/officeDocument/2006/relationships" ref="AI73" display="Open in EEF" r:id="rId182"/>
    <hyperlink xmlns:r="http://schemas.openxmlformats.org/officeDocument/2006/relationships" ref="AB74" display="https://www.sorbonne-universite.fr/actualites/le-conseil-dadministration-de-sorbonne-universite-vote-lunanimite-le-7-juillet-2026-sa" r:id="rId183"/>
    <hyperlink xmlns:r="http://schemas.openxmlformats.org/officeDocument/2006/relationships" ref="AG74" display="https://sciences.sorbonne-universite.fr/formation-sciences/offre-de-formation/masters/master-sciences-cognitives" r:id="rId184"/>
    <hyperlink xmlns:r="http://schemas.openxmlformats.org/officeDocument/2006/relationships" ref="AI74" display="Open in EEF" r:id="rId185"/>
    <hyperlink xmlns:r="http://schemas.openxmlformats.org/officeDocument/2006/relationships" ref="AB75" display="https://www.univ-amu.fr/fr/actualites/aix-marseille-universite-mobilise-pleinement-capacite-dexoneration-continuer-accueillir" r:id="rId186"/>
    <hyperlink xmlns:r="http://schemas.openxmlformats.org/officeDocument/2006/relationships" ref="AG75" display="https://formations.univ-amu.fr/fr/master/5SPF/PRSPF5C4" r:id="rId187"/>
    <hyperlink xmlns:r="http://schemas.openxmlformats.org/officeDocument/2006/relationships" ref="AI75" display="Open in EEF" r:id="rId188"/>
    <hyperlink xmlns:r="http://schemas.openxmlformats.org/officeDocument/2006/relationships" ref="AG76" display="https://odf.univ-spn.fr/fr/offre-de-formation/master-lmd-XB/master-mention-biologie-sante-parcours-therapies-et-technologie-du-vivant-BI4TPH_117.html" r:id="rId189"/>
    <hyperlink xmlns:r="http://schemas.openxmlformats.org/officeDocument/2006/relationships" ref="AI76" display="Open in EEF" r:id="rId190"/>
    <hyperlink xmlns:r="http://schemas.openxmlformats.org/officeDocument/2006/relationships" ref="AG77" display="https://www.unilim.fr/gradschool-ceramics-ict/" r:id="rId191"/>
    <hyperlink xmlns:r="http://schemas.openxmlformats.org/officeDocument/2006/relationships" ref="AI77" display="Open in EEF" r:id="rId192"/>
    <hyperlink xmlns:r="http://schemas.openxmlformats.org/officeDocument/2006/relationships" ref="AG78" display="https://www.unilim.fr/gradschool-ceramics-ict/" r:id="rId193"/>
    <hyperlink xmlns:r="http://schemas.openxmlformats.org/officeDocument/2006/relationships" ref="AI78" display="Open in EEF" r:id="rId194"/>
    <hyperlink xmlns:r="http://schemas.openxmlformats.org/officeDocument/2006/relationships" ref="AG79" display="https://formations.univ-rennes.fr/" r:id="rId195"/>
    <hyperlink xmlns:r="http://schemas.openxmlformats.org/officeDocument/2006/relationships" ref="AI79" display="Open in EEF" r:id="rId196"/>
    <hyperlink xmlns:r="http://schemas.openxmlformats.org/officeDocument/2006/relationships" ref="AG80" display="https://formations.univ-rennes.fr/" r:id="rId197"/>
    <hyperlink xmlns:r="http://schemas.openxmlformats.org/officeDocument/2006/relationships" ref="AI80" display="Open in EEF" r:id="rId198"/>
    <hyperlink xmlns:r="http://schemas.openxmlformats.org/officeDocument/2006/relationships" ref="AB81" display="https://www.unistra.fr/fr/node/8168" r:id="rId199"/>
    <hyperlink xmlns:r="http://schemas.openxmlformats.org/officeDocument/2006/relationships" ref="AI81" display="Open in EEF" r:id="rId200"/>
    <hyperlink xmlns:r="http://schemas.openxmlformats.org/officeDocument/2006/relationships" ref="AB82" display="https://www.unistra.fr/fr/node/8168" r:id="rId201"/>
    <hyperlink xmlns:r="http://schemas.openxmlformats.org/officeDocument/2006/relationships" ref="AG82" display="http://sciencesvie.unistra.fr/" r:id="rId202"/>
    <hyperlink xmlns:r="http://schemas.openxmlformats.org/officeDocument/2006/relationships" ref="AI82" display="Open in EEF" r:id="rId203"/>
    <hyperlink xmlns:r="http://schemas.openxmlformats.org/officeDocument/2006/relationships" ref="AG83" display="https://www.utc.fr/formations/diplome-de-master/mention-ingenierie-des-systemes-complexes-isc/parcours-automatique-et-robotique-des-systemes-intelligents-ars/" r:id="rId204"/>
    <hyperlink xmlns:r="http://schemas.openxmlformats.org/officeDocument/2006/relationships" ref="AI83" display="Open in EEF" r:id="rId205"/>
    <hyperlink xmlns:r="http://schemas.openxmlformats.org/officeDocument/2006/relationships" ref="AG84" display="https://www.utc.fr/formations/diplome-de-master/mention-ingenierie-des-systemes-complexes-isc/parcours-systemes-mecatroniques-smt/" r:id="rId206"/>
    <hyperlink xmlns:r="http://schemas.openxmlformats.org/officeDocument/2006/relationships" ref="AI84" display="Open in EEF" r:id="rId207"/>
    <hyperlink xmlns:r="http://schemas.openxmlformats.org/officeDocument/2006/relationships" ref="AB85" display="https://www.sorbonne-universite.fr/actualites/le-conseil-dadministration-de-sorbonne-universite-vote-lunanimite-le-7-juillet-2026-sa" r:id="rId208"/>
    <hyperlink xmlns:r="http://schemas.openxmlformats.org/officeDocument/2006/relationships" ref="AG85" display="https://masters-sdi.sorbonne-universite.fr/electronique-energie-electrique-automatique" r:id="rId209"/>
    <hyperlink xmlns:r="http://schemas.openxmlformats.org/officeDocument/2006/relationships" ref="AI85" display="Open in EEF" r:id="rId210"/>
    <hyperlink xmlns:r="http://schemas.openxmlformats.org/officeDocument/2006/relationships" ref="AB86" display="https://www.sorbonne-universite.fr/actualites/le-conseil-dadministration-de-sorbonne-universite-vote-lunanimite-le-7-juillet-2026-sa" r:id="rId211"/>
    <hyperlink xmlns:r="http://schemas.openxmlformats.org/officeDocument/2006/relationships" ref="AG86" display="https://masters-sdi.sorbonne-universite.fr/electronique-energie-electrique-automatique" r:id="rId212"/>
    <hyperlink xmlns:r="http://schemas.openxmlformats.org/officeDocument/2006/relationships" ref="AI86" display="Open in EEF" r:id="rId213"/>
    <hyperlink xmlns:r="http://schemas.openxmlformats.org/officeDocument/2006/relationships" ref="AB87" display="https://www.umlp.fr/sites/default/files/2026-07-02-page-droits-differencies-vf.pdf" r:id="rId214"/>
    <hyperlink xmlns:r="http://schemas.openxmlformats.org/officeDocument/2006/relationships" ref="AG87" display="https://stgi.umlp.fr/" r:id="rId215"/>
    <hyperlink xmlns:r="http://schemas.openxmlformats.org/officeDocument/2006/relationships" ref="AI87" display="Open in EEF" r:id="rId216"/>
    <hyperlink xmlns:r="http://schemas.openxmlformats.org/officeDocument/2006/relationships" ref="AG88" display="http://www.enseeiht.fr/fr/formation/masters-internationaux-masters-of-science/ees-electrical-energy-systems.html" r:id="rId217"/>
    <hyperlink xmlns:r="http://schemas.openxmlformats.org/officeDocument/2006/relationships" ref="AI88" display="Open in EEF" r:id="rId218"/>
    <hyperlink xmlns:r="http://schemas.openxmlformats.org/officeDocument/2006/relationships" ref="AB89" display="https://www.sorbonne-universite.fr/actualites/le-conseil-dadministration-de-sorbonne-universite-vote-lunanimite-le-7-juillet-2026-sa" r:id="rId219"/>
    <hyperlink xmlns:r="http://schemas.openxmlformats.org/officeDocument/2006/relationships" ref="AG89" display="https://sciences.sorbonne-universite.fr/formation-sciences/offre-de-formation/masters/master-informatique/parcours-ima" r:id="rId220"/>
    <hyperlink xmlns:r="http://schemas.openxmlformats.org/officeDocument/2006/relationships" ref="AI89" display="Open in EEF" r:id="rId221"/>
    <hyperlink xmlns:r="http://schemas.openxmlformats.org/officeDocument/2006/relationships" ref="AB90" display="https://u-paris.fr/droits-dinscription-tarifs-exonerations/" r:id="rId222"/>
    <hyperlink xmlns:r="http://schemas.openxmlformats.org/officeDocument/2006/relationships" ref="AG90" display="https://odf.u-paris.fr/fr/offre-de-formation/master-XB/sciences-technologies-sante-STS/neurosciences-K2NDMRJL.html" r:id="rId223"/>
    <hyperlink xmlns:r="http://schemas.openxmlformats.org/officeDocument/2006/relationships" ref="AI90" display="Open in EEF" r:id="rId224"/>
    <hyperlink xmlns:r="http://schemas.openxmlformats.org/officeDocument/2006/relationships" ref="AB91" display="https://www.umlp.fr/sites/default/files/2026-07-02-page-droits-differencies-vf.pdf" r:id="rId225"/>
    <hyperlink xmlns:r="http://schemas.openxmlformats.org/officeDocument/2006/relationships" ref="AG91" display="https://stgi.umlp.fr/" r:id="rId226"/>
    <hyperlink xmlns:r="http://schemas.openxmlformats.org/officeDocument/2006/relationships" ref="AI91" display="Open in EEF" r:id="rId227"/>
    <hyperlink xmlns:r="http://schemas.openxmlformats.org/officeDocument/2006/relationships" ref="AG92" display="http://www.insa-rennes.fr" r:id="rId228"/>
    <hyperlink xmlns:r="http://schemas.openxmlformats.org/officeDocument/2006/relationships" ref="AI92" display="Open in EEF" r:id="rId229"/>
    <hyperlink xmlns:r="http://schemas.openxmlformats.org/officeDocument/2006/relationships" ref="AG93" display="http://www.insa-rennes.fr" r:id="rId230"/>
    <hyperlink xmlns:r="http://schemas.openxmlformats.org/officeDocument/2006/relationships" ref="AI93" display="Open in EEF" r:id="rId231"/>
    <hyperlink xmlns:r="http://schemas.openxmlformats.org/officeDocument/2006/relationships" ref="AG94" display="http://www.insa-rennes.fr" r:id="rId232"/>
    <hyperlink xmlns:r="http://schemas.openxmlformats.org/officeDocument/2006/relationships" ref="AI94" display="Open in EEF" r:id="rId233"/>
    <hyperlink xmlns:r="http://schemas.openxmlformats.org/officeDocument/2006/relationships" ref="AG95" display="http://www.utt.fr" r:id="rId234"/>
    <hyperlink xmlns:r="http://schemas.openxmlformats.org/officeDocument/2006/relationships" ref="AI95" display="Open in EEF" r:id="rId235"/>
    <hyperlink xmlns:r="http://schemas.openxmlformats.org/officeDocument/2006/relationships" ref="AG96" display="https://univ-cotedazur.eu/msc/modeling-for-neuronal-and-cognitive-systems" r:id="rId236"/>
    <hyperlink xmlns:r="http://schemas.openxmlformats.org/officeDocument/2006/relationships" ref="AI96" display="Open in EEF" r:id="rId237"/>
    <hyperlink xmlns:r="http://schemas.openxmlformats.org/officeDocument/2006/relationships" ref="AG97" display="https://www.telecom-sudparis.eu/en/formation/master-of-science-electrical-and-optical-engineering/" r:id="rId238"/>
    <hyperlink xmlns:r="http://schemas.openxmlformats.org/officeDocument/2006/relationships" ref="AI97" display="Open in EEF" r:id="rId239"/>
    <hyperlink xmlns:r="http://schemas.openxmlformats.org/officeDocument/2006/relationships" ref="AG98" display="https://www.telecom-sudparis.eu/en/formation/master-of-science-electrical-and-optical-engineering/" r:id="rId240"/>
    <hyperlink xmlns:r="http://schemas.openxmlformats.org/officeDocument/2006/relationships" ref="AI98" display="Open in EEF" r:id="rId241"/>
    <hyperlink xmlns:r="http://schemas.openxmlformats.org/officeDocument/2006/relationships" ref="AG99" display="http://www.isep.fr" r:id="rId242"/>
    <hyperlink xmlns:r="http://schemas.openxmlformats.org/officeDocument/2006/relationships" ref="AI99" display="Open in EEF" r:id="rId243"/>
    <hyperlink xmlns:r="http://schemas.openxmlformats.org/officeDocument/2006/relationships" ref="AG100" display="http://www.telecom-sudparis.eu" r:id="rId244"/>
    <hyperlink xmlns:r="http://schemas.openxmlformats.org/officeDocument/2006/relationships" ref="AI100" display="Open in EEF" r:id="rId245"/>
    <hyperlink xmlns:r="http://schemas.openxmlformats.org/officeDocument/2006/relationships" ref="AI101" display="Open in EEF" r:id="rId246"/>
    <hyperlink xmlns:r="http://schemas.openxmlformats.org/officeDocument/2006/relationships" ref="AG102" display="https://www.ec-nantes.fr/study/masters/data-science-signal-and-image-processing" r:id="rId247"/>
    <hyperlink xmlns:r="http://schemas.openxmlformats.org/officeDocument/2006/relationships" ref="AI102" display="Open in EEF" r:id="rId248"/>
    <hyperlink xmlns:r="http://schemas.openxmlformats.org/officeDocument/2006/relationships" ref="AG103" display="http://www.tsaae.fr" r:id="rId249"/>
    <hyperlink xmlns:r="http://schemas.openxmlformats.org/officeDocument/2006/relationships" ref="AI103" display="Open in EEF" r:id="rId250"/>
    <hyperlink xmlns:r="http://schemas.openxmlformats.org/officeDocument/2006/relationships" ref="AG104" display="https://www.eurecom.fr/en/teaching/master-networks-and-telecommunication/msc-networks-and-telecommunication-intelligent" r:id="rId251"/>
    <hyperlink xmlns:r="http://schemas.openxmlformats.org/officeDocument/2006/relationships" ref="AI104" display="Open in EEF" r:id="rId252"/>
    <hyperlink xmlns:r="http://schemas.openxmlformats.org/officeDocument/2006/relationships" ref="AG105" display="https://www.eurecom.fr/fr/les-formations/master-en-reseaux-et-telecommunication/master-en-reseaux-et-telecommunication" r:id="rId253"/>
    <hyperlink xmlns:r="http://schemas.openxmlformats.org/officeDocument/2006/relationships" ref="AI105" display="Open in EEF" r:id="rId254"/>
    <hyperlink xmlns:r="http://schemas.openxmlformats.org/officeDocument/2006/relationships" ref="AB106" display="https://www.umlp.fr/sites/default/files/2026-07-02-page-droits-differencies-vf.pdf" r:id="rId255"/>
    <hyperlink xmlns:r="http://schemas.openxmlformats.org/officeDocument/2006/relationships" ref="AG106" display="https://gradschool.eiphi.ubfc.fr/?page_id=1357" r:id="rId256"/>
    <hyperlink xmlns:r="http://schemas.openxmlformats.org/officeDocument/2006/relationships" ref="AI106" display="Open in EEF" r:id="rId257"/>
    <hyperlink xmlns:r="http://schemas.openxmlformats.org/officeDocument/2006/relationships" ref="AG107" display="https://www.unilim.fr/gradschool-ceramics-ict/" r:id="rId258"/>
    <hyperlink xmlns:r="http://schemas.openxmlformats.org/officeDocument/2006/relationships" ref="AI107" display="Open in EEF" r:id="rId259"/>
    <hyperlink xmlns:r="http://schemas.openxmlformats.org/officeDocument/2006/relationships" ref="AI108" display="Open in EEF" r:id="rId260"/>
    <hyperlink xmlns:r="http://schemas.openxmlformats.org/officeDocument/2006/relationships" ref="AB109" display="https://observalgerie.com/2026/06/13/misc/frais-dinscription-en-france-lille-maintient-un-avantage-pour-les-etudiants-etrangers/" r:id="rId261"/>
    <hyperlink xmlns:r="http://schemas.openxmlformats.org/officeDocument/2006/relationships" ref="AG109" display="https://formation.univ-lille.fr/fr/offre-de-formation/master-lmd-XB/master-informatique-MG001981/computer-sciences-MX195387.html" r:id="rId262"/>
    <hyperlink xmlns:r="http://schemas.openxmlformats.org/officeDocument/2006/relationships" ref="AI109" display="Open in EEF" r:id="rId263"/>
    <hyperlink xmlns:r="http://schemas.openxmlformats.org/officeDocument/2006/relationships" ref="AG110" display="http://www.ut-capitole.fr" r:id="rId264"/>
    <hyperlink xmlns:r="http://schemas.openxmlformats.org/officeDocument/2006/relationships" ref="AI110" display="Open in EEF" r:id="rId265"/>
    <hyperlink xmlns:r="http://schemas.openxmlformats.org/officeDocument/2006/relationships" ref="AG111" display="http://cni.istic.univ-rennes.fr/" r:id="rId266"/>
    <hyperlink xmlns:r="http://schemas.openxmlformats.org/officeDocument/2006/relationships" ref="AI111" display="Open in EEF" r:id="rId267"/>
    <hyperlink xmlns:r="http://schemas.openxmlformats.org/officeDocument/2006/relationships" ref="AG112" display="http://www.univ-brest.fr/ufr-sciences" r:id="rId268"/>
    <hyperlink xmlns:r="http://schemas.openxmlformats.org/officeDocument/2006/relationships" ref="AI112" display="Open in EEF" r:id="rId269"/>
    <hyperlink xmlns:r="http://schemas.openxmlformats.org/officeDocument/2006/relationships" ref="AG113" display="https://univ-cotedazur.fr/formation/offre-de-formation/parcours-de-master/master-informatique-m2-parcours-ubinet" r:id="rId270"/>
    <hyperlink xmlns:r="http://schemas.openxmlformats.org/officeDocument/2006/relationships" ref="AI113" display="Open in EEF" r:id="rId271"/>
    <hyperlink xmlns:r="http://schemas.openxmlformats.org/officeDocument/2006/relationships" ref="AG114" display="https://istic.univ-rennes.fr/en/financial-technologies-track-eit-digital-master-school" r:id="rId272"/>
    <hyperlink xmlns:r="http://schemas.openxmlformats.org/officeDocument/2006/relationships" ref="AI114" display="Open in EEF" r:id="rId273"/>
    <hyperlink xmlns:r="http://schemas.openxmlformats.org/officeDocument/2006/relationships" ref="AB115" display="https://observalgerie.com/2026/06/13/misc/frais-dinscription-en-france-lille-maintient-un-avantage-pour-les-etudiants-etrangers/" r:id="rId274"/>
    <hyperlink xmlns:r="http://schemas.openxmlformats.org/officeDocument/2006/relationships" ref="AG115" display="https://formation.univ-lille.fr/fr/offre-de-formation/master-lmd-XB/master-informatique-MG001981/computer-sciences-MX195387.html" r:id="rId275"/>
    <hyperlink xmlns:r="http://schemas.openxmlformats.org/officeDocument/2006/relationships" ref="AI115" display="Open in EEF" r:id="rId276"/>
    <hyperlink xmlns:r="http://schemas.openxmlformats.org/officeDocument/2006/relationships" ref="AB116" display="https://observalgerie.com/2026/06/13/misc/frais-dinscription-en-france-lille-maintient-un-avantage-pour-les-etudiants-etrangers/" r:id="rId277"/>
    <hyperlink xmlns:r="http://schemas.openxmlformats.org/officeDocument/2006/relationships" ref="AG116" display="https://formation.univ-lille.fr/fr/offre-de-formation/master-lmd-XB/master-science-des-donnees-MG020709/data-science-MX148265.html" r:id="rId278"/>
    <hyperlink xmlns:r="http://schemas.openxmlformats.org/officeDocument/2006/relationships" ref="AI116" display="Open in EEF" r:id="rId279"/>
    <hyperlink xmlns:r="http://schemas.openxmlformats.org/officeDocument/2006/relationships" ref="AB117" display="https://www.sorbonne-universite.fr/actualites/le-conseil-dadministration-de-sorbonne-universite-vote-lunanimite-le-7-juillet-2026-sa" r:id="rId280"/>
    <hyperlink xmlns:r="http://schemas.openxmlformats.org/officeDocument/2006/relationships" ref="AG117" display="https://sciences.sorbonne-universite.fr/en/masters/master-computer-science/qi" r:id="rId281"/>
    <hyperlink xmlns:r="http://schemas.openxmlformats.org/officeDocument/2006/relationships" ref="AI117" display="Open in EEF" r:id="rId282"/>
    <hyperlink xmlns:r="http://schemas.openxmlformats.org/officeDocument/2006/relationships" ref="AB118" display="https://www.sorbonne-universite.fr/actualites/le-conseil-dadministration-de-sorbonne-universite-vote-lunanimite-le-7-juillet-2026-sa" r:id="rId283"/>
    <hyperlink xmlns:r="http://schemas.openxmlformats.org/officeDocument/2006/relationships" ref="AG118" display="https://sciences.sorbonne-universite.fr/en/formation-sciences/masters/master-informatique/digit-international" r:id="rId284"/>
    <hyperlink xmlns:r="http://schemas.openxmlformats.org/officeDocument/2006/relationships" ref="AI118" display="Open in EEF" r:id="rId285"/>
    <hyperlink xmlns:r="http://schemas.openxmlformats.org/officeDocument/2006/relationships" ref="AB119" display="https://www.sorbonne-universite.fr/actualites/le-conseil-dadministration-de-sorbonne-universite-vote-lunanimite-le-7-juillet-2026-sa" r:id="rId286"/>
    <hyperlink xmlns:r="http://schemas.openxmlformats.org/officeDocument/2006/relationships" ref="AG119" display="https://sciences.sorbonne-universite.fr/en/Masters/masters-degree-mathematics-and-applications/masters-high-performance-computing-hpc" r:id="rId287"/>
    <hyperlink xmlns:r="http://schemas.openxmlformats.org/officeDocument/2006/relationships" ref="AI119" display="Open in EEF" r:id="rId288"/>
    <hyperlink xmlns:r="http://schemas.openxmlformats.org/officeDocument/2006/relationships" ref="AB120" display="https://www.univ-grenoble-alpes.fr/actualites/a-la-une/actualites-universite/etudiants-internationaux-ce-que-change-le-nouveau-decret-sur-les-droits-d-inscription-a-l-uga-1775870.kjsp" r:id="rId289"/>
    <hyperlink xmlns:r="http://schemas.openxmlformats.org/officeDocument/2006/relationships" ref="AG120" display="https://m-ai.imag.fr/" r:id="rId290"/>
    <hyperlink xmlns:r="http://schemas.openxmlformats.org/officeDocument/2006/relationships" ref="AI120" display="Open in EEF" r:id="rId291"/>
    <hyperlink xmlns:r="http://schemas.openxmlformats.org/officeDocument/2006/relationships" ref="AG121" display="https://formations.uphf.fr/fr/formations/master-master/master-informatique-KZZQ4B8O/information-technology-for-smart-and-sustainable-mobility-it4ssm-eunice-alliance-LS4R6Q1G.html" r:id="rId292"/>
    <hyperlink xmlns:r="http://schemas.openxmlformats.org/officeDocument/2006/relationships" ref="AI121" display="Open in EEF" r:id="rId293"/>
    <hyperlink xmlns:r="http://schemas.openxmlformats.org/officeDocument/2006/relationships" ref="AB122" display="https://www.univ-grenoble-alpes.fr/actualites/a-la-une/actualites-universite/etudiants-internationaux-ce-que-change-le-nouveau-decret-sur-les-droits-d-inscription-a-l-uga-1775870.kjsp" r:id="rId294"/>
    <hyperlink xmlns:r="http://schemas.openxmlformats.org/officeDocument/2006/relationships" ref="AG122" display="https://mosig.imag.fr/" r:id="rId295"/>
    <hyperlink xmlns:r="http://schemas.openxmlformats.org/officeDocument/2006/relationships" ref="AI122" display="Open in EEF" r:id="rId296"/>
    <hyperlink xmlns:r="http://schemas.openxmlformats.org/officeDocument/2006/relationships" ref="AB123" display="https://www.univ-grenoble-alpes.fr/actualites/a-la-une/actualites-universite/etudiants-internationaux-ce-que-change-le-nouveau-decret-sur-les-droits-d-inscription-a-l-uga-1775870.kjsp" r:id="rId297"/>
    <hyperlink xmlns:r="http://schemas.openxmlformats.org/officeDocument/2006/relationships" ref="AG123" display="https://m-ai.imag.fr/" r:id="rId298"/>
    <hyperlink xmlns:r="http://schemas.openxmlformats.org/officeDocument/2006/relationships" ref="AI123" display="Open in EEF" r:id="rId299"/>
    <hyperlink xmlns:r="http://schemas.openxmlformats.org/officeDocument/2006/relationships" ref="AB124" display="https://www.univ-grenoble-alpes.fr/actualites/a-la-une/actualites-universite/etudiants-internationaux-ce-que-change-le-nouveau-decret-sur-les-droits-d-inscription-a-l-uga-1775870.kjsp" r:id="rId300"/>
    <hyperlink xmlns:r="http://schemas.openxmlformats.org/officeDocument/2006/relationships" ref="AG124" display="https://im2ag.univ-grenoble-alpes.fr/formation/offre-de-formation/" r:id="rId301"/>
    <hyperlink xmlns:r="http://schemas.openxmlformats.org/officeDocument/2006/relationships" ref="AI124" display="Open in EEF" r:id="rId302"/>
    <hyperlink xmlns:r="http://schemas.openxmlformats.org/officeDocument/2006/relationships" ref="AB125" display="https://www.umlp.fr/sites/default/files/2026-07-02-page-droits-differencies-vf.pdf" r:id="rId303"/>
    <hyperlink xmlns:r="http://schemas.openxmlformats.org/officeDocument/2006/relationships" ref="AG125" location="/program/3544" display="https://taughtie.campusfrance.org/tiesearch/#/program/3544" r:id="rId304"/>
    <hyperlink xmlns:r="http://schemas.openxmlformats.org/officeDocument/2006/relationships" ref="AI125" display="Open in EEF" r:id="rId305"/>
    <hyperlink xmlns:r="http://schemas.openxmlformats.org/officeDocument/2006/relationships" ref="AB126" display="https://www.univ-grenoble-alpes.fr/actualites/a-la-une/actualites-universite/etudiants-internationaux-ce-que-change-le-nouveau-decret-sur-les-droits-d-inscription-a-l-uga-1775870.kjsp" r:id="rId306"/>
    <hyperlink xmlns:r="http://schemas.openxmlformats.org/officeDocument/2006/relationships" ref="AG126" display="https://mosig.imag.fr" r:id="rId307"/>
    <hyperlink xmlns:r="http://schemas.openxmlformats.org/officeDocument/2006/relationships" ref="AI126" display="Open in EEF" r:id="rId308"/>
    <hyperlink xmlns:r="http://schemas.openxmlformats.org/officeDocument/2006/relationships" ref="AB127" display="https://www.uca.fr/medias/fichier/delib-ca-20251205-15-tarifs-differencies_1765204050111-pdf" r:id="rId309"/>
    <hyperlink xmlns:r="http://schemas.openxmlformats.org/officeDocument/2006/relationships" ref="AG127" display="https://www.uca.fr/formation/nos-formations/catalogue-des-formations/master-info" r:id="rId310"/>
    <hyperlink xmlns:r="http://schemas.openxmlformats.org/officeDocument/2006/relationships" ref="AI127" display="Open in EEF" r:id="rId311"/>
    <hyperlink xmlns:r="http://schemas.openxmlformats.org/officeDocument/2006/relationships" ref="AB128" display="https://www.umlp.fr/sites/default/files/2026-07-02-page-droits-differencies-vf.pdf" r:id="rId312"/>
    <hyperlink xmlns:r="http://schemas.openxmlformats.org/officeDocument/2006/relationships" ref="AG128" location="/program/3544" display="https://taughtie.campusfrance.org/tiesearch/#/program/3544" r:id="rId313"/>
    <hyperlink xmlns:r="http://schemas.openxmlformats.org/officeDocument/2006/relationships" ref="AI128" display="Open in EEF" r:id="rId314"/>
    <hyperlink xmlns:r="http://schemas.openxmlformats.org/officeDocument/2006/relationships" ref="AG129" display="https://formations.uphf.fr/fr/formations/master-master/master-informatique-KZZQ4B8O/information-technology-for-smart-and-sustainable-mobility-it4ssm-eunice-alliance-LS4R6Q1G.html" r:id="rId315"/>
    <hyperlink xmlns:r="http://schemas.openxmlformats.org/officeDocument/2006/relationships" ref="AI129" display="Open in EEF" r:id="rId316"/>
    <hyperlink xmlns:r="http://schemas.openxmlformats.org/officeDocument/2006/relationships" ref="AG130" display="https://formation.univ-pau.fr/fr/catalogue/master-XB/master-mention-mathematiques-et-applications-L3Y9AGO1/parcours-methodes-stochastiques-et-informatiques-pour-la-decision-L3Y9BRCU.html" r:id="rId317"/>
    <hyperlink xmlns:r="http://schemas.openxmlformats.org/officeDocument/2006/relationships" ref="AI130" display="Open in EEF" r:id="rId318"/>
    <hyperlink xmlns:r="http://schemas.openxmlformats.org/officeDocument/2006/relationships" ref="AG131" display="https://sciences-techniques.univ-nantes.fr/formations/masters/graduate-programme-smart-computing-master-level" r:id="rId319"/>
    <hyperlink xmlns:r="http://schemas.openxmlformats.org/officeDocument/2006/relationships" ref="AI131" display="Open in EEF" r:id="rId320"/>
    <hyperlink xmlns:r="http://schemas.openxmlformats.org/officeDocument/2006/relationships" ref="AG132" display="https://univ-cotedazur.fr/formation/offre-de-formation/parcours-de-master/master-informatique-parcours-intelligence-artificielle" r:id="rId321"/>
    <hyperlink xmlns:r="http://schemas.openxmlformats.org/officeDocument/2006/relationships" ref="AI132" display="Open in EEF" r:id="rId322"/>
    <hyperlink xmlns:r="http://schemas.openxmlformats.org/officeDocument/2006/relationships" ref="AG133" display="https://ai4ci.eu/" r:id="rId323"/>
    <hyperlink xmlns:r="http://schemas.openxmlformats.org/officeDocument/2006/relationships" ref="AI133" display="Open in EEF" r:id="rId324"/>
    <hyperlink xmlns:r="http://schemas.openxmlformats.org/officeDocument/2006/relationships" ref="AG134" display="https://univ-cotedazur.fr/formation/offre-de-formation/parcours-de-master/master-informatique-parcours-systemes-logiciels-et-calculs-distribues" r:id="rId325"/>
    <hyperlink xmlns:r="http://schemas.openxmlformats.org/officeDocument/2006/relationships" ref="AI134" display="Open in EEF" r:id="rId326"/>
    <hyperlink xmlns:r="http://schemas.openxmlformats.org/officeDocument/2006/relationships" ref="AI135" display="Open in EEF" r:id="rId327"/>
    <hyperlink xmlns:r="http://schemas.openxmlformats.org/officeDocument/2006/relationships" ref="AG136" display="https://formations.ube.fr/fr/offre-de-formation/master-XB/master-informatique-LMGC26NA/sante-et-intelligence-artificielle-health-ai-LMGEPLWL.html" r:id="rId328"/>
    <hyperlink xmlns:r="http://schemas.openxmlformats.org/officeDocument/2006/relationships" ref="AI136" display="Open in EEF" r:id="rId329"/>
    <hyperlink xmlns:r="http://schemas.openxmlformats.org/officeDocument/2006/relationships" ref="AG137" display="http://www.insa-rennes.fr" r:id="rId330"/>
    <hyperlink xmlns:r="http://schemas.openxmlformats.org/officeDocument/2006/relationships" ref="AI137" display="Open in EEF" r:id="rId331"/>
    <hyperlink xmlns:r="http://schemas.openxmlformats.org/officeDocument/2006/relationships" ref="AG138" display="http://www.insa-rennes.fr" r:id="rId332"/>
    <hyperlink xmlns:r="http://schemas.openxmlformats.org/officeDocument/2006/relationships" ref="AI138" display="Open in EEF" r:id="rId333"/>
    <hyperlink xmlns:r="http://schemas.openxmlformats.org/officeDocument/2006/relationships" ref="AG139" display="http://www.utt.fr" r:id="rId334"/>
    <hyperlink xmlns:r="http://schemas.openxmlformats.org/officeDocument/2006/relationships" ref="AI139" display="Open in EEF" r:id="rId335"/>
    <hyperlink xmlns:r="http://schemas.openxmlformats.org/officeDocument/2006/relationships" ref="AG140" display="https://univ-cotedazur.eu/msc/msc-data-science-and-artificial-intelligence" r:id="rId336"/>
    <hyperlink xmlns:r="http://schemas.openxmlformats.org/officeDocument/2006/relationships" ref="AI140" display="Open in EEF" r:id="rId337"/>
    <hyperlink xmlns:r="http://schemas.openxmlformats.org/officeDocument/2006/relationships" ref="AG141" display="https://www.imt-atlantique.fr/en/study/masters/msc/it-cybersecurity" r:id="rId338"/>
    <hyperlink xmlns:r="http://schemas.openxmlformats.org/officeDocument/2006/relationships" ref="AI141" display="Open in EEF" r:id="rId339"/>
    <hyperlink xmlns:r="http://schemas.openxmlformats.org/officeDocument/2006/relationships" ref="AG142" display="https://www.imt-atlantique.fr/en/study/msc/it-ds" r:id="rId340"/>
    <hyperlink xmlns:r="http://schemas.openxmlformats.org/officeDocument/2006/relationships" ref="AI142" display="Open in EEF" r:id="rId341"/>
    <hyperlink xmlns:r="http://schemas.openxmlformats.org/officeDocument/2006/relationships" ref="AG143" display="https://www.telecom-sudparis.eu/formation/mastere-specialise-cybersecurite/" r:id="rId342"/>
    <hyperlink xmlns:r="http://schemas.openxmlformats.org/officeDocument/2006/relationships" ref="AI143" display="Open in EEF" r:id="rId343"/>
    <hyperlink xmlns:r="http://schemas.openxmlformats.org/officeDocument/2006/relationships" ref="AG144" display="https://www.telecom-sudparis.eu/formation/mastere-specialise-reseaux-services/" r:id="rId344"/>
    <hyperlink xmlns:r="http://schemas.openxmlformats.org/officeDocument/2006/relationships" ref="AI144" display="Open in EEF" r:id="rId345"/>
    <hyperlink xmlns:r="http://schemas.openxmlformats.org/officeDocument/2006/relationships" ref="AG145" display="https://www.cesi.fr/en/trainings/master-degree-in-computer-science/" r:id="rId346"/>
    <hyperlink xmlns:r="http://schemas.openxmlformats.org/officeDocument/2006/relationships" ref="AI145" display="Open in EEF" r:id="rId347"/>
    <hyperlink xmlns:r="http://schemas.openxmlformats.org/officeDocument/2006/relationships" ref="AG146" display="https://www.cesi.fr/en/trainings/master-degree-in-computer-science/" r:id="rId348"/>
    <hyperlink xmlns:r="http://schemas.openxmlformats.org/officeDocument/2006/relationships" ref="AI146" display="Open in EEF" r:id="rId349"/>
    <hyperlink xmlns:r="http://schemas.openxmlformats.org/officeDocument/2006/relationships" ref="AG147" display="https://www.cesi.fr/en/trainings/master-degree-in-computer-science/" r:id="rId350"/>
    <hyperlink xmlns:r="http://schemas.openxmlformats.org/officeDocument/2006/relationships" ref="AI147" display="Open in EEF" r:id="rId351"/>
    <hyperlink xmlns:r="http://schemas.openxmlformats.org/officeDocument/2006/relationships" ref="AG148" display="https://www.cesi.fr/en/trainings/master-degree-in-computer-science/" r:id="rId352"/>
    <hyperlink xmlns:r="http://schemas.openxmlformats.org/officeDocument/2006/relationships" ref="AI148" display="Open in EEF" r:id="rId353"/>
    <hyperlink xmlns:r="http://schemas.openxmlformats.org/officeDocument/2006/relationships" ref="AG149" display="https://www.cesi.fr/en/trainings/master-degree-in-computer-science/" r:id="rId354"/>
    <hyperlink xmlns:r="http://schemas.openxmlformats.org/officeDocument/2006/relationships" ref="AI149" display="Open in EEF" r:id="rId355"/>
    <hyperlink xmlns:r="http://schemas.openxmlformats.org/officeDocument/2006/relationships" ref="AG150" display="https://www.cesi.fr/en/trainings/master-degree-in-computer-science/" r:id="rId356"/>
    <hyperlink xmlns:r="http://schemas.openxmlformats.org/officeDocument/2006/relationships" ref="AI150" display="Open in EEF" r:id="rId357"/>
    <hyperlink xmlns:r="http://schemas.openxmlformats.org/officeDocument/2006/relationships" ref="AG151" display="https://www.cesi.fr/formation/ingenieur-e-specialite-informatique-sous-statut-etudiant-2019208/" r:id="rId358"/>
    <hyperlink xmlns:r="http://schemas.openxmlformats.org/officeDocument/2006/relationships" ref="AI151" display="Open in EEF" r:id="rId359"/>
    <hyperlink xmlns:r="http://schemas.openxmlformats.org/officeDocument/2006/relationships" ref="AG152" display="https://www.esiee.fr/en/programmes/international-programmes/artificial-intelligence-and-cybersecurity" r:id="rId360"/>
    <hyperlink xmlns:r="http://schemas.openxmlformats.org/officeDocument/2006/relationships" ref="AI152" display="Open in EEF" r:id="rId361"/>
    <hyperlink xmlns:r="http://schemas.openxmlformats.org/officeDocument/2006/relationships" ref="AG153" display="https://en.esaip.org/" r:id="rId362"/>
    <hyperlink xmlns:r="http://schemas.openxmlformats.org/officeDocument/2006/relationships" ref="AI153" display="Open in EEF" r:id="rId363"/>
    <hyperlink xmlns:r="http://schemas.openxmlformats.org/officeDocument/2006/relationships" ref="AG154" display="https://www.cesi.fr/programmes/cursus-ingenieur-3-ans/" r:id="rId364"/>
    <hyperlink xmlns:r="http://schemas.openxmlformats.org/officeDocument/2006/relationships" ref="AI154" display="Open in EEF" r:id="rId365"/>
    <hyperlink xmlns:r="http://schemas.openxmlformats.org/officeDocument/2006/relationships" ref="AG155" display="https://www.cesi.fr/en/trainings/master-degree-in-computer-science/" r:id="rId366"/>
    <hyperlink xmlns:r="http://schemas.openxmlformats.org/officeDocument/2006/relationships" ref="AI155" display="Open in EEF" r:id="rId367"/>
    <hyperlink xmlns:r="http://schemas.openxmlformats.org/officeDocument/2006/relationships" ref="AG156" display="https://www.cesi.fr/programmes/cursus-ingenieur-3-ans/" r:id="rId368"/>
    <hyperlink xmlns:r="http://schemas.openxmlformats.org/officeDocument/2006/relationships" ref="AI156" display="Open in EEF" r:id="rId369"/>
    <hyperlink xmlns:r="http://schemas.openxmlformats.org/officeDocument/2006/relationships" ref="AG157" display="https://www.junia.com/en/academics/master-of-science-and-engineering-in-data-and-artificial-intelligence/" r:id="rId370"/>
    <hyperlink xmlns:r="http://schemas.openxmlformats.org/officeDocument/2006/relationships" ref="AI157" display="Open in EEF" r:id="rId371"/>
    <hyperlink xmlns:r="http://schemas.openxmlformats.org/officeDocument/2006/relationships" ref="AG158" display="https://www.junia.com/en/academics/master-of-science-and-engineering-in-information-systems-and-software-engineering/" r:id="rId372"/>
    <hyperlink xmlns:r="http://schemas.openxmlformats.org/officeDocument/2006/relationships" ref="AI158" display="Open in EEF" r:id="rId373"/>
    <hyperlink xmlns:r="http://schemas.openxmlformats.org/officeDocument/2006/relationships" ref="AG159" display="https://www.centrale-mediterranee.fr/fr/formation/masters/master-science-and-technology-complex-systems-engineering-msct-cse" r:id="rId374"/>
    <hyperlink xmlns:r="http://schemas.openxmlformats.org/officeDocument/2006/relationships" ref="AI159" display="Open in EEF" r:id="rId375"/>
    <hyperlink xmlns:r="http://schemas.openxmlformats.org/officeDocument/2006/relationships" ref="AG160" display="https://www.cesi.fr/programmes/cursus-ingenieur-3-ans/" r:id="rId376"/>
    <hyperlink xmlns:r="http://schemas.openxmlformats.org/officeDocument/2006/relationships" ref="AI160" display="Open in EEF" r:id="rId377"/>
    <hyperlink xmlns:r="http://schemas.openxmlformats.org/officeDocument/2006/relationships" ref="AG161" display="https://www.cesi.fr/programmes/cursus-ingenieur-3-ans/" r:id="rId378"/>
    <hyperlink xmlns:r="http://schemas.openxmlformats.org/officeDocument/2006/relationships" ref="AI161" display="Open in EEF" r:id="rId379"/>
    <hyperlink xmlns:r="http://schemas.openxmlformats.org/officeDocument/2006/relationships" ref="AG162" display="https://www.cesi.fr/programmes/cursus-ingenieur-3-ans/" r:id="rId380"/>
    <hyperlink xmlns:r="http://schemas.openxmlformats.org/officeDocument/2006/relationships" ref="AI162" display="Open in EEF" r:id="rId381"/>
    <hyperlink xmlns:r="http://schemas.openxmlformats.org/officeDocument/2006/relationships" ref="AI163" display="Open in EEF" r:id="rId382"/>
    <hyperlink xmlns:r="http://schemas.openxmlformats.org/officeDocument/2006/relationships" ref="AG164" display="https://www.fges.fr/formations/master-cyber/" r:id="rId383"/>
    <hyperlink xmlns:r="http://schemas.openxmlformats.org/officeDocument/2006/relationships" ref="AI164" display="Open in EEF" r:id="rId384"/>
    <hyperlink xmlns:r="http://schemas.openxmlformats.org/officeDocument/2006/relationships" ref="AG165" display="https://www.fges.fr/formations/master-data-intelligence-artificielle/" r:id="rId385"/>
    <hyperlink xmlns:r="http://schemas.openxmlformats.org/officeDocument/2006/relationships" ref="AI165" display="Open in EEF" r:id="rId386"/>
    <hyperlink xmlns:r="http://schemas.openxmlformats.org/officeDocument/2006/relationships" ref="AG166" display="http://www.enac.fr" r:id="rId387"/>
    <hyperlink xmlns:r="http://schemas.openxmlformats.org/officeDocument/2006/relationships" ref="AI166" display="Open in EEF" r:id="rId388"/>
    <hyperlink xmlns:r="http://schemas.openxmlformats.org/officeDocument/2006/relationships" ref="AI167" display="Open in EEF" r:id="rId389"/>
    <hyperlink xmlns:r="http://schemas.openxmlformats.org/officeDocument/2006/relationships" ref="AG168" display="http://www.esigelec.fr" r:id="rId390"/>
    <hyperlink xmlns:r="http://schemas.openxmlformats.org/officeDocument/2006/relationships" ref="AI168" display="Open in EEF" r:id="rId391"/>
    <hyperlink xmlns:r="http://schemas.openxmlformats.org/officeDocument/2006/relationships" ref="AI169" display="Open in EEF" r:id="rId392"/>
    <hyperlink xmlns:r="http://schemas.openxmlformats.org/officeDocument/2006/relationships" ref="AI170" display="Open in EEF" r:id="rId393"/>
    <hyperlink xmlns:r="http://schemas.openxmlformats.org/officeDocument/2006/relationships" ref="AI171" display="Open in EEF" r:id="rId394"/>
    <hyperlink xmlns:r="http://schemas.openxmlformats.org/officeDocument/2006/relationships" ref="AG172" display="https://www.insa-lyon.fr/fr/formation/master-minds-ia" r:id="rId395"/>
    <hyperlink xmlns:r="http://schemas.openxmlformats.org/officeDocument/2006/relationships" ref="AI172" display="Open in EEF" r:id="rId396"/>
    <hyperlink xmlns:r="http://schemas.openxmlformats.org/officeDocument/2006/relationships" ref="AG173" display="https://www.centralesupelec.fr/programmes/master-science-artificial-intelligence" r:id="rId397"/>
    <hyperlink xmlns:r="http://schemas.openxmlformats.org/officeDocument/2006/relationships" ref="AI173" display="Open in EEF" r:id="rId398"/>
    <hyperlink xmlns:r="http://schemas.openxmlformats.org/officeDocument/2006/relationships" ref="AG174" display="https://bit.ly/2ODB04w" r:id="rId399"/>
    <hyperlink xmlns:r="http://schemas.openxmlformats.org/officeDocument/2006/relationships" ref="AI174" display="Open in EEF" r:id="rId400"/>
    <hyperlink xmlns:r="http://schemas.openxmlformats.org/officeDocument/2006/relationships" ref="AG175" display="https://www.tsaae.fr/" r:id="rId401"/>
    <hyperlink xmlns:r="http://schemas.openxmlformats.org/officeDocument/2006/relationships" ref="AI175" display="Open in EEF" r:id="rId402"/>
    <hyperlink xmlns:r="http://schemas.openxmlformats.org/officeDocument/2006/relationships" ref="AG176" display="https://www.tsaae.fr/" r:id="rId403"/>
    <hyperlink xmlns:r="http://schemas.openxmlformats.org/officeDocument/2006/relationships" ref="AI176" display="Open in EEF" r:id="rId404"/>
    <hyperlink xmlns:r="http://schemas.openxmlformats.org/officeDocument/2006/relationships" ref="AG177" display="https://www.tsaae.fr/" r:id="rId405"/>
    <hyperlink xmlns:r="http://schemas.openxmlformats.org/officeDocument/2006/relationships" ref="AI177" display="Open in EEF" r:id="rId406"/>
    <hyperlink xmlns:r="http://schemas.openxmlformats.org/officeDocument/2006/relationships" ref="AG178" display="https://www.tsaae.fr/" r:id="rId407"/>
    <hyperlink xmlns:r="http://schemas.openxmlformats.org/officeDocument/2006/relationships" ref="AI178" display="Open in EEF" r:id="rId408"/>
    <hyperlink xmlns:r="http://schemas.openxmlformats.org/officeDocument/2006/relationships" ref="AG179" display="https://www.epita.fr/en" r:id="rId409"/>
    <hyperlink xmlns:r="http://schemas.openxmlformats.org/officeDocument/2006/relationships" ref="AI179" display="Open in EEF" r:id="rId410"/>
    <hyperlink xmlns:r="http://schemas.openxmlformats.org/officeDocument/2006/relationships" ref="AG180" display="https://www.eurecom.fr/en/teaching/master-computer-science/msc-computer-science-data-science-track" r:id="rId411"/>
    <hyperlink xmlns:r="http://schemas.openxmlformats.org/officeDocument/2006/relationships" ref="AI180" display="Open in EEF" r:id="rId412"/>
    <hyperlink xmlns:r="http://schemas.openxmlformats.org/officeDocument/2006/relationships" ref="AG181" display="https://www.eurecom.fr/en/teaching/master-computer-science/msc-computer-science-digital-security-track" r:id="rId413"/>
    <hyperlink xmlns:r="http://schemas.openxmlformats.org/officeDocument/2006/relationships" ref="AI181" display="Open in EEF" r:id="rId414"/>
    <hyperlink xmlns:r="http://schemas.openxmlformats.org/officeDocument/2006/relationships" ref="AG182" display="https://www.eurecom.fr/fr/les-formations/master-en-informatique/master-en-informatique-parcours-science-des-donnees" r:id="rId415"/>
    <hyperlink xmlns:r="http://schemas.openxmlformats.org/officeDocument/2006/relationships" ref="AI182" display="Open in EEF" r:id="rId416"/>
    <hyperlink xmlns:r="http://schemas.openxmlformats.org/officeDocument/2006/relationships" ref="AG183" display="https://www.eurecom.fr/fr/les-formations/master-en-informatique/master-en-informatique-parcours-securite-numerique" r:id="rId417"/>
    <hyperlink xmlns:r="http://schemas.openxmlformats.org/officeDocument/2006/relationships" ref="AI183" display="Open in EEF" r:id="rId418"/>
    <hyperlink xmlns:r="http://schemas.openxmlformats.org/officeDocument/2006/relationships" ref="AG184" display="https://doctorat.u-bordeaux.fr/en/before-phd/graduate-programs/cancer-biology" r:id="rId419"/>
    <hyperlink xmlns:r="http://schemas.openxmlformats.org/officeDocument/2006/relationships" ref="AI184" display="Open in EEF" r:id="rId420"/>
    <hyperlink xmlns:r="http://schemas.openxmlformats.org/officeDocument/2006/relationships" ref="AG185" display="https://msc-inp-insa-toulouse.fr/master-fluids-engineering-for-industrial-processes/" r:id="rId421"/>
    <hyperlink xmlns:r="http://schemas.openxmlformats.org/officeDocument/2006/relationships" ref="AI185" display="Open in EEF" r:id="rId422"/>
    <hyperlink xmlns:r="http://schemas.openxmlformats.org/officeDocument/2006/relationships" ref="AG186" display="https://en.isep.fr/studying-at-isep/isep-engineering-master-degree/" r:id="rId423"/>
    <hyperlink xmlns:r="http://schemas.openxmlformats.org/officeDocument/2006/relationships" ref="AI186" display="Open in EEF" r:id="rId424"/>
    <hyperlink xmlns:r="http://schemas.openxmlformats.org/officeDocument/2006/relationships" ref="AG187" display="https://www.isae-supaero.fr/" r:id="rId425"/>
    <hyperlink xmlns:r="http://schemas.openxmlformats.org/officeDocument/2006/relationships" ref="AI187" display="Open in EEF" r:id="rId426"/>
    <hyperlink xmlns:r="http://schemas.openxmlformats.org/officeDocument/2006/relationships" ref="AG188" display="http://www.isat.fr/" r:id="rId427"/>
    <hyperlink xmlns:r="http://schemas.openxmlformats.org/officeDocument/2006/relationships" ref="AI188" display="Open in EEF" r:id="rId428"/>
    <hyperlink xmlns:r="http://schemas.openxmlformats.org/officeDocument/2006/relationships" ref="AG189" display="https://www.estaca.fr/en/programs/post-master-degree/aeronautical-operation-maintenance/" r:id="rId429"/>
    <hyperlink xmlns:r="http://schemas.openxmlformats.org/officeDocument/2006/relationships" ref="AI189" display="Open in EEF" r:id="rId430"/>
    <hyperlink xmlns:r="http://schemas.openxmlformats.org/officeDocument/2006/relationships" ref="AG190" display="https://www.tsaae.fr/" r:id="rId431"/>
    <hyperlink xmlns:r="http://schemas.openxmlformats.org/officeDocument/2006/relationships" ref="AI190" display="Open in EEF" r:id="rId432"/>
    <hyperlink xmlns:r="http://schemas.openxmlformats.org/officeDocument/2006/relationships" ref="AG191" display="https://www.tsaae.fr/" r:id="rId433"/>
    <hyperlink xmlns:r="http://schemas.openxmlformats.org/officeDocument/2006/relationships" ref="AI191" display="Open in EEF" r:id="rId434"/>
    <hyperlink xmlns:r="http://schemas.openxmlformats.org/officeDocument/2006/relationships" ref="AG192" display="https://www.tsaae.fr/" r:id="rId435"/>
    <hyperlink xmlns:r="http://schemas.openxmlformats.org/officeDocument/2006/relationships" ref="AI192" display="Open in EEF" r:id="rId436"/>
    <hyperlink xmlns:r="http://schemas.openxmlformats.org/officeDocument/2006/relationships" ref="AG193" display="https://www.tsaae.fr/" r:id="rId437"/>
    <hyperlink xmlns:r="http://schemas.openxmlformats.org/officeDocument/2006/relationships" ref="AI193" display="Open in EEF" r:id="rId438"/>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439"/>
  </tableParts>
</worksheet>
</file>

<file path=xl/worksheets/sheet5.xml><?xml version="1.0" encoding="utf-8"?>
<worksheet xmlns="http://schemas.openxmlformats.org/spreadsheetml/2006/main">
  <sheetPr filterMode="0">
    <outlinePr summaryBelow="1" summaryRight="1"/>
    <pageSetUpPr fitToPage="0"/>
  </sheetPr>
  <dimension ref="A1:AI1000"/>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5" customWidth="1" style="18" min="1" max="1"/>
    <col width="10" customWidth="1" style="18" min="2" max="2"/>
    <col width="30" customWidth="1" style="18" min="3" max="3"/>
    <col width="26" customWidth="1" style="18" min="4" max="4"/>
    <col width="60" customWidth="1" style="18" min="5" max="5"/>
    <col width="55" customWidth="1" style="18" min="6" max="6"/>
    <col width="24" customWidth="1" style="18" min="7" max="7"/>
    <col width="38" customWidth="1" style="18" min="8" max="8"/>
    <col width="30" customWidth="1" style="18" min="9" max="9"/>
    <col width="22" customWidth="1" style="18" min="10" max="10"/>
    <col width="18" customWidth="1" style="18" min="11" max="11"/>
    <col width="20" customWidth="1" style="18" min="12" max="12"/>
    <col width="14" customWidth="1" style="18" min="13" max="14"/>
    <col width="16" customWidth="1" style="18" min="15" max="15"/>
    <col width="40" customWidth="1" style="18" min="16" max="16"/>
    <col width="9" customWidth="1" style="18" min="17" max="17"/>
    <col width="12" customWidth="1" style="18" min="18" max="18"/>
    <col width="14" customWidth="1" style="18" min="19" max="20"/>
    <col width="9" customWidth="1" style="18" min="21" max="21"/>
    <col width="14" customWidth="1" style="18" min="22" max="22"/>
    <col width="60" customWidth="1" style="18" min="23" max="23"/>
    <col width="11" customWidth="1" style="18" min="24" max="24"/>
    <col width="14" customWidth="1" style="18" min="25" max="25"/>
    <col width="50" customWidth="1" style="18" min="26" max="26"/>
    <col width="60" customWidth="1" style="18" min="27" max="27"/>
    <col width="30" customWidth="1" style="18" min="28" max="28"/>
    <col width="9" customWidth="1" style="18" min="29" max="29"/>
    <col width="11" customWidth="1" style="18" min="30" max="31"/>
    <col width="12" customWidth="1" style="18" min="32" max="32"/>
    <col width="40" customWidth="1" style="18" min="33" max="33"/>
    <col width="60" customWidth="1" style="18" min="34" max="34"/>
    <col width="30" customWidth="1" style="18" min="35" max="35"/>
  </cols>
  <sheetData>
    <row r="1" ht="45" customHeight="1" s="19">
      <c r="A1" s="24" t="inlineStr">
        <is>
          <t>#</t>
        </is>
      </c>
      <c r="B1" s="24" t="inlineStr">
        <is>
          <t>Relevance</t>
        </is>
      </c>
      <c r="C1" s="24" t="inlineStr">
        <is>
          <t>Relevance note</t>
        </is>
      </c>
      <c r="D1" s="24" t="inlineStr">
        <is>
          <t>Field (category)</t>
        </is>
      </c>
      <c r="E1" s="24" t="inlineStr">
        <is>
          <t>Program title (as in Études en France)</t>
        </is>
      </c>
      <c r="F1" s="24" t="inlineStr">
        <is>
          <t>Approx. English title (auto-translated)</t>
        </is>
      </c>
      <c r="G1" s="24" t="inlineStr">
        <is>
          <t>Degree type</t>
        </is>
      </c>
      <c r="H1" s="24" t="inlineStr">
        <is>
          <t>Institution / faculty</t>
        </is>
      </c>
      <c r="I1" s="24" t="inlineStr">
        <is>
          <t>University / group</t>
        </is>
      </c>
      <c r="J1" s="24" t="inlineStr">
        <is>
          <t>Campus / site</t>
        </is>
      </c>
      <c r="K1" s="24" t="inlineStr">
        <is>
          <t>City / postcode</t>
        </is>
      </c>
      <c r="L1" s="24" t="inlineStr">
        <is>
          <t>Institution type</t>
        </is>
      </c>
      <c r="M1" s="24" t="inlineStr">
        <is>
          <t>Teaching language</t>
        </is>
      </c>
      <c r="N1" s="24" t="inlineStr">
        <is>
          <t>Catalogue</t>
        </is>
      </c>
      <c r="O1" s="24" t="inlineStr">
        <is>
          <t>Entry level required</t>
        </is>
      </c>
      <c r="P1" s="24" t="inlineStr">
        <is>
          <t>Your eligibility (4-yr BS, 3 yrs exp.)</t>
        </is>
      </c>
      <c r="Q1" s="24" t="inlineStr">
        <is>
          <t>Entry year(s)</t>
        </is>
      </c>
      <c r="R1" s="24" t="inlineStr">
        <is>
          <t>Duration (months, per catalogue)</t>
        </is>
      </c>
      <c r="S1" s="24" t="inlineStr">
        <is>
          <t>Est. tuition / year non-EU (€)</t>
        </is>
      </c>
      <c r="T1" s="24" t="inlineStr">
        <is>
          <t>Lowest possible with exemption (€)</t>
        </is>
      </c>
      <c r="U1" s="24" t="inlineStr">
        <is>
          <t>Years to finish (est.)</t>
        </is>
      </c>
      <c r="V1" s="24" t="inlineStr">
        <is>
          <t>Est. total tuition (€)</t>
        </is>
      </c>
      <c r="W1" s="24" t="inlineStr">
        <is>
          <t>Fee basis &amp; source</t>
        </is>
      </c>
      <c r="X1" s="24" t="inlineStr">
        <is>
          <t>Fee confidence</t>
        </is>
      </c>
      <c r="Y1" s="24" t="inlineStr">
        <is>
          <t>Fees found in catalogue (€)</t>
        </is>
      </c>
      <c r="Z1" s="24" t="inlineStr">
        <is>
          <t>Fee note from catalogue text</t>
        </is>
      </c>
      <c r="AA1" s="24" t="inlineStr">
        <is>
          <t>University exemption policy 2026-27</t>
        </is>
      </c>
      <c r="AB1" s="24" t="inlineStr">
        <is>
          <t>Policy source</t>
        </is>
      </c>
      <c r="AC1" s="24" t="inlineStr">
        <is>
          <t>EEF status</t>
        </is>
      </c>
      <c r="AD1" s="24" t="inlineStr">
        <is>
          <t>Apply from</t>
        </is>
      </c>
      <c r="AE1" s="24" t="inlineStr">
        <is>
          <t>Apply until (EEF)</t>
        </is>
      </c>
      <c r="AF1" s="24" t="inlineStr">
        <is>
          <t>Extra school application required?</t>
        </is>
      </c>
      <c r="AG1" s="24" t="inlineStr">
        <is>
          <t>Program website</t>
        </is>
      </c>
      <c r="AH1" s="24" t="inlineStr">
        <is>
          <t>Requirements (excerpt)</t>
        </is>
      </c>
      <c r="AI1" s="24" t="inlineStr">
        <is>
          <t>Catalogue link</t>
        </is>
      </c>
    </row>
    <row r="2" ht="53.7" customHeight="1" s="19">
      <c r="A2" s="25" t="n">
        <v>1</v>
      </c>
      <c r="B2" s="25" t="inlineStr">
        <is>
          <t>★★★★★</t>
        </is>
      </c>
      <c r="C2" s="25" t="inlineStr">
        <is>
          <t>5 – Core fit (embedded/biomedical/health tech)</t>
        </is>
      </c>
      <c r="D2" s="25" t="inlineStr">
        <is>
          <t>Embedded systems / Electronics</t>
        </is>
      </c>
      <c r="E2" s="26" t="inlineStr">
        <is>
          <t>diplôme d'ingénieur de l'Institut national polytechnique de Bordeaux - École nationale supérieure d'électronique, informatique, télécommunications, mathématique et mécanique de Bordeaux spécialité systèmes électroniques embarqués en partenariat avec l'ITII d'Aquitaine</t>
        </is>
      </c>
      <c r="F2" s="26" t="inlineStr">
        <is>
          <t>Engineering diploma of Institute National polytechnique of Bordeaux - National Graduate School of Electronics, Computer Science, Telecommunications, Mathematical &amp; Mechanics of Bordeaux – specialisation: Systems Electronic Embedded in partnership with l'ITII d'Aquitaine</t>
        </is>
      </c>
      <c r="G2" s="25" t="inlineStr">
        <is>
          <t>Diplôme d'ingénieur</t>
        </is>
      </c>
      <c r="H2" s="25" t="inlineStr">
        <is>
          <t>Institut des techniques d'ingénieur de l'industrie d'Aquitaine</t>
        </is>
      </c>
      <c r="I2" s="25" t="n"/>
      <c r="J2" s="25" t="inlineStr">
        <is>
          <t>Site de Bruges</t>
        </is>
      </c>
      <c r="K2" s="25" t="n"/>
      <c r="L2" s="25" t="inlineStr">
        <is>
          <t>Apprenticeship (CFA/ITII)</t>
        </is>
      </c>
      <c r="M2" s="25" t="inlineStr">
        <is>
          <t>French</t>
        </is>
      </c>
      <c r="N2" s="25" t="inlineStr">
        <is>
          <t>General</t>
        </is>
      </c>
      <c r="O2" s="25" t="inlineStr">
        <is>
          <t>Bac +3</t>
        </is>
      </c>
      <c r="P2" s="26" t="inlineStr">
        <is>
          <t>Eligible on level (4-yr BS ≈ Bac+4)</t>
        </is>
      </c>
      <c r="Q2" s="25" t="inlineStr">
        <is>
          <t>1</t>
        </is>
      </c>
      <c r="R2" s="25" t="n"/>
      <c r="S2" s="27" t="n">
        <v>0</v>
      </c>
      <c r="T2" s="27" t="n"/>
      <c r="U2" s="25" t="n">
        <v>2</v>
      </c>
      <c r="V2" s="27">
        <f>IF(S2="","",S2*U2)</f>
        <v/>
      </c>
      <c r="W2" s="26" t="inlineStr">
        <is>
          <t>Apprenticeship: tuition paid by employer (€0 to student) BUT requires a French employment contract + residence permit – practically not accessible from abroad.</t>
        </is>
      </c>
      <c r="X2" s="25" t="inlineStr">
        <is>
          <t>High</t>
        </is>
      </c>
      <c r="Y2" s="25" t="n"/>
      <c r="Z2" s="26" t="n"/>
      <c r="AA2" s="26" t="n"/>
      <c r="AB2" s="25" t="n"/>
      <c r="AC2" s="25" t="inlineStr">
        <is>
          <t>Closed</t>
        </is>
      </c>
      <c r="AD2" s="25" t="n"/>
      <c r="AE2" s="25" t="n"/>
      <c r="AF2" s="25" t="inlineStr">
        <is>
          <t>No</t>
        </is>
      </c>
      <c r="AG2" s="28" t="inlineStr">
        <is>
          <t>http://www.itii-aquitaine.com</t>
        </is>
      </c>
      <c r="AH2" s="26" t="n"/>
      <c r="AI2" s="28" t="inlineStr">
        <is>
          <t>Open in EEF</t>
        </is>
      </c>
    </row>
    <row r="3" ht="53.7" customHeight="1" s="19">
      <c r="A3" s="25" t="n">
        <v>2</v>
      </c>
      <c r="B3" s="25" t="inlineStr">
        <is>
          <t>★★★★★</t>
        </is>
      </c>
      <c r="C3" s="25" t="inlineStr">
        <is>
          <t>5 – Core fit (embedded/biomedical/health tech)</t>
        </is>
      </c>
      <c r="D3" s="25" t="inlineStr">
        <is>
          <t>Embedded systems / Electronics</t>
        </is>
      </c>
      <c r="E3" s="26" t="inlineStr">
        <is>
          <t>diplôme d'ingénieur de l'Institut national polytechnique de Bordeaux - École nationale supérieure d'électronique, informatique, télécommunications, mathématique et mécanique de Bordeaux spécialité systèmes électroniques embarqués en partenariat avec l'ITII d'Aquitaine</t>
        </is>
      </c>
      <c r="F3" s="26" t="inlineStr">
        <is>
          <t>Engineering diploma of Institute National polytechnique of Bordeaux - National Graduate School of Electronics, Computer Science, Telecommunications, Mathematical &amp; Mechanics of Bordeaux – specialisation: Systems Electronic Embedded in partnership with l'ITII d'Aquitaine</t>
        </is>
      </c>
      <c r="G3" s="25" t="inlineStr">
        <is>
          <t>Diplôme d'ingénieur</t>
        </is>
      </c>
      <c r="H3" s="25" t="inlineStr">
        <is>
          <t>CFAI Aquitaine</t>
        </is>
      </c>
      <c r="I3" s="25" t="n"/>
      <c r="J3" s="25" t="inlineStr">
        <is>
          <t>Site de Bruges</t>
        </is>
      </c>
      <c r="K3" s="25" t="n"/>
      <c r="L3" s="25" t="inlineStr">
        <is>
          <t>Apprenticeship (CFA/ITII)</t>
        </is>
      </c>
      <c r="M3" s="25" t="inlineStr">
        <is>
          <t>French</t>
        </is>
      </c>
      <c r="N3" s="25" t="inlineStr">
        <is>
          <t>General</t>
        </is>
      </c>
      <c r="O3" s="25" t="inlineStr">
        <is>
          <t>Bac +3</t>
        </is>
      </c>
      <c r="P3" s="26" t="inlineStr">
        <is>
          <t>Eligible on level (4-yr BS ≈ Bac+4)</t>
        </is>
      </c>
      <c r="Q3" s="25" t="inlineStr">
        <is>
          <t>1</t>
        </is>
      </c>
      <c r="R3" s="25" t="n"/>
      <c r="S3" s="27" t="n">
        <v>0</v>
      </c>
      <c r="T3" s="27" t="n"/>
      <c r="U3" s="25" t="n">
        <v>2</v>
      </c>
      <c r="V3" s="27">
        <f>IF(S3="","",S3*U3)</f>
        <v/>
      </c>
      <c r="W3" s="26" t="inlineStr">
        <is>
          <t>Apprenticeship: tuition paid by employer (€0 to student) BUT requires a French employment contract + residence permit – practically not accessible from abroad.</t>
        </is>
      </c>
      <c r="X3" s="25" t="inlineStr">
        <is>
          <t>High</t>
        </is>
      </c>
      <c r="Y3" s="25" t="n"/>
      <c r="Z3" s="26" t="n"/>
      <c r="AA3" s="26" t="n"/>
      <c r="AB3" s="25" t="n"/>
      <c r="AC3" s="25" t="inlineStr">
        <is>
          <t>Closed</t>
        </is>
      </c>
      <c r="AD3" s="25" t="n"/>
      <c r="AE3" s="25" t="n"/>
      <c r="AF3" s="25" t="inlineStr">
        <is>
          <t>No</t>
        </is>
      </c>
      <c r="AG3" s="28" t="inlineStr">
        <is>
          <t>http://www.cfai-aquitaine.org</t>
        </is>
      </c>
      <c r="AH3" s="26" t="n"/>
      <c r="AI3" s="28" t="inlineStr">
        <is>
          <t>Open in EEF</t>
        </is>
      </c>
    </row>
    <row r="4" ht="32.8" customHeight="1" s="19">
      <c r="A4" s="25" t="n">
        <v>3</v>
      </c>
      <c r="B4" s="25" t="inlineStr">
        <is>
          <t>★★★★★</t>
        </is>
      </c>
      <c r="C4" s="25" t="inlineStr">
        <is>
          <t>5 – Core fit (embedded/biomedical/health tech)</t>
        </is>
      </c>
      <c r="D4" s="25" t="inlineStr">
        <is>
          <t>Embedded systems / Electronics</t>
        </is>
      </c>
      <c r="E4" s="26" t="inlineStr">
        <is>
          <t>Diplôme d'ingénieur mention Diplôme d'Ingénieur Apprentissage Filière Electronique et Informatique - Systèmes communicants</t>
        </is>
      </c>
      <c r="F4" s="26" t="inlineStr">
        <is>
          <t>Engineering diploma – major: Engineering diploma Apprenticeship stream Electronics &amp; Computer Science - Systems Communicating</t>
        </is>
      </c>
      <c r="G4" s="25" t="inlineStr">
        <is>
          <t>Diplôme d'ingénieur</t>
        </is>
      </c>
      <c r="H4" s="25" t="inlineStr">
        <is>
          <t>ESIEE - Paris</t>
        </is>
      </c>
      <c r="I4" s="25" t="inlineStr">
        <is>
          <t>ESIEE - École Supérieure d'Ingénieurs en Électronique et Électrotechnique</t>
        </is>
      </c>
      <c r="J4" s="25" t="inlineStr">
        <is>
          <t>Site de Noisy-le-Grand</t>
        </is>
      </c>
      <c r="K4" s="25" t="n"/>
      <c r="L4" s="25" t="inlineStr">
        <is>
          <t>Apprenticeship (CFA/ITII)</t>
        </is>
      </c>
      <c r="M4" s="25" t="inlineStr">
        <is>
          <t>French</t>
        </is>
      </c>
      <c r="N4" s="25" t="inlineStr">
        <is>
          <t>General</t>
        </is>
      </c>
      <c r="O4" s="25" t="inlineStr">
        <is>
          <t>Bac +3</t>
        </is>
      </c>
      <c r="P4" s="26" t="inlineStr">
        <is>
          <t>Eligible on level (4-yr BS ≈ Bac+4)</t>
        </is>
      </c>
      <c r="Q4" s="25" t="inlineStr">
        <is>
          <t>3</t>
        </is>
      </c>
      <c r="R4" s="25" t="n"/>
      <c r="S4" s="27" t="n">
        <v>0</v>
      </c>
      <c r="T4" s="27" t="n"/>
      <c r="U4" s="25" t="n">
        <v>2</v>
      </c>
      <c r="V4" s="27">
        <f>IF(S4="","",S4*U4)</f>
        <v/>
      </c>
      <c r="W4" s="26" t="inlineStr">
        <is>
          <t>Apprenticeship: tuition paid by employer (€0 to student) BUT requires a French employment contract + residence permit – practically not accessible from abroad.</t>
        </is>
      </c>
      <c r="X4" s="25" t="inlineStr">
        <is>
          <t>High</t>
        </is>
      </c>
      <c r="Y4" s="25" t="n"/>
      <c r="Z4" s="26" t="n"/>
      <c r="AA4" s="26" t="n"/>
      <c r="AB4" s="25" t="n"/>
      <c r="AC4" s="25" t="inlineStr">
        <is>
          <t>Open</t>
        </is>
      </c>
      <c r="AD4" s="25" t="inlineStr">
        <is>
          <t>2026-10-01</t>
        </is>
      </c>
      <c r="AE4" s="25" t="inlineStr">
        <is>
          <t>2027-03-15</t>
        </is>
      </c>
      <c r="AF4" s="25" t="inlineStr">
        <is>
          <t>Yes</t>
        </is>
      </c>
      <c r="AG4" s="25" t="n"/>
      <c r="AH4" s="26" t="n"/>
      <c r="AI4" s="28" t="inlineStr">
        <is>
          <t>Open in EEF</t>
        </is>
      </c>
    </row>
    <row r="5" ht="32.8" customHeight="1" s="19">
      <c r="A5" s="25" t="n">
        <v>4</v>
      </c>
      <c r="B5" s="25" t="inlineStr">
        <is>
          <t>★★★★★</t>
        </is>
      </c>
      <c r="C5" s="25" t="inlineStr">
        <is>
          <t>5 – Core fit (embedded/biomedical/health tech)</t>
        </is>
      </c>
      <c r="D5" s="25" t="inlineStr">
        <is>
          <t>Embedded systems / Electronics</t>
        </is>
      </c>
      <c r="E5" s="26" t="inlineStr">
        <is>
          <t>Diplôme d'ingénieur mention Diplôme d'Ingénieur Apprentissage Filière Systèmes embarqués</t>
        </is>
      </c>
      <c r="F5" s="26" t="inlineStr">
        <is>
          <t>Engineering diploma – major: Engineering diploma Apprenticeship stream Embedded Systems</t>
        </is>
      </c>
      <c r="G5" s="25" t="inlineStr">
        <is>
          <t>Diplôme d'ingénieur</t>
        </is>
      </c>
      <c r="H5" s="25" t="inlineStr">
        <is>
          <t>ESIEE - Paris</t>
        </is>
      </c>
      <c r="I5" s="25" t="inlineStr">
        <is>
          <t>ESIEE - École Supérieure d'Ingénieurs en Électronique et Électrotechnique</t>
        </is>
      </c>
      <c r="J5" s="25" t="inlineStr">
        <is>
          <t>Site de Noisy-le-Grand</t>
        </is>
      </c>
      <c r="K5" s="25" t="n"/>
      <c r="L5" s="25" t="inlineStr">
        <is>
          <t>Apprenticeship (CFA/ITII)</t>
        </is>
      </c>
      <c r="M5" s="25" t="inlineStr">
        <is>
          <t>French</t>
        </is>
      </c>
      <c r="N5" s="25" t="inlineStr">
        <is>
          <t>General</t>
        </is>
      </c>
      <c r="O5" s="25" t="inlineStr">
        <is>
          <t>Bac +3</t>
        </is>
      </c>
      <c r="P5" s="26" t="inlineStr">
        <is>
          <t>Eligible on level (4-yr BS ≈ Bac+4)</t>
        </is>
      </c>
      <c r="Q5" s="25" t="inlineStr">
        <is>
          <t>3</t>
        </is>
      </c>
      <c r="R5" s="25" t="n"/>
      <c r="S5" s="27" t="n">
        <v>0</v>
      </c>
      <c r="T5" s="27" t="n"/>
      <c r="U5" s="25" t="n">
        <v>2</v>
      </c>
      <c r="V5" s="27">
        <f>IF(S5="","",S5*U5)</f>
        <v/>
      </c>
      <c r="W5" s="26" t="inlineStr">
        <is>
          <t>Apprenticeship: tuition paid by employer (€0 to student) BUT requires a French employment contract + residence permit – practically not accessible from abroad.</t>
        </is>
      </c>
      <c r="X5" s="25" t="inlineStr">
        <is>
          <t>High</t>
        </is>
      </c>
      <c r="Y5" s="25" t="n"/>
      <c r="Z5" s="26" t="n"/>
      <c r="AA5" s="26" t="n"/>
      <c r="AB5" s="25" t="n"/>
      <c r="AC5" s="25" t="inlineStr">
        <is>
          <t>Open</t>
        </is>
      </c>
      <c r="AD5" s="25" t="inlineStr">
        <is>
          <t>2026-10-01</t>
        </is>
      </c>
      <c r="AE5" s="25" t="inlineStr">
        <is>
          <t>2027-03-15</t>
        </is>
      </c>
      <c r="AF5" s="25" t="inlineStr">
        <is>
          <t>Yes</t>
        </is>
      </c>
      <c r="AG5" s="25" t="n"/>
      <c r="AH5" s="26" t="n"/>
      <c r="AI5" s="28" t="inlineStr">
        <is>
          <t>Open in EEF</t>
        </is>
      </c>
    </row>
    <row r="6" ht="32.8" customHeight="1" s="19">
      <c r="A6" s="25" t="n">
        <v>5</v>
      </c>
      <c r="B6" s="25" t="inlineStr">
        <is>
          <t>★★★★★</t>
        </is>
      </c>
      <c r="C6" s="25" t="inlineStr">
        <is>
          <t>5 – Core fit (embedded/biomedical/health tech)</t>
        </is>
      </c>
      <c r="D6" s="25" t="inlineStr">
        <is>
          <t>IoT / Telecom / Networks</t>
        </is>
      </c>
      <c r="E6" s="26" t="inlineStr">
        <is>
          <t>Master indifférencié (recherche et professionnel) Master Computer Networks and IoT Systems</t>
        </is>
      </c>
      <c r="F6" s="26" t="inlineStr">
        <is>
          <t>Master Computer Networks and IoT Systems</t>
        </is>
      </c>
      <c r="G6" s="25" t="inlineStr">
        <is>
          <t>Master indifférencié (recherche et professionnel)</t>
        </is>
      </c>
      <c r="H6" s="25" t="inlineStr">
        <is>
          <t>Conservatoire national des arts et métiers - CNAM</t>
        </is>
      </c>
      <c r="I6" s="25" t="n"/>
      <c r="J6" s="25" t="inlineStr">
        <is>
          <t>Cnam Etablissement Public - EPN5 Computer Science</t>
        </is>
      </c>
      <c r="K6" s="25" t="inlineStr">
        <is>
          <t>75003 Paris</t>
        </is>
      </c>
      <c r="L6" s="25" t="inlineStr">
        <is>
          <t>Public school / institute</t>
        </is>
      </c>
      <c r="M6" s="25" t="inlineStr">
        <is>
          <t>English</t>
        </is>
      </c>
      <c r="N6" s="25" t="inlineStr">
        <is>
          <t>Taught in English</t>
        </is>
      </c>
      <c r="O6" s="25" t="inlineStr">
        <is>
          <t>Bac +4 / Bac +5</t>
        </is>
      </c>
      <c r="P6" s="26" t="inlineStr">
        <is>
          <t>Eligible on level (4-yr BS ≈ Bac+4)</t>
        </is>
      </c>
      <c r="Q6" s="25" t="inlineStr">
        <is>
          <t>1/2</t>
        </is>
      </c>
      <c r="R6" s="25" t="inlineStr">
        <is>
          <t>12</t>
        </is>
      </c>
      <c r="S6" s="27" t="n">
        <v>3950</v>
      </c>
      <c r="T6" s="27" t="n">
        <v>255</v>
      </c>
      <c r="U6" s="25" t="n">
        <v>2</v>
      </c>
      <c r="V6" s="27">
        <f>IF(S6="","",S6*U6)</f>
        <v/>
      </c>
      <c r="W6" s="26" t="inlineStr">
        <is>
          <t>Catalogue: €3,770. = national differentiated master fee (2026-27: €3,950). Exemption to ~€255 possible (university quota).</t>
        </is>
      </c>
      <c r="X6" s="25" t="inlineStr">
        <is>
          <t>High</t>
        </is>
      </c>
      <c r="Y6" s="25" t="inlineStr">
        <is>
          <t>3770</t>
        </is>
      </c>
      <c r="Z6" s="26" t="n"/>
      <c r="AA6" s="26" t="n"/>
      <c r="AB6" s="25" t="n"/>
      <c r="AC6" s="25" t="inlineStr">
        <is>
          <t>Open</t>
        </is>
      </c>
      <c r="AD6" s="25" t="inlineStr">
        <is>
          <t>2026-10-01</t>
        </is>
      </c>
      <c r="AE6" s="25" t="inlineStr">
        <is>
          <t>2027-03-15</t>
        </is>
      </c>
      <c r="AF6" s="25" t="inlineStr">
        <is>
          <t>Yes</t>
        </is>
      </c>
      <c r="AG6" s="28" t="inlineStr">
        <is>
          <t>https://master.roc.cnam.fr</t>
        </is>
      </c>
      <c r="AH6" s="26" t="inlineStr">
        <is>
          <t>International, European and French students willing to pursue a master degree in English, and possessing a Bachelor-level degree in one of these fields: Computer Science, Electronics, Computer Engineering, Electrical Eng</t>
        </is>
      </c>
      <c r="AI6" s="28" t="inlineStr">
        <is>
          <t>Open in EEF</t>
        </is>
      </c>
    </row>
    <row r="7" ht="32.8" customHeight="1" s="19">
      <c r="A7" s="25" t="n">
        <v>6</v>
      </c>
      <c r="B7" s="25" t="inlineStr">
        <is>
          <t>★★★★★</t>
        </is>
      </c>
      <c r="C7" s="25" t="inlineStr">
        <is>
          <t>5 – Core fit (embedded/biomedical/health tech)</t>
        </is>
      </c>
      <c r="D7" s="25" t="inlineStr">
        <is>
          <t>Biomedical / Health tech</t>
        </is>
      </c>
      <c r="E7" s="26" t="inlineStr">
        <is>
          <t>Master indifférencié (recherche et professionnel) mention Biomedical Engineering (BME)</t>
        </is>
      </c>
      <c r="F7" s="26" t="inlineStr">
        <is>
          <t>major: Biomedical Engineering (BME)</t>
        </is>
      </c>
      <c r="G7" s="25" t="inlineStr">
        <is>
          <t>Master indifférencié (recherche et professionnel)</t>
        </is>
      </c>
      <c r="H7" s="25" t="inlineStr">
        <is>
          <t>UFR des Sciences pharmaceutiques et biologiques</t>
        </is>
      </c>
      <c r="I7" s="25" t="inlineStr">
        <is>
          <t>Université de Montpellier</t>
        </is>
      </c>
      <c r="J7" s="25" t="inlineStr">
        <is>
          <t>Site de Montpellier</t>
        </is>
      </c>
      <c r="K7" s="25" t="inlineStr">
        <is>
          <t>34090 Montpellier</t>
        </is>
      </c>
      <c r="L7" s="25" t="inlineStr">
        <is>
          <t>Public university</t>
        </is>
      </c>
      <c r="M7" s="25" t="inlineStr">
        <is>
          <t>English</t>
        </is>
      </c>
      <c r="N7" s="25" t="inlineStr">
        <is>
          <t>Taught in English</t>
        </is>
      </c>
      <c r="O7" s="25" t="inlineStr">
        <is>
          <t>Bac +4</t>
        </is>
      </c>
      <c r="P7" s="26" t="inlineStr">
        <is>
          <t>Eligible on level (4-yr BS ≈ Bac+4)</t>
        </is>
      </c>
      <c r="Q7" s="25" t="inlineStr">
        <is>
          <t>1</t>
        </is>
      </c>
      <c r="R7" s="25" t="inlineStr">
        <is>
          <t>12</t>
        </is>
      </c>
      <c r="S7" s="27" t="n">
        <v>3950</v>
      </c>
      <c r="T7" s="27" t="n">
        <v>255</v>
      </c>
      <c r="U7" s="25" t="n">
        <v>2</v>
      </c>
      <c r="V7" s="27">
        <f>IF(S7="","",S7*U7)</f>
        <v/>
      </c>
      <c r="W7" s="26" t="inlineStr">
        <is>
          <t>Not in catalogue. Public national master → 2026-27 differentiated fee €3,950; exemption to ~€254-255 depends on university quota (25% cap in 2027-28).</t>
        </is>
      </c>
      <c r="X7" s="25" t="inlineStr">
        <is>
          <t>Medium</t>
        </is>
      </c>
      <c r="Y7" s="25" t="n"/>
      <c r="Z7" s="26" t="n"/>
      <c r="AA7" s="26" t="inlineStr">
        <is>
          <t>Montpellier 2026-27: new non-EU entrants pay the differentiated fee unless individual exemption (limited).</t>
        </is>
      </c>
      <c r="AB7" s="28" t="inlineStr">
        <is>
          <t>https://www.umontpellier.fr/en/international/etudier-a-letranger/etudiants-internationaux-annee-universitaire-2026-2027/</t>
        </is>
      </c>
      <c r="AC7" s="25" t="inlineStr">
        <is>
          <t>Open</t>
        </is>
      </c>
      <c r="AD7" s="25" t="inlineStr">
        <is>
          <t>2026-10-01</t>
        </is>
      </c>
      <c r="AE7" s="25" t="inlineStr">
        <is>
          <t>2027-03-15</t>
        </is>
      </c>
      <c r="AF7" s="25" t="inlineStr">
        <is>
          <t>No</t>
        </is>
      </c>
      <c r="AG7" s="28" t="inlineStr">
        <is>
          <t>https://idil.edu.umontpellier.fr/master-idil/les-parcours/</t>
        </is>
      </c>
      <c r="AH7" s="26" t="inlineStr">
        <is>
          <t>Conditions d’accès Diplôme de licence dans la discipline choisie IDIL Niveau d’anglais B2 minimum CV et lettre de motivation 2 lettres de soutien d’un chercheur et/ou professeur (recommandé, mais non obligatoire) Estimat</t>
        </is>
      </c>
      <c r="AI7" s="28" t="inlineStr">
        <is>
          <t>Open in EEF</t>
        </is>
      </c>
    </row>
    <row r="8" ht="32.8" customHeight="1" s="19">
      <c r="A8" s="25" t="n">
        <v>7</v>
      </c>
      <c r="B8" s="25" t="inlineStr">
        <is>
          <t>★★★★★</t>
        </is>
      </c>
      <c r="C8" s="25" t="inlineStr">
        <is>
          <t>5 – Core fit (embedded/biomedical/health tech)</t>
        </is>
      </c>
      <c r="D8" s="25" t="inlineStr">
        <is>
          <t>Embedded systems / Electronics</t>
        </is>
      </c>
      <c r="E8" s="26" t="inlineStr">
        <is>
          <t>Master indifférencié (recherche et professionnel) mention Electronique, énergies électriques et automatique* parcours Electronique, Outils Libres pour l'instrumentation et les Systèmes Embarqués (ELISE) *</t>
        </is>
      </c>
      <c r="F8" s="26" t="inlineStr">
        <is>
          <t>major: Electronics, Energies Electrical &amp; Automation* – track: Electronics, Outils Libres for Instrumentation &amp; the Embedded Systems (ELISE) *</t>
        </is>
      </c>
      <c r="G8" s="25" t="inlineStr">
        <is>
          <t>Master indifférencié (recherche et professionnel)</t>
        </is>
      </c>
      <c r="H8" s="25" t="inlineStr">
        <is>
          <t>UFR Sciences et Techniques</t>
        </is>
      </c>
      <c r="I8" s="25" t="inlineStr">
        <is>
          <t>Université Marie et Louis Pasteur</t>
        </is>
      </c>
      <c r="J8" s="25" t="inlineStr">
        <is>
          <t>Site de Besançon</t>
        </is>
      </c>
      <c r="K8" s="25" t="inlineStr">
        <is>
          <t>25030 BESANCON CEDEX</t>
        </is>
      </c>
      <c r="L8" s="25" t="inlineStr">
        <is>
          <t>Public university</t>
        </is>
      </c>
      <c r="M8" s="25" t="inlineStr">
        <is>
          <t>English</t>
        </is>
      </c>
      <c r="N8" s="25" t="inlineStr">
        <is>
          <t>Taught in English</t>
        </is>
      </c>
      <c r="O8" s="25" t="inlineStr">
        <is>
          <t>Bac +4</t>
        </is>
      </c>
      <c r="P8" s="26" t="inlineStr">
        <is>
          <t>Eligible on level (4-yr BS ≈ Bac+4)</t>
        </is>
      </c>
      <c r="Q8" s="25" t="inlineStr">
        <is>
          <t>1</t>
        </is>
      </c>
      <c r="R8" s="25" t="n"/>
      <c r="S8" s="27" t="n">
        <v>3950</v>
      </c>
      <c r="T8" s="27" t="n">
        <v>255</v>
      </c>
      <c r="U8" s="25" t="n">
        <v>2</v>
      </c>
      <c r="V8" s="27">
        <f>IF(S8="","",S8*U8)</f>
        <v/>
      </c>
      <c r="W8" s="26" t="inlineStr">
        <is>
          <t>Not in catalogue. Public national master → 2026-27 differentiated fee €3,950; exemption to ~€254-255 depends on university quota (25% cap in 2027-28).</t>
        </is>
      </c>
      <c r="X8" s="25" t="inlineStr">
        <is>
          <t>Medium</t>
        </is>
      </c>
      <c r="Y8" s="25" t="n"/>
      <c r="Z8" s="26" t="n"/>
      <c r="AA8" s="26" t="inlineStr">
        <is>
          <t>UMLP: individual exemption requests assessed on personal resources.</t>
        </is>
      </c>
      <c r="AB8" s="28" t="inlineStr">
        <is>
          <t>https://www.umlp.fr/sites/default/files/2026-07-02-page-droits-differencies-vf.pdf</t>
        </is>
      </c>
      <c r="AC8" s="25" t="inlineStr">
        <is>
          <t>Open</t>
        </is>
      </c>
      <c r="AD8" s="25" t="inlineStr">
        <is>
          <t>2026-10-01</t>
        </is>
      </c>
      <c r="AE8" s="25" t="inlineStr">
        <is>
          <t>2027-03-15</t>
        </is>
      </c>
      <c r="AF8" s="25" t="inlineStr">
        <is>
          <t>No</t>
        </is>
      </c>
      <c r="AG8" s="28" t="inlineStr">
        <is>
          <t>https://formations.univ-fcomte.fr/fr/formations/feuilleter-le-catalogue/master-lmd-XB/master-electronique-energie-electrique-automatique-M4QUAZ0D.html</t>
        </is>
      </c>
      <c r="AH8" s="26" t="inlineStr">
        <is>
          <t>C langage programming, digital electronics, microcontroller programming, analog electronics, instrumentation, Python programming, signal processing, mathematics (basic algebra and analysis), Linux operating system Langue</t>
        </is>
      </c>
      <c r="AI8" s="28" t="inlineStr">
        <is>
          <t>Open in EEF</t>
        </is>
      </c>
    </row>
    <row r="9" ht="32.8" customHeight="1" s="19">
      <c r="A9" s="25" t="n">
        <v>8</v>
      </c>
      <c r="B9" s="25" t="inlineStr">
        <is>
          <t>★★★★★</t>
        </is>
      </c>
      <c r="C9" s="25" t="inlineStr">
        <is>
          <t>5 – Core fit (embedded/biomedical/health tech)</t>
        </is>
      </c>
      <c r="D9" s="25" t="inlineStr">
        <is>
          <t>Biomedical / Health tech</t>
        </is>
      </c>
      <c r="E9" s="26" t="inlineStr">
        <is>
          <t>Master indifférencié (recherche et professionnel) Sciences, Technologies, Santé mention Biologie Santé parcours Bioingénierie Moléculaire et Cellulaire</t>
        </is>
      </c>
      <c r="F9" s="26" t="inlineStr">
        <is>
          <t>Science, Technology, Health (STS) – major: Biology-Health – track: Bioengineering Molecular &amp; Cellular</t>
        </is>
      </c>
      <c r="G9" s="25" t="inlineStr">
        <is>
          <t>Master indifférencié (recherche et professionnel)</t>
        </is>
      </c>
      <c r="H9" s="25" t="inlineStr">
        <is>
          <t>UFR de Chimie et Biologie</t>
        </is>
      </c>
      <c r="I9" s="25" t="inlineStr">
        <is>
          <t>Université de Grenoble Alpes</t>
        </is>
      </c>
      <c r="J9" s="25" t="inlineStr">
        <is>
          <t>Site de Grenoble - Campus de Saint Martin d'Hères</t>
        </is>
      </c>
      <c r="K9" s="25" t="n"/>
      <c r="L9" s="25" t="inlineStr">
        <is>
          <t>Public university</t>
        </is>
      </c>
      <c r="M9" s="25" t="inlineStr">
        <is>
          <t>English</t>
        </is>
      </c>
      <c r="N9" s="25" t="inlineStr">
        <is>
          <t>Taught in English</t>
        </is>
      </c>
      <c r="O9" s="25" t="inlineStr">
        <is>
          <t>Bac +4</t>
        </is>
      </c>
      <c r="P9" s="26" t="inlineStr">
        <is>
          <t>Eligible on level (4-yr BS ≈ Bac+4)</t>
        </is>
      </c>
      <c r="Q9" s="25" t="inlineStr">
        <is>
          <t>1</t>
        </is>
      </c>
      <c r="R9" s="25" t="n"/>
      <c r="S9" s="27" t="n">
        <v>3950</v>
      </c>
      <c r="T9" s="27" t="n">
        <v>255</v>
      </c>
      <c r="U9" s="25" t="n">
        <v>2</v>
      </c>
      <c r="V9" s="27">
        <f>IF(S9="","",S9*U9)</f>
        <v/>
      </c>
      <c r="W9" s="26" t="inlineStr">
        <is>
          <t>Not in catalogue. Public national master → 2026-27 differentiated fee €3,950; exemption to ~€254-255 depends on university quota (25% cap in 2027-28).</t>
        </is>
      </c>
      <c r="X9" s="25" t="inlineStr">
        <is>
          <t>Medium</t>
        </is>
      </c>
      <c r="Y9" s="25" t="n"/>
      <c r="Z9" s="26" t="n"/>
      <c r="AA9" s="26" t="inlineStr">
        <is>
          <t>UGA (incl. Grenoble INP masters): 2026-27 broad exemptions on request (pay national €254). From 2027-28 the decree caps apply; exemptions based on resources.</t>
        </is>
      </c>
      <c r="AB9" s="28" t="inlineStr">
        <is>
          <t>https://www.univ-grenoble-alpes.fr/actualites/a-la-une/actualites-universite/etudiants-internationaux-ce-que-change-le-nouveau-decret-sur-les-droits-d-inscription-a-l-uga-1775870.kjsp</t>
        </is>
      </c>
      <c r="AC9" s="25" t="inlineStr">
        <is>
          <t>Open</t>
        </is>
      </c>
      <c r="AD9" s="25" t="inlineStr">
        <is>
          <t>2026-10-01</t>
        </is>
      </c>
      <c r="AE9" s="25" t="inlineStr">
        <is>
          <t>2027-03-15</t>
        </is>
      </c>
      <c r="AF9" s="25" t="inlineStr">
        <is>
          <t>No</t>
        </is>
      </c>
      <c r="AG9" s="28" t="inlineStr">
        <is>
          <t>https://formations.univ-grenoble-alpes.fr/fr/offre-de-formation/master-XB/master-biologie-sante-IAQKB0GE/parcours-molecular-and-cellular-biology-1re-annee-IK43J2QV.html</t>
        </is>
      </c>
      <c r="AH9" s="26" t="inlineStr">
        <is>
          <t>The "Bioingénierie Moléculaire et Cellulaire" M1 program is open to students having completed a bachelor’s degree in Sciences or are enrolled in the ﬁnal semester of a bachelor’s program in Sciences with a solid backgrou</t>
        </is>
      </c>
      <c r="AI9" s="28" t="inlineStr">
        <is>
          <t>Open in EEF</t>
        </is>
      </c>
    </row>
    <row r="10" ht="32.8" customHeight="1" s="19">
      <c r="A10" s="25" t="n">
        <v>9</v>
      </c>
      <c r="B10" s="25" t="inlineStr">
        <is>
          <t>★★★★★</t>
        </is>
      </c>
      <c r="C10" s="25" t="inlineStr">
        <is>
          <t>5 – Core fit (embedded/biomedical/health tech)</t>
        </is>
      </c>
      <c r="D10" s="25" t="inlineStr">
        <is>
          <t>Biomedical / Health tech</t>
        </is>
      </c>
      <c r="E10" s="26" t="inlineStr">
        <is>
          <t>Master indifférencié (recherche et professionnel) Sciences, Technologies, Santé mention Ingénierie de la santé parcours Bio Health Engineering</t>
        </is>
      </c>
      <c r="F10" s="26" t="inlineStr">
        <is>
          <t>Science, Technology, Health (STS) – major: Health Engineering – track: Bio Health Engineering</t>
        </is>
      </c>
      <c r="G10" s="25" t="inlineStr">
        <is>
          <t>Master indifférencié (recherche et professionnel)</t>
        </is>
      </c>
      <c r="H10" s="25" t="inlineStr">
        <is>
          <t>UFR Médecine - Pharmacie</t>
        </is>
      </c>
      <c r="I10" s="25" t="inlineStr">
        <is>
          <t>Université de Grenoble Alpes</t>
        </is>
      </c>
      <c r="J10" s="25" t="inlineStr">
        <is>
          <t>Site de Grenoble - Campus de La Merci - La Tronche</t>
        </is>
      </c>
      <c r="K10" s="25" t="n"/>
      <c r="L10" s="25" t="inlineStr">
        <is>
          <t>Public university</t>
        </is>
      </c>
      <c r="M10" s="25" t="inlineStr">
        <is>
          <t>English</t>
        </is>
      </c>
      <c r="N10" s="25" t="inlineStr">
        <is>
          <t>Taught in English</t>
        </is>
      </c>
      <c r="O10" s="25" t="inlineStr">
        <is>
          <t>Bac +4 / Bac +5</t>
        </is>
      </c>
      <c r="P10" s="26" t="inlineStr">
        <is>
          <t>Eligible on level (4-yr BS ≈ Bac+4)</t>
        </is>
      </c>
      <c r="Q10" s="25" t="inlineStr">
        <is>
          <t>1/2</t>
        </is>
      </c>
      <c r="R10" s="25" t="n"/>
      <c r="S10" s="27" t="n">
        <v>3950</v>
      </c>
      <c r="T10" s="27" t="n">
        <v>255</v>
      </c>
      <c r="U10" s="25" t="n">
        <v>2</v>
      </c>
      <c r="V10" s="27">
        <f>IF(S10="","",S10*U10)</f>
        <v/>
      </c>
      <c r="W10" s="26" t="inlineStr">
        <is>
          <t>Not in catalogue. Public national master → 2026-27 differentiated fee €3,950; exemption to ~€254-255 depends on university quota (25% cap in 2027-28).</t>
        </is>
      </c>
      <c r="X10" s="25" t="inlineStr">
        <is>
          <t>Medium</t>
        </is>
      </c>
      <c r="Y10" s="25" t="n"/>
      <c r="Z10" s="26" t="n"/>
      <c r="AA10" s="26" t="inlineStr">
        <is>
          <t>UGA (incl. Grenoble INP masters): 2026-27 broad exemptions on request (pay national €254). From 2027-28 the decree caps apply; exemptions based on resources.</t>
        </is>
      </c>
      <c r="AB10" s="28" t="inlineStr">
        <is>
          <t>https://www.univ-grenoble-alpes.fr/actualites/a-la-une/actualites-universite/etudiants-internationaux-ce-que-change-le-nouveau-decret-sur-les-droits-d-inscription-a-l-uga-1775870.kjsp</t>
        </is>
      </c>
      <c r="AC10" s="25" t="inlineStr">
        <is>
          <t>Open</t>
        </is>
      </c>
      <c r="AD10" s="25" t="inlineStr">
        <is>
          <t>2026-10-01</t>
        </is>
      </c>
      <c r="AE10" s="25" t="inlineStr">
        <is>
          <t>2027-03-15</t>
        </is>
      </c>
      <c r="AF10" s="25" t="inlineStr">
        <is>
          <t>No</t>
        </is>
      </c>
      <c r="AG10" s="28" t="inlineStr">
        <is>
          <t>https://formations.univ-grenoble-alpes.fr/fr/catalogue-2021/master-XB/master-ingenierie-de-la-sante-IAQKSXOB.html</t>
        </is>
      </c>
      <c r="AH10" s="26" t="inlineStr">
        <is>
          <t>Requirement M1: - Strong theoritical and practical skills in biology or biochemistry or pharmaceutical sciences or biotechnologies. - B2 level in english mandatory. Requirement M2: - Strong theoritical and practical skil</t>
        </is>
      </c>
      <c r="AI10" s="28" t="inlineStr">
        <is>
          <t>Open in EEF</t>
        </is>
      </c>
    </row>
    <row r="11" ht="32.8" customHeight="1" s="19">
      <c r="A11" s="25" t="n">
        <v>10</v>
      </c>
      <c r="B11" s="25" t="inlineStr">
        <is>
          <t>★★★★★</t>
        </is>
      </c>
      <c r="C11" s="25" t="inlineStr">
        <is>
          <t>5 – Core fit (embedded/biomedical/health tech)</t>
        </is>
      </c>
      <c r="D11" s="25" t="inlineStr">
        <is>
          <t>Biomedical / Health tech</t>
        </is>
      </c>
      <c r="E11" s="26" t="inlineStr">
        <is>
          <t>Master indifférencié (recherche et professionnel) Sciences, technologies, santé mention sciences du vivant parcours Biomedical and Computational Sciences in Ageing (imAGEin)</t>
        </is>
      </c>
      <c r="F11" s="26" t="inlineStr">
        <is>
          <t>Science, Technology, Health (STS) – major: Sciences of Life – track: Biomedical and Computational Sciences in Ageing (imAGEin)</t>
        </is>
      </c>
      <c r="G11" s="25" t="inlineStr">
        <is>
          <t>Master indifférencié (recherche et professionnel)</t>
        </is>
      </c>
      <c r="H11" s="25" t="inlineStr">
        <is>
          <t>Sciences</t>
        </is>
      </c>
      <c r="I11" s="25" t="inlineStr">
        <is>
          <t>Université Côte d'Azur</t>
        </is>
      </c>
      <c r="J11" s="25" t="inlineStr">
        <is>
          <t>Site de Nice</t>
        </is>
      </c>
      <c r="K11" s="25" t="n"/>
      <c r="L11" s="25" t="inlineStr">
        <is>
          <t>Public university</t>
        </is>
      </c>
      <c r="M11" s="25" t="inlineStr">
        <is>
          <t>English</t>
        </is>
      </c>
      <c r="N11" s="25" t="inlineStr">
        <is>
          <t>General</t>
        </is>
      </c>
      <c r="O11" s="25" t="inlineStr">
        <is>
          <t>Bac +3</t>
        </is>
      </c>
      <c r="P11" s="26" t="inlineStr">
        <is>
          <t>Eligible on level (4-yr BS ≈ Bac+4)</t>
        </is>
      </c>
      <c r="Q11" s="25" t="inlineStr">
        <is>
          <t>1</t>
        </is>
      </c>
      <c r="R11" s="25" t="n"/>
      <c r="S11" s="27" t="n">
        <v>3950</v>
      </c>
      <c r="T11" s="27" t="n">
        <v>255</v>
      </c>
      <c r="U11" s="25" t="n">
        <v>2</v>
      </c>
      <c r="V11" s="27">
        <f>IF(S11="","",S11*U11)</f>
        <v/>
      </c>
      <c r="W11" s="26" t="inlineStr">
        <is>
          <t>Not in catalogue. Public national master → 2026-27 differentiated fee €3,950; exemption to ~€254-255 depends on university quota (25% cap in 2027-28).</t>
        </is>
      </c>
      <c r="X11" s="25" t="inlineStr">
        <is>
          <t>Medium</t>
        </is>
      </c>
      <c r="Y11" s="25" t="n"/>
      <c r="Z11" s="26" t="n"/>
      <c r="AA11" s="26" t="n"/>
      <c r="AB11" s="25" t="n"/>
      <c r="AC11" s="25" t="inlineStr">
        <is>
          <t>Open</t>
        </is>
      </c>
      <c r="AD11" s="25" t="inlineStr">
        <is>
          <t>2026-10-01</t>
        </is>
      </c>
      <c r="AE11" s="25" t="inlineStr">
        <is>
          <t>2027-03-15</t>
        </is>
      </c>
      <c r="AF11" s="25" t="inlineStr">
        <is>
          <t>Yes</t>
        </is>
      </c>
      <c r="AG11" s="28" t="inlineStr">
        <is>
          <t>https://life.univ-cotedazur.fr/international/imagein</t>
        </is>
      </c>
      <c r="AH11" s="26" t="inlineStr">
        <is>
          <t>Consulter le site web</t>
        </is>
      </c>
      <c r="AI11" s="28" t="inlineStr">
        <is>
          <t>Open in EEF</t>
        </is>
      </c>
    </row>
    <row r="12" ht="32.8" customHeight="1" s="19">
      <c r="A12" s="25" t="n">
        <v>11</v>
      </c>
      <c r="B12" s="25" t="inlineStr">
        <is>
          <t>★★★★★</t>
        </is>
      </c>
      <c r="C12" s="25" t="inlineStr">
        <is>
          <t>5 – Core fit (embedded/biomedical/health tech)</t>
        </is>
      </c>
      <c r="D12" s="25" t="inlineStr">
        <is>
          <t>IoT / Telecom / Networks</t>
        </is>
      </c>
      <c r="E12" s="26" t="inlineStr">
        <is>
          <t>Master Sciences, technologies, santé mention informatique parcours Internet of Things</t>
        </is>
      </c>
      <c r="F12" s="26" t="inlineStr">
        <is>
          <t>Master Science, Technology, Health (STS) – major: Computer Science – track: Internet of Things</t>
        </is>
      </c>
      <c r="G12" s="25" t="inlineStr">
        <is>
          <t>Master indifférencié (recherche et professionnel)</t>
        </is>
      </c>
      <c r="H12" s="25" t="inlineStr">
        <is>
          <t>UFR Sciences, Techniques et Gestion de l'Industrie</t>
        </is>
      </c>
      <c r="I12" s="25" t="inlineStr">
        <is>
          <t>Université Marie et Louis Pasteur</t>
        </is>
      </c>
      <c r="J12" s="25" t="inlineStr">
        <is>
          <t>Site de Montbéliard</t>
        </is>
      </c>
      <c r="K12" s="25" t="inlineStr">
        <is>
          <t>25211 MONTBELIARD CEDEX</t>
        </is>
      </c>
      <c r="L12" s="25" t="inlineStr">
        <is>
          <t>Public university</t>
        </is>
      </c>
      <c r="M12" s="25" t="inlineStr">
        <is>
          <t>English</t>
        </is>
      </c>
      <c r="N12" s="25" t="inlineStr">
        <is>
          <t>General</t>
        </is>
      </c>
      <c r="O12" s="25" t="inlineStr">
        <is>
          <t>Bac +4 / Bac +5</t>
        </is>
      </c>
      <c r="P12" s="26" t="inlineStr">
        <is>
          <t>Eligible on level (4-yr BS ≈ Bac+4)</t>
        </is>
      </c>
      <c r="Q12" s="25" t="inlineStr">
        <is>
          <t>1/2</t>
        </is>
      </c>
      <c r="R12" s="25" t="inlineStr">
        <is>
          <t>12</t>
        </is>
      </c>
      <c r="S12" s="27" t="n">
        <v>3950</v>
      </c>
      <c r="T12" s="27" t="n">
        <v>255</v>
      </c>
      <c r="U12" s="25" t="n">
        <v>2</v>
      </c>
      <c r="V12" s="27">
        <f>IF(S12="","",S12*U12)</f>
        <v/>
      </c>
      <c r="W12" s="26" t="inlineStr">
        <is>
          <t>Not in catalogue. Public national master → 2026-27 differentiated fee €3,950; exemption to ~€254-255 depends on university quota (25% cap in 2027-28).</t>
        </is>
      </c>
      <c r="X12" s="25" t="inlineStr">
        <is>
          <t>Medium</t>
        </is>
      </c>
      <c r="Y12" s="25" t="n"/>
      <c r="Z12" s="26" t="inlineStr">
        <is>
          <t>(Pour information, le montant de la CVEC, pour la rentrée 2026-2027, était de 105€) … (Pour information, le montant de la CVEC, pour la rentrée 2025-2026, était de 105€)</t>
        </is>
      </c>
      <c r="AA12" s="26" t="inlineStr">
        <is>
          <t>UMLP: individual exemption requests assessed on personal resources.</t>
        </is>
      </c>
      <c r="AB12" s="28" t="inlineStr">
        <is>
          <t>https://www.umlp.fr/sites/default/files/2026-07-02-page-droits-differencies-vf.pdf</t>
        </is>
      </c>
      <c r="AC12" s="25" t="inlineStr">
        <is>
          <t>Open</t>
        </is>
      </c>
      <c r="AD12" s="25" t="inlineStr">
        <is>
          <t>2026-10-01</t>
        </is>
      </c>
      <c r="AE12" s="25" t="inlineStr">
        <is>
          <t>2027-03-15</t>
        </is>
      </c>
      <c r="AF12" s="25" t="inlineStr">
        <is>
          <t>No</t>
        </is>
      </c>
      <c r="AG12" s="28" t="inlineStr">
        <is>
          <t>https://stgi.umlp.fr/</t>
        </is>
      </c>
      <c r="AH12" s="26" t="inlineStr">
        <is>
          <t>Le Master Internet of Things (IOT) est un Master en Informatique spécialisé dans le développement des objets communiquants. Il est attendu des candidats en M1 : Licence Informatique avec de bonnes connaissances en algori</t>
        </is>
      </c>
      <c r="AI12" s="28" t="inlineStr">
        <is>
          <t>Open in EEF</t>
        </is>
      </c>
    </row>
    <row r="13" ht="32.8" customHeight="1" s="19">
      <c r="A13" s="25" t="n">
        <v>12</v>
      </c>
      <c r="B13" s="25" t="inlineStr">
        <is>
          <t>★★★★★</t>
        </is>
      </c>
      <c r="C13" s="25" t="inlineStr">
        <is>
          <t>5 – Core fit (embedded/biomedical/health tech)</t>
        </is>
      </c>
      <c r="D13" s="25" t="inlineStr">
        <is>
          <t>Biomedical / Health tech</t>
        </is>
      </c>
      <c r="E13" s="26" t="inlineStr">
        <is>
          <t>Master indifférencié (recherche et professionnel) Sciences, technologies, santé mention Biotechnologies parcours Biomédicaments : conception et production</t>
        </is>
      </c>
      <c r="F13" s="26" t="inlineStr">
        <is>
          <t>Science, Technology, Health (STS) – major: Biotechnologies – track: Biodrugs : Design &amp; Production</t>
        </is>
      </c>
      <c r="G13" s="25" t="inlineStr">
        <is>
          <t>Master indifférencié (recherche et professionnel)</t>
        </is>
      </c>
      <c r="H13" s="25" t="inlineStr">
        <is>
          <t>Faculté de pharmacie</t>
        </is>
      </c>
      <c r="I13" s="25" t="inlineStr">
        <is>
          <t>Université de Strasbourg</t>
        </is>
      </c>
      <c r="J13" s="25" t="inlineStr">
        <is>
          <t>Site de Illkirch-Graffenstaden</t>
        </is>
      </c>
      <c r="K13" s="25" t="n"/>
      <c r="L13" s="25" t="inlineStr">
        <is>
          <t>Public university</t>
        </is>
      </c>
      <c r="M13" s="25" t="inlineStr">
        <is>
          <t>French &amp; English</t>
        </is>
      </c>
      <c r="N13" s="25" t="inlineStr">
        <is>
          <t>General</t>
        </is>
      </c>
      <c r="O13" s="25" t="inlineStr">
        <is>
          <t>Bac +4</t>
        </is>
      </c>
      <c r="P13" s="26" t="inlineStr">
        <is>
          <t>Eligible on level (4-yr BS ≈ Bac+4)</t>
        </is>
      </c>
      <c r="Q13" s="25" t="inlineStr">
        <is>
          <t>1</t>
        </is>
      </c>
      <c r="R13" s="25" t="n"/>
      <c r="S13" s="27" t="n">
        <v>3950</v>
      </c>
      <c r="T13" s="27" t="n">
        <v>255</v>
      </c>
      <c r="U13" s="25" t="n">
        <v>2</v>
      </c>
      <c r="V13" s="27">
        <f>IF(S13="","",S13*U13)</f>
        <v/>
      </c>
      <c r="W13" s="26" t="inlineStr">
        <is>
          <t>Catalogue: €3,950. = national differentiated master fee (2026-27: €3,950). Exemption to ~€255 possible (university quota).</t>
        </is>
      </c>
      <c r="X13" s="25" t="inlineStr">
        <is>
          <t>High</t>
        </is>
      </c>
      <c r="Y13" s="25" t="inlineStr">
        <is>
          <t>3950</t>
        </is>
      </c>
      <c r="Z13" s="26" t="n"/>
      <c r="AA13" s="26" t="inlineStr">
        <is>
          <t>Unistra: master entrants who did not do their licence at Unistra pay the differentiated fee (€3,950).</t>
        </is>
      </c>
      <c r="AB13" s="28" t="inlineStr">
        <is>
          <t>https://www.unistra.fr/fr/node/8168</t>
        </is>
      </c>
      <c r="AC13" s="25" t="inlineStr">
        <is>
          <t>Open</t>
        </is>
      </c>
      <c r="AD13" s="25" t="inlineStr">
        <is>
          <t>2026-10-01</t>
        </is>
      </c>
      <c r="AE13" s="25" t="inlineStr">
        <is>
          <t>2027-03-15</t>
        </is>
      </c>
      <c r="AF13" s="25" t="inlineStr">
        <is>
          <t>No</t>
        </is>
      </c>
      <c r="AG13" s="28" t="inlineStr">
        <is>
          <t>https://pharmacie.unistra.fr</t>
        </is>
      </c>
      <c r="AH13" s="26" t="inlineStr">
        <is>
          <t>Entrée en M1 avoir effectué un curus en : - biologie cellulaire et moléculaire, biochimie, - avoir des bases en chimie Entrée en M2 avoir effectué un cursus en - biologie moléculaire et cellulaire avancée, - avoir des ba</t>
        </is>
      </c>
      <c r="AI13" s="28" t="inlineStr">
        <is>
          <t>Open in EEF</t>
        </is>
      </c>
    </row>
    <row r="14" ht="32.8" customHeight="1" s="19">
      <c r="A14" s="25" t="n">
        <v>13</v>
      </c>
      <c r="B14" s="25" t="inlineStr">
        <is>
          <t>★★★★★</t>
        </is>
      </c>
      <c r="C14" s="25" t="inlineStr">
        <is>
          <t>5 – Core fit (embedded/biomedical/health tech)</t>
        </is>
      </c>
      <c r="D14" s="25" t="inlineStr">
        <is>
          <t>Biomedical / Health tech</t>
        </is>
      </c>
      <c r="E14" s="26" t="inlineStr">
        <is>
          <t>Master indifférencié (recherche et professionnel) Sciences, technologies, santé mention sciences du vivant parcours Bioinformatique et Bioimagerie Structurale</t>
        </is>
      </c>
      <c r="F14" s="26" t="inlineStr">
        <is>
          <t>Science, Technology, Health (STS) – major: Sciences of Life – track: Bioinformatics &amp; Bioimagerie Structural</t>
        </is>
      </c>
      <c r="G14" s="25" t="inlineStr">
        <is>
          <t>Master indifférencié (recherche et professionnel)</t>
        </is>
      </c>
      <c r="H14" s="25" t="inlineStr">
        <is>
          <t>Faculté des sciences de la vie</t>
        </is>
      </c>
      <c r="I14" s="25" t="inlineStr">
        <is>
          <t>Université de Strasbourg</t>
        </is>
      </c>
      <c r="J14" s="25" t="inlineStr">
        <is>
          <t>Site de Strasbourg</t>
        </is>
      </c>
      <c r="K14" s="25" t="inlineStr">
        <is>
          <t>67000 Strasbourg</t>
        </is>
      </c>
      <c r="L14" s="25" t="inlineStr">
        <is>
          <t>Public university</t>
        </is>
      </c>
      <c r="M14" s="25" t="inlineStr">
        <is>
          <t>French &amp; English</t>
        </is>
      </c>
      <c r="N14" s="25" t="inlineStr">
        <is>
          <t>General</t>
        </is>
      </c>
      <c r="O14" s="25" t="inlineStr">
        <is>
          <t>Bac +4 / Bac +5</t>
        </is>
      </c>
      <c r="P14" s="26" t="inlineStr">
        <is>
          <t>Eligible on level (4-yr BS ≈ Bac+4)</t>
        </is>
      </c>
      <c r="Q14" s="25" t="inlineStr">
        <is>
          <t>1/2</t>
        </is>
      </c>
      <c r="R14" s="25" t="n"/>
      <c r="S14" s="27" t="n">
        <v>3950</v>
      </c>
      <c r="T14" s="27" t="n">
        <v>255</v>
      </c>
      <c r="U14" s="25" t="n">
        <v>2</v>
      </c>
      <c r="V14" s="27">
        <f>IF(S14="","",S14*U14)</f>
        <v/>
      </c>
      <c r="W14" s="26" t="inlineStr">
        <is>
          <t>Catalogue: €3,950. = national differentiated master fee (2026-27: €3,950). Exemption to ~€255 possible (university quota).</t>
        </is>
      </c>
      <c r="X14" s="25" t="inlineStr">
        <is>
          <t>High</t>
        </is>
      </c>
      <c r="Y14" s="25" t="inlineStr">
        <is>
          <t>3950</t>
        </is>
      </c>
      <c r="Z14" s="26" t="n"/>
      <c r="AA14" s="26" t="inlineStr">
        <is>
          <t>Unistra: master entrants who did not do their licence at Unistra pay the differentiated fee (€3,950).</t>
        </is>
      </c>
      <c r="AB14" s="28" t="inlineStr">
        <is>
          <t>https://www.unistra.fr/fr/node/8168</t>
        </is>
      </c>
      <c r="AC14" s="25" t="inlineStr">
        <is>
          <t>Open</t>
        </is>
      </c>
      <c r="AD14" s="25" t="inlineStr">
        <is>
          <t>2026-10-01</t>
        </is>
      </c>
      <c r="AE14" s="25" t="inlineStr">
        <is>
          <t>2027-03-15</t>
        </is>
      </c>
      <c r="AF14" s="25" t="inlineStr">
        <is>
          <t>No</t>
        </is>
      </c>
      <c r="AG14" s="28" t="inlineStr">
        <is>
          <t>http://sciencesvie.unistra.fr/</t>
        </is>
      </c>
      <c r="AH14" s="26" t="inlineStr">
        <is>
          <t>M1 : Cette formation s’adresse aux étudiants désirant acquérir une formation pluridisciplinaire alliant une culture biologique à une maîtrise ou une expertise de plusieurs outils et méthodes informatiques, bioinformatiqu</t>
        </is>
      </c>
      <c r="AI14" s="28" t="inlineStr">
        <is>
          <t>Open in EEF</t>
        </is>
      </c>
    </row>
    <row r="15" ht="32.8" customHeight="1" s="19">
      <c r="A15" s="25" t="n">
        <v>14</v>
      </c>
      <c r="B15" s="25" t="inlineStr">
        <is>
          <t>★★★★★</t>
        </is>
      </c>
      <c r="C15" s="25" t="inlineStr">
        <is>
          <t>5 – Core fit (embedded/biomedical/health tech)</t>
        </is>
      </c>
      <c r="D15" s="25" t="inlineStr">
        <is>
          <t>IoT / Telecom / Networks</t>
        </is>
      </c>
      <c r="E15" s="26" t="inlineStr">
        <is>
          <t>Master indifférencié (recherche et professionnel) Sciences, technologies, santé mention Traitement du signal et des images parcours EUR Smart IoT</t>
        </is>
      </c>
      <c r="F15" s="26" t="inlineStr">
        <is>
          <t>Science, Technology, Health (STS) – major: Signal &amp; Image Processing – track: EUR Smart IoT</t>
        </is>
      </c>
      <c r="G15" s="25" t="inlineStr">
        <is>
          <t>Master indifférencié (recherche et professionnel)</t>
        </is>
      </c>
      <c r="H15" s="25" t="inlineStr">
        <is>
          <t>UFR de sciences fondamentales et appliquées - Université de Poitiers</t>
        </is>
      </c>
      <c r="I15" s="25" t="inlineStr">
        <is>
          <t>Université de Poitiers</t>
        </is>
      </c>
      <c r="J15" s="25" t="inlineStr">
        <is>
          <t>Site de Poitiers</t>
        </is>
      </c>
      <c r="K15" s="25" t="n"/>
      <c r="L15" s="25" t="inlineStr">
        <is>
          <t>Public university</t>
        </is>
      </c>
      <c r="M15" s="25" t="inlineStr">
        <is>
          <t>French &amp; English</t>
        </is>
      </c>
      <c r="N15" s="25" t="inlineStr">
        <is>
          <t>Taught in English</t>
        </is>
      </c>
      <c r="O15" s="25" t="inlineStr">
        <is>
          <t>Bac +4 / Bac +5</t>
        </is>
      </c>
      <c r="P15" s="26" t="inlineStr">
        <is>
          <t>Eligible on level (4-yr BS ≈ Bac+4)</t>
        </is>
      </c>
      <c r="Q15" s="25" t="inlineStr">
        <is>
          <t>1/2</t>
        </is>
      </c>
      <c r="R15" s="25" t="n"/>
      <c r="S15" s="27" t="n">
        <v>3950</v>
      </c>
      <c r="T15" s="27" t="n">
        <v>255</v>
      </c>
      <c r="U15" s="25" t="n">
        <v>2</v>
      </c>
      <c r="V15" s="27">
        <f>IF(S15="","",S15*U15)</f>
        <v/>
      </c>
      <c r="W15" s="26" t="inlineStr">
        <is>
          <t>Catalogue: €3,950. = national differentiated master fee (2026-27: €3,950). Exemption to ~€255 possible (university quota).</t>
        </is>
      </c>
      <c r="X15" s="25" t="inlineStr">
        <is>
          <t>High</t>
        </is>
      </c>
      <c r="Y15" s="25" t="inlineStr">
        <is>
          <t>3950</t>
        </is>
      </c>
      <c r="Z15" s="26" t="n"/>
      <c r="AA15" s="26" t="n"/>
      <c r="AB15" s="25" t="n"/>
      <c r="AC15" s="25" t="inlineStr">
        <is>
          <t>Open</t>
        </is>
      </c>
      <c r="AD15" s="25" t="inlineStr">
        <is>
          <t>2026-10-01</t>
        </is>
      </c>
      <c r="AE15" s="25" t="inlineStr">
        <is>
          <t>2027-03-15</t>
        </is>
      </c>
      <c r="AF15" s="25" t="inlineStr">
        <is>
          <t>No</t>
        </is>
      </c>
      <c r="AG15" s="28" t="inlineStr">
        <is>
          <t>https://www.unilim.fr/gradschool-ceramics-ict/formation/smart-iot/</t>
        </is>
      </c>
      <c r="AH15" s="26" t="inlineStr">
        <is>
          <t>Year 1 The admissions committee will focus in particular on the candidate’s grades in subjects related to the intended field of study and on the candidate’s ability to articulate their motivations and career goals. Minim</t>
        </is>
      </c>
      <c r="AI15" s="28" t="inlineStr">
        <is>
          <t>Open in EEF</t>
        </is>
      </c>
    </row>
    <row r="16" ht="22.35" customHeight="1" s="19">
      <c r="A16" s="25" t="n">
        <v>15</v>
      </c>
      <c r="B16" s="25" t="inlineStr">
        <is>
          <t>★★★★★</t>
        </is>
      </c>
      <c r="C16" s="25" t="inlineStr">
        <is>
          <t>5 – Core fit (embedded/biomedical/health tech)</t>
        </is>
      </c>
      <c r="D16" s="25" t="inlineStr">
        <is>
          <t>Biomedical / Health tech</t>
        </is>
      </c>
      <c r="E16" s="26" t="inlineStr">
        <is>
          <t>Master Sciences, technologies, santé, mention Ingéniérie de la santé parcours Biomatériaux et bio ingénierie pour la santé</t>
        </is>
      </c>
      <c r="F16" s="26" t="inlineStr">
        <is>
          <t>Master Science, Technology, Health (STS), – major: Engineering of the Health – track: Biomaterials &amp; bio Engineering for Health</t>
        </is>
      </c>
      <c r="G16" s="25" t="inlineStr">
        <is>
          <t>Master indifférencié (recherche et professionnel)</t>
        </is>
      </c>
      <c r="H16" s="25" t="inlineStr">
        <is>
          <t>Faculté de chirurgie dentaire</t>
        </is>
      </c>
      <c r="I16" s="25" t="inlineStr">
        <is>
          <t>Université de Strasbourg</t>
        </is>
      </c>
      <c r="J16" s="25" t="inlineStr">
        <is>
          <t>Site de Strasbourg</t>
        </is>
      </c>
      <c r="K16" s="25" t="n"/>
      <c r="L16" s="25" t="inlineStr">
        <is>
          <t>Public university</t>
        </is>
      </c>
      <c r="M16" s="25" t="inlineStr">
        <is>
          <t>French &amp; English</t>
        </is>
      </c>
      <c r="N16" s="25" t="inlineStr">
        <is>
          <t>General</t>
        </is>
      </c>
      <c r="O16" s="25" t="inlineStr">
        <is>
          <t>Bac +4 / Bac +5</t>
        </is>
      </c>
      <c r="P16" s="26" t="inlineStr">
        <is>
          <t>Eligible on level (4-yr BS ≈ Bac+4)</t>
        </is>
      </c>
      <c r="Q16" s="25" t="inlineStr">
        <is>
          <t>1/2</t>
        </is>
      </c>
      <c r="R16" s="25" t="n"/>
      <c r="S16" s="27" t="n">
        <v>3950</v>
      </c>
      <c r="T16" s="27" t="n">
        <v>255</v>
      </c>
      <c r="U16" s="25" t="n">
        <v>2</v>
      </c>
      <c r="V16" s="27">
        <f>IF(S16="","",S16*U16)</f>
        <v/>
      </c>
      <c r="W16" s="26" t="inlineStr">
        <is>
          <t>Catalogue: €3,950. = national differentiated master fee (2026-27: €3,950). Exemption to ~€255 possible (university quota).</t>
        </is>
      </c>
      <c r="X16" s="25" t="inlineStr">
        <is>
          <t>High</t>
        </is>
      </c>
      <c r="Y16" s="25" t="inlineStr">
        <is>
          <t>3950</t>
        </is>
      </c>
      <c r="Z16" s="26" t="n"/>
      <c r="AA16" s="26" t="inlineStr">
        <is>
          <t>Unistra: master entrants who did not do their licence at Unistra pay the differentiated fee (€3,950).</t>
        </is>
      </c>
      <c r="AB16" s="28" t="inlineStr">
        <is>
          <t>https://www.unistra.fr/fr/node/8168</t>
        </is>
      </c>
      <c r="AC16" s="25" t="inlineStr">
        <is>
          <t>Open</t>
        </is>
      </c>
      <c r="AD16" s="25" t="inlineStr">
        <is>
          <t>2026-10-01</t>
        </is>
      </c>
      <c r="AE16" s="25" t="inlineStr">
        <is>
          <t>2027-03-15</t>
        </is>
      </c>
      <c r="AF16" s="25" t="inlineStr">
        <is>
          <t>No</t>
        </is>
      </c>
      <c r="AG16" s="28" t="inlineStr">
        <is>
          <t>https://chirurgie-dentaire.unistra.fr/</t>
        </is>
      </c>
      <c r="AH16" s="26" t="inlineStr">
        <is>
          <t>Formation à enseignement mixte : français/anglais. Niveau de langue (anglais B1, français C1)</t>
        </is>
      </c>
      <c r="AI16" s="28" t="inlineStr">
        <is>
          <t>Open in EEF</t>
        </is>
      </c>
    </row>
    <row r="17" ht="32.8" customHeight="1" s="19">
      <c r="A17" s="25" t="n">
        <v>16</v>
      </c>
      <c r="B17" s="25" t="inlineStr">
        <is>
          <t>★★★★★</t>
        </is>
      </c>
      <c r="C17" s="25" t="inlineStr">
        <is>
          <t>5 – Core fit (embedded/biomedical/health tech)</t>
        </is>
      </c>
      <c r="D17" s="25" t="inlineStr">
        <is>
          <t>Biomedical / Health tech</t>
        </is>
      </c>
      <c r="E17" s="26" t="inlineStr">
        <is>
          <t>Master Sciences, technologies, santé, mention Ingénierie de la santé parcours Jumeaux numériques pour la santé</t>
        </is>
      </c>
      <c r="F17" s="26" t="inlineStr">
        <is>
          <t>Master Science, Technology, Health (STS), – major: Health Engineering – track: Jumeaux Digital for the Health</t>
        </is>
      </c>
      <c r="G17" s="25" t="inlineStr">
        <is>
          <t>Master indifférencié (recherche et professionnel)</t>
        </is>
      </c>
      <c r="H17" s="25" t="inlineStr">
        <is>
          <t>Université de technologie de Compiègne</t>
        </is>
      </c>
      <c r="I17" s="25" t="n"/>
      <c r="J17" s="25" t="inlineStr">
        <is>
          <t>Site de Compiègne</t>
        </is>
      </c>
      <c r="K17" s="25" t="n"/>
      <c r="L17" s="25" t="inlineStr">
        <is>
          <t>Public university</t>
        </is>
      </c>
      <c r="M17" s="25" t="inlineStr">
        <is>
          <t>French &amp; English</t>
        </is>
      </c>
      <c r="N17" s="25" t="inlineStr">
        <is>
          <t>General</t>
        </is>
      </c>
      <c r="O17" s="25" t="inlineStr">
        <is>
          <t>Bac +4 / Bac +5</t>
        </is>
      </c>
      <c r="P17" s="26" t="inlineStr">
        <is>
          <t>Eligible on level (4-yr BS ≈ Bac+4)</t>
        </is>
      </c>
      <c r="Q17" s="25" t="inlineStr">
        <is>
          <t>1/2</t>
        </is>
      </c>
      <c r="R17" s="25" t="n"/>
      <c r="S17" s="27" t="n">
        <v>3950</v>
      </c>
      <c r="T17" s="27" t="n">
        <v>255</v>
      </c>
      <c r="U17" s="25" t="n">
        <v>2</v>
      </c>
      <c r="V17" s="27">
        <f>IF(S17="","",S17*U17)</f>
        <v/>
      </c>
      <c r="W17" s="26" t="inlineStr">
        <is>
          <t>Catalogue: €3,950. = national differentiated master fee (2026-27: €3,950). Exemption to ~€255 possible (university quota).</t>
        </is>
      </c>
      <c r="X17" s="25" t="inlineStr">
        <is>
          <t>High</t>
        </is>
      </c>
      <c r="Y17" s="25" t="inlineStr">
        <is>
          <t>3950</t>
        </is>
      </c>
      <c r="Z17" s="26" t="n"/>
      <c r="AA17" s="26" t="n"/>
      <c r="AB17" s="25" t="n"/>
      <c r="AC17" s="25" t="inlineStr">
        <is>
          <t>Open</t>
        </is>
      </c>
      <c r="AD17" s="25" t="inlineStr">
        <is>
          <t>2026-10-01</t>
        </is>
      </c>
      <c r="AE17" s="25" t="inlineStr">
        <is>
          <t>2027-03-15</t>
        </is>
      </c>
      <c r="AF17" s="25" t="inlineStr">
        <is>
          <t>No</t>
        </is>
      </c>
      <c r="AG17" s="25" t="n"/>
      <c r="AH17" s="26" t="inlineStr">
        <is>
          <t>Parcours DTH Mentions de licences conseillées : Informatique Mathématiques Physique Mécanique Sciences et technologies Sciences pour l'ingénieur Attendus : Avoir des compétences en mathématiques appliquées, en mécanique</t>
        </is>
      </c>
      <c r="AI17" s="28" t="inlineStr">
        <is>
          <t>Open in EEF</t>
        </is>
      </c>
    </row>
    <row r="18" ht="32.8" customHeight="1" s="19">
      <c r="A18" s="25" t="n">
        <v>17</v>
      </c>
      <c r="B18" s="25" t="inlineStr">
        <is>
          <t>★★★★★</t>
        </is>
      </c>
      <c r="C18" s="25" t="inlineStr">
        <is>
          <t>5 – Core fit (embedded/biomedical/health tech)</t>
        </is>
      </c>
      <c r="D18" s="25" t="inlineStr">
        <is>
          <t>Biomedical / Health tech</t>
        </is>
      </c>
      <c r="E18" s="26" t="inlineStr">
        <is>
          <t>Master indifférencié (recherche et professionnel) Sciences, technologies, santé mention Electronique, énergie électrique, automatique parcours Ingénierie pour la santé</t>
        </is>
      </c>
      <c r="F18" s="26" t="inlineStr">
        <is>
          <t>Science, Technology, Health (STS) – major: Electronics, Electrical Energy &amp; Automation (EEA) – track: Engineering for Health</t>
        </is>
      </c>
      <c r="G18" s="25" t="inlineStr">
        <is>
          <t>Master indifférencié (recherche et professionnel)</t>
        </is>
      </c>
      <c r="H18" s="25" t="inlineStr">
        <is>
          <t>Sciences et Ingénierie</t>
        </is>
      </c>
      <c r="I18" s="25" t="inlineStr">
        <is>
          <t>Sorbonne Université</t>
        </is>
      </c>
      <c r="J18" s="25" t="inlineStr">
        <is>
          <t>Site de Paris</t>
        </is>
      </c>
      <c r="K18" s="25" t="n"/>
      <c r="L18" s="25" t="inlineStr">
        <is>
          <t>Public university</t>
        </is>
      </c>
      <c r="M18" s="25" t="inlineStr">
        <is>
          <t>French &amp; English</t>
        </is>
      </c>
      <c r="N18" s="25" t="inlineStr">
        <is>
          <t>General</t>
        </is>
      </c>
      <c r="O18" s="25" t="inlineStr">
        <is>
          <t>Bac +4 / Bac +5</t>
        </is>
      </c>
      <c r="P18" s="26" t="inlineStr">
        <is>
          <t>Eligible on level (4-yr BS ≈ Bac+4)</t>
        </is>
      </c>
      <c r="Q18" s="25" t="inlineStr">
        <is>
          <t>1/2</t>
        </is>
      </c>
      <c r="R18" s="25" t="n"/>
      <c r="S18" s="27" t="n">
        <v>3950</v>
      </c>
      <c r="T18" s="27" t="n">
        <v>255</v>
      </c>
      <c r="U18" s="25" t="n">
        <v>2</v>
      </c>
      <c r="V18" s="27">
        <f>IF(S18="","",S18*U18)</f>
        <v/>
      </c>
      <c r="W18" s="26" t="inlineStr">
        <is>
          <t>Not in catalogue. Public national master → 2026-27 differentiated fee €3,950; exemption to ~€254-255 depends on university quota (25% cap in 2027-28).</t>
        </is>
      </c>
      <c r="X18" s="25" t="inlineStr">
        <is>
          <t>Medium</t>
        </is>
      </c>
      <c r="Y18" s="25" t="n"/>
      <c r="Z18" s="26" t="n"/>
      <c r="AA18" s="26" t="inlineStr">
        <is>
          <t>Board vote 7 Jul 2026: Sorbonne Université says it can exempt all eligible non-EU applicants (pay same as EU, ~€254) for 2026-27.</t>
        </is>
      </c>
      <c r="AB18" s="28" t="inlineStr">
        <is>
          <t>https://www.sorbonne-universite.fr/actualites/le-conseil-dadministration-de-sorbonne-universite-vote-lunanimite-le-7-juillet-2026-sa</t>
        </is>
      </c>
      <c r="AC18" s="25" t="inlineStr">
        <is>
          <t>Open</t>
        </is>
      </c>
      <c r="AD18" s="25" t="inlineStr">
        <is>
          <t>2026-10-01</t>
        </is>
      </c>
      <c r="AE18" s="25" t="inlineStr">
        <is>
          <t>2027-03-15</t>
        </is>
      </c>
      <c r="AF18" s="25" t="inlineStr">
        <is>
          <t>No</t>
        </is>
      </c>
      <c r="AG18" s="28" t="inlineStr">
        <is>
          <t>https://masters-sdi.sorbonne-universite.fr/electronique-energie-electrique-automatique</t>
        </is>
      </c>
      <c r="AH18" s="26" t="n"/>
      <c r="AI18" s="28" t="inlineStr">
        <is>
          <t>Open in EEF</t>
        </is>
      </c>
    </row>
    <row r="19" ht="43.25" customHeight="1" s="19">
      <c r="A19" s="25" t="n">
        <v>18</v>
      </c>
      <c r="B19" s="25" t="inlineStr">
        <is>
          <t>★★★★★</t>
        </is>
      </c>
      <c r="C19" s="25" t="inlineStr">
        <is>
          <t>5 – Core fit (embedded/biomedical/health tech)</t>
        </is>
      </c>
      <c r="D19" s="25" t="inlineStr">
        <is>
          <t>Embedded systems / Electronics</t>
        </is>
      </c>
      <c r="E19" s="26" t="inlineStr">
        <is>
          <t>Master indifférencié (recherche et professionnel) Sciences, technologies, santé mention Electronique, énergie électrique, automatique parcours Microélectronique Intégration des Systèmes Temps Réels et Embarqués (EEA MISTRE)</t>
        </is>
      </c>
      <c r="F19" s="26" t="inlineStr">
        <is>
          <t>Science, Technology, Health (STS) – major: Electronics, Electrical Energy &amp; Automation (EEA) – track: Microelectronics Integration of Systems Real-Times &amp; Embedded (EEA MISTRE)</t>
        </is>
      </c>
      <c r="G19" s="25" t="inlineStr">
        <is>
          <t>Master indifférencié (recherche et professionnel)</t>
        </is>
      </c>
      <c r="H19" s="25" t="inlineStr">
        <is>
          <t>UFR de Physique, ingénierie, terre, environnement, mécanique</t>
        </is>
      </c>
      <c r="I19" s="25" t="inlineStr">
        <is>
          <t>Université de Grenoble Alpes</t>
        </is>
      </c>
      <c r="J19" s="25" t="inlineStr">
        <is>
          <t>Site de Grenoble - Polygone scientifique - GreEn-ER</t>
        </is>
      </c>
      <c r="K19" s="25" t="n"/>
      <c r="L19" s="25" t="inlineStr">
        <is>
          <t>Public university</t>
        </is>
      </c>
      <c r="M19" s="25" t="inlineStr">
        <is>
          <t>French &amp; English</t>
        </is>
      </c>
      <c r="N19" s="25" t="inlineStr">
        <is>
          <t>General</t>
        </is>
      </c>
      <c r="O19" s="25" t="inlineStr">
        <is>
          <t>Bac +4 / Bac +5</t>
        </is>
      </c>
      <c r="P19" s="26" t="inlineStr">
        <is>
          <t>Eligible on level (4-yr BS ≈ Bac+4)</t>
        </is>
      </c>
      <c r="Q19" s="25" t="inlineStr">
        <is>
          <t>1/2</t>
        </is>
      </c>
      <c r="R19" s="25" t="n"/>
      <c r="S19" s="27" t="n">
        <v>3950</v>
      </c>
      <c r="T19" s="27" t="n">
        <v>255</v>
      </c>
      <c r="U19" s="25" t="n">
        <v>2</v>
      </c>
      <c r="V19" s="27">
        <f>IF(S19="","",S19*U19)</f>
        <v/>
      </c>
      <c r="W19" s="26" t="inlineStr">
        <is>
          <t>Not in catalogue. Public national master → 2026-27 differentiated fee €3,950; exemption to ~€254-255 depends on university quota (25% cap in 2027-28).</t>
        </is>
      </c>
      <c r="X19" s="25" t="inlineStr">
        <is>
          <t>Medium</t>
        </is>
      </c>
      <c r="Y19" s="25" t="n"/>
      <c r="Z19" s="26" t="n"/>
      <c r="AA19" s="26" t="inlineStr">
        <is>
          <t>UGA (incl. Grenoble INP masters): 2026-27 broad exemptions on request (pay national €254). From 2027-28 the decree caps apply; exemptions based on resources.</t>
        </is>
      </c>
      <c r="AB19" s="28" t="inlineStr">
        <is>
          <t>https://www.univ-grenoble-alpes.fr/actualites/a-la-une/actualites-universite/etudiants-internationaux-ce-que-change-le-nouveau-decret-sur-les-droits-d-inscription-a-l-uga-1775870.kjsp</t>
        </is>
      </c>
      <c r="AC19" s="25" t="inlineStr">
        <is>
          <t>Open</t>
        </is>
      </c>
      <c r="AD19" s="25" t="inlineStr">
        <is>
          <t>2026-10-01</t>
        </is>
      </c>
      <c r="AE19" s="25" t="inlineStr">
        <is>
          <t>2027-03-15</t>
        </is>
      </c>
      <c r="AF19" s="25" t="inlineStr">
        <is>
          <t>No</t>
        </is>
      </c>
      <c r="AG19" s="28" t="inlineStr">
        <is>
          <t>https://formations.univ-grenoble-alpes.fr/fr/catalogue-2021/master-XB/master-electronique-energie-electrique-automatique-IFZ3DRB9/parcours-microelectronique-integration-des-systemes-temps-reels-embarques-mistre-1re-et-2e-annees-IFZ5TP7C.html</t>
        </is>
      </c>
      <c r="AH19" s="26" t="inlineStr">
        <is>
          <t>Master 1 : - Les candidats titulaires d'un diplôme de BAC+5 au moment de la candidature ne seront pas admis en master 1. Seules les candidatures de BAC+3 ou BAC+4 seront considérées. - Prérequis : Electronique, automatiq</t>
        </is>
      </c>
      <c r="AI19" s="28" t="inlineStr">
        <is>
          <t>Open in EEF</t>
        </is>
      </c>
    </row>
    <row r="20" ht="32.8" customHeight="1" s="19">
      <c r="A20" s="25" t="n">
        <v>19</v>
      </c>
      <c r="B20" s="25" t="inlineStr">
        <is>
          <t>★★★★★</t>
        </is>
      </c>
      <c r="C20" s="25" t="inlineStr">
        <is>
          <t>5 – Core fit (embedded/biomedical/health tech)</t>
        </is>
      </c>
      <c r="D20" s="25" t="inlineStr">
        <is>
          <t>Embedded systems / Electronics</t>
        </is>
      </c>
      <c r="E20" s="26" t="inlineStr">
        <is>
          <t>Master indifférencié (recherche et professionnel) Sciences, technologies, santé mention Electronique, énergie électrique, automatique parcours Systèmes Communicants</t>
        </is>
      </c>
      <c r="F20" s="26" t="inlineStr">
        <is>
          <t>Science, Technology, Health (STS) – major: Electronics, Electrical Energy &amp; Automation (EEA) – track: Systems Communicating</t>
        </is>
      </c>
      <c r="G20" s="25" t="inlineStr">
        <is>
          <t>Master indifférencié (recherche et professionnel)</t>
        </is>
      </c>
      <c r="H20" s="25" t="inlineStr">
        <is>
          <t>Sciences et Ingénierie</t>
        </is>
      </c>
      <c r="I20" s="25" t="inlineStr">
        <is>
          <t>Sorbonne Université</t>
        </is>
      </c>
      <c r="J20" s="25" t="inlineStr">
        <is>
          <t>Site de Paris</t>
        </is>
      </c>
      <c r="K20" s="25" t="n"/>
      <c r="L20" s="25" t="inlineStr">
        <is>
          <t>Public university</t>
        </is>
      </c>
      <c r="M20" s="25" t="inlineStr">
        <is>
          <t>French &amp; English</t>
        </is>
      </c>
      <c r="N20" s="25" t="inlineStr">
        <is>
          <t>General</t>
        </is>
      </c>
      <c r="O20" s="25" t="inlineStr">
        <is>
          <t>Bac +4 / Bac +5</t>
        </is>
      </c>
      <c r="P20" s="26" t="inlineStr">
        <is>
          <t>Eligible on level (4-yr BS ≈ Bac+4)</t>
        </is>
      </c>
      <c r="Q20" s="25" t="inlineStr">
        <is>
          <t>1/2</t>
        </is>
      </c>
      <c r="R20" s="25" t="n"/>
      <c r="S20" s="27" t="n">
        <v>3950</v>
      </c>
      <c r="T20" s="27" t="n">
        <v>255</v>
      </c>
      <c r="U20" s="25" t="n">
        <v>2</v>
      </c>
      <c r="V20" s="27">
        <f>IF(S20="","",S20*U20)</f>
        <v/>
      </c>
      <c r="W20" s="26" t="inlineStr">
        <is>
          <t>Not in catalogue. Public national master → 2026-27 differentiated fee €3,950; exemption to ~€254-255 depends on university quota (25% cap in 2027-28).</t>
        </is>
      </c>
      <c r="X20" s="25" t="inlineStr">
        <is>
          <t>Medium</t>
        </is>
      </c>
      <c r="Y20" s="25" t="n"/>
      <c r="Z20" s="26" t="n"/>
      <c r="AA20" s="26" t="inlineStr">
        <is>
          <t>Board vote 7 Jul 2026: Sorbonne Université says it can exempt all eligible non-EU applicants (pay same as EU, ~€254) for 2026-27.</t>
        </is>
      </c>
      <c r="AB20" s="28" t="inlineStr">
        <is>
          <t>https://www.sorbonne-universite.fr/actualites/le-conseil-dadministration-de-sorbonne-universite-vote-lunanimite-le-7-juillet-2026-sa</t>
        </is>
      </c>
      <c r="AC20" s="25" t="inlineStr">
        <is>
          <t>Open</t>
        </is>
      </c>
      <c r="AD20" s="25" t="inlineStr">
        <is>
          <t>2026-10-01</t>
        </is>
      </c>
      <c r="AE20" s="25" t="inlineStr">
        <is>
          <t>2027-03-15</t>
        </is>
      </c>
      <c r="AF20" s="25" t="inlineStr">
        <is>
          <t>No</t>
        </is>
      </c>
      <c r="AG20" s="28" t="inlineStr">
        <is>
          <t>https://masters-sdi.sorbonne-universite.fr/electronique-energie-electrique-automatique</t>
        </is>
      </c>
      <c r="AH20" s="26" t="n"/>
      <c r="AI20" s="28" t="inlineStr">
        <is>
          <t>Open in EEF</t>
        </is>
      </c>
    </row>
    <row r="21" ht="32.8" customHeight="1" s="19">
      <c r="A21" s="25" t="n">
        <v>20</v>
      </c>
      <c r="B21" s="25" t="inlineStr">
        <is>
          <t>★★★★★</t>
        </is>
      </c>
      <c r="C21" s="25" t="inlineStr">
        <is>
          <t>5 – Core fit (embedded/biomedical/health tech)</t>
        </is>
      </c>
      <c r="D21" s="25" t="inlineStr">
        <is>
          <t>Biomedical / Health tech</t>
        </is>
      </c>
      <c r="E21" s="26" t="inlineStr">
        <is>
          <t>Master Sciences de la santé mention Ingénierie de la santé</t>
        </is>
      </c>
      <c r="F21" s="26" t="inlineStr">
        <is>
          <t>Master Sciences of the Health – major: Health Engineering</t>
        </is>
      </c>
      <c r="G21" s="25" t="inlineStr">
        <is>
          <t>Master indifférencié (recherche et professionnel)</t>
        </is>
      </c>
      <c r="H21" s="25" t="inlineStr">
        <is>
          <t>UFR des Sciences Fondamentales et Biomédicales</t>
        </is>
      </c>
      <c r="I21" s="25" t="inlineStr">
        <is>
          <t>Université Paris Cité</t>
        </is>
      </c>
      <c r="J21" s="25" t="inlineStr">
        <is>
          <t>Site de Paris</t>
        </is>
      </c>
      <c r="K21" s="25" t="inlineStr">
        <is>
          <t>75006 Paris</t>
        </is>
      </c>
      <c r="L21" s="25" t="inlineStr">
        <is>
          <t>Public university</t>
        </is>
      </c>
      <c r="M21" s="25" t="inlineStr">
        <is>
          <t>French &amp; English</t>
        </is>
      </c>
      <c r="N21" s="25" t="inlineStr">
        <is>
          <t>General</t>
        </is>
      </c>
      <c r="O21" s="25" t="inlineStr">
        <is>
          <t>Bac +4</t>
        </is>
      </c>
      <c r="P21" s="26" t="inlineStr">
        <is>
          <t>Eligible on level (4-yr BS ≈ Bac+4)</t>
        </is>
      </c>
      <c r="Q21" s="25" t="inlineStr">
        <is>
          <t>1</t>
        </is>
      </c>
      <c r="R21" s="25" t="n"/>
      <c r="S21" s="27" t="n">
        <v>3950</v>
      </c>
      <c r="T21" s="27" t="n">
        <v>255</v>
      </c>
      <c r="U21" s="25" t="n">
        <v>2</v>
      </c>
      <c r="V21" s="27">
        <f>IF(S21="","",S21*U21)</f>
        <v/>
      </c>
      <c r="W21" s="26" t="inlineStr">
        <is>
          <t>Not in catalogue. Public national master → 2026-27 differentiated fee €3,950; exemption to ~€254-255 depends on university quota (25% cap in 2027-28).</t>
        </is>
      </c>
      <c r="X21" s="25" t="inlineStr">
        <is>
          <t>Medium</t>
        </is>
      </c>
      <c r="Y21" s="25" t="n"/>
      <c r="Z21" s="26" t="n"/>
      <c r="AA21" s="26" t="inlineStr">
        <is>
          <t>Paris Cité historically exempted non-EU master students (paid EU rate). 2026-27/2027-28 policy not yet published – confirm.</t>
        </is>
      </c>
      <c r="AB21" s="28" t="inlineStr">
        <is>
          <t>https://u-paris.fr/droits-dinscription-tarifs-exonerations/</t>
        </is>
      </c>
      <c r="AC21" s="25" t="inlineStr">
        <is>
          <t>Open</t>
        </is>
      </c>
      <c r="AD21" s="25" t="inlineStr">
        <is>
          <t>2026-10-01</t>
        </is>
      </c>
      <c r="AE21" s="25" t="inlineStr">
        <is>
          <t>2027-03-15</t>
        </is>
      </c>
      <c r="AF21" s="25" t="inlineStr">
        <is>
          <t>Yes</t>
        </is>
      </c>
      <c r="AG21" s="28" t="inlineStr">
        <is>
          <t>https://odf.u-paris.fr/fr/offre-de-formation/master-XB/sciences-technologies-sante-STS/ingenierie-de-la-sante-K2NDJ7KW.html</t>
        </is>
      </c>
      <c r="AH21" s="26" t="inlineStr">
        <is>
          <t>All courses are taught in English, so candidates must demonstrate a perfect command of English (C1 level certificate required) with no French prerequisites for non-French speaking students. Candidates must: - excel in th</t>
        </is>
      </c>
      <c r="AI21" s="28" t="inlineStr">
        <is>
          <t>Open in EEF</t>
        </is>
      </c>
    </row>
    <row r="22" ht="32.8" customHeight="1" s="19">
      <c r="A22" s="25" t="n">
        <v>21</v>
      </c>
      <c r="B22" s="25" t="inlineStr">
        <is>
          <t>★★★★★</t>
        </is>
      </c>
      <c r="C22" s="25" t="inlineStr">
        <is>
          <t>5 – Core fit (embedded/biomedical/health tech)</t>
        </is>
      </c>
      <c r="D22" s="25" t="inlineStr">
        <is>
          <t>Embedded systems / Electronics</t>
        </is>
      </c>
      <c r="E22" s="26" t="inlineStr">
        <is>
          <t>Master indifférencié (recherche et professionnel) Sciences et technologies mention Electronique, énergie électrique, automatique parcours Systèmes Embarqués (SE)</t>
        </is>
      </c>
      <c r="F22" s="26" t="inlineStr">
        <is>
          <t>Science &amp; Technology – major: Electronics, Electrical Energy &amp; Automation (EEA) – track: Embedded Systems (SE)</t>
        </is>
      </c>
      <c r="G22" s="25" t="inlineStr">
        <is>
          <t>Master indifférencié (recherche et professionnel)</t>
        </is>
      </c>
      <c r="H22" s="25" t="inlineStr">
        <is>
          <t>Campus scientifique de BEAULIEU</t>
        </is>
      </c>
      <c r="I22" s="25" t="inlineStr">
        <is>
          <t>Université de Rennes</t>
        </is>
      </c>
      <c r="J22" s="25" t="inlineStr">
        <is>
          <t>Site de Rennes - ISTIC</t>
        </is>
      </c>
      <c r="K22" s="25" t="inlineStr">
        <is>
          <t>35042 RENNES Cedex</t>
        </is>
      </c>
      <c r="L22" s="25" t="inlineStr">
        <is>
          <t>Public university</t>
        </is>
      </c>
      <c r="M22" s="25" t="inlineStr">
        <is>
          <t>French</t>
        </is>
      </c>
      <c r="N22" s="25" t="inlineStr">
        <is>
          <t>General</t>
        </is>
      </c>
      <c r="O22" s="25" t="inlineStr">
        <is>
          <t>Bac +4</t>
        </is>
      </c>
      <c r="P22" s="26" t="inlineStr">
        <is>
          <t>Eligible on level (4-yr BS ≈ Bac+4)</t>
        </is>
      </c>
      <c r="Q22" s="25" t="inlineStr">
        <is>
          <t>1</t>
        </is>
      </c>
      <c r="R22" s="25" t="inlineStr">
        <is>
          <t>12</t>
        </is>
      </c>
      <c r="S22" s="27" t="n">
        <v>3950</v>
      </c>
      <c r="T22" s="27" t="n">
        <v>255</v>
      </c>
      <c r="U22" s="25" t="n">
        <v>2</v>
      </c>
      <c r="V22" s="27">
        <f>IF(S22="","",S22*U22)</f>
        <v/>
      </c>
      <c r="W22" s="26" t="inlineStr">
        <is>
          <t>Catalogue: €3,950. = national differentiated master fee (2026-27: €3,950). Exemption to ~€255 possible (university quota).</t>
        </is>
      </c>
      <c r="X22" s="25" t="inlineStr">
        <is>
          <t>High</t>
        </is>
      </c>
      <c r="Y22" s="25" t="inlineStr">
        <is>
          <t>3950</t>
        </is>
      </c>
      <c r="Z22" s="26" t="inlineStr">
        <is>
          <t>ue, il faudra vous acquitter obligatoirement des frais d'inscription d'un montant de 3950 euros pour vous inscrire dans la formation</t>
        </is>
      </c>
      <c r="AA22" s="26" t="n"/>
      <c r="AB22" s="25" t="n"/>
      <c r="AC22" s="25" t="inlineStr">
        <is>
          <t>Open</t>
        </is>
      </c>
      <c r="AD22" s="25" t="inlineStr">
        <is>
          <t>2026-10-01</t>
        </is>
      </c>
      <c r="AE22" s="25" t="inlineStr">
        <is>
          <t>2027-03-15</t>
        </is>
      </c>
      <c r="AF22" s="25" t="inlineStr">
        <is>
          <t>No</t>
        </is>
      </c>
      <c r="AG22" s="28" t="inlineStr">
        <is>
          <t>https://istic.univ-rennes.fr/master-eeea-electronique-energie-electrique-automatique</t>
        </is>
      </c>
      <c r="AH22" s="26" t="inlineStr">
        <is>
          <t>Prérequis :Les candidats doivent disposer de bases solides en électronique analogique et numérique, en outils mathématiques pour le traitement du signal ainsi qu'en programmation. Profil attendu : Etudiant.e de niveau Ba</t>
        </is>
      </c>
      <c r="AI22" s="28" t="inlineStr">
        <is>
          <t>Open in EEF</t>
        </is>
      </c>
    </row>
    <row r="23" ht="32.8" customHeight="1" s="19">
      <c r="A23" s="25" t="n">
        <v>22</v>
      </c>
      <c r="B23" s="25" t="inlineStr">
        <is>
          <t>★★★★★</t>
        </is>
      </c>
      <c r="C23" s="25" t="inlineStr">
        <is>
          <t>5 – Core fit (embedded/biomedical/health tech)</t>
        </is>
      </c>
      <c r="D23" s="25" t="inlineStr">
        <is>
          <t>Embedded systems / Electronics</t>
        </is>
      </c>
      <c r="E23" s="26" t="inlineStr">
        <is>
          <t>Master indifférencié (recherche et professionnel) Sciences, technologies, santé mention génie industriel parcours Systèmes Embarqués et Technologies d'Intelligence Artificielle</t>
        </is>
      </c>
      <c r="F23" s="26" t="inlineStr">
        <is>
          <t>Science, Technology, Health (STS) – major: Industrial Engineering – track: Embedded Systems &amp; Technologies d'Artificial Intelligence</t>
        </is>
      </c>
      <c r="G23" s="25" t="inlineStr">
        <is>
          <t>Master indifférencié (recherche et professionnel)</t>
        </is>
      </c>
      <c r="H23" s="25" t="inlineStr">
        <is>
          <t>Institut supérieur des sciences et techniques</t>
        </is>
      </c>
      <c r="I23" s="25" t="inlineStr">
        <is>
          <t>Université Picardie Jules Verne Amiens</t>
        </is>
      </c>
      <c r="J23" s="25" t="inlineStr">
        <is>
          <t>Site de Saint-Quentin</t>
        </is>
      </c>
      <c r="K23" s="25" t="inlineStr">
        <is>
          <t>02315 Saint Quentin cedex</t>
        </is>
      </c>
      <c r="L23" s="25" t="inlineStr">
        <is>
          <t>Public school / institute</t>
        </is>
      </c>
      <c r="M23" s="25" t="inlineStr">
        <is>
          <t>French</t>
        </is>
      </c>
      <c r="N23" s="25" t="inlineStr">
        <is>
          <t>General</t>
        </is>
      </c>
      <c r="O23" s="25" t="inlineStr">
        <is>
          <t>Bac +4</t>
        </is>
      </c>
      <c r="P23" s="26" t="inlineStr">
        <is>
          <t>Eligible on level (4-yr BS ≈ Bac+4)</t>
        </is>
      </c>
      <c r="Q23" s="25" t="inlineStr">
        <is>
          <t>1</t>
        </is>
      </c>
      <c r="R23" s="25" t="inlineStr">
        <is>
          <t>12</t>
        </is>
      </c>
      <c r="S23" s="27" t="n">
        <v>3950</v>
      </c>
      <c r="T23" s="27" t="n">
        <v>255</v>
      </c>
      <c r="U23" s="25" t="n">
        <v>2</v>
      </c>
      <c r="V23" s="27">
        <f>IF(S23="","",S23*U23)</f>
        <v/>
      </c>
      <c r="W23" s="26" t="inlineStr">
        <is>
          <t>Catalogue: €3,950. = national differentiated master fee (2026-27: €3,950). Exemption to ~€255 possible (university quota).</t>
        </is>
      </c>
      <c r="X23" s="25" t="inlineStr">
        <is>
          <t>High</t>
        </is>
      </c>
      <c r="Y23" s="25" t="inlineStr">
        <is>
          <t>3950</t>
        </is>
      </c>
      <c r="Z23" s="26" t="n"/>
      <c r="AA23" s="26" t="n"/>
      <c r="AB23" s="25" t="n"/>
      <c r="AC23" s="25" t="inlineStr">
        <is>
          <t>Open</t>
        </is>
      </c>
      <c r="AD23" s="25" t="inlineStr">
        <is>
          <t>2026-10-01</t>
        </is>
      </c>
      <c r="AE23" s="25" t="inlineStr">
        <is>
          <t>2027-03-15</t>
        </is>
      </c>
      <c r="AF23" s="25" t="inlineStr">
        <is>
          <t>No</t>
        </is>
      </c>
      <c r="AG23" s="28" t="inlineStr">
        <is>
          <t>https://www.insset.u-picardie.fr/</t>
        </is>
      </c>
      <c r="AH23" s="26" t="inlineStr">
        <is>
          <t>Niveau de test de compétence en Francais requis B2 Le tarif indiqué est celui de l'année universitaire 2026/2027 et, est susceptible d'etre modifié pour la rentrée 2027/2028 Pré-requis nécessaires en programmation inform</t>
        </is>
      </c>
      <c r="AI23" s="28" t="inlineStr">
        <is>
          <t>Open in EEF</t>
        </is>
      </c>
    </row>
    <row r="24" ht="32.8" customHeight="1" s="19">
      <c r="A24" s="25" t="n">
        <v>23</v>
      </c>
      <c r="B24" s="25" t="inlineStr">
        <is>
          <t>★★★★★</t>
        </is>
      </c>
      <c r="C24" s="25" t="inlineStr">
        <is>
          <t>5 – Core fit (embedded/biomedical/health tech)</t>
        </is>
      </c>
      <c r="D24" s="25" t="inlineStr">
        <is>
          <t>Embedded systems / Electronics</t>
        </is>
      </c>
      <c r="E24" s="26" t="inlineStr">
        <is>
          <t>Master indifférencié (recherche et professionnel) Sciences, technologies, santé mention informatique parcours LSE : logiciel pour systèmes embarqués</t>
        </is>
      </c>
      <c r="F24" s="26" t="inlineStr">
        <is>
          <t>Science, Technology, Health (STS) – major: Computer Science – track: LSE : Software for Embedded Systems</t>
        </is>
      </c>
      <c r="G24" s="25" t="inlineStr">
        <is>
          <t>Master indifférencié (recherche et professionnel)</t>
        </is>
      </c>
      <c r="H24" s="25" t="inlineStr">
        <is>
          <t>UFR sciences et techniques</t>
        </is>
      </c>
      <c r="I24" s="25" t="inlineStr">
        <is>
          <t>Université de Bretagne Occidentale</t>
        </is>
      </c>
      <c r="J24" s="25" t="inlineStr">
        <is>
          <t>Site de Brest</t>
        </is>
      </c>
      <c r="K24" s="25" t="n"/>
      <c r="L24" s="25" t="inlineStr">
        <is>
          <t>Public university</t>
        </is>
      </c>
      <c r="M24" s="25" t="inlineStr">
        <is>
          <t>French</t>
        </is>
      </c>
      <c r="N24" s="25" t="inlineStr">
        <is>
          <t>General</t>
        </is>
      </c>
      <c r="O24" s="25" t="inlineStr">
        <is>
          <t>Bac +4 / Bac +5</t>
        </is>
      </c>
      <c r="P24" s="26" t="inlineStr">
        <is>
          <t>Eligible on level (4-yr BS ≈ Bac+4)</t>
        </is>
      </c>
      <c r="Q24" s="25" t="inlineStr">
        <is>
          <t>1/2</t>
        </is>
      </c>
      <c r="R24" s="25" t="inlineStr">
        <is>
          <t>12</t>
        </is>
      </c>
      <c r="S24" s="27" t="n">
        <v>3950</v>
      </c>
      <c r="T24" s="27" t="n">
        <v>255</v>
      </c>
      <c r="U24" s="25" t="n">
        <v>2</v>
      </c>
      <c r="V24" s="27">
        <f>IF(S24="","",S24*U24)</f>
        <v/>
      </c>
      <c r="W24" s="26" t="inlineStr">
        <is>
          <t>Catalogue: €3,950. = national differentiated master fee (2026-27: €3,950). Exemption to ~€255 possible (university quota).</t>
        </is>
      </c>
      <c r="X24" s="25" t="inlineStr">
        <is>
          <t>High</t>
        </is>
      </c>
      <c r="Y24" s="25" t="inlineStr">
        <is>
          <t>3950</t>
        </is>
      </c>
      <c r="Z24" s="26" t="n"/>
      <c r="AA24" s="26" t="n"/>
      <c r="AB24" s="25" t="n"/>
      <c r="AC24" s="25" t="inlineStr">
        <is>
          <t>Open</t>
        </is>
      </c>
      <c r="AD24" s="25" t="inlineStr">
        <is>
          <t>2026-10-01</t>
        </is>
      </c>
      <c r="AE24" s="25" t="inlineStr">
        <is>
          <t>2027-03-15</t>
        </is>
      </c>
      <c r="AF24" s="25" t="inlineStr">
        <is>
          <t>No</t>
        </is>
      </c>
      <c r="AG24" s="28" t="inlineStr">
        <is>
          <t>http://www.univ-brest.fr/ufr-sciences</t>
        </is>
      </c>
      <c r="AH24" s="26" t="inlineStr">
        <is>
          <t>L'université de Bretagne occidentale demande de présenter un Test de connaissance en français pour tous les candidats dont une des langues officielles n'est pas le français. Pour les pays où le français n'est pas la seul</t>
        </is>
      </c>
      <c r="AI24" s="28" t="inlineStr">
        <is>
          <t>Open in EEF</t>
        </is>
      </c>
    </row>
    <row r="25" ht="32.8" customHeight="1" s="19">
      <c r="A25" s="25" t="n">
        <v>24</v>
      </c>
      <c r="B25" s="25" t="inlineStr">
        <is>
          <t>★★★★★</t>
        </is>
      </c>
      <c r="C25" s="25" t="inlineStr">
        <is>
          <t>5 – Core fit (embedded/biomedical/health tech)</t>
        </is>
      </c>
      <c r="D25" s="25" t="inlineStr">
        <is>
          <t>Biomedical / Health tech</t>
        </is>
      </c>
      <c r="E25" s="26" t="inlineStr">
        <is>
          <t>Master indifférencié (recherche et professionnel) Sciences, technologies, santé mention Ingénierie de la santé parcours Technologies biomédicales et territoires de santé</t>
        </is>
      </c>
      <c r="F25" s="26" t="inlineStr">
        <is>
          <t>Science, Technology, Health (STS) – major: Health Engineering – track: Technologies biomédicales &amp; Territories of Health</t>
        </is>
      </c>
      <c r="G25" s="25" t="inlineStr">
        <is>
          <t>Master indifférencié (recherche et professionnel)</t>
        </is>
      </c>
      <c r="H25" s="25" t="inlineStr">
        <is>
          <t>Université de technologie de Compiègne</t>
        </is>
      </c>
      <c r="I25" s="25" t="n"/>
      <c r="J25" s="25" t="inlineStr">
        <is>
          <t>Site de Compiègne</t>
        </is>
      </c>
      <c r="K25" s="25" t="n"/>
      <c r="L25" s="25" t="inlineStr">
        <is>
          <t>Public university</t>
        </is>
      </c>
      <c r="M25" s="25" t="inlineStr">
        <is>
          <t>French</t>
        </is>
      </c>
      <c r="N25" s="25" t="inlineStr">
        <is>
          <t>General</t>
        </is>
      </c>
      <c r="O25" s="25" t="inlineStr">
        <is>
          <t>Bac +4 / Bac +5</t>
        </is>
      </c>
      <c r="P25" s="26" t="inlineStr">
        <is>
          <t>Eligible on level (4-yr BS ≈ Bac+4)</t>
        </is>
      </c>
      <c r="Q25" s="25" t="inlineStr">
        <is>
          <t>1/2</t>
        </is>
      </c>
      <c r="R25" s="25" t="n"/>
      <c r="S25" s="27" t="n">
        <v>3950</v>
      </c>
      <c r="T25" s="27" t="n">
        <v>255</v>
      </c>
      <c r="U25" s="25" t="n">
        <v>2</v>
      </c>
      <c r="V25" s="27">
        <f>IF(S25="","",S25*U25)</f>
        <v/>
      </c>
      <c r="W25" s="26" t="inlineStr">
        <is>
          <t>Catalogue: €3,950. = national differentiated master fee (2026-27: €3,950). Exemption to ~€255 possible (university quota).</t>
        </is>
      </c>
      <c r="X25" s="25" t="inlineStr">
        <is>
          <t>High</t>
        </is>
      </c>
      <c r="Y25" s="25" t="inlineStr">
        <is>
          <t>3950</t>
        </is>
      </c>
      <c r="Z25" s="26" t="n"/>
      <c r="AA25" s="26" t="n"/>
      <c r="AB25" s="25" t="n"/>
      <c r="AC25" s="25" t="inlineStr">
        <is>
          <t>Open</t>
        </is>
      </c>
      <c r="AD25" s="25" t="inlineStr">
        <is>
          <t>2026-10-01</t>
        </is>
      </c>
      <c r="AE25" s="25" t="inlineStr">
        <is>
          <t>2027-03-15</t>
        </is>
      </c>
      <c r="AF25" s="25" t="inlineStr">
        <is>
          <t>No</t>
        </is>
      </c>
      <c r="AG25" s="28" t="inlineStr">
        <is>
          <t>https://www.utc.fr/formations/diplome-de-master/mention-ingenierie-de-la-sante-ids/parcours-technologies-biomedicales-et-territoires-de-sante-tbts/</t>
        </is>
      </c>
      <c r="AH25" s="26" t="inlineStr">
        <is>
          <t>Pour les parcours DMAR et TBTS Attention, le recrutement en M1 est commun. Ainsi, en candidatant sur l’un vous candidatez également sur l’autre, pas besoin de déposer votre dossier de candidature deux fois. Mentions de l</t>
        </is>
      </c>
      <c r="AI25" s="28" t="inlineStr">
        <is>
          <t>Open in EEF</t>
        </is>
      </c>
    </row>
    <row r="26" ht="43.25" customHeight="1" s="19">
      <c r="A26" s="25" t="n">
        <v>25</v>
      </c>
      <c r="B26" s="25" t="inlineStr">
        <is>
          <t>★★★★★</t>
        </is>
      </c>
      <c r="C26" s="25" t="inlineStr">
        <is>
          <t>5 – Core fit (embedded/biomedical/health tech)</t>
        </is>
      </c>
      <c r="D26" s="25" t="inlineStr">
        <is>
          <t>Embedded systems / Electronics</t>
        </is>
      </c>
      <c r="E26" s="26" t="inlineStr">
        <is>
          <t>Master indifférencié (recherche et professionnel) Sciences, technologies, santé mention Ingénierie des systèmes complexes parcours Robotique, Intelligence artificielle et Systèmes Embarqués (RISE)</t>
        </is>
      </c>
      <c r="F26" s="26" t="inlineStr">
        <is>
          <t>Science, Technology, Health (STS) – major: Complex Systems Engineering – track: Robotics, Artificial Intelligence &amp; Embedded Systems (RISE)</t>
        </is>
      </c>
      <c r="G26" s="25" t="inlineStr">
        <is>
          <t>Master indifférencié (recherche et professionnel)</t>
        </is>
      </c>
      <c r="H26" s="25" t="inlineStr">
        <is>
          <t>UFR de sciences et techniques</t>
        </is>
      </c>
      <c r="I26" s="25" t="inlineStr">
        <is>
          <t>Université de Toulon</t>
        </is>
      </c>
      <c r="J26" s="25" t="inlineStr">
        <is>
          <t>Site de La Garde</t>
        </is>
      </c>
      <c r="K26" s="25" t="inlineStr">
        <is>
          <t>83130 La Garde UFR SCIENCES ET TECH</t>
        </is>
      </c>
      <c r="L26" s="25" t="inlineStr">
        <is>
          <t>Public university</t>
        </is>
      </c>
      <c r="M26" s="25" t="inlineStr">
        <is>
          <t>French</t>
        </is>
      </c>
      <c r="N26" s="25" t="inlineStr">
        <is>
          <t>General</t>
        </is>
      </c>
      <c r="O26" s="25" t="inlineStr">
        <is>
          <t>Bac +4</t>
        </is>
      </c>
      <c r="P26" s="26" t="inlineStr">
        <is>
          <t>Eligible on level (4-yr BS ≈ Bac+4)</t>
        </is>
      </c>
      <c r="Q26" s="25" t="inlineStr">
        <is>
          <t>1</t>
        </is>
      </c>
      <c r="R26" s="25" t="inlineStr">
        <is>
          <t>12</t>
        </is>
      </c>
      <c r="S26" s="27" t="n">
        <v>3950</v>
      </c>
      <c r="T26" s="27" t="n">
        <v>255</v>
      </c>
      <c r="U26" s="25" t="n">
        <v>2</v>
      </c>
      <c r="V26" s="27">
        <f>IF(S26="","",S26*U26)</f>
        <v/>
      </c>
      <c r="W26" s="26" t="inlineStr">
        <is>
          <t>Catalogue: €3,950. = national differentiated master fee (2026-27: €3,950). Exemption to ~€255 possible (university quota).</t>
        </is>
      </c>
      <c r="X26" s="25" t="inlineStr">
        <is>
          <t>High</t>
        </is>
      </c>
      <c r="Y26" s="25" t="inlineStr">
        <is>
          <t>3950</t>
        </is>
      </c>
      <c r="Z26" s="26" t="n"/>
      <c r="AA26" s="26" t="n"/>
      <c r="AB26" s="25" t="n"/>
      <c r="AC26" s="25" t="inlineStr">
        <is>
          <t>Open</t>
        </is>
      </c>
      <c r="AD26" s="25" t="inlineStr">
        <is>
          <t>2026-10-01</t>
        </is>
      </c>
      <c r="AE26" s="25" t="inlineStr">
        <is>
          <t>2027-03-15</t>
        </is>
      </c>
      <c r="AF26" s="25" t="inlineStr">
        <is>
          <t>No</t>
        </is>
      </c>
      <c r="AG26" s="28" t="inlineStr">
        <is>
          <t>https://formations.univ-tln.fr/fr/offre-de-formation/master-XB/master-ingenierie-des-systemes-complexes-LO8RGPP1/master-ingenierie-des-systemes-complexes-parcours-robotique-intelligente-et-systemes-embarques-LPZRY65U.html</t>
        </is>
      </c>
      <c r="AH26" s="26" t="inlineStr">
        <is>
          <t>Attendus administratifs : Niveau B2 de langue française exigé Attendus pédagogiques : solides connaissances en maths-physiques, notions de programmation, sens physique. Un nombre limité de cours magistraux sont susceptib</t>
        </is>
      </c>
      <c r="AI26" s="28" t="inlineStr">
        <is>
          <t>Open in EEF</t>
        </is>
      </c>
    </row>
    <row r="27" ht="32.8" customHeight="1" s="19">
      <c r="A27" s="25" t="n">
        <v>26</v>
      </c>
      <c r="B27" s="25" t="inlineStr">
        <is>
          <t>★★★★★</t>
        </is>
      </c>
      <c r="C27" s="25" t="inlineStr">
        <is>
          <t>5 – Core fit (embedded/biomedical/health tech)</t>
        </is>
      </c>
      <c r="D27" s="25" t="inlineStr">
        <is>
          <t>Biomedical / Health tech</t>
        </is>
      </c>
      <c r="E27" s="26" t="inlineStr">
        <is>
          <t>Master indifférencié (recherche et professionnel) Sciences, technologies, santé mention Physique fondamentale et applications parcours Physique médicale</t>
        </is>
      </c>
      <c r="F27" s="26" t="inlineStr">
        <is>
          <t>Science, Technology, Health (STS) – major: Physics Fundamental &amp; Applications – track: Medical Physics</t>
        </is>
      </c>
      <c r="G27" s="25" t="inlineStr">
        <is>
          <t>Master indifférencié (recherche et professionnel)</t>
        </is>
      </c>
      <c r="H27" s="25" t="inlineStr">
        <is>
          <t>Campus scientifique de BEAULIEU</t>
        </is>
      </c>
      <c r="I27" s="25" t="inlineStr">
        <is>
          <t>Université de Rennes</t>
        </is>
      </c>
      <c r="J27" s="25" t="inlineStr">
        <is>
          <t>Site de Rennes - FDS Faculté des sciences</t>
        </is>
      </c>
      <c r="K27" s="25" t="n"/>
      <c r="L27" s="25" t="inlineStr">
        <is>
          <t>Public university</t>
        </is>
      </c>
      <c r="M27" s="25" t="inlineStr">
        <is>
          <t>French</t>
        </is>
      </c>
      <c r="N27" s="25" t="inlineStr">
        <is>
          <t>General</t>
        </is>
      </c>
      <c r="O27" s="25" t="inlineStr">
        <is>
          <t>Bac +4</t>
        </is>
      </c>
      <c r="P27" s="26" t="inlineStr">
        <is>
          <t>Eligible on level (4-yr BS ≈ Bac+4)</t>
        </is>
      </c>
      <c r="Q27" s="25" t="inlineStr">
        <is>
          <t>1</t>
        </is>
      </c>
      <c r="R27" s="25" t="inlineStr">
        <is>
          <t>12</t>
        </is>
      </c>
      <c r="S27" s="27" t="n">
        <v>3950</v>
      </c>
      <c r="T27" s="27" t="n">
        <v>255</v>
      </c>
      <c r="U27" s="25" t="n">
        <v>2</v>
      </c>
      <c r="V27" s="27">
        <f>IF(S27="","",S27*U27)</f>
        <v/>
      </c>
      <c r="W27" s="26" t="inlineStr">
        <is>
          <t>Catalogue: €3,950. = national differentiated master fee (2026-27: €3,950). Exemption to ~€255 possible (university quota).</t>
        </is>
      </c>
      <c r="X27" s="25" t="inlineStr">
        <is>
          <t>High</t>
        </is>
      </c>
      <c r="Y27" s="25" t="inlineStr">
        <is>
          <t>3950</t>
        </is>
      </c>
      <c r="Z27" s="26" t="inlineStr">
        <is>
          <t>ption, il faudra vous acquitter obligatoirement des frais d'inscription s’élevant à 3 950 Euros</t>
        </is>
      </c>
      <c r="AA27" s="26" t="n"/>
      <c r="AB27" s="25" t="n"/>
      <c r="AC27" s="25" t="inlineStr">
        <is>
          <t>Open</t>
        </is>
      </c>
      <c r="AD27" s="25" t="inlineStr">
        <is>
          <t>2026-10-01</t>
        </is>
      </c>
      <c r="AE27" s="25" t="inlineStr">
        <is>
          <t>2027-03-15</t>
        </is>
      </c>
      <c r="AF27" s="25" t="inlineStr">
        <is>
          <t>No</t>
        </is>
      </c>
      <c r="AG27" s="28" t="inlineStr">
        <is>
          <t>https://formations.univ-rennes.fr/</t>
        </is>
      </c>
      <c r="AH27" s="26" t="inlineStr">
        <is>
          <t>Formations ou matières qu'il faut avoir déjà suivi au cours de son cursus antérieur : Licence de physique ou physique chimie, sciences des matériaux, master 1 en physique, bon socle en mathématiques. Niveau spécifique at</t>
        </is>
      </c>
      <c r="AI27" s="28" t="inlineStr">
        <is>
          <t>Open in EEF</t>
        </is>
      </c>
    </row>
    <row r="28" ht="32.8" customHeight="1" s="19">
      <c r="A28" s="25" t="n">
        <v>27</v>
      </c>
      <c r="B28" s="25" t="inlineStr">
        <is>
          <t>★★★★★</t>
        </is>
      </c>
      <c r="C28" s="25" t="inlineStr">
        <is>
          <t>5 – Core fit (embedded/biomedical/health tech)</t>
        </is>
      </c>
      <c r="D28" s="25" t="inlineStr">
        <is>
          <t>Biomedical / Health tech</t>
        </is>
      </c>
      <c r="E28" s="26" t="inlineStr">
        <is>
          <t>Master indifférencié (recherche et professionnel) Sciences, technologies, santé mention Sciences et génie des matériaux parcours Ingénierie Biomédicale, Biomatériaux, Biomolécules</t>
        </is>
      </c>
      <c r="F28" s="26" t="inlineStr">
        <is>
          <t>Science, Technology, Health (STS) – major: Sciences &amp; Engineering of Materials – track: Biomedical Engineering, Biomaterials, Biomolecules</t>
        </is>
      </c>
      <c r="G28" s="25" t="inlineStr">
        <is>
          <t>Master indifférencié (recherche et professionnel)</t>
        </is>
      </c>
      <c r="H28" s="25" t="inlineStr">
        <is>
          <t>Institut Galilée</t>
        </is>
      </c>
      <c r="I28" s="25" t="inlineStr">
        <is>
          <t>Université Sorbonne Paris Nord</t>
        </is>
      </c>
      <c r="J28" s="25" t="inlineStr">
        <is>
          <t>Site de Villetaneuse</t>
        </is>
      </c>
      <c r="K28" s="25" t="n"/>
      <c r="L28" s="25" t="inlineStr">
        <is>
          <t>Public school / institute</t>
        </is>
      </c>
      <c r="M28" s="25" t="inlineStr">
        <is>
          <t>French</t>
        </is>
      </c>
      <c r="N28" s="25" t="inlineStr">
        <is>
          <t>General</t>
        </is>
      </c>
      <c r="O28" s="25" t="inlineStr">
        <is>
          <t>Bac +4 / Bac +5</t>
        </is>
      </c>
      <c r="P28" s="26" t="inlineStr">
        <is>
          <t>Eligible on level (4-yr BS ≈ Bac+4)</t>
        </is>
      </c>
      <c r="Q28" s="25" t="inlineStr">
        <is>
          <t>1/2</t>
        </is>
      </c>
      <c r="R28" s="25" t="inlineStr">
        <is>
          <t>12</t>
        </is>
      </c>
      <c r="S28" s="27" t="n">
        <v>3950</v>
      </c>
      <c r="T28" s="27" t="n">
        <v>255</v>
      </c>
      <c r="U28" s="25" t="n">
        <v>2</v>
      </c>
      <c r="V28" s="27">
        <f>IF(S28="","",S28*U28)</f>
        <v/>
      </c>
      <c r="W28" s="26" t="inlineStr">
        <is>
          <t>Catalogue: €3,770. = national differentiated master fee (2026-27: €3,950). Exemption to ~€255 possible (university quota).</t>
        </is>
      </c>
      <c r="X28" s="25" t="inlineStr">
        <is>
          <t>High</t>
        </is>
      </c>
      <c r="Y28" s="25" t="inlineStr">
        <is>
          <t>3950/3770</t>
        </is>
      </c>
      <c r="Z28" s="26" t="inlineStr">
        <is>
          <t>sitaire 2024-2025 et devront s'acquitter des mêmes frais que les étudiants nationaux (250 euros + CVEC) L'information concernant une exonération</t>
        </is>
      </c>
      <c r="AA28" s="26" t="n"/>
      <c r="AB28" s="25" t="n"/>
      <c r="AC28" s="25" t="inlineStr">
        <is>
          <t>Open</t>
        </is>
      </c>
      <c r="AD28" s="25" t="inlineStr">
        <is>
          <t>2026-10-01</t>
        </is>
      </c>
      <c r="AE28" s="25" t="inlineStr">
        <is>
          <t>2027-03-15</t>
        </is>
      </c>
      <c r="AF28" s="25" t="inlineStr">
        <is>
          <t>No</t>
        </is>
      </c>
      <c r="AG28" s="28" t="inlineStr">
        <is>
          <t>http://www-galilee.univ-paris13.fr/</t>
        </is>
      </c>
      <c r="AH28" s="26" t="inlineStr">
        <is>
          <t>Niveau TCF Minimun C1 bon niveau d'anglais Diplome scientifique chimie, physique-chimie, biologie ou science technologique et santé ou diplôme équivalent. Etudiant en filières médicales et odontologiques ou filières équi</t>
        </is>
      </c>
      <c r="AI28" s="28" t="inlineStr">
        <is>
          <t>Open in EEF</t>
        </is>
      </c>
    </row>
    <row r="29" ht="22.35" customHeight="1" s="19">
      <c r="A29" s="25" t="n">
        <v>28</v>
      </c>
      <c r="B29" s="25" t="inlineStr">
        <is>
          <t>★★★★★</t>
        </is>
      </c>
      <c r="C29" s="25" t="inlineStr">
        <is>
          <t>5 – Core fit (embedded/biomedical/health tech)</t>
        </is>
      </c>
      <c r="D29" s="25" t="inlineStr">
        <is>
          <t>Biomedical / Health tech</t>
        </is>
      </c>
      <c r="E29" s="26" t="inlineStr">
        <is>
          <t>Master Ingénierie de la santé BioTesting et Biomédicaments</t>
        </is>
      </c>
      <c r="F29" s="26" t="inlineStr">
        <is>
          <t>Master Health Engineering BioTesting &amp; Biodrugs</t>
        </is>
      </c>
      <c r="G29" s="25" t="inlineStr">
        <is>
          <t>Master indifférencié (recherche et professionnel)</t>
        </is>
      </c>
      <c r="H29" s="25" t="inlineStr">
        <is>
          <t>UFR Sciences et Techniques</t>
        </is>
      </c>
      <c r="I29" s="25" t="inlineStr">
        <is>
          <t>Université de Rouen</t>
        </is>
      </c>
      <c r="J29" s="25" t="inlineStr">
        <is>
          <t>Site de Mont-Saint-Aignan</t>
        </is>
      </c>
      <c r="K29" s="25" t="n"/>
      <c r="L29" s="25" t="inlineStr">
        <is>
          <t>Public university</t>
        </is>
      </c>
      <c r="M29" s="25" t="inlineStr">
        <is>
          <t>French</t>
        </is>
      </c>
      <c r="N29" s="25" t="inlineStr">
        <is>
          <t>General</t>
        </is>
      </c>
      <c r="O29" s="25" t="inlineStr">
        <is>
          <t>Bac +4</t>
        </is>
      </c>
      <c r="P29" s="26" t="inlineStr">
        <is>
          <t>Eligible on level (4-yr BS ≈ Bac+4)</t>
        </is>
      </c>
      <c r="Q29" s="25" t="inlineStr">
        <is>
          <t>1</t>
        </is>
      </c>
      <c r="R29" s="25" t="inlineStr">
        <is>
          <t>10</t>
        </is>
      </c>
      <c r="S29" s="27" t="n">
        <v>3950</v>
      </c>
      <c r="T29" s="27" t="n">
        <v>255</v>
      </c>
      <c r="U29" s="25" t="n">
        <v>2</v>
      </c>
      <c r="V29" s="27">
        <f>IF(S29="","",S29*U29)</f>
        <v/>
      </c>
      <c r="W29" s="26" t="inlineStr">
        <is>
          <t>Catalogue: €3,950. = national differentiated master fee (2026-27: €3,950). Exemption to ~€255 possible (university quota).</t>
        </is>
      </c>
      <c r="X29" s="25" t="inlineStr">
        <is>
          <t>High</t>
        </is>
      </c>
      <c r="Y29" s="25" t="inlineStr">
        <is>
          <t>3950</t>
        </is>
      </c>
      <c r="Z29" s="26" t="n"/>
      <c r="AA29" s="26" t="inlineStr">
        <is>
          <t>Rouen: individual exemptions up to 30% quota, priority to social/economic hardship.</t>
        </is>
      </c>
      <c r="AB29" s="28" t="inlineStr">
        <is>
          <t>https://www.univ-rouen.fr/actualites/application-des-droits-dinscription-differencies-a-luniversite-de-rouen-normandie-a-compter-de-la-rentree-universitaire-2026-2027/</t>
        </is>
      </c>
      <c r="AC29" s="25" t="inlineStr">
        <is>
          <t>Open</t>
        </is>
      </c>
      <c r="AD29" s="25" t="inlineStr">
        <is>
          <t>2026-10-01</t>
        </is>
      </c>
      <c r="AE29" s="25" t="inlineStr">
        <is>
          <t>2027-03-15</t>
        </is>
      </c>
      <c r="AF29" s="25" t="inlineStr">
        <is>
          <t>No</t>
        </is>
      </c>
      <c r="AG29" s="28" t="inlineStr">
        <is>
          <t>https://sciences-techniques.univ-rouen.fr/offre-de-formation-les-masters--332182.kjsp?RH=1392301431998&amp;RF=1378324428882</t>
        </is>
      </c>
      <c r="AH29" s="26" t="inlineStr">
        <is>
          <t>B2 en français exigé. Bac +3 dans du domaine requis (licence sciences de la vie ou équivalent)</t>
        </is>
      </c>
      <c r="AI29" s="28" t="inlineStr">
        <is>
          <t>Open in EEF</t>
        </is>
      </c>
    </row>
    <row r="30" ht="22.35" customHeight="1" s="19">
      <c r="A30" s="25" t="n">
        <v>29</v>
      </c>
      <c r="B30" s="25" t="inlineStr">
        <is>
          <t>★★★★★</t>
        </is>
      </c>
      <c r="C30" s="25" t="inlineStr">
        <is>
          <t>5 – Core fit (embedded/biomedical/health tech)</t>
        </is>
      </c>
      <c r="D30" s="25" t="inlineStr">
        <is>
          <t>Biomedical / Health tech</t>
        </is>
      </c>
      <c r="E30" s="26" t="inlineStr">
        <is>
          <t>Master Ingénierie de la santé parcours Analyses et Qualité en Bio-Industries (AQBIO)</t>
        </is>
      </c>
      <c r="F30" s="26" t="inlineStr">
        <is>
          <t>Master Health Engineering – track: Analyses &amp; Quality in Bio-Industries (AQBIO)</t>
        </is>
      </c>
      <c r="G30" s="25" t="inlineStr">
        <is>
          <t>Master indifférencié (recherche et professionnel)</t>
        </is>
      </c>
      <c r="H30" s="25" t="inlineStr">
        <is>
          <t>UFR Sciences et Techniques</t>
        </is>
      </c>
      <c r="I30" s="25" t="inlineStr">
        <is>
          <t>Université de Rouen</t>
        </is>
      </c>
      <c r="J30" s="25" t="inlineStr">
        <is>
          <t>Site de Mont-Saint-Aignan</t>
        </is>
      </c>
      <c r="K30" s="25" t="n"/>
      <c r="L30" s="25" t="inlineStr">
        <is>
          <t>Public university</t>
        </is>
      </c>
      <c r="M30" s="25" t="inlineStr">
        <is>
          <t>French</t>
        </is>
      </c>
      <c r="N30" s="25" t="inlineStr">
        <is>
          <t>General</t>
        </is>
      </c>
      <c r="O30" s="25" t="inlineStr">
        <is>
          <t>Bac +4</t>
        </is>
      </c>
      <c r="P30" s="26" t="inlineStr">
        <is>
          <t>Eligible on level (4-yr BS ≈ Bac+4)</t>
        </is>
      </c>
      <c r="Q30" s="25" t="inlineStr">
        <is>
          <t>1</t>
        </is>
      </c>
      <c r="R30" s="25" t="inlineStr">
        <is>
          <t>10</t>
        </is>
      </c>
      <c r="S30" s="27" t="n">
        <v>3950</v>
      </c>
      <c r="T30" s="27" t="n">
        <v>255</v>
      </c>
      <c r="U30" s="25" t="n">
        <v>2</v>
      </c>
      <c r="V30" s="27">
        <f>IF(S30="","",S30*U30)</f>
        <v/>
      </c>
      <c r="W30" s="26" t="inlineStr">
        <is>
          <t>Catalogue: €3,950. = national differentiated master fee (2026-27: €3,950). Exemption to ~€255 possible (university quota).</t>
        </is>
      </c>
      <c r="X30" s="25" t="inlineStr">
        <is>
          <t>High</t>
        </is>
      </c>
      <c r="Y30" s="25" t="inlineStr">
        <is>
          <t>3950</t>
        </is>
      </c>
      <c r="Z30" s="26" t="n"/>
      <c r="AA30" s="26" t="inlineStr">
        <is>
          <t>Rouen: individual exemptions up to 30% quota, priority to social/economic hardship.</t>
        </is>
      </c>
      <c r="AB30" s="28" t="inlineStr">
        <is>
          <t>https://www.univ-rouen.fr/actualites/application-des-droits-dinscription-differencies-a-luniversite-de-rouen-normandie-a-compter-de-la-rentree-universitaire-2026-2027/</t>
        </is>
      </c>
      <c r="AC30" s="25" t="inlineStr">
        <is>
          <t>Open</t>
        </is>
      </c>
      <c r="AD30" s="25" t="inlineStr">
        <is>
          <t>2026-10-01</t>
        </is>
      </c>
      <c r="AE30" s="25" t="inlineStr">
        <is>
          <t>2027-03-15</t>
        </is>
      </c>
      <c r="AF30" s="25" t="inlineStr">
        <is>
          <t>No</t>
        </is>
      </c>
      <c r="AG30" s="28" t="inlineStr">
        <is>
          <t>https://sciences-techniques.univ-rouen.fr/</t>
        </is>
      </c>
      <c r="AH30" s="26" t="inlineStr">
        <is>
          <t>B2 en français exigé et Bac+3 du domaine requis. Rentrée début septembre</t>
        </is>
      </c>
      <c r="AI30" s="28" t="inlineStr">
        <is>
          <t>Open in EEF</t>
        </is>
      </c>
    </row>
    <row r="31" ht="32.8" customHeight="1" s="19">
      <c r="A31" s="25" t="n">
        <v>30</v>
      </c>
      <c r="B31" s="25" t="inlineStr">
        <is>
          <t>★★★★★</t>
        </is>
      </c>
      <c r="C31" s="25" t="inlineStr">
        <is>
          <t>5 – Core fit (embedded/biomedical/health tech)</t>
        </is>
      </c>
      <c r="D31" s="25" t="inlineStr">
        <is>
          <t>Biomedical / Health tech</t>
        </is>
      </c>
      <c r="E31" s="26" t="inlineStr">
        <is>
          <t>Master Ingénierie de la santé parcours Imagerie Cellulaire (IMAC)</t>
        </is>
      </c>
      <c r="F31" s="26" t="inlineStr">
        <is>
          <t>Master Health Engineering – track: Imaging Cellular (IMAC)</t>
        </is>
      </c>
      <c r="G31" s="25" t="inlineStr">
        <is>
          <t>Master indifférencié (recherche et professionnel)</t>
        </is>
      </c>
      <c r="H31" s="25" t="inlineStr">
        <is>
          <t>UFR Sciences et Techniques</t>
        </is>
      </c>
      <c r="I31" s="25" t="inlineStr">
        <is>
          <t>Université de Rouen</t>
        </is>
      </c>
      <c r="J31" s="25" t="inlineStr">
        <is>
          <t>Site de Mont-Saint-Aignan</t>
        </is>
      </c>
      <c r="K31" s="25" t="n"/>
      <c r="L31" s="25" t="inlineStr">
        <is>
          <t>Public university</t>
        </is>
      </c>
      <c r="M31" s="25" t="inlineStr">
        <is>
          <t>French</t>
        </is>
      </c>
      <c r="N31" s="25" t="inlineStr">
        <is>
          <t>General</t>
        </is>
      </c>
      <c r="O31" s="25" t="inlineStr">
        <is>
          <t>Bac +4 / Bac +5</t>
        </is>
      </c>
      <c r="P31" s="26" t="inlineStr">
        <is>
          <t>Eligible on level (4-yr BS ≈ Bac+4)</t>
        </is>
      </c>
      <c r="Q31" s="25" t="inlineStr">
        <is>
          <t>1/2</t>
        </is>
      </c>
      <c r="R31" s="25" t="inlineStr">
        <is>
          <t>10</t>
        </is>
      </c>
      <c r="S31" s="27" t="n">
        <v>3950</v>
      </c>
      <c r="T31" s="27" t="n">
        <v>255</v>
      </c>
      <c r="U31" s="25" t="n">
        <v>2</v>
      </c>
      <c r="V31" s="27">
        <f>IF(S31="","",S31*U31)</f>
        <v/>
      </c>
      <c r="W31" s="26" t="inlineStr">
        <is>
          <t>Catalogue: €3,950. = national differentiated master fee (2026-27: €3,950). Exemption to ~€255 possible (university quota).</t>
        </is>
      </c>
      <c r="X31" s="25" t="inlineStr">
        <is>
          <t>High</t>
        </is>
      </c>
      <c r="Y31" s="25" t="inlineStr">
        <is>
          <t>3950</t>
        </is>
      </c>
      <c r="Z31" s="26" t="n"/>
      <c r="AA31" s="26" t="inlineStr">
        <is>
          <t>Rouen: individual exemptions up to 30% quota, priority to social/economic hardship.</t>
        </is>
      </c>
      <c r="AB31" s="28" t="inlineStr">
        <is>
          <t>https://www.univ-rouen.fr/actualites/application-des-droits-dinscription-differencies-a-luniversite-de-rouen-normandie-a-compter-de-la-rentree-universitaire-2026-2027/</t>
        </is>
      </c>
      <c r="AC31" s="25" t="inlineStr">
        <is>
          <t>Open</t>
        </is>
      </c>
      <c r="AD31" s="25" t="inlineStr">
        <is>
          <t>2026-10-01</t>
        </is>
      </c>
      <c r="AE31" s="25" t="inlineStr">
        <is>
          <t>2027-03-15</t>
        </is>
      </c>
      <c r="AF31" s="25" t="inlineStr">
        <is>
          <t>No</t>
        </is>
      </c>
      <c r="AG31" s="28" t="inlineStr">
        <is>
          <t>https://sciences-techniques.univ-rouen.fr/</t>
        </is>
      </c>
      <c r="AH31" s="26" t="inlineStr">
        <is>
          <t>B2 en français exigé. Rentrée début septembre. Pour une entrée en master 1 niveau Bac + 3 dans le domaine requis. Pour une entrée en Master 2, Bac + 4 dans le domaine requis. Ce master est un master spécialisé sur deux a</t>
        </is>
      </c>
      <c r="AI31" s="28" t="inlineStr">
        <is>
          <t>Open in EEF</t>
        </is>
      </c>
    </row>
    <row r="32" ht="22.35" customHeight="1" s="19">
      <c r="A32" s="25" t="n">
        <v>31</v>
      </c>
      <c r="B32" s="25" t="inlineStr">
        <is>
          <t>★★★★★</t>
        </is>
      </c>
      <c r="C32" s="25" t="inlineStr">
        <is>
          <t>5 – Core fit (embedded/biomedical/health tech)</t>
        </is>
      </c>
      <c r="D32" s="25" t="inlineStr">
        <is>
          <t>Biomedical / Health tech</t>
        </is>
      </c>
      <c r="E32" s="26" t="inlineStr">
        <is>
          <t>Master Ingénierie de la santé parcours Ingénierie pour le Bio-Médical</t>
        </is>
      </c>
      <c r="F32" s="26" t="inlineStr">
        <is>
          <t>Master Health Engineering – track: Engineering for the Bio-Médical</t>
        </is>
      </c>
      <c r="G32" s="25" t="inlineStr">
        <is>
          <t>Master indifférencié (recherche et professionnel)</t>
        </is>
      </c>
      <c r="H32" s="25" t="inlineStr">
        <is>
          <t>UFR Sciences et Techniques</t>
        </is>
      </c>
      <c r="I32" s="25" t="inlineStr">
        <is>
          <t>Université de Rouen</t>
        </is>
      </c>
      <c r="J32" s="25" t="inlineStr">
        <is>
          <t>Saint-Etienne-du-Rouvray</t>
        </is>
      </c>
      <c r="K32" s="25" t="n"/>
      <c r="L32" s="25" t="inlineStr">
        <is>
          <t>Public university</t>
        </is>
      </c>
      <c r="M32" s="25" t="inlineStr">
        <is>
          <t>French</t>
        </is>
      </c>
      <c r="N32" s="25" t="inlineStr">
        <is>
          <t>General</t>
        </is>
      </c>
      <c r="O32" s="25" t="inlineStr">
        <is>
          <t>Bac +4 / Bac +5</t>
        </is>
      </c>
      <c r="P32" s="26" t="inlineStr">
        <is>
          <t>Eligible on level (4-yr BS ≈ Bac+4)</t>
        </is>
      </c>
      <c r="Q32" s="25" t="inlineStr">
        <is>
          <t>1/2</t>
        </is>
      </c>
      <c r="R32" s="25" t="inlineStr">
        <is>
          <t>10</t>
        </is>
      </c>
      <c r="S32" s="27" t="n">
        <v>3950</v>
      </c>
      <c r="T32" s="27" t="n">
        <v>255</v>
      </c>
      <c r="U32" s="25" t="n">
        <v>2</v>
      </c>
      <c r="V32" s="27">
        <f>IF(S32="","",S32*U32)</f>
        <v/>
      </c>
      <c r="W32" s="26" t="inlineStr">
        <is>
          <t>Catalogue: €3,950. = national differentiated master fee (2026-27: €3,950). Exemption to ~€255 possible (university quota).</t>
        </is>
      </c>
      <c r="X32" s="25" t="inlineStr">
        <is>
          <t>High</t>
        </is>
      </c>
      <c r="Y32" s="25" t="inlineStr">
        <is>
          <t>3950</t>
        </is>
      </c>
      <c r="Z32" s="26" t="n"/>
      <c r="AA32" s="26" t="inlineStr">
        <is>
          <t>Rouen: individual exemptions up to 30% quota, priority to social/economic hardship.</t>
        </is>
      </c>
      <c r="AB32" s="28" t="inlineStr">
        <is>
          <t>https://www.univ-rouen.fr/actualites/application-des-droits-dinscription-differencies-a-luniversite-de-rouen-normandie-a-compter-de-la-rentree-universitaire-2026-2027/</t>
        </is>
      </c>
      <c r="AC32" s="25" t="inlineStr">
        <is>
          <t>Open</t>
        </is>
      </c>
      <c r="AD32" s="25" t="inlineStr">
        <is>
          <t>2026-10-01</t>
        </is>
      </c>
      <c r="AE32" s="25" t="inlineStr">
        <is>
          <t>2027-03-15</t>
        </is>
      </c>
      <c r="AF32" s="25" t="inlineStr">
        <is>
          <t>No</t>
        </is>
      </c>
      <c r="AG32" s="28" t="inlineStr">
        <is>
          <t>http://sciences-techniques.univ-rouen.fr/</t>
        </is>
      </c>
      <c r="AH32" s="26" t="inlineStr">
        <is>
          <t>B2 en français exigé. Rentrée début septembre.</t>
        </is>
      </c>
      <c r="AI32" s="28" t="inlineStr">
        <is>
          <t>Open in EEF</t>
        </is>
      </c>
    </row>
    <row r="33" ht="32.8" customHeight="1" s="19">
      <c r="A33" s="25" t="n">
        <v>32</v>
      </c>
      <c r="B33" s="25" t="inlineStr">
        <is>
          <t>★★★★★</t>
        </is>
      </c>
      <c r="C33" s="25" t="inlineStr">
        <is>
          <t>5 – Core fit (embedded/biomedical/health tech)</t>
        </is>
      </c>
      <c r="D33" s="25" t="inlineStr">
        <is>
          <t>Embedded systems / Electronics</t>
        </is>
      </c>
      <c r="E33" s="26" t="inlineStr">
        <is>
          <t>Master mention Génie industriel [Electronique embarquée et systèmes de communication]</t>
        </is>
      </c>
      <c r="F33" s="26" t="inlineStr">
        <is>
          <t>Master – major: Industrial Engineering [Embedded Electronics &amp; Systems of Communication]</t>
        </is>
      </c>
      <c r="G33" s="25" t="inlineStr">
        <is>
          <t>Master indifférencié (recherche et professionnel)</t>
        </is>
      </c>
      <c r="H33" s="25" t="inlineStr">
        <is>
          <t>UFR Systèmes industriels et techniques de communication (Ville d'Avray)</t>
        </is>
      </c>
      <c r="I33" s="25" t="inlineStr">
        <is>
          <t>Université Paris Nanterre</t>
        </is>
      </c>
      <c r="J33" s="25" t="inlineStr">
        <is>
          <t>Site de Ville-d'Avray</t>
        </is>
      </c>
      <c r="K33" s="25" t="n"/>
      <c r="L33" s="25" t="inlineStr">
        <is>
          <t>Public university</t>
        </is>
      </c>
      <c r="M33" s="25" t="inlineStr">
        <is>
          <t>French</t>
        </is>
      </c>
      <c r="N33" s="25" t="inlineStr">
        <is>
          <t>General</t>
        </is>
      </c>
      <c r="O33" s="25" t="inlineStr">
        <is>
          <t>Bac +4</t>
        </is>
      </c>
      <c r="P33" s="26" t="inlineStr">
        <is>
          <t>Eligible on level (4-yr BS ≈ Bac+4)</t>
        </is>
      </c>
      <c r="Q33" s="25" t="inlineStr">
        <is>
          <t>1</t>
        </is>
      </c>
      <c r="R33" s="25" t="n"/>
      <c r="S33" s="27" t="n">
        <v>3950</v>
      </c>
      <c r="T33" s="27" t="n">
        <v>255</v>
      </c>
      <c r="U33" s="25" t="n">
        <v>2</v>
      </c>
      <c r="V33" s="27">
        <f>IF(S33="","",S33*U33)</f>
        <v/>
      </c>
      <c r="W33" s="26" t="inlineStr">
        <is>
          <t>Catalogue: €3,950. = national differentiated master fee (2026-27: €3,950). Exemption to ~€255 possible (university quota).</t>
        </is>
      </c>
      <c r="X33" s="25" t="inlineStr">
        <is>
          <t>High</t>
        </is>
      </c>
      <c r="Y33" s="25" t="inlineStr">
        <is>
          <t>3950</t>
        </is>
      </c>
      <c r="Z33" s="26" t="n"/>
      <c r="AA33" s="26" t="n"/>
      <c r="AB33" s="25" t="n"/>
      <c r="AC33" s="25" t="inlineStr">
        <is>
          <t>Open</t>
        </is>
      </c>
      <c r="AD33" s="25" t="inlineStr">
        <is>
          <t>2026-10-01</t>
        </is>
      </c>
      <c r="AE33" s="25" t="inlineStr">
        <is>
          <t>2027-03-15</t>
        </is>
      </c>
      <c r="AF33" s="25" t="inlineStr">
        <is>
          <t>No</t>
        </is>
      </c>
      <c r="AG33" s="28" t="inlineStr">
        <is>
          <t>https://ufr-sitec.parisnanterre.fr/</t>
        </is>
      </c>
      <c r="AH33" s="26" t="inlineStr">
        <is>
          <t>Les candidats non francophones ou ressortissant d'un pays ou le français n'est pas langue officielle doivent impérativement justifier de leur niveau de français en produisant dans leur dossier le TCF niveau C1 ou le DALF</t>
        </is>
      </c>
      <c r="AI33" s="28" t="inlineStr">
        <is>
          <t>Open in EEF</t>
        </is>
      </c>
    </row>
    <row r="34" ht="32.8" customHeight="1" s="19">
      <c r="A34" s="25" t="n">
        <v>33</v>
      </c>
      <c r="B34" s="25" t="inlineStr">
        <is>
          <t>★★★★★</t>
        </is>
      </c>
      <c r="C34" s="25" t="inlineStr">
        <is>
          <t>5 – Core fit (embedded/biomedical/health tech)</t>
        </is>
      </c>
      <c r="D34" s="25" t="inlineStr">
        <is>
          <t>Embedded systems / Electronics</t>
        </is>
      </c>
      <c r="E34" s="26" t="inlineStr">
        <is>
          <t>Master Sciences, technologies, santé, mention Electronique, énergie électrique, automatique Orientations CIM (Capteurs intelligents et micro-nano-technologies) et EMB (Électronique Embarquée)</t>
        </is>
      </c>
      <c r="F34" s="26" t="inlineStr">
        <is>
          <t>Master Science, Technology, Health (STS), – major: Electronics, Electrical Energy &amp; Automation (EEA) Orientations CIM (Sensors Intelligent &amp; micro-nano-technologies) &amp; EMB (Embedded Electronics)</t>
        </is>
      </c>
      <c r="G34" s="25" t="inlineStr">
        <is>
          <t>Master indifférencié (recherche et professionnel)</t>
        </is>
      </c>
      <c r="H34" s="25" t="inlineStr">
        <is>
          <t>Faculté des Sciences et Technologies</t>
        </is>
      </c>
      <c r="I34" s="25" t="inlineStr">
        <is>
          <t>Université de Lorraine</t>
        </is>
      </c>
      <c r="J34" s="25" t="inlineStr">
        <is>
          <t>Site de Vandoeuvre-lès-Nancy</t>
        </is>
      </c>
      <c r="K34" s="25" t="n"/>
      <c r="L34" s="25" t="inlineStr">
        <is>
          <t>Public university</t>
        </is>
      </c>
      <c r="M34" s="25" t="inlineStr">
        <is>
          <t>French</t>
        </is>
      </c>
      <c r="N34" s="25" t="inlineStr">
        <is>
          <t>General</t>
        </is>
      </c>
      <c r="O34" s="25" t="inlineStr">
        <is>
          <t>Bac +4</t>
        </is>
      </c>
      <c r="P34" s="26" t="inlineStr">
        <is>
          <t>Eligible on level (4-yr BS ≈ Bac+4)</t>
        </is>
      </c>
      <c r="Q34" s="25" t="inlineStr">
        <is>
          <t>1</t>
        </is>
      </c>
      <c r="R34" s="25" t="n"/>
      <c r="S34" s="27" t="n">
        <v>3950</v>
      </c>
      <c r="T34" s="27" t="n">
        <v>255</v>
      </c>
      <c r="U34" s="25" t="n">
        <v>2</v>
      </c>
      <c r="V34" s="27">
        <f>IF(S34="","",S34*U34)</f>
        <v/>
      </c>
      <c r="W34" s="26" t="inlineStr">
        <is>
          <t>Catalogue: €3,950. = national differentiated master fee (2026-27: €3,950). Exemption to ~€255 possible (university quota).</t>
        </is>
      </c>
      <c r="X34" s="25" t="inlineStr">
        <is>
          <t>High</t>
        </is>
      </c>
      <c r="Y34" s="25" t="inlineStr">
        <is>
          <t>3950</t>
        </is>
      </c>
      <c r="Z34" s="26" t="n"/>
      <c r="AA34" s="26" t="n"/>
      <c r="AB34" s="25" t="n"/>
      <c r="AC34" s="25" t="inlineStr">
        <is>
          <t>Open</t>
        </is>
      </c>
      <c r="AD34" s="25" t="inlineStr">
        <is>
          <t>2026-10-01</t>
        </is>
      </c>
      <c r="AE34" s="25" t="inlineStr">
        <is>
          <t>2027-03-15</t>
        </is>
      </c>
      <c r="AF34" s="25" t="inlineStr">
        <is>
          <t>No</t>
        </is>
      </c>
      <c r="AG34" s="28" t="inlineStr">
        <is>
          <t>https://fst.univ-lorraine.fr/formations/</t>
        </is>
      </c>
      <c r="AH34" s="26" t="inlineStr">
        <is>
          <t>Pour le Master 1 : Niveau licence en électronique, électrotechnique, Automatique, Informatique industrielle exigé. Niveau B2 en langue française exigé. Aucun dossier transmis en dehors de la campagne d'ouverture de Campu</t>
        </is>
      </c>
      <c r="AI34" s="28" t="inlineStr">
        <is>
          <t>Open in EEF</t>
        </is>
      </c>
    </row>
    <row r="35" ht="22.35" customHeight="1" s="19">
      <c r="A35" s="25" t="n">
        <v>34</v>
      </c>
      <c r="B35" s="25" t="inlineStr">
        <is>
          <t>★★★★★</t>
        </is>
      </c>
      <c r="C35" s="25" t="inlineStr">
        <is>
          <t>5 – Core fit (embedded/biomedical/health tech)</t>
        </is>
      </c>
      <c r="D35" s="25" t="inlineStr">
        <is>
          <t>Biomedical / Health tech</t>
        </is>
      </c>
      <c r="E35" s="26" t="inlineStr">
        <is>
          <t>Master Sciences, technologies, santé, mention Ingénierie de la santé</t>
        </is>
      </c>
      <c r="F35" s="26" t="inlineStr">
        <is>
          <t>Master Science, Technology, Health (STS), – major: Health Engineering</t>
        </is>
      </c>
      <c r="G35" s="25" t="inlineStr">
        <is>
          <t>Master indifférencié (recherche et professionnel)</t>
        </is>
      </c>
      <c r="H35" s="25" t="inlineStr">
        <is>
          <t>Faculté de Santé</t>
        </is>
      </c>
      <c r="I35" s="25" t="inlineStr">
        <is>
          <t>Université Jean Monnet Saint-Etienne</t>
        </is>
      </c>
      <c r="J35" s="25" t="inlineStr">
        <is>
          <t>Site de Saint-Etienne</t>
        </is>
      </c>
      <c r="K35" s="25" t="inlineStr">
        <is>
          <t>42270 Saint-Priest-en-Jarez</t>
        </is>
      </c>
      <c r="L35" s="25" t="inlineStr">
        <is>
          <t>Public university</t>
        </is>
      </c>
      <c r="M35" s="25" t="inlineStr">
        <is>
          <t>French</t>
        </is>
      </c>
      <c r="N35" s="25" t="inlineStr">
        <is>
          <t>General</t>
        </is>
      </c>
      <c r="O35" s="25" t="inlineStr">
        <is>
          <t>Bac +4</t>
        </is>
      </c>
      <c r="P35" s="26" t="inlineStr">
        <is>
          <t>Eligible on level (4-yr BS ≈ Bac+4)</t>
        </is>
      </c>
      <c r="Q35" s="25" t="inlineStr">
        <is>
          <t>1</t>
        </is>
      </c>
      <c r="R35" s="25" t="n"/>
      <c r="S35" s="27" t="n">
        <v>3950</v>
      </c>
      <c r="T35" s="27" t="n">
        <v>255</v>
      </c>
      <c r="U35" s="25" t="n">
        <v>2</v>
      </c>
      <c r="V35" s="27">
        <f>IF(S35="","",S35*U35)</f>
        <v/>
      </c>
      <c r="W35" s="26" t="inlineStr">
        <is>
          <t>Catalogue: €3,950. = national differentiated master fee (2026-27: €3,950). Exemption to ~€255 possible (university quota).</t>
        </is>
      </c>
      <c r="X35" s="25" t="inlineStr">
        <is>
          <t>High</t>
        </is>
      </c>
      <c r="Y35" s="25" t="inlineStr">
        <is>
          <t>3950</t>
        </is>
      </c>
      <c r="Z35" s="26" t="inlineStr">
        <is>
          <t>Master : 3950 € + le paiement de la CVEC : 105 € (tarif indicatif 2026/2027)</t>
        </is>
      </c>
      <c r="AA35" s="26" t="n"/>
      <c r="AB35" s="25" t="n"/>
      <c r="AC35" s="25" t="inlineStr">
        <is>
          <t>Open</t>
        </is>
      </c>
      <c r="AD35" s="25" t="inlineStr">
        <is>
          <t>2026-10-01</t>
        </is>
      </c>
      <c r="AE35" s="25" t="inlineStr">
        <is>
          <t>2027-03-15</t>
        </is>
      </c>
      <c r="AF35" s="25" t="inlineStr">
        <is>
          <t>No</t>
        </is>
      </c>
      <c r="AG35" s="28" t="inlineStr">
        <is>
          <t>https://medecine.univ-st-etienne.fr/fr/formation-initiale/licence-masters.html</t>
        </is>
      </c>
      <c r="AH35" s="26" t="inlineStr">
        <is>
          <t>Niveaux de langues : B2 minimum en Français et en Anglais</t>
        </is>
      </c>
      <c r="AI35" s="28" t="inlineStr">
        <is>
          <t>Open in EEF</t>
        </is>
      </c>
    </row>
    <row r="36" ht="32.8" customHeight="1" s="19">
      <c r="A36" s="25" t="n">
        <v>35</v>
      </c>
      <c r="B36" s="25" t="inlineStr">
        <is>
          <t>★★★★★</t>
        </is>
      </c>
      <c r="C36" s="25" t="inlineStr">
        <is>
          <t>5 – Core fit (embedded/biomedical/health tech)</t>
        </is>
      </c>
      <c r="D36" s="25" t="inlineStr">
        <is>
          <t>Biomedical / Health tech</t>
        </is>
      </c>
      <c r="E36" s="26" t="inlineStr">
        <is>
          <t>Master Sciences, technologies, santé, mention Ingénierie de la santé parcours Dispositif médical et affaires réglementaires</t>
        </is>
      </c>
      <c r="F36" s="26" t="inlineStr">
        <is>
          <t>Master Science, Technology, Health (STS), – major: Health Engineering – track: Dispositif Medical &amp; affaires réglementaires</t>
        </is>
      </c>
      <c r="G36" s="25" t="inlineStr">
        <is>
          <t>Master indifférencié (recherche et professionnel)</t>
        </is>
      </c>
      <c r="H36" s="25" t="inlineStr">
        <is>
          <t>Université de technologie de Compiègne</t>
        </is>
      </c>
      <c r="I36" s="25" t="n"/>
      <c r="J36" s="25" t="inlineStr">
        <is>
          <t>Site de Compiègne</t>
        </is>
      </c>
      <c r="K36" s="25" t="n"/>
      <c r="L36" s="25" t="inlineStr">
        <is>
          <t>Public university</t>
        </is>
      </c>
      <c r="M36" s="25" t="inlineStr">
        <is>
          <t>French</t>
        </is>
      </c>
      <c r="N36" s="25" t="inlineStr">
        <is>
          <t>General</t>
        </is>
      </c>
      <c r="O36" s="25" t="inlineStr">
        <is>
          <t>Bac +4 / Bac +5</t>
        </is>
      </c>
      <c r="P36" s="26" t="inlineStr">
        <is>
          <t>Eligible on level (4-yr BS ≈ Bac+4)</t>
        </is>
      </c>
      <c r="Q36" s="25" t="inlineStr">
        <is>
          <t>1/2</t>
        </is>
      </c>
      <c r="R36" s="25" t="n"/>
      <c r="S36" s="27" t="n">
        <v>3950</v>
      </c>
      <c r="T36" s="27" t="n">
        <v>255</v>
      </c>
      <c r="U36" s="25" t="n">
        <v>2</v>
      </c>
      <c r="V36" s="27">
        <f>IF(S36="","",S36*U36)</f>
        <v/>
      </c>
      <c r="W36" s="26" t="inlineStr">
        <is>
          <t>Catalogue: €3,950. = national differentiated master fee (2026-27: €3,950). Exemption to ~€255 possible (university quota).</t>
        </is>
      </c>
      <c r="X36" s="25" t="inlineStr">
        <is>
          <t>High</t>
        </is>
      </c>
      <c r="Y36" s="25" t="inlineStr">
        <is>
          <t>3950</t>
        </is>
      </c>
      <c r="Z36" s="26" t="n"/>
      <c r="AA36" s="26" t="n"/>
      <c r="AB36" s="25" t="n"/>
      <c r="AC36" s="25" t="inlineStr">
        <is>
          <t>Open</t>
        </is>
      </c>
      <c r="AD36" s="25" t="inlineStr">
        <is>
          <t>2026-10-01</t>
        </is>
      </c>
      <c r="AE36" s="25" t="inlineStr">
        <is>
          <t>2027-03-15</t>
        </is>
      </c>
      <c r="AF36" s="25" t="inlineStr">
        <is>
          <t>No</t>
        </is>
      </c>
      <c r="AG36" s="28" t="inlineStr">
        <is>
          <t>https://www.utc.fr/formations/diplome-de-master/mention-ingenierie-de-la-sante-ids/parcours-dispositif-medical-et-affaires-reglementaires-dmar/</t>
        </is>
      </c>
      <c r="AH36" s="26" t="inlineStr">
        <is>
          <t>Pour les parcours DMAR et TBTS Attention, le recrutement en M1 est commun. Ainsi, en candidatant sur l’un vous candidatez également sur l’autre, pas besoin de déposer votre dossier de candidature deux fois. Mentions de l</t>
        </is>
      </c>
      <c r="AI36" s="28" t="inlineStr">
        <is>
          <t>Open in EEF</t>
        </is>
      </c>
    </row>
    <row r="37" ht="22.35" customHeight="1" s="19">
      <c r="A37" s="25" t="n">
        <v>36</v>
      </c>
      <c r="B37" s="25" t="inlineStr">
        <is>
          <t>★★★★★</t>
        </is>
      </c>
      <c r="C37" s="25" t="inlineStr">
        <is>
          <t>5 – Core fit (embedded/biomedical/health tech)</t>
        </is>
      </c>
      <c r="D37" s="25" t="inlineStr">
        <is>
          <t>Biomedical / Health tech</t>
        </is>
      </c>
      <c r="E37" s="26" t="inlineStr">
        <is>
          <t>Master Sciences, technologies, santé, mention Ingénierie de la santé parcours Ingénierie des formations en santé (IFS)</t>
        </is>
      </c>
      <c r="F37" s="26" t="inlineStr">
        <is>
          <t>Master Science, Technology, Health (STS), – major: Health Engineering – track: Engineering of formations in Health (IFS)</t>
        </is>
      </c>
      <c r="G37" s="25" t="inlineStr">
        <is>
          <t>Master indifférencié (recherche et professionnel)</t>
        </is>
      </c>
      <c r="H37" s="25" t="inlineStr">
        <is>
          <t>UFR de santé médecine biologie humaine - Léonard de Vinci</t>
        </is>
      </c>
      <c r="I37" s="25" t="inlineStr">
        <is>
          <t>Université Sorbonne Paris Nord</t>
        </is>
      </c>
      <c r="J37" s="25" t="inlineStr">
        <is>
          <t>Site de Bobigny</t>
        </is>
      </c>
      <c r="K37" s="25" t="n"/>
      <c r="L37" s="25" t="inlineStr">
        <is>
          <t>Public university</t>
        </is>
      </c>
      <c r="M37" s="25" t="inlineStr">
        <is>
          <t>French</t>
        </is>
      </c>
      <c r="N37" s="25" t="inlineStr">
        <is>
          <t>General</t>
        </is>
      </c>
      <c r="O37" s="25" t="inlineStr">
        <is>
          <t>Bac +4 / Bac +5</t>
        </is>
      </c>
      <c r="P37" s="26" t="inlineStr">
        <is>
          <t>Eligible on level (4-yr BS ≈ Bac+4)</t>
        </is>
      </c>
      <c r="Q37" s="25" t="inlineStr">
        <is>
          <t>1/2</t>
        </is>
      </c>
      <c r="R37" s="25" t="n"/>
      <c r="S37" s="27" t="n">
        <v>3950</v>
      </c>
      <c r="T37" s="27" t="n">
        <v>255</v>
      </c>
      <c r="U37" s="25" t="n">
        <v>2</v>
      </c>
      <c r="V37" s="27">
        <f>IF(S37="","",S37*U37)</f>
        <v/>
      </c>
      <c r="W37" s="26" t="inlineStr">
        <is>
          <t>Catalogue: €3,950. = national differentiated master fee (2026-27: €3,950). Exemption to ~€255 possible (university quota).</t>
        </is>
      </c>
      <c r="X37" s="25" t="inlineStr">
        <is>
          <t>High</t>
        </is>
      </c>
      <c r="Y37" s="25" t="inlineStr">
        <is>
          <t>3950</t>
        </is>
      </c>
      <c r="Z37" s="26" t="n"/>
      <c r="AA37" s="26" t="n"/>
      <c r="AB37" s="25" t="n"/>
      <c r="AC37" s="25" t="inlineStr">
        <is>
          <t>Open</t>
        </is>
      </c>
      <c r="AD37" s="25" t="inlineStr">
        <is>
          <t>2026-10-01</t>
        </is>
      </c>
      <c r="AE37" s="25" t="inlineStr">
        <is>
          <t>2027-03-15</t>
        </is>
      </c>
      <c r="AF37" s="25" t="inlineStr">
        <is>
          <t>No</t>
        </is>
      </c>
      <c r="AG37" s="25" t="n"/>
      <c r="AH37" s="26" t="n"/>
      <c r="AI37" s="28" t="inlineStr">
        <is>
          <t>Open in EEF</t>
        </is>
      </c>
    </row>
    <row r="38" ht="22.35" customHeight="1" s="19">
      <c r="A38" s="25" t="n">
        <v>37</v>
      </c>
      <c r="B38" s="25" t="inlineStr">
        <is>
          <t>★★★★★</t>
        </is>
      </c>
      <c r="C38" s="25" t="inlineStr">
        <is>
          <t>5 – Core fit (embedded/biomedical/health tech)</t>
        </is>
      </c>
      <c r="D38" s="25" t="inlineStr">
        <is>
          <t>Biomedical / Health tech</t>
        </is>
      </c>
      <c r="E38" s="26" t="inlineStr">
        <is>
          <t>Master Sciences, technologies, santé, mention Ingénierie de la santé parcours Qualité, sécurité des parcours de soins (QSPS)</t>
        </is>
      </c>
      <c r="F38" s="26" t="inlineStr">
        <is>
          <t>Master Science, Technology, Health (STS), – major: Health Engineering – track: Quality, Security of – track: of soins (QSPS)</t>
        </is>
      </c>
      <c r="G38" s="25" t="inlineStr">
        <is>
          <t>Master indifférencié (recherche et professionnel)</t>
        </is>
      </c>
      <c r="H38" s="25" t="inlineStr">
        <is>
          <t>UFR de santé médecine biologie humaine - Léonard de Vinci</t>
        </is>
      </c>
      <c r="I38" s="25" t="inlineStr">
        <is>
          <t>Université Sorbonne Paris Nord</t>
        </is>
      </c>
      <c r="J38" s="25" t="inlineStr">
        <is>
          <t>Site de Bobigny</t>
        </is>
      </c>
      <c r="K38" s="25" t="n"/>
      <c r="L38" s="25" t="inlineStr">
        <is>
          <t>Public university</t>
        </is>
      </c>
      <c r="M38" s="25" t="inlineStr">
        <is>
          <t>French</t>
        </is>
      </c>
      <c r="N38" s="25" t="inlineStr">
        <is>
          <t>General</t>
        </is>
      </c>
      <c r="O38" s="25" t="inlineStr">
        <is>
          <t>Bac +4</t>
        </is>
      </c>
      <c r="P38" s="26" t="inlineStr">
        <is>
          <t>Eligible on level (4-yr BS ≈ Bac+4)</t>
        </is>
      </c>
      <c r="Q38" s="25" t="inlineStr">
        <is>
          <t>1</t>
        </is>
      </c>
      <c r="R38" s="25" t="n"/>
      <c r="S38" s="27" t="n">
        <v>3950</v>
      </c>
      <c r="T38" s="27" t="n">
        <v>255</v>
      </c>
      <c r="U38" s="25" t="n">
        <v>2</v>
      </c>
      <c r="V38" s="27">
        <f>IF(S38="","",S38*U38)</f>
        <v/>
      </c>
      <c r="W38" s="26" t="inlineStr">
        <is>
          <t>Catalogue: €3,950. = national differentiated master fee (2026-27: €3,950). Exemption to ~€255 possible (university quota).</t>
        </is>
      </c>
      <c r="X38" s="25" t="inlineStr">
        <is>
          <t>High</t>
        </is>
      </c>
      <c r="Y38" s="25" t="inlineStr">
        <is>
          <t>3950</t>
        </is>
      </c>
      <c r="Z38" s="26" t="n"/>
      <c r="AA38" s="26" t="n"/>
      <c r="AB38" s="25" t="n"/>
      <c r="AC38" s="25" t="inlineStr">
        <is>
          <t>Open</t>
        </is>
      </c>
      <c r="AD38" s="25" t="inlineStr">
        <is>
          <t>2026-10-01</t>
        </is>
      </c>
      <c r="AE38" s="25" t="inlineStr">
        <is>
          <t>2027-03-15</t>
        </is>
      </c>
      <c r="AF38" s="25" t="inlineStr">
        <is>
          <t>No</t>
        </is>
      </c>
      <c r="AG38" s="25" t="n"/>
      <c r="AH38" s="26" t="n"/>
      <c r="AI38" s="28" t="inlineStr">
        <is>
          <t>Open in EEF</t>
        </is>
      </c>
    </row>
    <row r="39" ht="32.8" customHeight="1" s="19">
      <c r="A39" s="25" t="n">
        <v>38</v>
      </c>
      <c r="B39" s="25" t="inlineStr">
        <is>
          <t>★★★★★</t>
        </is>
      </c>
      <c r="C39" s="25" t="inlineStr">
        <is>
          <t>5 – Core fit (embedded/biomedical/health tech)</t>
        </is>
      </c>
      <c r="D39" s="25" t="inlineStr">
        <is>
          <t>Biomedical / Health tech</t>
        </is>
      </c>
      <c r="E39" s="26" t="inlineStr">
        <is>
          <t>Master Sciences, technologies, santé mention sciences et techniques des activités physiques et sportives spécialité ingénierie de la rééducation, du handicap et de la performance motrice</t>
        </is>
      </c>
      <c r="F39" s="26" t="inlineStr">
        <is>
          <t>Master Science, Technology, Health (STS) – major: Sciences &amp; Techniques of activités physiques &amp; sportives – specialisation: Engineering of the rééducation, of handicap &amp; of the Performance motrice</t>
        </is>
      </c>
      <c r="G39" s="25" t="inlineStr">
        <is>
          <t>Master indifférencié (recherche et professionnel)</t>
        </is>
      </c>
      <c r="H39" s="25" t="inlineStr">
        <is>
          <t>UFR de sciences et techniques</t>
        </is>
      </c>
      <c r="I39" s="25" t="inlineStr">
        <is>
          <t>Le Mans Université</t>
        </is>
      </c>
      <c r="J39" s="25" t="inlineStr">
        <is>
          <t>UFR STS - Le Mans</t>
        </is>
      </c>
      <c r="K39" s="25" t="inlineStr">
        <is>
          <t>72085 LE MANS CEDEX</t>
        </is>
      </c>
      <c r="L39" s="25" t="inlineStr">
        <is>
          <t>Public university</t>
        </is>
      </c>
      <c r="M39" s="25" t="inlineStr">
        <is>
          <t>French</t>
        </is>
      </c>
      <c r="N39" s="25" t="inlineStr">
        <is>
          <t>General</t>
        </is>
      </c>
      <c r="O39" s="25" t="inlineStr">
        <is>
          <t>Bac +4 / Bac +5</t>
        </is>
      </c>
      <c r="P39" s="26" t="inlineStr">
        <is>
          <t>Eligible on level (4-yr BS ≈ Bac+4)</t>
        </is>
      </c>
      <c r="Q39" s="25" t="inlineStr">
        <is>
          <t>1/2</t>
        </is>
      </c>
      <c r="R39" s="25" t="inlineStr">
        <is>
          <t>12</t>
        </is>
      </c>
      <c r="S39" s="27" t="n">
        <v>3950</v>
      </c>
      <c r="T39" s="27" t="n">
        <v>255</v>
      </c>
      <c r="U39" s="25" t="n">
        <v>2</v>
      </c>
      <c r="V39" s="27">
        <f>IF(S39="","",S39*U39)</f>
        <v/>
      </c>
      <c r="W39" s="26" t="inlineStr">
        <is>
          <t>Catalogue: €3,950. = national differentiated master fee (2026-27: €3,950). Exemption to ~€255 possible (university quota).</t>
        </is>
      </c>
      <c r="X39" s="25" t="inlineStr">
        <is>
          <t>High</t>
        </is>
      </c>
      <c r="Y39" s="25" t="inlineStr">
        <is>
          <t>3950</t>
        </is>
      </c>
      <c r="Z39" s="26" t="n"/>
      <c r="AA39" s="26" t="inlineStr">
        <is>
          <t>Le Mans governance formally opposed the decree; exemption policy not published.</t>
        </is>
      </c>
      <c r="AB39" s="28" t="inlineStr">
        <is>
          <t>https://www.letudiant.fr/educpros/actualite/droits-d-inscription-majores-pour-les-etudiants-etrangers-pourquoi-l-application-du-decret-met-en-difficulte-de-nombreuses-universites.html</t>
        </is>
      </c>
      <c r="AC39" s="25" t="inlineStr">
        <is>
          <t>Open</t>
        </is>
      </c>
      <c r="AD39" s="25" t="inlineStr">
        <is>
          <t>2026-10-01</t>
        </is>
      </c>
      <c r="AE39" s="25" t="inlineStr">
        <is>
          <t>2027-03-15</t>
        </is>
      </c>
      <c r="AF39" s="25" t="inlineStr">
        <is>
          <t>No</t>
        </is>
      </c>
      <c r="AG39" s="28" t="inlineStr">
        <is>
          <t>http://sciences.univ-lemans.fr</t>
        </is>
      </c>
      <c r="AH39" s="26" t="inlineStr">
        <is>
          <t>TCF B2 minimum Pour candidature en M1 STAPS APAS : Licence 3 STAPS APAS déjà validée ou diplôme équivalent.</t>
        </is>
      </c>
      <c r="AI39" s="28" t="inlineStr">
        <is>
          <t>Open in EEF</t>
        </is>
      </c>
    </row>
    <row r="40" ht="32.8" customHeight="1" s="19">
      <c r="A40" s="25" t="n">
        <v>39</v>
      </c>
      <c r="B40" s="25" t="inlineStr">
        <is>
          <t>★★★★★</t>
        </is>
      </c>
      <c r="C40" s="25" t="inlineStr">
        <is>
          <t>5 – Core fit (embedded/biomedical/health tech)</t>
        </is>
      </c>
      <c r="D40" s="25" t="inlineStr">
        <is>
          <t>Signal / Image / Vision</t>
        </is>
      </c>
      <c r="E40" s="26" t="inlineStr">
        <is>
          <t>Master Sciences, technologies, santé, Optique, image, vision, mutlimédia parcours M2 Signaux et image en médecine (SIM)</t>
        </is>
      </c>
      <c r="F40" s="26" t="inlineStr">
        <is>
          <t>Master Science, Technology, Health (STS), Optics, Image, Vision, Multimedia – track: M2 Signaux &amp; Image in Medicine (SIM)</t>
        </is>
      </c>
      <c r="G40" s="25" t="inlineStr">
        <is>
          <t>Master indifférencié (recherche et professionnel)</t>
        </is>
      </c>
      <c r="H40" s="25" t="inlineStr">
        <is>
          <t>UFR des sciences et technologie</t>
        </is>
      </c>
      <c r="I40" s="25" t="inlineStr">
        <is>
          <t>Université Paris-Est Créteil Val-de-Marne</t>
        </is>
      </c>
      <c r="J40" s="25" t="inlineStr">
        <is>
          <t>Site de Créteil</t>
        </is>
      </c>
      <c r="K40" s="25" t="n"/>
      <c r="L40" s="25" t="inlineStr">
        <is>
          <t>Public university</t>
        </is>
      </c>
      <c r="M40" s="25" t="inlineStr">
        <is>
          <t>French</t>
        </is>
      </c>
      <c r="N40" s="25" t="inlineStr">
        <is>
          <t>General</t>
        </is>
      </c>
      <c r="O40" s="25" t="inlineStr">
        <is>
          <t>Bac +4 / Bac +5</t>
        </is>
      </c>
      <c r="P40" s="26" t="inlineStr">
        <is>
          <t>Eligible on level (4-yr BS ≈ Bac+4)</t>
        </is>
      </c>
      <c r="Q40" s="25" t="inlineStr">
        <is>
          <t>1/2</t>
        </is>
      </c>
      <c r="R40" s="25" t="inlineStr">
        <is>
          <t>12</t>
        </is>
      </c>
      <c r="S40" s="27" t="n">
        <v>3950</v>
      </c>
      <c r="T40" s="27" t="n">
        <v>255</v>
      </c>
      <c r="U40" s="25" t="n">
        <v>2</v>
      </c>
      <c r="V40" s="27">
        <f>IF(S40="","",S40*U40)</f>
        <v/>
      </c>
      <c r="W40" s="26" t="inlineStr">
        <is>
          <t>Catalogue: €3,950. = national differentiated master fee (2026-27: €3,950). Exemption to ~€255 possible (university quota).</t>
        </is>
      </c>
      <c r="X40" s="25" t="inlineStr">
        <is>
          <t>High</t>
        </is>
      </c>
      <c r="Y40" s="25" t="inlineStr">
        <is>
          <t>3950</t>
        </is>
      </c>
      <c r="Z40" s="26" t="n"/>
      <c r="AA40" s="26" t="n"/>
      <c r="AB40" s="25" t="n"/>
      <c r="AC40" s="25" t="inlineStr">
        <is>
          <t>Open</t>
        </is>
      </c>
      <c r="AD40" s="25" t="inlineStr">
        <is>
          <t>2026-10-01</t>
        </is>
      </c>
      <c r="AE40" s="25" t="inlineStr">
        <is>
          <t>2027-03-15</t>
        </is>
      </c>
      <c r="AF40" s="25" t="inlineStr">
        <is>
          <t>No</t>
        </is>
      </c>
      <c r="AG40" s="28" t="inlineStr">
        <is>
          <t>https://sciences-tech.u-pec.fr/formation/master-optique-image-vision-multimedia-parcours-signaux-et-image-en-medecine-sim</t>
        </is>
      </c>
      <c r="AH40" s="26" t="inlineStr">
        <is>
          <t>C2 ( C1 si anglophone) , Etre titulaire d'un master 1 en Sciences pour l'Ingénieur avec de bons résultats en Mathématiques, Programmation et Data Science. Pré-requis indispensable : avoir reçu un enseignement des fondame</t>
        </is>
      </c>
      <c r="AI40" s="28" t="inlineStr">
        <is>
          <t>Open in EEF</t>
        </is>
      </c>
    </row>
    <row r="41" ht="32.8" customHeight="1" s="19">
      <c r="A41" s="25" t="n">
        <v>40</v>
      </c>
      <c r="B41" s="25" t="inlineStr">
        <is>
          <t>★★★★★</t>
        </is>
      </c>
      <c r="C41" s="25" t="inlineStr">
        <is>
          <t>5 – Core fit (embedded/biomedical/health tech)</t>
        </is>
      </c>
      <c r="D41" s="25" t="inlineStr">
        <is>
          <t>Signal / Image / Vision</t>
        </is>
      </c>
      <c r="E41" s="26" t="inlineStr">
        <is>
          <t>Master Sciences, technologies, santé, Optique, image, vision, mutlimédia parcours M2 Intelligence artificielle, Science des données et systèmes cyber-physiques (IA2S)</t>
        </is>
      </c>
      <c r="F41" s="26" t="inlineStr">
        <is>
          <t>Master Science, Technology, Health (STS), Optics, Image, Vision, Multimedia – track: M2 Artificial Intelligence, Data Science &amp; Systems cyber-physiques (IA2S)</t>
        </is>
      </c>
      <c r="G41" s="25" t="inlineStr">
        <is>
          <t>Master indifférencié (recherche et professionnel)</t>
        </is>
      </c>
      <c r="H41" s="25" t="inlineStr">
        <is>
          <t>UFR des sciences et technologie</t>
        </is>
      </c>
      <c r="I41" s="25" t="inlineStr">
        <is>
          <t>Université Paris-Est Créteil Val-de-Marne</t>
        </is>
      </c>
      <c r="J41" s="25" t="inlineStr">
        <is>
          <t>Site de Créteil</t>
        </is>
      </c>
      <c r="K41" s="25" t="n"/>
      <c r="L41" s="25" t="inlineStr">
        <is>
          <t>Public university</t>
        </is>
      </c>
      <c r="M41" s="25" t="inlineStr">
        <is>
          <t>French</t>
        </is>
      </c>
      <c r="N41" s="25" t="inlineStr">
        <is>
          <t>General</t>
        </is>
      </c>
      <c r="O41" s="25" t="inlineStr">
        <is>
          <t>Bac +4 / Bac +5</t>
        </is>
      </c>
      <c r="P41" s="26" t="inlineStr">
        <is>
          <t>Eligible on level (4-yr BS ≈ Bac+4)</t>
        </is>
      </c>
      <c r="Q41" s="25" t="inlineStr">
        <is>
          <t>1/2</t>
        </is>
      </c>
      <c r="R41" s="25" t="inlineStr">
        <is>
          <t>10</t>
        </is>
      </c>
      <c r="S41" s="27" t="n">
        <v>3950</v>
      </c>
      <c r="T41" s="27" t="n">
        <v>255</v>
      </c>
      <c r="U41" s="25" t="n">
        <v>2</v>
      </c>
      <c r="V41" s="27">
        <f>IF(S41="","",S41*U41)</f>
        <v/>
      </c>
      <c r="W41" s="26" t="inlineStr">
        <is>
          <t>Catalogue: €3,950. = national differentiated master fee (2026-27: €3,950). Exemption to ~€255 possible (university quota).</t>
        </is>
      </c>
      <c r="X41" s="25" t="inlineStr">
        <is>
          <t>High</t>
        </is>
      </c>
      <c r="Y41" s="25" t="inlineStr">
        <is>
          <t>3950</t>
        </is>
      </c>
      <c r="Z41" s="26" t="n"/>
      <c r="AA41" s="26" t="n"/>
      <c r="AB41" s="25" t="n"/>
      <c r="AC41" s="25" t="inlineStr">
        <is>
          <t>Open</t>
        </is>
      </c>
      <c r="AD41" s="25" t="inlineStr">
        <is>
          <t>2026-10-01</t>
        </is>
      </c>
      <c r="AE41" s="25" t="inlineStr">
        <is>
          <t>2027-03-15</t>
        </is>
      </c>
      <c r="AF41" s="25" t="inlineStr">
        <is>
          <t>No</t>
        </is>
      </c>
      <c r="AG41" s="28" t="inlineStr">
        <is>
          <t>https://sciences-tech.u-pec.fr/formation/master-optique-image-vision-multimedia-parcours-intelligence-artificielle-sciences-des-donnees-et-systemes-cyber-physiques-ia2s</t>
        </is>
      </c>
      <c r="AH41" s="26" t="n"/>
      <c r="AI41" s="28" t="inlineStr">
        <is>
          <t>Open in EEF</t>
        </is>
      </c>
    </row>
    <row r="42" ht="32.8" customHeight="1" s="19">
      <c r="A42" s="25" t="n">
        <v>41</v>
      </c>
      <c r="B42" s="25" t="inlineStr">
        <is>
          <t>★★★★★</t>
        </is>
      </c>
      <c r="C42" s="25" t="inlineStr">
        <is>
          <t>5 – Core fit (embedded/biomedical/health tech)</t>
        </is>
      </c>
      <c r="D42" s="25" t="inlineStr">
        <is>
          <t>IoT / Telecom / Networks</t>
        </is>
      </c>
      <c r="E42" s="26" t="inlineStr">
        <is>
          <t>Master Sciences, technologies, santé, Traitement du signal et des images parcours Objets connectés</t>
        </is>
      </c>
      <c r="F42" s="26" t="inlineStr">
        <is>
          <t>Master Science, Technology, Health (STS), Signal &amp; Image Processing – track: Connected Objects (IoT)</t>
        </is>
      </c>
      <c r="G42" s="25" t="inlineStr">
        <is>
          <t>Master indifférencié (recherche et professionnel)</t>
        </is>
      </c>
      <c r="H42" s="25" t="inlineStr">
        <is>
          <t>UFR de sciences fondamentales et appliquées - Université de Poitiers</t>
        </is>
      </c>
      <c r="I42" s="25" t="inlineStr">
        <is>
          <t>Université de Poitiers</t>
        </is>
      </c>
      <c r="J42" s="25" t="inlineStr">
        <is>
          <t>Site de Poitiers</t>
        </is>
      </c>
      <c r="K42" s="25" t="n"/>
      <c r="L42" s="25" t="inlineStr">
        <is>
          <t>Public university</t>
        </is>
      </c>
      <c r="M42" s="25" t="inlineStr">
        <is>
          <t>French</t>
        </is>
      </c>
      <c r="N42" s="25" t="inlineStr">
        <is>
          <t>General</t>
        </is>
      </c>
      <c r="O42" s="25" t="inlineStr">
        <is>
          <t>Bac +4 / Bac +5</t>
        </is>
      </c>
      <c r="P42" s="26" t="inlineStr">
        <is>
          <t>Eligible on level (4-yr BS ≈ Bac+4)</t>
        </is>
      </c>
      <c r="Q42" s="25" t="inlineStr">
        <is>
          <t>1/2</t>
        </is>
      </c>
      <c r="R42" s="25" t="n"/>
      <c r="S42" s="27" t="n">
        <v>3950</v>
      </c>
      <c r="T42" s="27" t="n">
        <v>255</v>
      </c>
      <c r="U42" s="25" t="n">
        <v>2</v>
      </c>
      <c r="V42" s="27">
        <f>IF(S42="","",S42*U42)</f>
        <v/>
      </c>
      <c r="W42" s="26" t="inlineStr">
        <is>
          <t>Catalogue: €3,950. = national differentiated master fee (2026-27: €3,950). Exemption to ~€255 possible (university quota).</t>
        </is>
      </c>
      <c r="X42" s="25" t="inlineStr">
        <is>
          <t>High</t>
        </is>
      </c>
      <c r="Y42" s="25" t="inlineStr">
        <is>
          <t>3950</t>
        </is>
      </c>
      <c r="Z42" s="26" t="n"/>
      <c r="AA42" s="26" t="n"/>
      <c r="AB42" s="25" t="n"/>
      <c r="AC42" s="25" t="inlineStr">
        <is>
          <t>Open</t>
        </is>
      </c>
      <c r="AD42" s="25" t="inlineStr">
        <is>
          <t>2026-10-01</t>
        </is>
      </c>
      <c r="AE42" s="25" t="inlineStr">
        <is>
          <t>2027-03-15</t>
        </is>
      </c>
      <c r="AF42" s="25" t="inlineStr">
        <is>
          <t>No</t>
        </is>
      </c>
      <c r="AG42" s="28" t="inlineStr">
        <is>
          <t>https://sfa.univ-poitiers.fr/formation/offre-de-formation-sciences-technologies-sante/</t>
        </is>
      </c>
      <c r="AH42" s="26" t="inlineStr">
        <is>
          <t>Année 1 L'attention de la commission de recrutement sera portée notamment sur les résultats obtenus sur les matières en lien avec la discipline visée et sur l'aptitude du candidat à exposer ses motivations et son projet</t>
        </is>
      </c>
      <c r="AI42" s="28" t="inlineStr">
        <is>
          <t>Open in EEF</t>
        </is>
      </c>
    </row>
    <row r="43" ht="32.8" customHeight="1" s="19">
      <c r="A43" s="25" t="n">
        <v>42</v>
      </c>
      <c r="B43" s="25" t="inlineStr">
        <is>
          <t>★★★★★</t>
        </is>
      </c>
      <c r="C43" s="25" t="inlineStr">
        <is>
          <t>5 – Core fit (embedded/biomedical/health tech)</t>
        </is>
      </c>
      <c r="D43" s="25" t="inlineStr">
        <is>
          <t>Embedded systems / Electronics</t>
        </is>
      </c>
      <c r="E43" s="26" t="inlineStr">
        <is>
          <t>Master Systèmes intelligents, Mobiles et Embarqués (SIME)</t>
        </is>
      </c>
      <c r="F43" s="26" t="inlineStr">
        <is>
          <t>Master Systems Intelligent, Mobile &amp; Embedded (SIME)</t>
        </is>
      </c>
      <c r="G43" s="25" t="inlineStr">
        <is>
          <t>Master indifférencié (recherche et professionnel)</t>
        </is>
      </c>
      <c r="H43" s="25" t="inlineStr">
        <is>
          <t>UFR Sciences et Techniques</t>
        </is>
      </c>
      <c r="I43" s="25" t="inlineStr">
        <is>
          <t>Université de Rouen</t>
        </is>
      </c>
      <c r="J43" s="25" t="inlineStr">
        <is>
          <t>Saint-Etienne-du-Rouvray</t>
        </is>
      </c>
      <c r="K43" s="25" t="n"/>
      <c r="L43" s="25" t="inlineStr">
        <is>
          <t>Public university</t>
        </is>
      </c>
      <c r="M43" s="25" t="inlineStr">
        <is>
          <t>French</t>
        </is>
      </c>
      <c r="N43" s="25" t="inlineStr">
        <is>
          <t>General</t>
        </is>
      </c>
      <c r="O43" s="25" t="inlineStr">
        <is>
          <t>Bac +4 / Bac +5</t>
        </is>
      </c>
      <c r="P43" s="26" t="inlineStr">
        <is>
          <t>Eligible on level (4-yr BS ≈ Bac+4)</t>
        </is>
      </c>
      <c r="Q43" s="25" t="inlineStr">
        <is>
          <t>1/2</t>
        </is>
      </c>
      <c r="R43" s="25" t="inlineStr">
        <is>
          <t>10</t>
        </is>
      </c>
      <c r="S43" s="27" t="n">
        <v>3950</v>
      </c>
      <c r="T43" s="27" t="n">
        <v>255</v>
      </c>
      <c r="U43" s="25" t="n">
        <v>2</v>
      </c>
      <c r="V43" s="27">
        <f>IF(S43="","",S43*U43)</f>
        <v/>
      </c>
      <c r="W43" s="26" t="inlineStr">
        <is>
          <t>Catalogue: €3,950. = national differentiated master fee (2026-27: €3,950). Exemption to ~€255 possible (university quota).</t>
        </is>
      </c>
      <c r="X43" s="25" t="inlineStr">
        <is>
          <t>High</t>
        </is>
      </c>
      <c r="Y43" s="25" t="inlineStr">
        <is>
          <t>3950</t>
        </is>
      </c>
      <c r="Z43" s="26" t="n"/>
      <c r="AA43" s="26" t="inlineStr">
        <is>
          <t>Rouen: individual exemptions up to 30% quota, priority to social/economic hardship.</t>
        </is>
      </c>
      <c r="AB43" s="28" t="inlineStr">
        <is>
          <t>https://www.univ-rouen.fr/actualites/application-des-droits-dinscription-differencies-a-luniversite-de-rouen-normandie-a-compter-de-la-rentree-universitaire-2026-2027/</t>
        </is>
      </c>
      <c r="AC43" s="25" t="inlineStr">
        <is>
          <t>Open</t>
        </is>
      </c>
      <c r="AD43" s="25" t="inlineStr">
        <is>
          <t>2026-10-01</t>
        </is>
      </c>
      <c r="AE43" s="25" t="inlineStr">
        <is>
          <t>2027-03-15</t>
        </is>
      </c>
      <c r="AF43" s="25" t="inlineStr">
        <is>
          <t>No</t>
        </is>
      </c>
      <c r="AG43" s="28" t="inlineStr">
        <is>
          <t>http://sciences-techniques.univ-rouen.fr/</t>
        </is>
      </c>
      <c r="AH43" s="26" t="inlineStr">
        <is>
          <t>Master mention Science des Données sur 2 ans constitué de deux parcours au choix à partir de la 1ère année : - Apprentissage Automatique pour l'Intelligence Artificielle (A2IA) - Systèmes Intelligents Mobiles et Embarqué</t>
        </is>
      </c>
      <c r="AI43" s="28" t="inlineStr">
        <is>
          <t>Open in EEF</t>
        </is>
      </c>
    </row>
    <row r="44" ht="32.8" customHeight="1" s="19">
      <c r="A44" s="25" t="n">
        <v>43</v>
      </c>
      <c r="B44" s="25" t="inlineStr">
        <is>
          <t>★★★★★</t>
        </is>
      </c>
      <c r="C44" s="25" t="inlineStr">
        <is>
          <t>5 – Core fit (embedded/biomedical/health tech)</t>
        </is>
      </c>
      <c r="D44" s="25" t="inlineStr">
        <is>
          <t>Biomedical / Health tech</t>
        </is>
      </c>
      <c r="E44" s="26" t="inlineStr">
        <is>
          <t>Master BioMedical Engineering</t>
        </is>
      </c>
      <c r="F44" s="26" t="inlineStr">
        <is>
          <t>Master BioMedical Engineering</t>
        </is>
      </c>
      <c r="G44" s="25" t="inlineStr">
        <is>
          <t>Master indifférencié (recherche et professionnel)</t>
        </is>
      </c>
      <c r="H44" s="25" t="inlineStr">
        <is>
          <t>UFR des Sciences pharmaceutiques et biologiques</t>
        </is>
      </c>
      <c r="I44" s="25" t="inlineStr">
        <is>
          <t>Université de Montpellier</t>
        </is>
      </c>
      <c r="J44" s="25" t="inlineStr">
        <is>
          <t>Site de Montpellier</t>
        </is>
      </c>
      <c r="K44" s="25" t="inlineStr">
        <is>
          <t>34090 Montpellier</t>
        </is>
      </c>
      <c r="L44" s="25" t="inlineStr">
        <is>
          <t>Public university</t>
        </is>
      </c>
      <c r="M44" s="25" t="inlineStr">
        <is>
          <t>French</t>
        </is>
      </c>
      <c r="N44" s="25" t="inlineStr">
        <is>
          <t>General</t>
        </is>
      </c>
      <c r="O44" s="25" t="inlineStr">
        <is>
          <t>Bac +4</t>
        </is>
      </c>
      <c r="P44" s="26" t="inlineStr">
        <is>
          <t>Eligible on level (4-yr BS ≈ Bac+4)</t>
        </is>
      </c>
      <c r="Q44" s="25" t="inlineStr">
        <is>
          <t>1</t>
        </is>
      </c>
      <c r="R44" s="25" t="inlineStr">
        <is>
          <t>12</t>
        </is>
      </c>
      <c r="S44" s="27" t="n">
        <v>3950</v>
      </c>
      <c r="T44" s="27" t="n">
        <v>255</v>
      </c>
      <c r="U44" s="25" t="n">
        <v>2</v>
      </c>
      <c r="V44" s="27">
        <f>IF(S44="","",S44*U44)</f>
        <v/>
      </c>
      <c r="W44" s="26" t="inlineStr">
        <is>
          <t>Not in catalogue. Public national master → 2026-27 differentiated fee €3,950; exemption to ~€254-255 depends on university quota (25% cap in 2027-28).</t>
        </is>
      </c>
      <c r="X44" s="25" t="inlineStr">
        <is>
          <t>Medium</t>
        </is>
      </c>
      <c r="Y44" s="25" t="n"/>
      <c r="Z44" s="26" t="n"/>
      <c r="AA44" s="26" t="inlineStr">
        <is>
          <t>Montpellier 2026-27: new non-EU entrants pay the differentiated fee unless individual exemption (limited).</t>
        </is>
      </c>
      <c r="AB44" s="28" t="inlineStr">
        <is>
          <t>https://www.umontpellier.fr/en/international/etudier-a-letranger/etudiants-internationaux-annee-universitaire-2026-2027/</t>
        </is>
      </c>
      <c r="AC44" s="25" t="inlineStr">
        <is>
          <t>Open</t>
        </is>
      </c>
      <c r="AD44" s="25" t="inlineStr">
        <is>
          <t>2026-10-01</t>
        </is>
      </c>
      <c r="AE44" s="25" t="inlineStr">
        <is>
          <t>2027-03-15</t>
        </is>
      </c>
      <c r="AF44" s="25" t="inlineStr">
        <is>
          <t>No</t>
        </is>
      </c>
      <c r="AG44" s="28" t="inlineStr">
        <is>
          <t>https://idil.edu.umontpellier.fr/master-idil/les-parcours/</t>
        </is>
      </c>
      <c r="AH44" s="26" t="inlineStr">
        <is>
          <t>Conditions d’accès Diplôme de licence dans la discipline choisie IDIL Niveau d’anglais B2 minimum CV et lettre de motivation 2 lettres de soutien d’un chercheur et/ou professeur (recommandé, mais non obligatoire) Estimat</t>
        </is>
      </c>
      <c r="AI44" s="28" t="inlineStr">
        <is>
          <t>Open in EEF</t>
        </is>
      </c>
    </row>
    <row r="45" ht="43.25" customHeight="1" s="19">
      <c r="A45" s="25" t="n">
        <v>44</v>
      </c>
      <c r="B45" s="25" t="inlineStr">
        <is>
          <t>★★★★★</t>
        </is>
      </c>
      <c r="C45" s="25" t="inlineStr">
        <is>
          <t>5 – Core fit (embedded/biomedical/health tech)</t>
        </is>
      </c>
      <c r="D45" s="25" t="inlineStr">
        <is>
          <t>Biomedical / Health tech</t>
        </is>
      </c>
      <c r="E45" s="26" t="inlineStr">
        <is>
          <t>Master indifférencié (recherche et professionnel) Sciences et technologies mention STAPS: ingénierie et ergonomie de l'activité physique parcours Bio-ingénierie des tissus et des implants (BTI)</t>
        </is>
      </c>
      <c r="F45" s="26" t="inlineStr">
        <is>
          <t>Science &amp; Technology – major: STAPS: Engineering &amp; Ergonomics of l'activité Physics – track: Bioengineering of Tissues &amp; of Implants (BTI)</t>
        </is>
      </c>
      <c r="G45" s="25" t="inlineStr">
        <is>
          <t>Master indifférencié (recherche et professionnel)</t>
        </is>
      </c>
      <c r="H45" s="25" t="inlineStr">
        <is>
          <t>Faculté des sciences du sport</t>
        </is>
      </c>
      <c r="I45" s="25" t="inlineStr">
        <is>
          <t>Université d'Aix-Marseille</t>
        </is>
      </c>
      <c r="J45" s="25" t="inlineStr">
        <is>
          <t>Site de Marseille</t>
        </is>
      </c>
      <c r="K45" s="25" t="n"/>
      <c r="L45" s="25" t="inlineStr">
        <is>
          <t>Public university</t>
        </is>
      </c>
      <c r="M45" s="25" t="inlineStr">
        <is>
          <t>French</t>
        </is>
      </c>
      <c r="N45" s="25" t="inlineStr">
        <is>
          <t>General</t>
        </is>
      </c>
      <c r="O45" s="25" t="inlineStr">
        <is>
          <t>Bac +4</t>
        </is>
      </c>
      <c r="P45" s="26" t="inlineStr">
        <is>
          <t>Eligible on level (4-yr BS ≈ Bac+4)</t>
        </is>
      </c>
      <c r="Q45" s="25" t="inlineStr">
        <is>
          <t>1</t>
        </is>
      </c>
      <c r="R45" s="25" t="inlineStr">
        <is>
          <t>12</t>
        </is>
      </c>
      <c r="S45" s="27" t="n">
        <v>3950</v>
      </c>
      <c r="T45" s="27" t="n">
        <v>255</v>
      </c>
      <c r="U45" s="25" t="n">
        <v>2</v>
      </c>
      <c r="V45" s="27">
        <f>IF(S45="","",S45*U45)</f>
        <v/>
      </c>
      <c r="W45" s="26" t="inlineStr">
        <is>
          <t>Not in catalogue. Public national master → 2026-27 differentiated fee €3,950; exemption to ~€254-255 depends on university quota (25% cap in 2027-28).</t>
        </is>
      </c>
      <c r="X45" s="25" t="inlineStr">
        <is>
          <t>Medium</t>
        </is>
      </c>
      <c r="Y45" s="25" t="n"/>
      <c r="Z45" s="26" t="n"/>
      <c r="AA45" s="26" t="inlineStr">
        <is>
          <t>AMU 2026-27: limited exemptions (≈1,800 of 5,500 students) – priority to continuing students, conflict zones, excellence scholarships. New master entrants usually pay €3,950.</t>
        </is>
      </c>
      <c r="AB45" s="28" t="inlineStr">
        <is>
          <t>https://www.univ-amu.fr/fr/actualites/aix-marseille-universite-mobilise-pleinement-capacite-dexoneration-continuer-accueillir</t>
        </is>
      </c>
      <c r="AC45" s="25" t="inlineStr">
        <is>
          <t>Open</t>
        </is>
      </c>
      <c r="AD45" s="25" t="inlineStr">
        <is>
          <t>2026-10-01</t>
        </is>
      </c>
      <c r="AE45" s="25" t="inlineStr">
        <is>
          <t>2027-03-15</t>
        </is>
      </c>
      <c r="AF45" s="25" t="inlineStr">
        <is>
          <t>No</t>
        </is>
      </c>
      <c r="AG45" s="28" t="inlineStr">
        <is>
          <t>http://fss.univ-amu.fr/</t>
        </is>
      </c>
      <c r="AH45" s="26" t="inlineStr">
        <is>
          <t>Niveau en langues : Niveau B2 en Français pour les non francophones. Niveau B2 en anglais pour les non anglophones Compétences académiques : Mathématiques, Mécanique, Physique pour les étudiants issus d’un cursus Science</t>
        </is>
      </c>
      <c r="AI45" s="28" t="inlineStr">
        <is>
          <t>Open in EEF</t>
        </is>
      </c>
    </row>
    <row r="46" ht="32.8" customHeight="1" s="19">
      <c r="A46" s="25" t="n">
        <v>45</v>
      </c>
      <c r="B46" s="25" t="inlineStr">
        <is>
          <t>★★★★★</t>
        </is>
      </c>
      <c r="C46" s="25" t="inlineStr">
        <is>
          <t>5 – Core fit (embedded/biomedical/health tech)</t>
        </is>
      </c>
      <c r="D46" s="25" t="inlineStr">
        <is>
          <t>Biomedical / Health tech</t>
        </is>
      </c>
      <c r="E46" s="26" t="inlineStr">
        <is>
          <t>Master indifférencié (recherche et professionnel) Sciences, technologies, santé mention Biotechnologies parcours Bioingénierie, Recherche et Application Biomédicale</t>
        </is>
      </c>
      <c r="F46" s="26" t="inlineStr">
        <is>
          <t>Science, Technology, Health (STS) – major: Biotechnologies – track: Bioengineering, Research &amp; Application Biomedical</t>
        </is>
      </c>
      <c r="G46" s="25" t="inlineStr">
        <is>
          <t>Master indifférencié (recherche et professionnel)</t>
        </is>
      </c>
      <c r="H46" s="25" t="inlineStr">
        <is>
          <t>Faculté des Sciences et d'Ingénierie</t>
        </is>
      </c>
      <c r="I46" s="25" t="inlineStr">
        <is>
          <t>Université de Toulouse</t>
        </is>
      </c>
      <c r="J46" s="25" t="inlineStr">
        <is>
          <t>Site de Toulouse</t>
        </is>
      </c>
      <c r="K46" s="25" t="n"/>
      <c r="L46" s="25" t="inlineStr">
        <is>
          <t>Public university</t>
        </is>
      </c>
      <c r="M46" s="25" t="inlineStr">
        <is>
          <t>French</t>
        </is>
      </c>
      <c r="N46" s="25" t="inlineStr">
        <is>
          <t>General</t>
        </is>
      </c>
      <c r="O46" s="25" t="inlineStr">
        <is>
          <t>Bac +4 / Bac +5</t>
        </is>
      </c>
      <c r="P46" s="26" t="inlineStr">
        <is>
          <t>Eligible on level (4-yr BS ≈ Bac+4)</t>
        </is>
      </c>
      <c r="Q46" s="25" t="inlineStr">
        <is>
          <t>1/2</t>
        </is>
      </c>
      <c r="R46" s="25" t="n"/>
      <c r="S46" s="27" t="n">
        <v>3950</v>
      </c>
      <c r="T46" s="27" t="n">
        <v>255</v>
      </c>
      <c r="U46" s="25" t="n">
        <v>2</v>
      </c>
      <c r="V46" s="27">
        <f>IF(S46="","",S46*U46)</f>
        <v/>
      </c>
      <c r="W46" s="26" t="inlineStr">
        <is>
          <t>Not in catalogue. Public national master → 2026-27 differentiated fee €3,950; exemption to ~€254-255 depends on university quota (25% cap in 2027-28).</t>
        </is>
      </c>
      <c r="X46" s="25" t="inlineStr">
        <is>
          <t>Medium</t>
        </is>
      </c>
      <c r="Y46" s="25" t="n"/>
      <c r="Z46" s="26" t="n"/>
      <c r="AA46" s="26" t="inlineStr">
        <is>
          <t>Board decision (Feb 2026, pre-decree): partial exemption for ALL non-EU students subject to differentiated fees, until end of cycle. Re-check for 2027-28.</t>
        </is>
      </c>
      <c r="AB46" s="28" t="inlineStr">
        <is>
          <t>https://www.utoulouse.fr/medias/fichier/2026-02-ca-075_1774430647495-pdf</t>
        </is>
      </c>
      <c r="AC46" s="25" t="inlineStr">
        <is>
          <t>Open</t>
        </is>
      </c>
      <c r="AD46" s="25" t="inlineStr">
        <is>
          <t>2026-10-01</t>
        </is>
      </c>
      <c r="AE46" s="25" t="inlineStr">
        <is>
          <t>2027-03-15</t>
        </is>
      </c>
      <c r="AF46" s="25" t="inlineStr">
        <is>
          <t>No</t>
        </is>
      </c>
      <c r="AG46" s="28" t="inlineStr">
        <is>
          <t>http://www.univ-tlse3.fr/</t>
        </is>
      </c>
      <c r="AH46" s="26" t="inlineStr">
        <is>
          <t>https://www.univ-tlse3.fr/master-parcours-bio-ingenierie-recherche-et-application-biomedicale-birab Si vous ne maîtrisez pas encore le français au niveau exigé pour intégrer une formation en France, le DU FUSEE (Diplôme</t>
        </is>
      </c>
      <c r="AI46" s="28" t="inlineStr">
        <is>
          <t>Open in EEF</t>
        </is>
      </c>
    </row>
    <row r="47" ht="32.8" customHeight="1" s="19">
      <c r="A47" s="25" t="n">
        <v>46</v>
      </c>
      <c r="B47" s="25" t="inlineStr">
        <is>
          <t>★★★★★</t>
        </is>
      </c>
      <c r="C47" s="25" t="inlineStr">
        <is>
          <t>5 – Core fit (embedded/biomedical/health tech)</t>
        </is>
      </c>
      <c r="D47" s="25" t="inlineStr">
        <is>
          <t>Embedded systems / Electronics</t>
        </is>
      </c>
      <c r="E47" s="26" t="inlineStr">
        <is>
          <t>Master indifférencié (recherche et professionnel) Sciences, technologies, santé mention Electronique, Energie électrique, Automatique parcours Capteurs Electronique et Objets Connectés - CEO</t>
        </is>
      </c>
      <c r="F47" s="26" t="inlineStr">
        <is>
          <t>Science, Technology, Health (STS) – major: Electronics, Electrical Energy &amp; Automation (EEA) – track: Sensors Electronics &amp; Connected Objects (IoT) - CEO</t>
        </is>
      </c>
      <c r="G47" s="25" t="inlineStr">
        <is>
          <t>Master indifférencié (recherche et professionnel)</t>
        </is>
      </c>
      <c r="H47" s="25" t="inlineStr">
        <is>
          <t>UFR des Sciences de Montpellier</t>
        </is>
      </c>
      <c r="I47" s="25" t="inlineStr">
        <is>
          <t>Université de Montpellier</t>
        </is>
      </c>
      <c r="J47" s="25" t="inlineStr">
        <is>
          <t>Site de Montpellier</t>
        </is>
      </c>
      <c r="K47" s="25" t="n"/>
      <c r="L47" s="25" t="inlineStr">
        <is>
          <t>Public university</t>
        </is>
      </c>
      <c r="M47" s="25" t="inlineStr">
        <is>
          <t>French</t>
        </is>
      </c>
      <c r="N47" s="25" t="inlineStr">
        <is>
          <t>General</t>
        </is>
      </c>
      <c r="O47" s="25" t="inlineStr">
        <is>
          <t>Bac +4 / Bac +5</t>
        </is>
      </c>
      <c r="P47" s="26" t="inlineStr">
        <is>
          <t>Eligible on level (4-yr BS ≈ Bac+4)</t>
        </is>
      </c>
      <c r="Q47" s="25" t="inlineStr">
        <is>
          <t>1/2</t>
        </is>
      </c>
      <c r="R47" s="25" t="n"/>
      <c r="S47" s="27" t="n">
        <v>3950</v>
      </c>
      <c r="T47" s="27" t="n">
        <v>255</v>
      </c>
      <c r="U47" s="25" t="n">
        <v>2</v>
      </c>
      <c r="V47" s="27">
        <f>IF(S47="","",S47*U47)</f>
        <v/>
      </c>
      <c r="W47" s="26" t="inlineStr">
        <is>
          <t>Not in catalogue. Public national master → 2026-27 differentiated fee €3,950; exemption to ~€254-255 depends on university quota (25% cap in 2027-28).</t>
        </is>
      </c>
      <c r="X47" s="25" t="inlineStr">
        <is>
          <t>Medium</t>
        </is>
      </c>
      <c r="Y47" s="25" t="n"/>
      <c r="Z47" s="26" t="n"/>
      <c r="AA47" s="26" t="inlineStr">
        <is>
          <t>Montpellier 2026-27: new non-EU entrants pay the differentiated fee unless individual exemption (limited).</t>
        </is>
      </c>
      <c r="AB47" s="28" t="inlineStr">
        <is>
          <t>https://www.umontpellier.fr/en/international/etudier-a-letranger/etudiants-internationaux-annee-universitaire-2026-2027/</t>
        </is>
      </c>
      <c r="AC47" s="25" t="inlineStr">
        <is>
          <t>Open</t>
        </is>
      </c>
      <c r="AD47" s="25" t="inlineStr">
        <is>
          <t>2026-10-01</t>
        </is>
      </c>
      <c r="AE47" s="25" t="inlineStr">
        <is>
          <t>2027-03-15</t>
        </is>
      </c>
      <c r="AF47" s="25" t="inlineStr">
        <is>
          <t>No</t>
        </is>
      </c>
      <c r="AG47" s="28" t="inlineStr">
        <is>
          <t>http://sciences.edu.umontpellier.fr/</t>
        </is>
      </c>
      <c r="AH47" s="26" t="inlineStr">
        <is>
          <t>Niveau de Français B2 au minimum, exigé. 12/20 min les années précédentes</t>
        </is>
      </c>
      <c r="AI47" s="28" t="inlineStr">
        <is>
          <t>Open in EEF</t>
        </is>
      </c>
    </row>
    <row r="48" ht="32.8" customHeight="1" s="19">
      <c r="A48" s="25" t="n">
        <v>47</v>
      </c>
      <c r="B48" s="25" t="inlineStr">
        <is>
          <t>★★★★★</t>
        </is>
      </c>
      <c r="C48" s="25" t="inlineStr">
        <is>
          <t>5 – Core fit (embedded/biomedical/health tech)</t>
        </is>
      </c>
      <c r="D48" s="25" t="inlineStr">
        <is>
          <t>Embedded systems / Electronics</t>
        </is>
      </c>
      <c r="E48" s="26" t="inlineStr">
        <is>
          <t>Master indifférencié (recherche et professionnel) Sciences, technologies, santé mention Electronique, Energie électrique, Automatique parcours Systèmes Électroniques Intégrés et Embarqués - SEIE</t>
        </is>
      </c>
      <c r="F48" s="26" t="inlineStr">
        <is>
          <t>Science, Technology, Health (STS) – major: Electronics, Electrical Energy &amp; Automation (EEA) – track: Systems Electronic Integrated &amp; Embedded - SEIE</t>
        </is>
      </c>
      <c r="G48" s="25" t="inlineStr">
        <is>
          <t>Master indifférencié (recherche et professionnel)</t>
        </is>
      </c>
      <c r="H48" s="25" t="inlineStr">
        <is>
          <t>UFR des Sciences de Montpellier</t>
        </is>
      </c>
      <c r="I48" s="25" t="inlineStr">
        <is>
          <t>Université de Montpellier</t>
        </is>
      </c>
      <c r="J48" s="25" t="inlineStr">
        <is>
          <t>Site de Montpellier</t>
        </is>
      </c>
      <c r="K48" s="25" t="n"/>
      <c r="L48" s="25" t="inlineStr">
        <is>
          <t>Public university</t>
        </is>
      </c>
      <c r="M48" s="25" t="inlineStr">
        <is>
          <t>French</t>
        </is>
      </c>
      <c r="N48" s="25" t="inlineStr">
        <is>
          <t>General</t>
        </is>
      </c>
      <c r="O48" s="25" t="inlineStr">
        <is>
          <t>Bac +4 / Bac +5</t>
        </is>
      </c>
      <c r="P48" s="26" t="inlineStr">
        <is>
          <t>Eligible on level (4-yr BS ≈ Bac+4)</t>
        </is>
      </c>
      <c r="Q48" s="25" t="inlineStr">
        <is>
          <t>1/2</t>
        </is>
      </c>
      <c r="R48" s="25" t="n"/>
      <c r="S48" s="27" t="n">
        <v>3950</v>
      </c>
      <c r="T48" s="27" t="n">
        <v>255</v>
      </c>
      <c r="U48" s="25" t="n">
        <v>2</v>
      </c>
      <c r="V48" s="27">
        <f>IF(S48="","",S48*U48)</f>
        <v/>
      </c>
      <c r="W48" s="26" t="inlineStr">
        <is>
          <t>Not in catalogue. Public national master → 2026-27 differentiated fee €3,950; exemption to ~€254-255 depends on university quota (25% cap in 2027-28).</t>
        </is>
      </c>
      <c r="X48" s="25" t="inlineStr">
        <is>
          <t>Medium</t>
        </is>
      </c>
      <c r="Y48" s="25" t="n"/>
      <c r="Z48" s="26" t="n"/>
      <c r="AA48" s="26" t="inlineStr">
        <is>
          <t>Montpellier 2026-27: new non-EU entrants pay the differentiated fee unless individual exemption (limited).</t>
        </is>
      </c>
      <c r="AB48" s="28" t="inlineStr">
        <is>
          <t>https://www.umontpellier.fr/en/international/etudier-a-letranger/etudiants-internationaux-annee-universitaire-2026-2027/</t>
        </is>
      </c>
      <c r="AC48" s="25" t="inlineStr">
        <is>
          <t>Open</t>
        </is>
      </c>
      <c r="AD48" s="25" t="inlineStr">
        <is>
          <t>2026-10-01</t>
        </is>
      </c>
      <c r="AE48" s="25" t="inlineStr">
        <is>
          <t>2027-03-15</t>
        </is>
      </c>
      <c r="AF48" s="25" t="inlineStr">
        <is>
          <t>No</t>
        </is>
      </c>
      <c r="AG48" s="28" t="inlineStr">
        <is>
          <t>http://sciences.edu.umontpellier.fr/</t>
        </is>
      </c>
      <c r="AH48" s="26" t="inlineStr">
        <is>
          <t>Niveau de Français B2 au minimum, exigé. 12/20 min les années précédentes</t>
        </is>
      </c>
      <c r="AI48" s="28" t="inlineStr">
        <is>
          <t>Open in EEF</t>
        </is>
      </c>
    </row>
    <row r="49" ht="32.8" customHeight="1" s="19">
      <c r="A49" s="25" t="n">
        <v>48</v>
      </c>
      <c r="B49" s="25" t="inlineStr">
        <is>
          <t>★★★★★</t>
        </is>
      </c>
      <c r="C49" s="25" t="inlineStr">
        <is>
          <t>5 – Core fit (embedded/biomedical/health tech)</t>
        </is>
      </c>
      <c r="D49" s="25" t="inlineStr">
        <is>
          <t>Embedded systems / Electronics</t>
        </is>
      </c>
      <c r="E49" s="26" t="inlineStr">
        <is>
          <t>Master indifférencié (recherche et professionnel) Sciences, technologies, santé mention Electronique, Energie électrique et Automatique parcours Electronique des systèmes embarqués et télécommunications</t>
        </is>
      </c>
      <c r="F49" s="26" t="inlineStr">
        <is>
          <t>Science, Technology, Health (STS) – major: Electronics, Electrical Energy &amp; Automation (EEA) – track: Electronics of Embedded Systems &amp; Telecommunications</t>
        </is>
      </c>
      <c r="G49" s="25" t="inlineStr">
        <is>
          <t>Master indifférencié (recherche et professionnel)</t>
        </is>
      </c>
      <c r="H49" s="25" t="inlineStr">
        <is>
          <t>Faculté des Sciences et d'Ingénierie</t>
        </is>
      </c>
      <c r="I49" s="25" t="inlineStr">
        <is>
          <t>Université de Toulouse</t>
        </is>
      </c>
      <c r="J49" s="25" t="inlineStr">
        <is>
          <t>Site de Toulouse</t>
        </is>
      </c>
      <c r="K49" s="25" t="n"/>
      <c r="L49" s="25" t="inlineStr">
        <is>
          <t>Public university</t>
        </is>
      </c>
      <c r="M49" s="25" t="inlineStr">
        <is>
          <t>French</t>
        </is>
      </c>
      <c r="N49" s="25" t="inlineStr">
        <is>
          <t>General</t>
        </is>
      </c>
      <c r="O49" s="25" t="inlineStr">
        <is>
          <t>Bac +4 / Bac +5</t>
        </is>
      </c>
      <c r="P49" s="26" t="inlineStr">
        <is>
          <t>Eligible on level (4-yr BS ≈ Bac+4)</t>
        </is>
      </c>
      <c r="Q49" s="25" t="inlineStr">
        <is>
          <t>1/2</t>
        </is>
      </c>
      <c r="R49" s="25" t="n"/>
      <c r="S49" s="27" t="n">
        <v>3950</v>
      </c>
      <c r="T49" s="27" t="n">
        <v>255</v>
      </c>
      <c r="U49" s="25" t="n">
        <v>2</v>
      </c>
      <c r="V49" s="27">
        <f>IF(S49="","",S49*U49)</f>
        <v/>
      </c>
      <c r="W49" s="26" t="inlineStr">
        <is>
          <t>Not in catalogue. Public national master → 2026-27 differentiated fee €3,950; exemption to ~€254-255 depends on university quota (25% cap in 2027-28).</t>
        </is>
      </c>
      <c r="X49" s="25" t="inlineStr">
        <is>
          <t>Medium</t>
        </is>
      </c>
      <c r="Y49" s="25" t="n"/>
      <c r="Z49" s="26" t="n"/>
      <c r="AA49" s="26" t="inlineStr">
        <is>
          <t>Board decision (Feb 2026, pre-decree): partial exemption for ALL non-EU students subject to differentiated fees, until end of cycle. Re-check for 2027-28.</t>
        </is>
      </c>
      <c r="AB49" s="28" t="inlineStr">
        <is>
          <t>https://www.utoulouse.fr/medias/fichier/2026-02-ca-075_1774430647495-pdf</t>
        </is>
      </c>
      <c r="AC49" s="25" t="inlineStr">
        <is>
          <t>Open</t>
        </is>
      </c>
      <c r="AD49" s="25" t="inlineStr">
        <is>
          <t>2026-10-01</t>
        </is>
      </c>
      <c r="AE49" s="25" t="inlineStr">
        <is>
          <t>2027-03-15</t>
        </is>
      </c>
      <c r="AF49" s="25" t="inlineStr">
        <is>
          <t>No</t>
        </is>
      </c>
      <c r="AG49" s="28" t="inlineStr">
        <is>
          <t>http://www.univ-tlse3.fr/</t>
        </is>
      </c>
      <c r="AH49" s="26" t="inlineStr">
        <is>
          <t>https://www.utoulouse.fr/decouvrir-nos-diplomes/les-mentions-de-masters Si vous ne maîtrisez pas encore le français au niveau exigé pour intégrer une formation en France, le DU FUSEE (Diplôme Universitaire de Français po</t>
        </is>
      </c>
      <c r="AI49" s="28" t="inlineStr">
        <is>
          <t>Open in EEF</t>
        </is>
      </c>
    </row>
    <row r="50" ht="32.8" customHeight="1" s="19">
      <c r="A50" s="25" t="n">
        <v>49</v>
      </c>
      <c r="B50" s="25" t="inlineStr">
        <is>
          <t>★★★★★</t>
        </is>
      </c>
      <c r="C50" s="25" t="inlineStr">
        <is>
          <t>5 – Core fit (embedded/biomedical/health tech)</t>
        </is>
      </c>
      <c r="D50" s="25" t="inlineStr">
        <is>
          <t>Embedded systems / Electronics</t>
        </is>
      </c>
      <c r="E50" s="26" t="inlineStr">
        <is>
          <t>Master indifférencié (recherche et professionnel) Sciences, technologies, santé mention Electronique, Energie électrique et Automatique parcours Systèmes et Microsystèmes Embarqués</t>
        </is>
      </c>
      <c r="F50" s="26" t="inlineStr">
        <is>
          <t>Science, Technology, Health (STS) – major: Electronics, Electrical Energy &amp; Automation (EEA) – track: Systems &amp; MicroEmbedded Systems</t>
        </is>
      </c>
      <c r="G50" s="25" t="inlineStr">
        <is>
          <t>Master indifférencié (recherche et professionnel)</t>
        </is>
      </c>
      <c r="H50" s="25" t="inlineStr">
        <is>
          <t>Faculté des Sciences et d'Ingénierie</t>
        </is>
      </c>
      <c r="I50" s="25" t="inlineStr">
        <is>
          <t>Université de Toulouse</t>
        </is>
      </c>
      <c r="J50" s="25" t="inlineStr">
        <is>
          <t>Site de Toulouse</t>
        </is>
      </c>
      <c r="K50" s="25" t="n"/>
      <c r="L50" s="25" t="inlineStr">
        <is>
          <t>Public university</t>
        </is>
      </c>
      <c r="M50" s="25" t="inlineStr">
        <is>
          <t>French</t>
        </is>
      </c>
      <c r="N50" s="25" t="inlineStr">
        <is>
          <t>General</t>
        </is>
      </c>
      <c r="O50" s="25" t="inlineStr">
        <is>
          <t>Bac +4 / Bac +5</t>
        </is>
      </c>
      <c r="P50" s="26" t="inlineStr">
        <is>
          <t>Eligible on level (4-yr BS ≈ Bac+4)</t>
        </is>
      </c>
      <c r="Q50" s="25" t="inlineStr">
        <is>
          <t>1/2</t>
        </is>
      </c>
      <c r="R50" s="25" t="n"/>
      <c r="S50" s="27" t="n">
        <v>3950</v>
      </c>
      <c r="T50" s="27" t="n">
        <v>255</v>
      </c>
      <c r="U50" s="25" t="n">
        <v>2</v>
      </c>
      <c r="V50" s="27">
        <f>IF(S50="","",S50*U50)</f>
        <v/>
      </c>
      <c r="W50" s="26" t="inlineStr">
        <is>
          <t>Not in catalogue. Public national master → 2026-27 differentiated fee €3,950; exemption to ~€254-255 depends on university quota (25% cap in 2027-28).</t>
        </is>
      </c>
      <c r="X50" s="25" t="inlineStr">
        <is>
          <t>Medium</t>
        </is>
      </c>
      <c r="Y50" s="25" t="n"/>
      <c r="Z50" s="26" t="n"/>
      <c r="AA50" s="26" t="inlineStr">
        <is>
          <t>Board decision (Feb 2026, pre-decree): partial exemption for ALL non-EU students subject to differentiated fees, until end of cycle. Re-check for 2027-28.</t>
        </is>
      </c>
      <c r="AB50" s="28" t="inlineStr">
        <is>
          <t>https://www.utoulouse.fr/medias/fichier/2026-02-ca-075_1774430647495-pdf</t>
        </is>
      </c>
      <c r="AC50" s="25" t="inlineStr">
        <is>
          <t>Open</t>
        </is>
      </c>
      <c r="AD50" s="25" t="inlineStr">
        <is>
          <t>2026-10-01</t>
        </is>
      </c>
      <c r="AE50" s="25" t="inlineStr">
        <is>
          <t>2027-03-15</t>
        </is>
      </c>
      <c r="AF50" s="25" t="inlineStr">
        <is>
          <t>No</t>
        </is>
      </c>
      <c r="AG50" s="28" t="inlineStr">
        <is>
          <t>http://www.univ-tlse3.fr/</t>
        </is>
      </c>
      <c r="AH50" s="26" t="inlineStr">
        <is>
          <t>https://www.utoulouse.fr/decouvrir-nos-diplomes/les-mentions-de-masters Si vous ne maîtrisez pas encore le français au niveau exigé pour intégrer une formation en France, le DU FUSEE (Diplôme Universitaire de Français po</t>
        </is>
      </c>
      <c r="AI50" s="28" t="inlineStr">
        <is>
          <t>Open in EEF</t>
        </is>
      </c>
    </row>
    <row r="51" ht="43.25" customHeight="1" s="19">
      <c r="A51" s="25" t="n">
        <v>50</v>
      </c>
      <c r="B51" s="25" t="inlineStr">
        <is>
          <t>★★★★★</t>
        </is>
      </c>
      <c r="C51" s="25" t="inlineStr">
        <is>
          <t>5 – Core fit (embedded/biomedical/health tech)</t>
        </is>
      </c>
      <c r="D51" s="25" t="inlineStr">
        <is>
          <t>Cybersecurity</t>
        </is>
      </c>
      <c r="E51" s="26" t="inlineStr">
        <is>
          <t>Master indifférencié (recherche et professionnel) Sciences, technologies, santé mention informatique parcours Cybersécurité et e-santé</t>
        </is>
      </c>
      <c r="F51" s="26" t="inlineStr">
        <is>
          <t>Science, Technology, Health (STS) – major: Computer Science – track: Cybersecurity &amp; e-santé</t>
        </is>
      </c>
      <c r="G51" s="25" t="inlineStr">
        <is>
          <t>Master indifférencié (recherche et professionnel)</t>
        </is>
      </c>
      <c r="H51" s="25" t="inlineStr">
        <is>
          <t>UFR des Sciences Fondamentales et Biomédicales</t>
        </is>
      </c>
      <c r="I51" s="25" t="inlineStr">
        <is>
          <t>Université Paris Cité</t>
        </is>
      </c>
      <c r="J51" s="25" t="inlineStr">
        <is>
          <t>Site de Paris</t>
        </is>
      </c>
      <c r="K51" s="25" t="inlineStr">
        <is>
          <t>75006 Paris</t>
        </is>
      </c>
      <c r="L51" s="25" t="inlineStr">
        <is>
          <t>Public university</t>
        </is>
      </c>
      <c r="M51" s="25" t="inlineStr">
        <is>
          <t>French</t>
        </is>
      </c>
      <c r="N51" s="25" t="inlineStr">
        <is>
          <t>General</t>
        </is>
      </c>
      <c r="O51" s="25" t="inlineStr">
        <is>
          <t>Bac +4 / Bac +5</t>
        </is>
      </c>
      <c r="P51" s="26" t="inlineStr">
        <is>
          <t>Eligible on level (4-yr BS ≈ Bac+4)</t>
        </is>
      </c>
      <c r="Q51" s="25" t="inlineStr">
        <is>
          <t>1/2</t>
        </is>
      </c>
      <c r="R51" s="25" t="n"/>
      <c r="S51" s="27" t="n">
        <v>3950</v>
      </c>
      <c r="T51" s="27" t="n">
        <v>255</v>
      </c>
      <c r="U51" s="25" t="n">
        <v>2</v>
      </c>
      <c r="V51" s="27">
        <f>IF(S51="","",S51*U51)</f>
        <v/>
      </c>
      <c r="W51" s="26" t="inlineStr">
        <is>
          <t>Not in catalogue. Public national master → 2026-27 differentiated fee €3,950; exemption to ~€254-255 depends on university quota (25% cap in 2027-28).</t>
        </is>
      </c>
      <c r="X51" s="25" t="inlineStr">
        <is>
          <t>Medium</t>
        </is>
      </c>
      <c r="Y51" s="25" t="n"/>
      <c r="Z51" s="26" t="n"/>
      <c r="AA51" s="26" t="inlineStr">
        <is>
          <t>Paris Cité historically exempted non-EU master students (paid EU rate). 2026-27/2027-28 policy not yet published – confirm.</t>
        </is>
      </c>
      <c r="AB51" s="28" t="inlineStr">
        <is>
          <t>https://u-paris.fr/droits-dinscription-tarifs-exonerations/</t>
        </is>
      </c>
      <c r="AC51" s="25" t="inlineStr">
        <is>
          <t>Open</t>
        </is>
      </c>
      <c r="AD51" s="25" t="inlineStr">
        <is>
          <t>2026-10-01</t>
        </is>
      </c>
      <c r="AE51" s="25" t="inlineStr">
        <is>
          <t>2027-03-15</t>
        </is>
      </c>
      <c r="AF51" s="25" t="inlineStr">
        <is>
          <t>No</t>
        </is>
      </c>
      <c r="AG51" s="28" t="inlineStr">
        <is>
          <t>https://odf.u-paris.fr/fr/offre-de-formation/master-XB/sciences-technologies-sante-STS/informatique-K2NDIF4R//master-informatique-parcours-cybersecurite-et-esante-JT5NZSOS.html</t>
        </is>
      </c>
      <c r="AH51" s="26" t="inlineStr">
        <is>
          <t>https://odf.u-paris.fr/fr/offre-de-formation/master-XB/sciences-technologies-sante-STS/informatique-K2NDIF4R//master-informatique-parcours-cybersecurite-et-esante-JT5NZSOS.html Droits d’inscriptions différenciés 2027-202</t>
        </is>
      </c>
      <c r="AI51" s="28" t="inlineStr">
        <is>
          <t>Open in EEF</t>
        </is>
      </c>
    </row>
    <row r="52" ht="32.8" customHeight="1" s="19">
      <c r="A52" s="25" t="n">
        <v>51</v>
      </c>
      <c r="B52" s="25" t="inlineStr">
        <is>
          <t>★★★★★</t>
        </is>
      </c>
      <c r="C52" s="25" t="inlineStr">
        <is>
          <t>5 – Core fit (embedded/biomedical/health tech)</t>
        </is>
      </c>
      <c r="D52" s="25" t="inlineStr">
        <is>
          <t>Embedded systems / Electronics</t>
        </is>
      </c>
      <c r="E52" s="26" t="inlineStr">
        <is>
          <t>Master indifférencié (recherche et professionnel) Sciences, technologies, santé mention informatique parcours Systèmes Embarqués et Connectés : Infrastructures et Logiciels</t>
        </is>
      </c>
      <c r="F52" s="26" t="inlineStr">
        <is>
          <t>Science, Technology, Health (STS) – major: Computer Science – track: Embedded Systems &amp; Connected : Infrastructures &amp; Software</t>
        </is>
      </c>
      <c r="G52" s="25" t="inlineStr">
        <is>
          <t>Master indifférencié (recherche et professionnel)</t>
        </is>
      </c>
      <c r="H52" s="25" t="inlineStr">
        <is>
          <t>Faculté des Sciences et d'Ingénierie</t>
        </is>
      </c>
      <c r="I52" s="25" t="inlineStr">
        <is>
          <t>Université de Toulouse</t>
        </is>
      </c>
      <c r="J52" s="25" t="inlineStr">
        <is>
          <t>Site de Toulouse</t>
        </is>
      </c>
      <c r="K52" s="25" t="n"/>
      <c r="L52" s="25" t="inlineStr">
        <is>
          <t>Public university</t>
        </is>
      </c>
      <c r="M52" s="25" t="inlineStr">
        <is>
          <t>French</t>
        </is>
      </c>
      <c r="N52" s="25" t="inlineStr">
        <is>
          <t>General</t>
        </is>
      </c>
      <c r="O52" s="25" t="inlineStr">
        <is>
          <t>Bac +4 / Bac +5</t>
        </is>
      </c>
      <c r="P52" s="26" t="inlineStr">
        <is>
          <t>Eligible on level (4-yr BS ≈ Bac+4)</t>
        </is>
      </c>
      <c r="Q52" s="25" t="inlineStr">
        <is>
          <t>1/2</t>
        </is>
      </c>
      <c r="R52" s="25" t="n"/>
      <c r="S52" s="27" t="n">
        <v>3950</v>
      </c>
      <c r="T52" s="27" t="n">
        <v>255</v>
      </c>
      <c r="U52" s="25" t="n">
        <v>2</v>
      </c>
      <c r="V52" s="27">
        <f>IF(S52="","",S52*U52)</f>
        <v/>
      </c>
      <c r="W52" s="26" t="inlineStr">
        <is>
          <t>Not in catalogue. Public national master → 2026-27 differentiated fee €3,950; exemption to ~€254-255 depends on university quota (25% cap in 2027-28).</t>
        </is>
      </c>
      <c r="X52" s="25" t="inlineStr">
        <is>
          <t>Medium</t>
        </is>
      </c>
      <c r="Y52" s="25" t="n"/>
      <c r="Z52" s="26" t="n"/>
      <c r="AA52" s="26" t="inlineStr">
        <is>
          <t>Board decision (Feb 2026, pre-decree): partial exemption for ALL non-EU students subject to differentiated fees, until end of cycle. Re-check for 2027-28.</t>
        </is>
      </c>
      <c r="AB52" s="28" t="inlineStr">
        <is>
          <t>https://www.utoulouse.fr/medias/fichier/2026-02-ca-075_1774430647495-pdf</t>
        </is>
      </c>
      <c r="AC52" s="25" t="inlineStr">
        <is>
          <t>Open</t>
        </is>
      </c>
      <c r="AD52" s="25" t="inlineStr">
        <is>
          <t>2026-10-01</t>
        </is>
      </c>
      <c r="AE52" s="25" t="inlineStr">
        <is>
          <t>2027-03-15</t>
        </is>
      </c>
      <c r="AF52" s="25" t="inlineStr">
        <is>
          <t>No</t>
        </is>
      </c>
      <c r="AG52" s="28" t="inlineStr">
        <is>
          <t>http://www.univ-tlse3.fr/</t>
        </is>
      </c>
      <c r="AH52" s="26" t="inlineStr">
        <is>
          <t>https://www.univ-tlse3.fr/master-parcours-systemes-embarques-et-connectes-infrastructures-et-logiciels-secil</t>
        </is>
      </c>
      <c r="AI52" s="28" t="inlineStr">
        <is>
          <t>Open in EEF</t>
        </is>
      </c>
    </row>
    <row r="53" ht="32.8" customHeight="1" s="19">
      <c r="A53" s="25" t="n">
        <v>52</v>
      </c>
      <c r="B53" s="25" t="inlineStr">
        <is>
          <t>★★★★★</t>
        </is>
      </c>
      <c r="C53" s="25" t="inlineStr">
        <is>
          <t>5 – Core fit (embedded/biomedical/health tech)</t>
        </is>
      </c>
      <c r="D53" s="25" t="inlineStr">
        <is>
          <t>Biomedical / Health tech</t>
        </is>
      </c>
      <c r="E53" s="26" t="inlineStr">
        <is>
          <t>Master indifférencié (recherche et professionnel) Sciences, technologies, santé mention Ingénierie de la santé parcours Technologies, imagerie et physique pour la santé</t>
        </is>
      </c>
      <c r="F53" s="26" t="inlineStr">
        <is>
          <t>Science, Technology, Health (STS) – major: Health Engineering – track: Technologies, Imaging &amp; Physics for the Health</t>
        </is>
      </c>
      <c r="G53" s="25" t="inlineStr">
        <is>
          <t>Master indifférencié (recherche et professionnel)</t>
        </is>
      </c>
      <c r="H53" s="25" t="inlineStr">
        <is>
          <t>UFR Médecine - Pharmacie</t>
        </is>
      </c>
      <c r="I53" s="25" t="inlineStr">
        <is>
          <t>Université de Grenoble Alpes</t>
        </is>
      </c>
      <c r="J53" s="25" t="inlineStr">
        <is>
          <t>Site de Grenoble - Campus de La Merci - La Tronche</t>
        </is>
      </c>
      <c r="K53" s="25" t="n"/>
      <c r="L53" s="25" t="inlineStr">
        <is>
          <t>Public university</t>
        </is>
      </c>
      <c r="M53" s="25" t="inlineStr">
        <is>
          <t>French</t>
        </is>
      </c>
      <c r="N53" s="25" t="inlineStr">
        <is>
          <t>General</t>
        </is>
      </c>
      <c r="O53" s="25" t="inlineStr">
        <is>
          <t>Bac +4</t>
        </is>
      </c>
      <c r="P53" s="26" t="inlineStr">
        <is>
          <t>Eligible on level (4-yr BS ≈ Bac+4)</t>
        </is>
      </c>
      <c r="Q53" s="25" t="inlineStr">
        <is>
          <t>1</t>
        </is>
      </c>
      <c r="R53" s="25" t="n"/>
      <c r="S53" s="27" t="n">
        <v>3950</v>
      </c>
      <c r="T53" s="27" t="n">
        <v>255</v>
      </c>
      <c r="U53" s="25" t="n">
        <v>2</v>
      </c>
      <c r="V53" s="27">
        <f>IF(S53="","",S53*U53)</f>
        <v/>
      </c>
      <c r="W53" s="26" t="inlineStr">
        <is>
          <t>Not in catalogue. Public national master → 2026-27 differentiated fee €3,950; exemption to ~€254-255 depends on university quota (25% cap in 2027-28).</t>
        </is>
      </c>
      <c r="X53" s="25" t="inlineStr">
        <is>
          <t>Medium</t>
        </is>
      </c>
      <c r="Y53" s="25" t="n"/>
      <c r="Z53" s="26" t="n"/>
      <c r="AA53" s="26" t="inlineStr">
        <is>
          <t>UGA (incl. Grenoble INP masters): 2026-27 broad exemptions on request (pay national €254). From 2027-28 the decree caps apply; exemptions based on resources.</t>
        </is>
      </c>
      <c r="AB53" s="28" t="inlineStr">
        <is>
          <t>https://www.univ-grenoble-alpes.fr/actualites/a-la-une/actualites-universite/etudiants-internationaux-ce-que-change-le-nouveau-decret-sur-les-droits-d-inscription-a-l-uga-1775870.kjsp</t>
        </is>
      </c>
      <c r="AC53" s="25" t="inlineStr">
        <is>
          <t>Open</t>
        </is>
      </c>
      <c r="AD53" s="25" t="inlineStr">
        <is>
          <t>2026-10-01</t>
        </is>
      </c>
      <c r="AE53" s="25" t="inlineStr">
        <is>
          <t>2027-03-15</t>
        </is>
      </c>
      <c r="AF53" s="25" t="inlineStr">
        <is>
          <t>No</t>
        </is>
      </c>
      <c r="AG53" s="28" t="inlineStr">
        <is>
          <t>https://formations.univ-grenoble-alpes.fr/fr/catalogue-2021/master-XB/master-ingenierie-de-la-sante-IAQKSXOB.html</t>
        </is>
      </c>
      <c r="AH53" s="26" t="inlineStr">
        <is>
          <t>licence ou master 1 dans les domaines de l'imagerie ou la radioprotection ou la modelisation en santé ou la recherche clinique, niveau d'anglais B1 conseillé</t>
        </is>
      </c>
      <c r="AI53" s="28" t="inlineStr">
        <is>
          <t>Open in EEF</t>
        </is>
      </c>
    </row>
    <row r="54" ht="32.8" customHeight="1" s="19">
      <c r="A54" s="25" t="n">
        <v>53</v>
      </c>
      <c r="B54" s="25" t="inlineStr">
        <is>
          <t>★★★★★</t>
        </is>
      </c>
      <c r="C54" s="25" t="inlineStr">
        <is>
          <t>5 – Core fit (embedded/biomedical/health tech)</t>
        </is>
      </c>
      <c r="D54" s="25" t="inlineStr">
        <is>
          <t>Biomedical / Health tech</t>
        </is>
      </c>
      <c r="E54" s="26" t="inlineStr">
        <is>
          <t>Master indifférencié (recherche et professionnel) Sciences, technologies, santé mention Sciences et numérique pour la santé parcours PHYSIQUE BIOMEDICALE (PHYMED)</t>
        </is>
      </c>
      <c r="F54" s="26" t="inlineStr">
        <is>
          <t>Science, Technology, Health (STS) – major: Sciences &amp; Digital for the Health – track: Physics BIOMEDICALE (PHYMED)</t>
        </is>
      </c>
      <c r="G54" s="25" t="inlineStr">
        <is>
          <t>Master indifférencié (recherche et professionnel)</t>
        </is>
      </c>
      <c r="H54" s="25" t="inlineStr">
        <is>
          <t>UFR des Sciences de Montpellier</t>
        </is>
      </c>
      <c r="I54" s="25" t="inlineStr">
        <is>
          <t>Université de Montpellier</t>
        </is>
      </c>
      <c r="J54" s="25" t="inlineStr">
        <is>
          <t>Site de Montpellier</t>
        </is>
      </c>
      <c r="K54" s="25" t="n"/>
      <c r="L54" s="25" t="inlineStr">
        <is>
          <t>Public university</t>
        </is>
      </c>
      <c r="M54" s="25" t="inlineStr">
        <is>
          <t>French</t>
        </is>
      </c>
      <c r="N54" s="25" t="inlineStr">
        <is>
          <t>General</t>
        </is>
      </c>
      <c r="O54" s="25" t="inlineStr">
        <is>
          <t>Bac +4</t>
        </is>
      </c>
      <c r="P54" s="26" t="inlineStr">
        <is>
          <t>Eligible on level (4-yr BS ≈ Bac+4)</t>
        </is>
      </c>
      <c r="Q54" s="25" t="inlineStr">
        <is>
          <t>1</t>
        </is>
      </c>
      <c r="R54" s="25" t="n"/>
      <c r="S54" s="27" t="n">
        <v>3950</v>
      </c>
      <c r="T54" s="27" t="n">
        <v>255</v>
      </c>
      <c r="U54" s="25" t="n">
        <v>2</v>
      </c>
      <c r="V54" s="27">
        <f>IF(S54="","",S54*U54)</f>
        <v/>
      </c>
      <c r="W54" s="26" t="inlineStr">
        <is>
          <t>Not in catalogue. Public national master → 2026-27 differentiated fee €3,950; exemption to ~€254-255 depends on university quota (25% cap in 2027-28).</t>
        </is>
      </c>
      <c r="X54" s="25" t="inlineStr">
        <is>
          <t>Medium</t>
        </is>
      </c>
      <c r="Y54" s="25" t="n"/>
      <c r="Z54" s="26" t="n"/>
      <c r="AA54" s="26" t="inlineStr">
        <is>
          <t>Montpellier 2026-27: new non-EU entrants pay the differentiated fee unless individual exemption (limited).</t>
        </is>
      </c>
      <c r="AB54" s="28" t="inlineStr">
        <is>
          <t>https://www.umontpellier.fr/en/international/etudier-a-letranger/etudiants-internationaux-annee-universitaire-2026-2027/</t>
        </is>
      </c>
      <c r="AC54" s="25" t="inlineStr">
        <is>
          <t>Open</t>
        </is>
      </c>
      <c r="AD54" s="25" t="inlineStr">
        <is>
          <t>2026-10-01</t>
        </is>
      </c>
      <c r="AE54" s="25" t="inlineStr">
        <is>
          <t>2027-03-15</t>
        </is>
      </c>
      <c r="AF54" s="25" t="inlineStr">
        <is>
          <t>No</t>
        </is>
      </c>
      <c r="AG54" s="28" t="inlineStr">
        <is>
          <t>http://www.fdsweb.univ-montp2.fr/etudier-a-la-fds/catalogue-de-formation-675</t>
        </is>
      </c>
      <c r="AH54" s="26" t="inlineStr">
        <is>
          <t>L3 Scientifique et Santé</t>
        </is>
      </c>
      <c r="AI54" s="28" t="inlineStr">
        <is>
          <t>Open in EEF</t>
        </is>
      </c>
    </row>
    <row r="55" ht="22.35" customHeight="1" s="19">
      <c r="A55" s="25" t="n">
        <v>54</v>
      </c>
      <c r="B55" s="25" t="inlineStr">
        <is>
          <t>★★★★★</t>
        </is>
      </c>
      <c r="C55" s="25" t="inlineStr">
        <is>
          <t>5 – Core fit (embedded/biomedical/health tech)</t>
        </is>
      </c>
      <c r="D55" s="25" t="inlineStr">
        <is>
          <t>Biomedical / Health tech</t>
        </is>
      </c>
      <c r="E55" s="26" t="inlineStr">
        <is>
          <t>Master Sciences et technologies mention Ingénierie de la santé</t>
        </is>
      </c>
      <c r="F55" s="26" t="inlineStr">
        <is>
          <t>Master Science &amp; Technology – major: Health Engineering</t>
        </is>
      </c>
      <c r="G55" s="25" t="inlineStr">
        <is>
          <t>Master indifférencié (recherche et professionnel)</t>
        </is>
      </c>
      <c r="H55" s="25" t="inlineStr">
        <is>
          <t>UFR Santé</t>
        </is>
      </c>
      <c r="I55" s="25" t="inlineStr">
        <is>
          <t>Université Marie et Louis Pasteur</t>
        </is>
      </c>
      <c r="J55" s="25" t="inlineStr">
        <is>
          <t>Site de Besançon</t>
        </is>
      </c>
      <c r="K55" s="25" t="inlineStr">
        <is>
          <t>25030 BESANCON</t>
        </is>
      </c>
      <c r="L55" s="25" t="inlineStr">
        <is>
          <t>Public university</t>
        </is>
      </c>
      <c r="M55" s="25" t="inlineStr">
        <is>
          <t>French</t>
        </is>
      </c>
      <c r="N55" s="25" t="inlineStr">
        <is>
          <t>General</t>
        </is>
      </c>
      <c r="O55" s="25" t="inlineStr">
        <is>
          <t>Bac +4 / Bac +5</t>
        </is>
      </c>
      <c r="P55" s="26" t="inlineStr">
        <is>
          <t>Eligible on level (4-yr BS ≈ Bac+4)</t>
        </is>
      </c>
      <c r="Q55" s="25" t="inlineStr">
        <is>
          <t>1/2</t>
        </is>
      </c>
      <c r="R55" s="25" t="inlineStr">
        <is>
          <t>12</t>
        </is>
      </c>
      <c r="S55" s="27" t="n">
        <v>3950</v>
      </c>
      <c r="T55" s="27" t="n">
        <v>255</v>
      </c>
      <c r="U55" s="25" t="n">
        <v>2</v>
      </c>
      <c r="V55" s="27">
        <f>IF(S55="","",S55*U55)</f>
        <v/>
      </c>
      <c r="W55" s="26" t="inlineStr">
        <is>
          <t>Not in catalogue. Public national master → 2026-27 differentiated fee €3,950; exemption to ~€254-255 depends on university quota (25% cap in 2027-28).</t>
        </is>
      </c>
      <c r="X55" s="25" t="inlineStr">
        <is>
          <t>Medium</t>
        </is>
      </c>
      <c r="Y55" s="25" t="n"/>
      <c r="Z55" s="26" t="n"/>
      <c r="AA55" s="26" t="inlineStr">
        <is>
          <t>UMLP: individual exemption requests assessed on personal resources.</t>
        </is>
      </c>
      <c r="AB55" s="28" t="inlineStr">
        <is>
          <t>https://www.umlp.fr/sites/default/files/2026-07-02-page-droits-differencies-vf.pdf</t>
        </is>
      </c>
      <c r="AC55" s="25" t="inlineStr">
        <is>
          <t>Open</t>
        </is>
      </c>
      <c r="AD55" s="25" t="inlineStr">
        <is>
          <t>2026-10-01</t>
        </is>
      </c>
      <c r="AE55" s="25" t="inlineStr">
        <is>
          <t>2027-03-15</t>
        </is>
      </c>
      <c r="AF55" s="25" t="inlineStr">
        <is>
          <t>No</t>
        </is>
      </c>
      <c r="AG55" s="25" t="n"/>
      <c r="AH55" s="26" t="n"/>
      <c r="AI55" s="28" t="inlineStr">
        <is>
          <t>Open in EEF</t>
        </is>
      </c>
    </row>
    <row r="56" ht="43.25" customHeight="1" s="19">
      <c r="A56" s="25" t="n">
        <v>55</v>
      </c>
      <c r="B56" s="25" t="inlineStr">
        <is>
          <t>★★★★★</t>
        </is>
      </c>
      <c r="C56" s="25" t="inlineStr">
        <is>
          <t>5 – Core fit (embedded/biomedical/health tech)</t>
        </is>
      </c>
      <c r="D56" s="25" t="inlineStr">
        <is>
          <t>Biomedical / Health tech</t>
        </is>
      </c>
      <c r="E56" s="26" t="inlineStr">
        <is>
          <t>Master Sciences, technologies, santé mention Sciences du médicament et des produits de santé parcours Pharmacologie, Pharmacochimie, Bioingénierie des Biomolécules.</t>
        </is>
      </c>
      <c r="F56" s="26" t="inlineStr">
        <is>
          <t>Master Science, Technology, Health (STS) – major: Sciences of médicament &amp; of produits of Health – track: Pharmacology, Pharmacochimie, Bioengineering of Biomolecules.</t>
        </is>
      </c>
      <c r="G56" s="25" t="inlineStr">
        <is>
          <t>Master indifférencié (recherche et professionnel)</t>
        </is>
      </c>
      <c r="H56" s="25" t="inlineStr">
        <is>
          <t>UFR de Pharmacie</t>
        </is>
      </c>
      <c r="I56" s="25" t="inlineStr">
        <is>
          <t>Université Paris Cité</t>
        </is>
      </c>
      <c r="J56" s="25" t="inlineStr">
        <is>
          <t>Site de Paris</t>
        </is>
      </c>
      <c r="K56" s="25" t="inlineStr">
        <is>
          <t>75006 Paris</t>
        </is>
      </c>
      <c r="L56" s="25" t="inlineStr">
        <is>
          <t>Public university</t>
        </is>
      </c>
      <c r="M56" s="25" t="inlineStr">
        <is>
          <t>French</t>
        </is>
      </c>
      <c r="N56" s="25" t="inlineStr">
        <is>
          <t>General</t>
        </is>
      </c>
      <c r="O56" s="25" t="inlineStr">
        <is>
          <t>Bac +4</t>
        </is>
      </c>
      <c r="P56" s="26" t="inlineStr">
        <is>
          <t>Eligible on level (4-yr BS ≈ Bac+4)</t>
        </is>
      </c>
      <c r="Q56" s="25" t="inlineStr">
        <is>
          <t>1</t>
        </is>
      </c>
      <c r="R56" s="25" t="n"/>
      <c r="S56" s="27" t="n">
        <v>3950</v>
      </c>
      <c r="T56" s="27" t="n">
        <v>255</v>
      </c>
      <c r="U56" s="25" t="n">
        <v>2</v>
      </c>
      <c r="V56" s="27">
        <f>IF(S56="","",S56*U56)</f>
        <v/>
      </c>
      <c r="W56" s="26" t="inlineStr">
        <is>
          <t>Not in catalogue. Public national master → 2026-27 differentiated fee €3,950; exemption to ~€254-255 depends on university quota (25% cap in 2027-28).</t>
        </is>
      </c>
      <c r="X56" s="25" t="inlineStr">
        <is>
          <t>Medium</t>
        </is>
      </c>
      <c r="Y56" s="25" t="n"/>
      <c r="Z56" s="26" t="n"/>
      <c r="AA56" s="26" t="inlineStr">
        <is>
          <t>Paris Cité historically exempted non-EU master students (paid EU rate). 2026-27/2027-28 policy not yet published – confirm.</t>
        </is>
      </c>
      <c r="AB56" s="28" t="inlineStr">
        <is>
          <t>https://u-paris.fr/droits-dinscription-tarifs-exonerations/</t>
        </is>
      </c>
      <c r="AC56" s="25" t="inlineStr">
        <is>
          <t>Open</t>
        </is>
      </c>
      <c r="AD56" s="25" t="inlineStr">
        <is>
          <t>2026-10-01</t>
        </is>
      </c>
      <c r="AE56" s="25" t="inlineStr">
        <is>
          <t>2027-03-15</t>
        </is>
      </c>
      <c r="AF56" s="25" t="inlineStr">
        <is>
          <t>No</t>
        </is>
      </c>
      <c r="AG56" s="28" t="inlineStr">
        <is>
          <t>https://pharmacie.u-paris.fr/</t>
        </is>
      </c>
      <c r="AH56" s="26" t="inlineStr">
        <is>
          <t>https://odf.u-paris.fr/fr/offre-de-formation/master-XB/sciences-technologies-sante-STS/sciences-du-medicament-et-des-produits-de-sante-K2NDKZA2/master-sciences-du-medicament-et-des-produits-de-sante-parcours-pharmacologi</t>
        </is>
      </c>
      <c r="AI56" s="28" t="inlineStr">
        <is>
          <t>Open in EEF</t>
        </is>
      </c>
    </row>
    <row r="57" ht="22.35" customHeight="1" s="19">
      <c r="A57" s="25" t="n">
        <v>56</v>
      </c>
      <c r="B57" s="25" t="inlineStr">
        <is>
          <t>★★★★★</t>
        </is>
      </c>
      <c r="C57" s="25" t="inlineStr">
        <is>
          <t>5 – Core fit (embedded/biomedical/health tech)</t>
        </is>
      </c>
      <c r="D57" s="25" t="inlineStr">
        <is>
          <t>Biomedical / Health tech</t>
        </is>
      </c>
      <c r="E57" s="26" t="inlineStr">
        <is>
          <t>Sciences de la santé parcours Ingénierie de la santé et intelligence artificielle</t>
        </is>
      </c>
      <c r="F57" s="26" t="inlineStr">
        <is>
          <t>Sciences of the Health – track: Health Engineering &amp; Artificial Intelligence</t>
        </is>
      </c>
      <c r="G57" s="25" t="inlineStr">
        <is>
          <t>Master indifférencié (recherche et professionnel)</t>
        </is>
      </c>
      <c r="H57" s="25" t="inlineStr">
        <is>
          <t>UFR Santé</t>
        </is>
      </c>
      <c r="I57" s="25" t="inlineStr">
        <is>
          <t>Université Marie et Louis Pasteur</t>
        </is>
      </c>
      <c r="J57" s="25" t="inlineStr">
        <is>
          <t>Site de Besançon</t>
        </is>
      </c>
      <c r="K57" s="25" t="inlineStr">
        <is>
          <t>25030 BESANCON</t>
        </is>
      </c>
      <c r="L57" s="25" t="inlineStr">
        <is>
          <t>Public university</t>
        </is>
      </c>
      <c r="M57" s="25" t="inlineStr">
        <is>
          <t>French</t>
        </is>
      </c>
      <c r="N57" s="25" t="inlineStr">
        <is>
          <t>General</t>
        </is>
      </c>
      <c r="O57" s="25" t="inlineStr">
        <is>
          <t>Bac +4 / Bac +5</t>
        </is>
      </c>
      <c r="P57" s="26" t="inlineStr">
        <is>
          <t>Eligible on level (4-yr BS ≈ Bac+4)</t>
        </is>
      </c>
      <c r="Q57" s="25" t="inlineStr">
        <is>
          <t>1/2</t>
        </is>
      </c>
      <c r="R57" s="25" t="inlineStr">
        <is>
          <t>12</t>
        </is>
      </c>
      <c r="S57" s="27" t="n">
        <v>3950</v>
      </c>
      <c r="T57" s="27" t="n">
        <v>255</v>
      </c>
      <c r="U57" s="25" t="n">
        <v>2</v>
      </c>
      <c r="V57" s="27">
        <f>IF(S57="","",S57*U57)</f>
        <v/>
      </c>
      <c r="W57" s="26" t="inlineStr">
        <is>
          <t>Not in catalogue. Public national master → 2026-27 differentiated fee €3,950; exemption to ~€254-255 depends on university quota (25% cap in 2027-28).</t>
        </is>
      </c>
      <c r="X57" s="25" t="inlineStr">
        <is>
          <t>Medium</t>
        </is>
      </c>
      <c r="Y57" s="25" t="n"/>
      <c r="Z57" s="26" t="n"/>
      <c r="AA57" s="26" t="inlineStr">
        <is>
          <t>UMLP: individual exemption requests assessed on personal resources.</t>
        </is>
      </c>
      <c r="AB57" s="28" t="inlineStr">
        <is>
          <t>https://www.umlp.fr/sites/default/files/2026-07-02-page-droits-differencies-vf.pdf</t>
        </is>
      </c>
      <c r="AC57" s="25" t="inlineStr">
        <is>
          <t>Open</t>
        </is>
      </c>
      <c r="AD57" s="25" t="inlineStr">
        <is>
          <t>2026-10-01</t>
        </is>
      </c>
      <c r="AE57" s="25" t="inlineStr">
        <is>
          <t>2027-03-15</t>
        </is>
      </c>
      <c r="AF57" s="25" t="inlineStr">
        <is>
          <t>No</t>
        </is>
      </c>
      <c r="AG57" s="25" t="n"/>
      <c r="AH57" s="26" t="inlineStr">
        <is>
          <t>Niveau de langue C1 minimum Entretien visio ou téléphonique obligatoire</t>
        </is>
      </c>
      <c r="AI57" s="28" t="inlineStr">
        <is>
          <t>Open in EEF</t>
        </is>
      </c>
    </row>
    <row r="58" ht="32.8" customHeight="1" s="19">
      <c r="A58" s="25" t="n">
        <v>57</v>
      </c>
      <c r="B58" s="25" t="inlineStr">
        <is>
          <t>★★★★★</t>
        </is>
      </c>
      <c r="C58" s="25" t="inlineStr">
        <is>
          <t>5 – Core fit (embedded/biomedical/health tech)</t>
        </is>
      </c>
      <c r="D58" s="25" t="inlineStr">
        <is>
          <t>Embedded systems / Electronics</t>
        </is>
      </c>
      <c r="E58" s="26" t="inlineStr">
        <is>
          <t>Master professionnel Sciences, technologies, santé mention ingénierie des systèmes complexes parcours Cyber-sécurité des systèmes embarqués</t>
        </is>
      </c>
      <c r="F58" s="26" t="inlineStr">
        <is>
          <t>Professional Master Science, Technology, Health (STS) – major: Complex Systems Engineering – track: Cyber-sécurité of Embedded Systems</t>
        </is>
      </c>
      <c r="G58" s="25" t="inlineStr">
        <is>
          <t>Master professionnel</t>
        </is>
      </c>
      <c r="H58" s="25" t="inlineStr">
        <is>
          <t>Faculté des sciences et sciences de l'ingénieur (Campus de Lorient)</t>
        </is>
      </c>
      <c r="I58" s="25" t="inlineStr">
        <is>
          <t>Université Bretagne-Sud</t>
        </is>
      </c>
      <c r="J58" s="25" t="inlineStr">
        <is>
          <t>Site de Lorient</t>
        </is>
      </c>
      <c r="K58" s="25" t="n"/>
      <c r="L58" s="25" t="inlineStr">
        <is>
          <t>Public university</t>
        </is>
      </c>
      <c r="M58" s="25" t="inlineStr">
        <is>
          <t>French</t>
        </is>
      </c>
      <c r="N58" s="25" t="inlineStr">
        <is>
          <t>General</t>
        </is>
      </c>
      <c r="O58" s="25" t="inlineStr">
        <is>
          <t>Bac +4 / Bac +5</t>
        </is>
      </c>
      <c r="P58" s="26" t="inlineStr">
        <is>
          <t>Eligible on level (4-yr BS ≈ Bac+4)</t>
        </is>
      </c>
      <c r="Q58" s="25" t="inlineStr">
        <is>
          <t>1/2</t>
        </is>
      </c>
      <c r="R58" s="25" t="n"/>
      <c r="S58" s="27" t="n">
        <v>3950</v>
      </c>
      <c r="T58" s="27" t="n">
        <v>255</v>
      </c>
      <c r="U58" s="25" t="n">
        <v>2</v>
      </c>
      <c r="V58" s="27">
        <f>IF(S58="","",S58*U58)</f>
        <v/>
      </c>
      <c r="W58" s="26" t="inlineStr">
        <is>
          <t>Not in catalogue. Public national master → 2026-27 differentiated fee €3,950; exemption to ~€254-255 depends on university quota (25% cap in 2027-28).</t>
        </is>
      </c>
      <c r="X58" s="25" t="inlineStr">
        <is>
          <t>Medium</t>
        </is>
      </c>
      <c r="Y58" s="25" t="n"/>
      <c r="Z58" s="26" t="n"/>
      <c r="AA58" s="26" t="n"/>
      <c r="AB58" s="25" t="n"/>
      <c r="AC58" s="25" t="inlineStr">
        <is>
          <t>Open</t>
        </is>
      </c>
      <c r="AD58" s="25" t="inlineStr">
        <is>
          <t>2026-10-01</t>
        </is>
      </c>
      <c r="AE58" s="25" t="inlineStr">
        <is>
          <t>2027-03-15</t>
        </is>
      </c>
      <c r="AF58" s="25" t="inlineStr">
        <is>
          <t>No</t>
        </is>
      </c>
      <c r="AG58" s="28" t="inlineStr">
        <is>
          <t>https://www.univ-ubs.fr/fr/formation-initiale-continue/formations-2017-2018/master-XB/sciences-technologies-sante-STS/master-cyber-securite-des-systemes-embarques-program-5scy00-217-5scy01.html</t>
        </is>
      </c>
      <c r="AH58" s="26" t="inlineStr">
        <is>
          <t>Moyenne cumulative (études sécondaires et études supérieures) : 13/20 Niveau C1 exigé en français. Pour les étudiants en alternance : date limite la fin du mois d'octobre de l'année en cours</t>
        </is>
      </c>
      <c r="AI58" s="28" t="inlineStr">
        <is>
          <t>Open in EEF</t>
        </is>
      </c>
    </row>
    <row r="59" ht="32.8" customHeight="1" s="19">
      <c r="A59" s="25" t="n">
        <v>58</v>
      </c>
      <c r="B59" s="25" t="inlineStr">
        <is>
          <t>★★★★★</t>
        </is>
      </c>
      <c r="C59" s="25" t="inlineStr">
        <is>
          <t>5 – Core fit (embedded/biomedical/health tech)</t>
        </is>
      </c>
      <c r="D59" s="25" t="inlineStr">
        <is>
          <t>Embedded systems / Electronics</t>
        </is>
      </c>
      <c r="E59" s="26" t="inlineStr">
        <is>
          <t>Master professionnel Sciences, technologies, santé mention ingénierie des systèmes complexes parcours Systèmes embarqués / systèmes intégrés</t>
        </is>
      </c>
      <c r="F59" s="26" t="inlineStr">
        <is>
          <t>Professional Master Science, Technology, Health (STS) – major: Complex Systems Engineering – track: Embedded Systems / Systems Integrated</t>
        </is>
      </c>
      <c r="G59" s="25" t="inlineStr">
        <is>
          <t>Master professionnel</t>
        </is>
      </c>
      <c r="H59" s="25" t="inlineStr">
        <is>
          <t>Faculté des sciences et sciences de l'ingénieur (Campus de Lorient)</t>
        </is>
      </c>
      <c r="I59" s="25" t="inlineStr">
        <is>
          <t>Université Bretagne-Sud</t>
        </is>
      </c>
      <c r="J59" s="25" t="inlineStr">
        <is>
          <t>Site de Lorient</t>
        </is>
      </c>
      <c r="K59" s="25" t="n"/>
      <c r="L59" s="25" t="inlineStr">
        <is>
          <t>Public university</t>
        </is>
      </c>
      <c r="M59" s="25" t="inlineStr">
        <is>
          <t>French</t>
        </is>
      </c>
      <c r="N59" s="25" t="inlineStr">
        <is>
          <t>General</t>
        </is>
      </c>
      <c r="O59" s="25" t="inlineStr">
        <is>
          <t>Bac +4 / Bac +5</t>
        </is>
      </c>
      <c r="P59" s="26" t="inlineStr">
        <is>
          <t>Eligible on level (4-yr BS ≈ Bac+4)</t>
        </is>
      </c>
      <c r="Q59" s="25" t="inlineStr">
        <is>
          <t>1/2</t>
        </is>
      </c>
      <c r="R59" s="25" t="n"/>
      <c r="S59" s="27" t="n">
        <v>3950</v>
      </c>
      <c r="T59" s="27" t="n">
        <v>255</v>
      </c>
      <c r="U59" s="25" t="n">
        <v>2</v>
      </c>
      <c r="V59" s="27">
        <f>IF(S59="","",S59*U59)</f>
        <v/>
      </c>
      <c r="W59" s="26" t="inlineStr">
        <is>
          <t>Not in catalogue. Public national master → 2026-27 differentiated fee €3,950; exemption to ~€254-255 depends on university quota (25% cap in 2027-28).</t>
        </is>
      </c>
      <c r="X59" s="25" t="inlineStr">
        <is>
          <t>Medium</t>
        </is>
      </c>
      <c r="Y59" s="25" t="n"/>
      <c r="Z59" s="26" t="n"/>
      <c r="AA59" s="26" t="n"/>
      <c r="AB59" s="25" t="n"/>
      <c r="AC59" s="25" t="inlineStr">
        <is>
          <t>Open</t>
        </is>
      </c>
      <c r="AD59" s="25" t="inlineStr">
        <is>
          <t>2026-10-01</t>
        </is>
      </c>
      <c r="AE59" s="25" t="inlineStr">
        <is>
          <t>2027-03-15</t>
        </is>
      </c>
      <c r="AF59" s="25" t="inlineStr">
        <is>
          <t>No</t>
        </is>
      </c>
      <c r="AG59" s="28" t="inlineStr">
        <is>
          <t>https://www.univ-ubs.fr/fr/formation-initiale-continue/formations-2017-2018/master-XB/sciences-technologies-sante-STS/master-systemes-embarques-systemes-integres-program-5ssy00-217-4ssy01.html</t>
        </is>
      </c>
      <c r="AH59" s="26" t="inlineStr">
        <is>
          <t>Moyenne cumulative (études sécondaires et études supérieures) : 13/20 Niveau B2 exigé en français. Pour l'alternance: date limite pour la signature du contrat 31 octobre 2027</t>
        </is>
      </c>
      <c r="AI59" s="28" t="inlineStr">
        <is>
          <t>Open in EEF</t>
        </is>
      </c>
    </row>
    <row r="60" ht="32.8" customHeight="1" s="19">
      <c r="A60" s="25" t="n">
        <v>59</v>
      </c>
      <c r="B60" s="25" t="inlineStr">
        <is>
          <t>★★★★★</t>
        </is>
      </c>
      <c r="C60" s="25" t="inlineStr">
        <is>
          <t>5 – Core fit (embedded/biomedical/health tech)</t>
        </is>
      </c>
      <c r="D60" s="25" t="inlineStr">
        <is>
          <t>Embedded systems / Electronics</t>
        </is>
      </c>
      <c r="E60" s="26" t="inlineStr">
        <is>
          <t>diplôme d'ingénieur de l'Ecole d'ingénieurs de l'Université de Caen spécialité systèmes embarqués</t>
        </is>
      </c>
      <c r="F60" s="26" t="inlineStr">
        <is>
          <t>Engineering diploma of School of Engineers of University of Caen – specialisation: Embedded Systems</t>
        </is>
      </c>
      <c r="G60" s="25" t="inlineStr">
        <is>
          <t>Diplôme d'ingénieur</t>
        </is>
      </c>
      <c r="H60" s="25" t="inlineStr">
        <is>
          <t>Ecole supérieur d'ingénieurs _ ESIX</t>
        </is>
      </c>
      <c r="I60" s="25" t="inlineStr">
        <is>
          <t>Université Caen Normandie</t>
        </is>
      </c>
      <c r="J60" s="25" t="inlineStr">
        <is>
          <t>Site de Caen</t>
        </is>
      </c>
      <c r="K60" s="25" t="n"/>
      <c r="L60" s="25" t="inlineStr">
        <is>
          <t>Public school / institute</t>
        </is>
      </c>
      <c r="M60" s="25" t="inlineStr">
        <is>
          <t>French</t>
        </is>
      </c>
      <c r="N60" s="25" t="inlineStr">
        <is>
          <t>General</t>
        </is>
      </c>
      <c r="O60" s="25" t="inlineStr">
        <is>
          <t>Bac +3 / Bac +4</t>
        </is>
      </c>
      <c r="P60" s="26" t="inlineStr">
        <is>
          <t>Eligible on level (4-yr BS ≈ Bac+4)</t>
        </is>
      </c>
      <c r="Q60" s="25" t="inlineStr">
        <is>
          <t>1/2</t>
        </is>
      </c>
      <c r="R60" s="25" t="inlineStr">
        <is>
          <t>10</t>
        </is>
      </c>
      <c r="S60" s="27" t="n">
        <v>601</v>
      </c>
      <c r="T60" s="27" t="n"/>
      <c r="U60" s="25" t="n">
        <v>2</v>
      </c>
      <c r="V60" s="27">
        <f>IF(S60="","",S60*U60)</f>
        <v/>
      </c>
      <c r="W60" s="26" t="inlineStr">
        <is>
          <t>Catalogue lists €601 (EU/national rate). Confirm whether non-EU surcharge applies.</t>
        </is>
      </c>
      <c r="X60" s="25" t="inlineStr">
        <is>
          <t>Medium</t>
        </is>
      </c>
      <c r="Y60" s="25" t="inlineStr">
        <is>
          <t>601</t>
        </is>
      </c>
      <c r="Z60" s="26" t="n"/>
      <c r="AA60" s="26" t="n"/>
      <c r="AB60" s="25" t="n"/>
      <c r="AC60" s="25" t="inlineStr">
        <is>
          <t>Open</t>
        </is>
      </c>
      <c r="AD60" s="25" t="inlineStr">
        <is>
          <t>2026-10-01</t>
        </is>
      </c>
      <c r="AE60" s="25" t="inlineStr">
        <is>
          <t>2027-03-15</t>
        </is>
      </c>
      <c r="AF60" s="25" t="inlineStr">
        <is>
          <t>No</t>
        </is>
      </c>
      <c r="AG60" s="28" t="inlineStr">
        <is>
          <t>https://esix.unicaen.fr</t>
        </is>
      </c>
      <c r="AH60" s="26" t="inlineStr">
        <is>
          <t>- Entrer en formation avec un niveau Bac+3 validé - Avoir un niveau B1 en Anglais - Avoir un niveau B2 en français Vous avez des problèmes de santé ou une situation de handicap qui peut impacter vos études ? Penser à ant</t>
        </is>
      </c>
      <c r="AI60" s="28" t="inlineStr">
        <is>
          <t>Open in EEF</t>
        </is>
      </c>
    </row>
    <row r="61" ht="22.35" customHeight="1" s="19">
      <c r="A61" s="25" t="n">
        <v>60</v>
      </c>
      <c r="B61" s="25" t="inlineStr">
        <is>
          <t>★★★★★</t>
        </is>
      </c>
      <c r="C61" s="25" t="inlineStr">
        <is>
          <t>5 – Core fit (embedded/biomedical/health tech)</t>
        </is>
      </c>
      <c r="D61" s="25" t="inlineStr">
        <is>
          <t>Embedded systems / Electronics</t>
        </is>
      </c>
      <c r="E61" s="26" t="inlineStr">
        <is>
          <t>diplôme d'ingénieur de 'Université Sorbonne Paris Nord spécialité instrumentation : Systèmes embarqués et génie médical</t>
        </is>
      </c>
      <c r="F61" s="26" t="inlineStr">
        <is>
          <t>Engineering diploma of 'Université Sorbonne Paris Nord – specialisation: Instrumentation : Embedded Systems &amp; Engineering Medical</t>
        </is>
      </c>
      <c r="G61" s="25" t="inlineStr">
        <is>
          <t>Diplôme d'ingénieur</t>
        </is>
      </c>
      <c r="H61" s="25" t="inlineStr">
        <is>
          <t>Institut Galilée</t>
        </is>
      </c>
      <c r="I61" s="25" t="inlineStr">
        <is>
          <t>Université Sorbonne Paris Nord</t>
        </is>
      </c>
      <c r="J61" s="25" t="inlineStr">
        <is>
          <t>Site de Villetaneuse</t>
        </is>
      </c>
      <c r="K61" s="25" t="n"/>
      <c r="L61" s="25" t="inlineStr">
        <is>
          <t>Public school / institute</t>
        </is>
      </c>
      <c r="M61" s="25" t="inlineStr">
        <is>
          <t>French</t>
        </is>
      </c>
      <c r="N61" s="25" t="inlineStr">
        <is>
          <t>General</t>
        </is>
      </c>
      <c r="O61" s="25" t="inlineStr">
        <is>
          <t>Bac +3 / Bac +4</t>
        </is>
      </c>
      <c r="P61" s="26" t="inlineStr">
        <is>
          <t>Eligible on level (4-yr BS ≈ Bac+4)</t>
        </is>
      </c>
      <c r="Q61" s="25" t="inlineStr">
        <is>
          <t>3/4</t>
        </is>
      </c>
      <c r="R61" s="25" t="n"/>
      <c r="S61" s="27" t="n">
        <v>628</v>
      </c>
      <c r="T61" s="27" t="n"/>
      <c r="U61" s="25" t="n">
        <v>2</v>
      </c>
      <c r="V61" s="27">
        <f>IF(S61="","",S61*U61)</f>
        <v/>
      </c>
      <c r="W61" s="26" t="inlineStr">
        <is>
          <t>Catalogue lists €628 (EU/national rate). Confirm whether non-EU surcharge applies.</t>
        </is>
      </c>
      <c r="X61" s="25" t="inlineStr">
        <is>
          <t>Medium</t>
        </is>
      </c>
      <c r="Y61" s="25" t="inlineStr">
        <is>
          <t>628</t>
        </is>
      </c>
      <c r="Z61" s="26" t="n"/>
      <c r="AA61" s="26" t="n"/>
      <c r="AB61" s="25" t="n"/>
      <c r="AC61" s="25" t="inlineStr">
        <is>
          <t>Open</t>
        </is>
      </c>
      <c r="AD61" s="25" t="inlineStr">
        <is>
          <t>2026-10-01</t>
        </is>
      </c>
      <c r="AE61" s="25" t="inlineStr">
        <is>
          <t>2027-03-15</t>
        </is>
      </c>
      <c r="AF61" s="25" t="inlineStr">
        <is>
          <t>No</t>
        </is>
      </c>
      <c r="AG61" s="28" t="inlineStr">
        <is>
          <t>http://www.sup-galilee.univ-paris13.fr/</t>
        </is>
      </c>
      <c r="AH61" s="26" t="n"/>
      <c r="AI61" s="28" t="inlineStr">
        <is>
          <t>Open in EEF</t>
        </is>
      </c>
    </row>
    <row r="62" ht="43.25" customHeight="1" s="19">
      <c r="A62" s="25" t="n">
        <v>61</v>
      </c>
      <c r="B62" s="25" t="inlineStr">
        <is>
          <t>★★★★★</t>
        </is>
      </c>
      <c r="C62" s="25" t="inlineStr">
        <is>
          <t>5 – Core fit (embedded/biomedical/health tech)</t>
        </is>
      </c>
      <c r="D62" s="25" t="inlineStr">
        <is>
          <t>Biomedical / Health tech</t>
        </is>
      </c>
      <c r="E62" s="26" t="inlineStr">
        <is>
          <t>spécialité Biomédical et Santé</t>
        </is>
      </c>
      <c r="F62" s="26" t="inlineStr">
        <is>
          <t>specialisation: Biomedical &amp; Health</t>
        </is>
      </c>
      <c r="G62" s="25" t="inlineStr">
        <is>
          <t>Diplôme d'ingénieur</t>
        </is>
      </c>
      <c r="H62" s="25" t="inlineStr">
        <is>
          <t>Ecole Publique d'Ingénieurs de la Santé et du Numérique - EPISEN</t>
        </is>
      </c>
      <c r="I62" s="25" t="inlineStr">
        <is>
          <t>Université Paris-Est Créteil Val-de-Marne</t>
        </is>
      </c>
      <c r="J62" s="25" t="inlineStr">
        <is>
          <t>Site de Créteil</t>
        </is>
      </c>
      <c r="K62" s="25" t="inlineStr">
        <is>
          <t>94000 Créteil</t>
        </is>
      </c>
      <c r="L62" s="25" t="inlineStr">
        <is>
          <t>Public university</t>
        </is>
      </c>
      <c r="M62" s="25" t="inlineStr">
        <is>
          <t>French</t>
        </is>
      </c>
      <c r="N62" s="25" t="inlineStr">
        <is>
          <t>General</t>
        </is>
      </c>
      <c r="O62" s="25" t="inlineStr">
        <is>
          <t>Bac +3 / Bac +4</t>
        </is>
      </c>
      <c r="P62" s="26" t="inlineStr">
        <is>
          <t>Eligible on level (4-yr BS ≈ Bac+4)</t>
        </is>
      </c>
      <c r="Q62" s="25" t="inlineStr">
        <is>
          <t>1/2</t>
        </is>
      </c>
      <c r="R62" s="25" t="inlineStr">
        <is>
          <t>12</t>
        </is>
      </c>
      <c r="S62" s="27" t="n">
        <v>628</v>
      </c>
      <c r="T62" s="27" t="n"/>
      <c r="U62" s="25" t="n">
        <v>2</v>
      </c>
      <c r="V62" s="27">
        <f>IF(S62="","",S62*U62)</f>
        <v/>
      </c>
      <c r="W62" s="26" t="inlineStr">
        <is>
          <t>Catalogue lists €628 (EU/national rate). Confirm whether non-EU surcharge applies.</t>
        </is>
      </c>
      <c r="X62" s="25" t="inlineStr">
        <is>
          <t>Medium</t>
        </is>
      </c>
      <c r="Y62" s="25" t="inlineStr">
        <is>
          <t>628</t>
        </is>
      </c>
      <c r="Z62" s="26" t="inlineStr">
        <is>
          <t>Montant frais inscription 2025-2026 = 628€, susceptibles d’augmenter en 2026-2027 … n biologie - Bon niveau de Français et d'anglais Montant frais inscription 2025-2026 = 628€, susceptibles d’augmenter en 2026-2027</t>
        </is>
      </c>
      <c r="AA62" s="26" t="n"/>
      <c r="AB62" s="25" t="n"/>
      <c r="AC62" s="25" t="inlineStr">
        <is>
          <t>Open</t>
        </is>
      </c>
      <c r="AD62" s="25" t="inlineStr">
        <is>
          <t>2026-10-01</t>
        </is>
      </c>
      <c r="AE62" s="25" t="inlineStr">
        <is>
          <t>2027-03-15</t>
        </is>
      </c>
      <c r="AF62" s="25" t="inlineStr">
        <is>
          <t>No</t>
        </is>
      </c>
      <c r="AG62" s="28" t="inlineStr">
        <is>
          <t>https://episen.u-pec.fr/</t>
        </is>
      </c>
      <c r="AH62" s="26" t="inlineStr">
        <is>
          <t>Être issu d'une filière fournissant des compétences de base en mathématiques, en informatique, en mécanique OU en biologie - Bon niveau de Français et d'anglais</t>
        </is>
      </c>
      <c r="AI62" s="28" t="inlineStr">
        <is>
          <t>Open in EEF</t>
        </is>
      </c>
    </row>
    <row r="63" ht="43.25" customHeight="1" s="19">
      <c r="A63" s="25" t="n">
        <v>62</v>
      </c>
      <c r="B63" s="25" t="inlineStr">
        <is>
          <t>★★★★★</t>
        </is>
      </c>
      <c r="C63" s="25" t="inlineStr">
        <is>
          <t>5 – Core fit (embedded/biomedical/health tech)</t>
        </is>
      </c>
      <c r="D63" s="25" t="inlineStr">
        <is>
          <t>Biomedical / Health tech</t>
        </is>
      </c>
      <c r="E63" s="26" t="inlineStr">
        <is>
          <t>spécialité Ingénierie et Technologies pour la santé</t>
        </is>
      </c>
      <c r="F63" s="26" t="inlineStr">
        <is>
          <t>specialisation: Engineering &amp; Technologies for the Health</t>
        </is>
      </c>
      <c r="G63" s="25" t="inlineStr">
        <is>
          <t>Diplôme d'ingénieur</t>
        </is>
      </c>
      <c r="H63" s="25" t="inlineStr">
        <is>
          <t>Ecole Publique d'Ingénieurs de la Santé et du Numérique - EPISEN</t>
        </is>
      </c>
      <c r="I63" s="25" t="inlineStr">
        <is>
          <t>Université Paris-Est Créteil Val-de-Marne</t>
        </is>
      </c>
      <c r="J63" s="25" t="inlineStr">
        <is>
          <t>Site de Créteil</t>
        </is>
      </c>
      <c r="K63" s="25" t="inlineStr">
        <is>
          <t>94000 Créteil</t>
        </is>
      </c>
      <c r="L63" s="25" t="inlineStr">
        <is>
          <t>Public university</t>
        </is>
      </c>
      <c r="M63" s="25" t="inlineStr">
        <is>
          <t>French</t>
        </is>
      </c>
      <c r="N63" s="25" t="inlineStr">
        <is>
          <t>General</t>
        </is>
      </c>
      <c r="O63" s="25" t="inlineStr">
        <is>
          <t>Bac +3 / Bac +4</t>
        </is>
      </c>
      <c r="P63" s="26" t="inlineStr">
        <is>
          <t>Eligible on level (4-yr BS ≈ Bac+4)</t>
        </is>
      </c>
      <c r="Q63" s="25" t="inlineStr">
        <is>
          <t>1/2</t>
        </is>
      </c>
      <c r="R63" s="25" t="inlineStr">
        <is>
          <t>12</t>
        </is>
      </c>
      <c r="S63" s="27" t="n">
        <v>628</v>
      </c>
      <c r="T63" s="27" t="n"/>
      <c r="U63" s="25" t="n">
        <v>2</v>
      </c>
      <c r="V63" s="27">
        <f>IF(S63="","",S63*U63)</f>
        <v/>
      </c>
      <c r="W63" s="26" t="inlineStr">
        <is>
          <t>Catalogue lists €628 (EU/national rate). Confirm whether non-EU surcharge applies.</t>
        </is>
      </c>
      <c r="X63" s="25" t="inlineStr">
        <is>
          <t>Medium</t>
        </is>
      </c>
      <c r="Y63" s="25" t="inlineStr">
        <is>
          <t>628</t>
        </is>
      </c>
      <c r="Z63" s="26" t="inlineStr">
        <is>
          <t>Montant frais inscription 2025-2026 = 628€, susceptibles d’augmenter en 2026-2027 … Bon niveau d'anglais et de français Montant frais inscription 2025-2026 = 628€, susceptibles d’augmenter en 2026-2027</t>
        </is>
      </c>
      <c r="AA63" s="26" t="n"/>
      <c r="AB63" s="25" t="n"/>
      <c r="AC63" s="25" t="inlineStr">
        <is>
          <t>Open</t>
        </is>
      </c>
      <c r="AD63" s="25" t="inlineStr">
        <is>
          <t>2026-10-01</t>
        </is>
      </c>
      <c r="AE63" s="25" t="inlineStr">
        <is>
          <t>2027-03-15</t>
        </is>
      </c>
      <c r="AF63" s="25" t="inlineStr">
        <is>
          <t>No</t>
        </is>
      </c>
      <c r="AG63" s="28" t="inlineStr">
        <is>
          <t>https://episen.u-pec.fr/</t>
        </is>
      </c>
      <c r="AH63" s="26" t="inlineStr">
        <is>
          <t>1ère année : Informatique et Mathématiques niveau Classe Préparatoire, L2 info ou science, L3 info ou science, BUT ou DUT Info, RT, GEII. Bon niveau d'anglais et de français 2ème année : Informatique et Mathématiques niv</t>
        </is>
      </c>
      <c r="AI63" s="28" t="inlineStr">
        <is>
          <t>Open in EEF</t>
        </is>
      </c>
    </row>
    <row r="64" ht="32.8" customHeight="1" s="19">
      <c r="A64" s="25" t="n">
        <v>63</v>
      </c>
      <c r="B64" s="25" t="inlineStr">
        <is>
          <t>★★★★★</t>
        </is>
      </c>
      <c r="C64" s="25" t="inlineStr">
        <is>
          <t>5 – Core fit (embedded/biomedical/health tech)</t>
        </is>
      </c>
      <c r="D64" s="25" t="inlineStr">
        <is>
          <t>IoT / Telecom / Networks</t>
        </is>
      </c>
      <c r="E64" s="26" t="inlineStr">
        <is>
          <t>diplôme d'ingénieur de l'Ecole polytechnique universitaire de Lille, Université Lille I, sciences et technologies spécialité Internet des Objets et Cybersécurité</t>
        </is>
      </c>
      <c r="F64" s="26" t="inlineStr">
        <is>
          <t>Engineering diploma of the University Polytechnic School of Lille, University Lille I, Science &amp; Technology – specialisation: Internet of Things &amp; Cybersecurity</t>
        </is>
      </c>
      <c r="G64" s="25" t="inlineStr">
        <is>
          <t>Diplôme d'ingénieur</t>
        </is>
      </c>
      <c r="H64" s="25" t="inlineStr">
        <is>
          <t>Polytech Lille</t>
        </is>
      </c>
      <c r="I64" s="25" t="inlineStr">
        <is>
          <t>Groupement Polytech</t>
        </is>
      </c>
      <c r="J64" s="25" t="inlineStr">
        <is>
          <t>Site de Villeneuve-d'Ascq</t>
        </is>
      </c>
      <c r="K64" s="25" t="n"/>
      <c r="L64" s="25" t="inlineStr">
        <is>
          <t>Public school / institute</t>
        </is>
      </c>
      <c r="M64" s="25" t="inlineStr">
        <is>
          <t>French</t>
        </is>
      </c>
      <c r="N64" s="25" t="inlineStr">
        <is>
          <t>General</t>
        </is>
      </c>
      <c r="O64" s="25" t="inlineStr">
        <is>
          <t>Bac +3 / Bac +4</t>
        </is>
      </c>
      <c r="P64" s="26" t="inlineStr">
        <is>
          <t>Eligible on level (4-yr BS ≈ Bac+4)</t>
        </is>
      </c>
      <c r="Q64" s="25" t="inlineStr">
        <is>
          <t>3/4</t>
        </is>
      </c>
      <c r="R64" s="25" t="inlineStr">
        <is>
          <t>12</t>
        </is>
      </c>
      <c r="S64" s="27" t="n">
        <v>3950</v>
      </c>
      <c r="T64" s="27" t="n">
        <v>628</v>
      </c>
      <c r="U64" s="25" t="n">
        <v>2</v>
      </c>
      <c r="V64" s="27">
        <f>IF(S64="","",S64*U64)</f>
        <v/>
      </c>
      <c r="W64" s="26" t="inlineStr">
        <is>
          <t>Not in catalogue. Public engineering diploma: national rate ~€601-628; many schools charge non-EU up to ~€3,950. Verify.</t>
        </is>
      </c>
      <c r="X64" s="25" t="inlineStr">
        <is>
          <t>Low</t>
        </is>
      </c>
      <c r="Y64" s="25" t="n"/>
      <c r="Z64" s="26" t="n"/>
      <c r="AA64" s="26" t="n"/>
      <c r="AB64" s="25" t="n"/>
      <c r="AC64" s="25" t="inlineStr">
        <is>
          <t>Open</t>
        </is>
      </c>
      <c r="AD64" s="25" t="inlineStr">
        <is>
          <t>2026-10-01</t>
        </is>
      </c>
      <c r="AE64" s="25" t="inlineStr">
        <is>
          <t>2027-03-15</t>
        </is>
      </c>
      <c r="AF64" s="25" t="inlineStr">
        <is>
          <t>Yes</t>
        </is>
      </c>
      <c r="AG64" s="28" t="inlineStr">
        <is>
          <t>https://www.polytech-lille.fr/formation/ingenieur-internet-des-objets-cybersecurite/</t>
        </is>
      </c>
      <c r="AH64" s="26" t="inlineStr">
        <is>
          <t>Les systèmes embarqués connectés sont au cœur de la spécialité « internet des objets et cybersécurité ». Ces systèmes sont présents partout, pour l’agriculture, pour la défense nationale, dans le domaine de la santé, en</t>
        </is>
      </c>
      <c r="AI64" s="28" t="inlineStr">
        <is>
          <t>Open in EEF</t>
        </is>
      </c>
    </row>
    <row r="65" ht="32.8" customHeight="1" s="19">
      <c r="A65" s="25" t="n">
        <v>64</v>
      </c>
      <c r="B65" s="25" t="inlineStr">
        <is>
          <t>★★★★★</t>
        </is>
      </c>
      <c r="C65" s="25" t="inlineStr">
        <is>
          <t>5 – Core fit (embedded/biomedical/health tech)</t>
        </is>
      </c>
      <c r="D65" s="25" t="inlineStr">
        <is>
          <t>Biomedical / Health tech</t>
        </is>
      </c>
      <c r="E65" s="26" t="inlineStr">
        <is>
          <t>diplôme d'ingénieur de l'École polytechnique universitaire de Marseille de l'Université d'Aix-Marseille spécialité génie biomédical</t>
        </is>
      </c>
      <c r="F65" s="26" t="inlineStr">
        <is>
          <t>Engineering diploma of the University Polytechnic School of Marseille of University d'Aix-Marseille – specialisation: Biomedical Engineering</t>
        </is>
      </c>
      <c r="G65" s="25" t="inlineStr">
        <is>
          <t>Diplôme d'ingénieur</t>
        </is>
      </c>
      <c r="H65" s="25" t="inlineStr">
        <is>
          <t>Polytech Marseille</t>
        </is>
      </c>
      <c r="I65" s="25" t="inlineStr">
        <is>
          <t>Groupement Polytech</t>
        </is>
      </c>
      <c r="J65" s="25" t="inlineStr">
        <is>
          <t>Site de Luminy</t>
        </is>
      </c>
      <c r="K65" s="25" t="n"/>
      <c r="L65" s="25" t="inlineStr">
        <is>
          <t>Public school / institute</t>
        </is>
      </c>
      <c r="M65" s="25" t="inlineStr">
        <is>
          <t>French</t>
        </is>
      </c>
      <c r="N65" s="25" t="inlineStr">
        <is>
          <t>General</t>
        </is>
      </c>
      <c r="O65" s="25" t="inlineStr">
        <is>
          <t>Bac +3 / Bac +4</t>
        </is>
      </c>
      <c r="P65" s="26" t="inlineStr">
        <is>
          <t>Eligible on level (4-yr BS ≈ Bac+4)</t>
        </is>
      </c>
      <c r="Q65" s="25" t="inlineStr">
        <is>
          <t>3/4</t>
        </is>
      </c>
      <c r="R65" s="25" t="n"/>
      <c r="S65" s="27" t="n">
        <v>3950</v>
      </c>
      <c r="T65" s="27" t="n">
        <v>628</v>
      </c>
      <c r="U65" s="25" t="n">
        <v>2</v>
      </c>
      <c r="V65" s="27">
        <f>IF(S65="","",S65*U65)</f>
        <v/>
      </c>
      <c r="W65" s="26" t="inlineStr">
        <is>
          <t>Not in catalogue. Public engineering diploma: national rate ~€601-628; many schools charge non-EU up to ~€3,950. Verify.</t>
        </is>
      </c>
      <c r="X65" s="25" t="inlineStr">
        <is>
          <t>Low</t>
        </is>
      </c>
      <c r="Y65" s="25" t="n"/>
      <c r="Z65" s="26" t="n"/>
      <c r="AA65" s="26" t="inlineStr">
        <is>
          <t>AMU 2026-27: limited exemptions (≈1,800 of 5,500 students) – priority to continuing students, conflict zones, excellence scholarships. New master entrants usually pay €3,950.</t>
        </is>
      </c>
      <c r="AB65" s="28" t="inlineStr">
        <is>
          <t>https://www.univ-amu.fr/fr/actualites/aix-marseille-universite-mobilise-pleinement-capacite-dexoneration-continuer-accueillir</t>
        </is>
      </c>
      <c r="AC65" s="25" t="inlineStr">
        <is>
          <t>Open</t>
        </is>
      </c>
      <c r="AD65" s="25" t="inlineStr">
        <is>
          <t>2026-10-01</t>
        </is>
      </c>
      <c r="AE65" s="25" t="inlineStr">
        <is>
          <t>2027-03-15</t>
        </is>
      </c>
      <c r="AF65" s="25" t="inlineStr">
        <is>
          <t>Yes</t>
        </is>
      </c>
      <c r="AG65" s="28" t="inlineStr">
        <is>
          <t>https://polytech.univ-amu.fr/fr/formations/cycle-ingenieur/genie-biomedical</t>
        </is>
      </c>
      <c r="AH65" s="26" t="inlineStr">
        <is>
          <t>Les informations qui suivent, concernent la candidature en cycle ingénieur (diplôme niveau Bac+5) du réseau Polytech. Les candidatures sont possibles : - en 3ème année (1ère année cycle ingénieur) avec un niveau Bac+2/Ba</t>
        </is>
      </c>
      <c r="AI65" s="28" t="inlineStr">
        <is>
          <t>Open in EEF</t>
        </is>
      </c>
    </row>
    <row r="66" ht="32.8" customHeight="1" s="19">
      <c r="A66" s="25" t="n">
        <v>65</v>
      </c>
      <c r="B66" s="25" t="inlineStr">
        <is>
          <t>★★★★★</t>
        </is>
      </c>
      <c r="C66" s="25" t="inlineStr">
        <is>
          <t>5 – Core fit (embedded/biomedical/health tech)</t>
        </is>
      </c>
      <c r="D66" s="25" t="inlineStr">
        <is>
          <t>Embedded systems / Electronics</t>
        </is>
      </c>
      <c r="E66" s="26" t="inlineStr">
        <is>
          <t>diplôme d'ingénieur de l'Ecole polytechnique universitaire de Savoie de l'université de Chambéry spécialité Systèmes embarqués - Automatique (SEA)</t>
        </is>
      </c>
      <c r="F66" s="26" t="inlineStr">
        <is>
          <t>Engineering diploma of the University Polytechnic School of Savoie of University of Chambéry – specialisation: Embedded Systems - Automation (SEA)</t>
        </is>
      </c>
      <c r="G66" s="25" t="inlineStr">
        <is>
          <t>Diplôme d'ingénieur</t>
        </is>
      </c>
      <c r="H66" s="25" t="inlineStr">
        <is>
          <t>Polytech Annecy-Chambéry</t>
        </is>
      </c>
      <c r="I66" s="25" t="inlineStr">
        <is>
          <t>Groupement Polytech</t>
        </is>
      </c>
      <c r="J66" s="25" t="inlineStr">
        <is>
          <t>Site d'Annecy</t>
        </is>
      </c>
      <c r="K66" s="25" t="n"/>
      <c r="L66" s="25" t="inlineStr">
        <is>
          <t>Public school / institute</t>
        </is>
      </c>
      <c r="M66" s="25" t="inlineStr">
        <is>
          <t>French</t>
        </is>
      </c>
      <c r="N66" s="25" t="inlineStr">
        <is>
          <t>General</t>
        </is>
      </c>
      <c r="O66" s="25" t="inlineStr">
        <is>
          <t>Bac +3 / Bac +4</t>
        </is>
      </c>
      <c r="P66" s="26" t="inlineStr">
        <is>
          <t>Eligible on level (4-yr BS ≈ Bac+4)</t>
        </is>
      </c>
      <c r="Q66" s="25" t="inlineStr">
        <is>
          <t>3/4</t>
        </is>
      </c>
      <c r="R66" s="25" t="inlineStr">
        <is>
          <t>12</t>
        </is>
      </c>
      <c r="S66" s="27" t="n">
        <v>3950</v>
      </c>
      <c r="T66" s="27" t="n">
        <v>628</v>
      </c>
      <c r="U66" s="25" t="n">
        <v>2</v>
      </c>
      <c r="V66" s="27">
        <f>IF(S66="","",S66*U66)</f>
        <v/>
      </c>
      <c r="W66" s="26" t="inlineStr">
        <is>
          <t>Not in catalogue. Public engineering diploma: national rate ~€601-628; many schools charge non-EU up to ~€3,950. Verify.</t>
        </is>
      </c>
      <c r="X66" s="25" t="inlineStr">
        <is>
          <t>Low</t>
        </is>
      </c>
      <c r="Y66" s="25" t="n"/>
      <c r="Z66" s="26" t="n"/>
      <c r="AA66" s="26" t="n"/>
      <c r="AB66" s="25" t="n"/>
      <c r="AC66" s="25" t="inlineStr">
        <is>
          <t>Open</t>
        </is>
      </c>
      <c r="AD66" s="25" t="inlineStr">
        <is>
          <t>2026-10-01</t>
        </is>
      </c>
      <c r="AE66" s="25" t="inlineStr">
        <is>
          <t>2027-03-15</t>
        </is>
      </c>
      <c r="AF66" s="25" t="inlineStr">
        <is>
          <t>Yes</t>
        </is>
      </c>
      <c r="AG66" s="28" t="inlineStr">
        <is>
          <t>http://www.polytech.univ-savoie.fr</t>
        </is>
      </c>
      <c r="AH66" s="26" t="inlineStr">
        <is>
          <t>Les informations qui suivent, concernent la candidature en cycle ingénieur (diplôme niveau Bac+5) du réseau Polytech. Les candidatures sont possibles : - en 3ème année (1ère année cycle ingénieur) avec un niveau Bac+2/Ba</t>
        </is>
      </c>
      <c r="AI66" s="28" t="inlineStr">
        <is>
          <t>Open in EEF</t>
        </is>
      </c>
    </row>
    <row r="67" ht="22.35" customHeight="1" s="19">
      <c r="A67" s="25" t="n">
        <v>66</v>
      </c>
      <c r="B67" s="25" t="inlineStr">
        <is>
          <t>★★★★★</t>
        </is>
      </c>
      <c r="C67" s="25" t="inlineStr">
        <is>
          <t>5 – Core fit (embedded/biomedical/health tech)</t>
        </is>
      </c>
      <c r="D67" s="25" t="inlineStr">
        <is>
          <t>Embedded systems / Electronics</t>
        </is>
      </c>
      <c r="E67" s="26" t="inlineStr">
        <is>
          <t>diplôme d'ingénieur de l'Ecole Polytech Paris-Saclay parcours Electronique et Informatique pour l'Embarqué</t>
        </is>
      </c>
      <c r="F67" s="26" t="inlineStr">
        <is>
          <t>Engineering diploma of School Polytech Paris-Saclay – track: Electronics &amp; Computer Science for l'Embarqué</t>
        </is>
      </c>
      <c r="G67" s="25" t="inlineStr">
        <is>
          <t>Diplôme d'ingénieur</t>
        </is>
      </c>
      <c r="H67" s="25" t="inlineStr">
        <is>
          <t>Polytech Paris-Saclay</t>
        </is>
      </c>
      <c r="I67" s="25" t="inlineStr">
        <is>
          <t>Groupement Polytech</t>
        </is>
      </c>
      <c r="J67" s="25" t="inlineStr">
        <is>
          <t>Site d'Orsay</t>
        </is>
      </c>
      <c r="K67" s="25" t="inlineStr">
        <is>
          <t>91400 Orsay</t>
        </is>
      </c>
      <c r="L67" s="25" t="inlineStr">
        <is>
          <t>Public school / institute</t>
        </is>
      </c>
      <c r="M67" s="25" t="inlineStr">
        <is>
          <t>French</t>
        </is>
      </c>
      <c r="N67" s="25" t="inlineStr">
        <is>
          <t>General</t>
        </is>
      </c>
      <c r="O67" s="25" t="inlineStr">
        <is>
          <t>Bac +3 / Bac +4</t>
        </is>
      </c>
      <c r="P67" s="26" t="inlineStr">
        <is>
          <t>Eligible on level (4-yr BS ≈ Bac+4)</t>
        </is>
      </c>
      <c r="Q67" s="25" t="inlineStr">
        <is>
          <t>3/4</t>
        </is>
      </c>
      <c r="R67" s="25" t="inlineStr">
        <is>
          <t>12</t>
        </is>
      </c>
      <c r="S67" s="27" t="n">
        <v>3950</v>
      </c>
      <c r="T67" s="27" t="n">
        <v>628</v>
      </c>
      <c r="U67" s="25" t="n">
        <v>2</v>
      </c>
      <c r="V67" s="27">
        <f>IF(S67="","",S67*U67)</f>
        <v/>
      </c>
      <c r="W67" s="26" t="inlineStr">
        <is>
          <t>Not in catalogue. Public engineering diploma: national rate ~€601-628; many schools charge non-EU up to ~€3,950. Verify.</t>
        </is>
      </c>
      <c r="X67" s="25" t="inlineStr">
        <is>
          <t>Low</t>
        </is>
      </c>
      <c r="Y67" s="25" t="n"/>
      <c r="Z67" s="26" t="n"/>
      <c r="AA67" s="26" t="n"/>
      <c r="AB67" s="25" t="n"/>
      <c r="AC67" s="25" t="inlineStr">
        <is>
          <t>Open</t>
        </is>
      </c>
      <c r="AD67" s="25" t="inlineStr">
        <is>
          <t>2026-10-01</t>
        </is>
      </c>
      <c r="AE67" s="25" t="inlineStr">
        <is>
          <t>2027-03-15</t>
        </is>
      </c>
      <c r="AF67" s="25" t="inlineStr">
        <is>
          <t>Yes</t>
        </is>
      </c>
      <c r="AG67" s="28" t="inlineStr">
        <is>
          <t>https://www.polytech.universite-paris-saclay.fr/formation/electronique-et-informatique-pour-lembarque</t>
        </is>
      </c>
      <c r="AH67" s="26" t="n"/>
      <c r="AI67" s="28" t="inlineStr">
        <is>
          <t>Open in EEF</t>
        </is>
      </c>
    </row>
    <row r="68" ht="22.35" customHeight="1" s="19">
      <c r="A68" s="25" t="n">
        <v>67</v>
      </c>
      <c r="B68" s="25" t="inlineStr">
        <is>
          <t>★★★★★</t>
        </is>
      </c>
      <c r="C68" s="25" t="inlineStr">
        <is>
          <t>5 – Core fit (embedded/biomedical/health tech)</t>
        </is>
      </c>
      <c r="D68" s="25" t="inlineStr">
        <is>
          <t>Biomedical / Health tech</t>
        </is>
      </c>
      <c r="E68" s="26" t="inlineStr">
        <is>
          <t>diplôme d'ingénieur de l'Institut supérieur d'ingénieurs de Franche Comté de l'Université de Besançon spécialité génie biomédical</t>
        </is>
      </c>
      <c r="F68" s="26" t="inlineStr">
        <is>
          <t>Engineering diploma of Institute Higher of Engineers of Franche Comté of University of Besançon – specialisation: Biomedical Engineering</t>
        </is>
      </c>
      <c r="G68" s="25" t="inlineStr">
        <is>
          <t>Diplôme d'ingénieur</t>
        </is>
      </c>
      <c r="H68" s="25" t="inlineStr">
        <is>
          <t>Institut Supérieur d'Ingénieurs de Franche-Comté</t>
        </is>
      </c>
      <c r="I68" s="25" t="inlineStr">
        <is>
          <t>Université Marie et Louis Pasteur</t>
        </is>
      </c>
      <c r="J68" s="25" t="inlineStr">
        <is>
          <t>Site de Besançon</t>
        </is>
      </c>
      <c r="K68" s="25" t="n"/>
      <c r="L68" s="25" t="inlineStr">
        <is>
          <t>Public school / institute</t>
        </is>
      </c>
      <c r="M68" s="25" t="inlineStr">
        <is>
          <t>French</t>
        </is>
      </c>
      <c r="N68" s="25" t="inlineStr">
        <is>
          <t>General</t>
        </is>
      </c>
      <c r="O68" s="25" t="inlineStr">
        <is>
          <t>Bac +3 / Bac +4</t>
        </is>
      </c>
      <c r="P68" s="26" t="inlineStr">
        <is>
          <t>Eligible on level (4-yr BS ≈ Bac+4)</t>
        </is>
      </c>
      <c r="Q68" s="25" t="inlineStr">
        <is>
          <t>1/2</t>
        </is>
      </c>
      <c r="R68" s="25" t="n"/>
      <c r="S68" s="27" t="n">
        <v>3950</v>
      </c>
      <c r="T68" s="27" t="n">
        <v>628</v>
      </c>
      <c r="U68" s="25" t="n">
        <v>2</v>
      </c>
      <c r="V68" s="27">
        <f>IF(S68="","",S68*U68)</f>
        <v/>
      </c>
      <c r="W68" s="26" t="inlineStr">
        <is>
          <t>Not in catalogue. Public engineering diploma: national rate ~€601-628; many schools charge non-EU up to ~€3,950. Verify.</t>
        </is>
      </c>
      <c r="X68" s="25" t="inlineStr">
        <is>
          <t>Low</t>
        </is>
      </c>
      <c r="Y68" s="25" t="n"/>
      <c r="Z68" s="26" t="n"/>
      <c r="AA68" s="26" t="inlineStr">
        <is>
          <t>UMLP: individual exemption requests assessed on personal resources.</t>
        </is>
      </c>
      <c r="AB68" s="28" t="inlineStr">
        <is>
          <t>https://www.umlp.fr/sites/default/files/2026-07-02-page-droits-differencies-vf.pdf</t>
        </is>
      </c>
      <c r="AC68" s="25" t="inlineStr">
        <is>
          <t>Open</t>
        </is>
      </c>
      <c r="AD68" s="25" t="inlineStr">
        <is>
          <t>2026-10-01</t>
        </is>
      </c>
      <c r="AE68" s="25" t="inlineStr">
        <is>
          <t>2027-03-15</t>
        </is>
      </c>
      <c r="AF68" s="25" t="inlineStr">
        <is>
          <t>No</t>
        </is>
      </c>
      <c r="AG68" s="28" t="inlineStr">
        <is>
          <t>http://isifc.univ-fcomte.fr</t>
        </is>
      </c>
      <c r="AH68" s="26" t="inlineStr">
        <is>
          <t>Niveau B2 en français Niveau B1 en anglais Connaissances de bases solides en Mathématiques</t>
        </is>
      </c>
      <c r="AI68" s="28" t="inlineStr">
        <is>
          <t>Open in EEF</t>
        </is>
      </c>
    </row>
    <row r="69" ht="32.8" customHeight="1" s="19">
      <c r="A69" s="25" t="n">
        <v>68</v>
      </c>
      <c r="B69" s="25" t="inlineStr">
        <is>
          <t>★★★★★</t>
        </is>
      </c>
      <c r="C69" s="25" t="inlineStr">
        <is>
          <t>5 – Core fit (embedded/biomedical/health tech)</t>
        </is>
      </c>
      <c r="D69" s="25" t="inlineStr">
        <is>
          <t>Embedded systems / Electronics</t>
        </is>
      </c>
      <c r="E69" s="26" t="inlineStr">
        <is>
          <t>Diplôme d'ingénieur de l'école polytechnique universitaire de l'université d'Orléans, spécialité Génie physique et système embarqués</t>
        </is>
      </c>
      <c r="F69" s="26" t="inlineStr">
        <is>
          <t>Engineering diploma of the University Polytechnic School of University d'Orléans, – specialisation: Engineering Physics &amp; Embedded Systems</t>
        </is>
      </c>
      <c r="G69" s="25" t="inlineStr">
        <is>
          <t>Diplôme d'ingénieur</t>
        </is>
      </c>
      <c r="H69" s="25" t="inlineStr">
        <is>
          <t>Polytech Orléans</t>
        </is>
      </c>
      <c r="I69" s="25" t="inlineStr">
        <is>
          <t>Groupement Polytech</t>
        </is>
      </c>
      <c r="J69" s="25" t="inlineStr">
        <is>
          <t>Site d'Orléans</t>
        </is>
      </c>
      <c r="K69" s="25" t="inlineStr">
        <is>
          <t>45100 Orléans</t>
        </is>
      </c>
      <c r="L69" s="25" t="inlineStr">
        <is>
          <t>Public school / institute</t>
        </is>
      </c>
      <c r="M69" s="25" t="inlineStr">
        <is>
          <t>French</t>
        </is>
      </c>
      <c r="N69" s="25" t="inlineStr">
        <is>
          <t>General</t>
        </is>
      </c>
      <c r="O69" s="25" t="inlineStr">
        <is>
          <t>Bac +3 / Bac +4</t>
        </is>
      </c>
      <c r="P69" s="26" t="inlineStr">
        <is>
          <t>Eligible on level (4-yr BS ≈ Bac+4)</t>
        </is>
      </c>
      <c r="Q69" s="25" t="inlineStr">
        <is>
          <t>3/4</t>
        </is>
      </c>
      <c r="R69" s="25" t="inlineStr">
        <is>
          <t>12</t>
        </is>
      </c>
      <c r="S69" s="27" t="n">
        <v>635</v>
      </c>
      <c r="T69" s="27" t="n"/>
      <c r="U69" s="25" t="n">
        <v>2</v>
      </c>
      <c r="V69" s="27">
        <f>IF(S69="","",S69*U69)</f>
        <v/>
      </c>
      <c r="W69" s="26" t="inlineStr">
        <is>
          <t>Catalogue lists €635 (EU/national rate). Confirm whether non-EU surcharge applies.</t>
        </is>
      </c>
      <c r="X69" s="25" t="inlineStr">
        <is>
          <t>Medium</t>
        </is>
      </c>
      <c r="Y69" s="25" t="inlineStr">
        <is>
          <t>635</t>
        </is>
      </c>
      <c r="Z69" s="26" t="n"/>
      <c r="AA69" s="26" t="n"/>
      <c r="AB69" s="25" t="n"/>
      <c r="AC69" s="25" t="inlineStr">
        <is>
          <t>Open</t>
        </is>
      </c>
      <c r="AD69" s="25" t="inlineStr">
        <is>
          <t>2026-10-01</t>
        </is>
      </c>
      <c r="AE69" s="25" t="inlineStr">
        <is>
          <t>2027-03-15</t>
        </is>
      </c>
      <c r="AF69" s="25" t="inlineStr">
        <is>
          <t>Yes</t>
        </is>
      </c>
      <c r="AG69" s="28" t="inlineStr">
        <is>
          <t>http://www.polytech-orleans.fr</t>
        </is>
      </c>
      <c r="AH69" s="26" t="inlineStr">
        <is>
          <t>Les informations qui suivent, concernent la candidature en cycle ingénieur (diplôme niveau Bac+5) du réseau Polytech. Les candidatures sont possibles : - en 3ème année (1ère année cycle ingénieur) avec un niveau Bac+2/Ba</t>
        </is>
      </c>
      <c r="AI69" s="28" t="inlineStr">
        <is>
          <t>Open in EEF</t>
        </is>
      </c>
    </row>
    <row r="70" ht="32.8" customHeight="1" s="19">
      <c r="A70" s="25" t="n">
        <v>69</v>
      </c>
      <c r="B70" s="25" t="inlineStr">
        <is>
          <t>★★★★★</t>
        </is>
      </c>
      <c r="C70" s="25" t="inlineStr">
        <is>
          <t>5 – Core fit (embedded/biomedical/health tech)</t>
        </is>
      </c>
      <c r="D70" s="25" t="inlineStr">
        <is>
          <t>Embedded systems / Electronics</t>
        </is>
      </c>
      <c r="E70" s="26" t="inlineStr">
        <is>
          <t>diplôme d'ingénieur de l'Ecole nationale supérieure d'ingénieurs de Caen spécialité génie physique et systèmes embarqués</t>
        </is>
      </c>
      <c r="F70" s="26" t="inlineStr">
        <is>
          <t>Engineering diploma of the National Graduate School of Engineers of Caen – specialisation: Engineering Physics &amp; Embedded Systems</t>
        </is>
      </c>
      <c r="G70" s="25" t="inlineStr">
        <is>
          <t>Diplôme d'ingénieur</t>
        </is>
      </c>
      <c r="H70" s="25" t="inlineStr">
        <is>
          <t>Ecole nationale supérieure d'ingénieurs de Caen et centre de recherche</t>
        </is>
      </c>
      <c r="I70" s="25" t="n"/>
      <c r="J70" s="25" t="inlineStr">
        <is>
          <t>Site de Caen</t>
        </is>
      </c>
      <c r="K70" s="25" t="n"/>
      <c r="L70" s="25" t="inlineStr">
        <is>
          <t>Public school / institute</t>
        </is>
      </c>
      <c r="M70" s="25" t="inlineStr">
        <is>
          <t>French</t>
        </is>
      </c>
      <c r="N70" s="25" t="inlineStr">
        <is>
          <t>General</t>
        </is>
      </c>
      <c r="O70" s="25" t="inlineStr">
        <is>
          <t>Bac +3 / Bac +4</t>
        </is>
      </c>
      <c r="P70" s="26" t="inlineStr">
        <is>
          <t>Eligible on level (4-yr BS ≈ Bac+4)</t>
        </is>
      </c>
      <c r="Q70" s="25" t="inlineStr">
        <is>
          <t>1/2</t>
        </is>
      </c>
      <c r="R70" s="25" t="n"/>
      <c r="S70" s="27" t="n">
        <v>3879</v>
      </c>
      <c r="T70" s="27" t="n"/>
      <c r="U70" s="25" t="n">
        <v>2</v>
      </c>
      <c r="V70" s="27">
        <f>IF(S70="","",S70*U70)</f>
        <v/>
      </c>
      <c r="W70" s="26" t="inlineStr">
        <is>
          <t>Catalogue fee €3,879/yr (entered by institution).</t>
        </is>
      </c>
      <c r="X70" s="25" t="inlineStr">
        <is>
          <t>High</t>
        </is>
      </c>
      <c r="Y70" s="25" t="inlineStr">
        <is>
          <t>3941/3879</t>
        </is>
      </c>
      <c r="Z70" s="26" t="n"/>
      <c r="AA70" s="26" t="n"/>
      <c r="AB70" s="25" t="n"/>
      <c r="AC70" s="25" t="inlineStr">
        <is>
          <t>Open</t>
        </is>
      </c>
      <c r="AD70" s="25" t="inlineStr">
        <is>
          <t>2026-10-01</t>
        </is>
      </c>
      <c r="AE70" s="25" t="inlineStr">
        <is>
          <t>2027-03-15</t>
        </is>
      </c>
      <c r="AF70" s="25" t="inlineStr">
        <is>
          <t>Yes</t>
        </is>
      </c>
      <c r="AG70" s="28" t="inlineStr">
        <is>
          <t>https://www.ensicaen.fr/</t>
        </is>
      </c>
      <c r="AH70" s="26" t="inlineStr">
        <is>
          <t>Le candidat doit obligatoirement suivre la procédure d'admission sur dossier de l'ENSICAEN dont le détail se trouve sur le site internet de l'établissement. Dates clés : Téléchargement et ouverture du dépôt des dossiers</t>
        </is>
      </c>
      <c r="AI70" s="28" t="inlineStr">
        <is>
          <t>Open in EEF</t>
        </is>
      </c>
    </row>
    <row r="71" ht="32.8" customHeight="1" s="19">
      <c r="A71" s="25" t="n">
        <v>70</v>
      </c>
      <c r="B71" s="25" t="inlineStr">
        <is>
          <t>★★★★★</t>
        </is>
      </c>
      <c r="C71" s="25" t="inlineStr">
        <is>
          <t>5 – Core fit (embedded/biomedical/health tech)</t>
        </is>
      </c>
      <c r="D71" s="25" t="inlineStr">
        <is>
          <t>Embedded systems / Electronics</t>
        </is>
      </c>
      <c r="E71" s="26" t="inlineStr">
        <is>
          <t>diplôme d'ingénieur de l'Ecole Polytechnique d'Université Côte d'Azur parcours électronique et systèmes embarqués</t>
        </is>
      </c>
      <c r="F71" s="26" t="inlineStr">
        <is>
          <t>Engineering diploma of School Polytechnique of University Côte d'Azur – track: Electronics &amp; Embedded Systems</t>
        </is>
      </c>
      <c r="G71" s="25" t="inlineStr">
        <is>
          <t>Diplôme d'ingénieur</t>
        </is>
      </c>
      <c r="H71" s="25" t="inlineStr">
        <is>
          <t>Polytech Nice-Sophia</t>
        </is>
      </c>
      <c r="I71" s="25" t="inlineStr">
        <is>
          <t>Groupement Polytech</t>
        </is>
      </c>
      <c r="J71" s="25" t="inlineStr">
        <is>
          <t>Site de Biot</t>
        </is>
      </c>
      <c r="K71" s="25" t="n"/>
      <c r="L71" s="25" t="inlineStr">
        <is>
          <t>Public school / institute</t>
        </is>
      </c>
      <c r="M71" s="25" t="inlineStr">
        <is>
          <t>French</t>
        </is>
      </c>
      <c r="N71" s="25" t="inlineStr">
        <is>
          <t>General</t>
        </is>
      </c>
      <c r="O71" s="25" t="inlineStr">
        <is>
          <t>Bac +3 / Bac +4</t>
        </is>
      </c>
      <c r="P71" s="26" t="inlineStr">
        <is>
          <t>Eligible on level (4-yr BS ≈ Bac+4)</t>
        </is>
      </c>
      <c r="Q71" s="25" t="inlineStr">
        <is>
          <t>3/4</t>
        </is>
      </c>
      <c r="R71" s="25" t="inlineStr">
        <is>
          <t>36/24</t>
        </is>
      </c>
      <c r="S71" s="27" t="n">
        <v>3879</v>
      </c>
      <c r="T71" s="27" t="n"/>
      <c r="U71" s="25" t="n">
        <v>2</v>
      </c>
      <c r="V71" s="27">
        <f>IF(S71="","",S71*U71)</f>
        <v/>
      </c>
      <c r="W71" s="26" t="inlineStr">
        <is>
          <t>Catalogue fee €3,879/yr (entered by institution).</t>
        </is>
      </c>
      <c r="X71" s="25" t="inlineStr">
        <is>
          <t>High</t>
        </is>
      </c>
      <c r="Y71" s="25" t="inlineStr">
        <is>
          <t>3879</t>
        </is>
      </c>
      <c r="Z71" s="26" t="n"/>
      <c r="AA71" s="26" t="n"/>
      <c r="AB71" s="25" t="n"/>
      <c r="AC71" s="25" t="inlineStr">
        <is>
          <t>Open</t>
        </is>
      </c>
      <c r="AD71" s="25" t="inlineStr">
        <is>
          <t>2026-10-01</t>
        </is>
      </c>
      <c r="AE71" s="25" t="inlineStr">
        <is>
          <t>2027-03-15</t>
        </is>
      </c>
      <c r="AF71" s="25" t="inlineStr">
        <is>
          <t>Yes</t>
        </is>
      </c>
      <c r="AG71" s="28" t="inlineStr">
        <is>
          <t>https://polytech.univ-cotedazur.fr/</t>
        </is>
      </c>
      <c r="AH71" s="26" t="inlineStr">
        <is>
          <t>Le curriculum de la formation se trouve sur Internet : http://www.polytech.univ-cotedazur.fr/ Frais d'inscription : Etudiants français ou d'un pays de l'union européenne, de l'espace économique européen ou de la Suisse :</t>
        </is>
      </c>
      <c r="AI71" s="28" t="inlineStr">
        <is>
          <t>Open in EEF</t>
        </is>
      </c>
    </row>
    <row r="72" ht="22.35" customHeight="1" s="19">
      <c r="A72" s="25" t="n">
        <v>71</v>
      </c>
      <c r="B72" s="25" t="inlineStr">
        <is>
          <t>★★★★★</t>
        </is>
      </c>
      <c r="C72" s="25" t="inlineStr">
        <is>
          <t>5 – Core fit (embedded/biomedical/health tech)</t>
        </is>
      </c>
      <c r="D72" s="25" t="inlineStr">
        <is>
          <t>Embedded systems / Electronics</t>
        </is>
      </c>
      <c r="E72" s="26" t="inlineStr">
        <is>
          <t>Diplôme d'ingénieur de l'Ecole Polytechnique de l'Université Clermont Auvergne parcours Systèmes Embarqués, Energie Electrique et Robotique</t>
        </is>
      </c>
      <c r="F72" s="26" t="inlineStr">
        <is>
          <t>Engineering diploma of School Polytechnique of University Clermont Auvergne – track: Embedded Systems, Energy Electrical &amp; Robotics</t>
        </is>
      </c>
      <c r="G72" s="25" t="inlineStr">
        <is>
          <t>Diplôme d'ingénieur</t>
        </is>
      </c>
      <c r="H72" s="25" t="inlineStr">
        <is>
          <t>Polytech Clermont</t>
        </is>
      </c>
      <c r="I72" s="25" t="inlineStr">
        <is>
          <t>Groupement Polytech</t>
        </is>
      </c>
      <c r="J72" s="25" t="inlineStr">
        <is>
          <t>Clermont-Ferrand (Campus des Cézeaux - AUBIERE)</t>
        </is>
      </c>
      <c r="K72" s="25" t="inlineStr">
        <is>
          <t>63178 AUBIERE CEDEX FRANCE</t>
        </is>
      </c>
      <c r="L72" s="25" t="inlineStr">
        <is>
          <t>Public school / institute</t>
        </is>
      </c>
      <c r="M72" s="25" t="inlineStr">
        <is>
          <t>French</t>
        </is>
      </c>
      <c r="N72" s="25" t="inlineStr">
        <is>
          <t>General</t>
        </is>
      </c>
      <c r="O72" s="25" t="inlineStr">
        <is>
          <t>Bac +3 / Bac +4 / Bac +5</t>
        </is>
      </c>
      <c r="P72" s="26" t="inlineStr">
        <is>
          <t>Eligible on level (4-yr BS ≈ Bac+4)</t>
        </is>
      </c>
      <c r="Q72" s="25" t="inlineStr">
        <is>
          <t>3/4/5</t>
        </is>
      </c>
      <c r="R72" s="25" t="inlineStr">
        <is>
          <t>12</t>
        </is>
      </c>
      <c r="S72" s="27" t="n">
        <v>3879</v>
      </c>
      <c r="T72" s="27" t="n"/>
      <c r="U72" s="25" t="n">
        <v>2</v>
      </c>
      <c r="V72" s="27">
        <f>IF(S72="","",S72*U72)</f>
        <v/>
      </c>
      <c r="W72" s="26" t="inlineStr">
        <is>
          <t>Catalogue fee €3,879/yr (entered by institution).</t>
        </is>
      </c>
      <c r="X72" s="25" t="inlineStr">
        <is>
          <t>High</t>
        </is>
      </c>
      <c r="Y72" s="25" t="inlineStr">
        <is>
          <t>3879</t>
        </is>
      </c>
      <c r="Z72" s="26" t="n"/>
      <c r="AA72" s="26" t="inlineStr">
        <is>
          <t>UCA board (Dec 2025) kept its partial-exemption framework for 2026-27 (pre-decree; re-check).</t>
        </is>
      </c>
      <c r="AB72" s="28" t="inlineStr">
        <is>
          <t>https://www.uca.fr/medias/fichier/delib-ca-20251205-15-tarifs-differencies_1765204050111-pdf</t>
        </is>
      </c>
      <c r="AC72" s="25" t="inlineStr">
        <is>
          <t>Open</t>
        </is>
      </c>
      <c r="AD72" s="25" t="inlineStr">
        <is>
          <t>2026-10-01</t>
        </is>
      </c>
      <c r="AE72" s="25" t="inlineStr">
        <is>
          <t>2027-03-15</t>
        </is>
      </c>
      <c r="AF72" s="25" t="inlineStr">
        <is>
          <t>Yes</t>
        </is>
      </c>
      <c r="AG72" s="28" t="inlineStr">
        <is>
          <t>http://www.polytech-clermont.fr</t>
        </is>
      </c>
      <c r="AH72" s="26" t="n"/>
      <c r="AI72" s="28" t="inlineStr">
        <is>
          <t>Open in EEF</t>
        </is>
      </c>
    </row>
    <row r="73" ht="32.8" customHeight="1" s="19">
      <c r="A73" s="25" t="n">
        <v>72</v>
      </c>
      <c r="B73" s="25" t="inlineStr">
        <is>
          <t>★★★★★</t>
        </is>
      </c>
      <c r="C73" s="25" t="inlineStr">
        <is>
          <t>5 – Core fit (embedded/biomedical/health tech)</t>
        </is>
      </c>
      <c r="D73" s="25" t="inlineStr">
        <is>
          <t>Embedded systems / Electronics</t>
        </is>
      </c>
      <c r="E73" s="26" t="inlineStr">
        <is>
          <t>diplôme d'ingénieur de l'Ecole polytechnique de l'université Grenoble Alpes parcours informatique et électronique des systèmes embarqués</t>
        </is>
      </c>
      <c r="F73" s="26" t="inlineStr">
        <is>
          <t>Engineering diploma of School polytechnique of University Grenoble Alpes – track: Computer Science &amp; Electronics of Embedded Systems</t>
        </is>
      </c>
      <c r="G73" s="25" t="inlineStr">
        <is>
          <t>Diplôme d'ingénieur</t>
        </is>
      </c>
      <c r="H73" s="25" t="inlineStr">
        <is>
          <t>Polytech Grenoble</t>
        </is>
      </c>
      <c r="I73" s="25" t="inlineStr">
        <is>
          <t>Groupement Polytech</t>
        </is>
      </c>
      <c r="J73" s="25" t="inlineStr">
        <is>
          <t>Site de Grenoble</t>
        </is>
      </c>
      <c r="K73" s="25" t="n"/>
      <c r="L73" s="25" t="inlineStr">
        <is>
          <t>Public school / institute</t>
        </is>
      </c>
      <c r="M73" s="25" t="inlineStr">
        <is>
          <t>French</t>
        </is>
      </c>
      <c r="N73" s="25" t="inlineStr">
        <is>
          <t>General</t>
        </is>
      </c>
      <c r="O73" s="25" t="inlineStr">
        <is>
          <t>Bac +3 / Bac +4</t>
        </is>
      </c>
      <c r="P73" s="26" t="inlineStr">
        <is>
          <t>Eligible on level (4-yr BS ≈ Bac+4)</t>
        </is>
      </c>
      <c r="Q73" s="25" t="inlineStr">
        <is>
          <t>3/4</t>
        </is>
      </c>
      <c r="R73" s="25" t="inlineStr">
        <is>
          <t>12</t>
        </is>
      </c>
      <c r="S73" s="27" t="n">
        <v>3950</v>
      </c>
      <c r="T73" s="27" t="n"/>
      <c r="U73" s="25" t="n">
        <v>2</v>
      </c>
      <c r="V73" s="27">
        <f>IF(S73="","",S73*U73)</f>
        <v/>
      </c>
      <c r="W73" s="26" t="inlineStr">
        <is>
          <t>Catalogue fee €3,950/yr (entered by institution).</t>
        </is>
      </c>
      <c r="X73" s="25" t="inlineStr">
        <is>
          <t>High</t>
        </is>
      </c>
      <c r="Y73" s="25" t="inlineStr">
        <is>
          <t>3950</t>
        </is>
      </c>
      <c r="Z73" s="26" t="n"/>
      <c r="AA73" s="26" t="inlineStr">
        <is>
          <t>UGA (incl. Grenoble INP masters): 2026-27 broad exemptions on request (pay national €254). From 2027-28 the decree caps apply; exemptions based on resources.</t>
        </is>
      </c>
      <c r="AB73" s="28" t="inlineStr">
        <is>
          <t>https://www.univ-grenoble-alpes.fr/actualites/a-la-une/actualites-universite/etudiants-internationaux-ce-que-change-le-nouveau-decret-sur-les-droits-d-inscription-a-l-uga-1775870.kjsp</t>
        </is>
      </c>
      <c r="AC73" s="25" t="inlineStr">
        <is>
          <t>Open</t>
        </is>
      </c>
      <c r="AD73" s="25" t="inlineStr">
        <is>
          <t>2026-10-01</t>
        </is>
      </c>
      <c r="AE73" s="25" t="inlineStr">
        <is>
          <t>2027-03-15</t>
        </is>
      </c>
      <c r="AF73" s="25" t="inlineStr">
        <is>
          <t>Yes</t>
        </is>
      </c>
      <c r="AG73" s="28" t="inlineStr">
        <is>
          <t>https://polytech.grenoble-inp.fr/</t>
        </is>
      </c>
      <c r="AH73" s="26" t="inlineStr">
        <is>
          <t>Les informations qui suivent, concernent la candidature en cycle ingénieur (diplôme niveau Bac+5) du réseau Polytech. Les candidatures possibles - en 3ème année (1ère année cycle ingénieur) avec un niveau Bac+2/Bac+3 . -</t>
        </is>
      </c>
      <c r="AI73" s="28" t="inlineStr">
        <is>
          <t>Open in EEF</t>
        </is>
      </c>
    </row>
    <row r="74" ht="32.8" customHeight="1" s="19">
      <c r="A74" s="25" t="n">
        <v>73</v>
      </c>
      <c r="B74" s="25" t="inlineStr">
        <is>
          <t>★★★★★</t>
        </is>
      </c>
      <c r="C74" s="25" t="inlineStr">
        <is>
          <t>5 – Core fit (embedded/biomedical/health tech)</t>
        </is>
      </c>
      <c r="D74" s="25" t="inlineStr">
        <is>
          <t>Biomedical / Health tech</t>
        </is>
      </c>
      <c r="E74" s="26" t="inlineStr">
        <is>
          <t>diplôme d'ingénieur de l'École polytechnique universitaire de l'Université Lyon I spécialité génie biomédical</t>
        </is>
      </c>
      <c r="F74" s="26" t="inlineStr">
        <is>
          <t>Engineering diploma of the University Polytechnic School of University Lyon I – specialisation: Biomedical Engineering</t>
        </is>
      </c>
      <c r="G74" s="25" t="inlineStr">
        <is>
          <t>Diplôme d'ingénieur</t>
        </is>
      </c>
      <c r="H74" s="25" t="inlineStr">
        <is>
          <t>Polytech Lyon</t>
        </is>
      </c>
      <c r="I74" s="25" t="inlineStr">
        <is>
          <t>Groupement Polytech</t>
        </is>
      </c>
      <c r="J74" s="25" t="inlineStr">
        <is>
          <t>Site de Villeurbanne</t>
        </is>
      </c>
      <c r="K74" s="25" t="n"/>
      <c r="L74" s="25" t="inlineStr">
        <is>
          <t>Public school / institute</t>
        </is>
      </c>
      <c r="M74" s="25" t="inlineStr">
        <is>
          <t>French</t>
        </is>
      </c>
      <c r="N74" s="25" t="inlineStr">
        <is>
          <t>General</t>
        </is>
      </c>
      <c r="O74" s="25" t="inlineStr">
        <is>
          <t>Bac +3 / Bac +4</t>
        </is>
      </c>
      <c r="P74" s="26" t="inlineStr">
        <is>
          <t>Eligible on level (4-yr BS ≈ Bac+4)</t>
        </is>
      </c>
      <c r="Q74" s="25" t="inlineStr">
        <is>
          <t>3/4</t>
        </is>
      </c>
      <c r="R74" s="25" t="inlineStr">
        <is>
          <t>12</t>
        </is>
      </c>
      <c r="S74" s="27" t="n">
        <v>3950</v>
      </c>
      <c r="T74" s="27" t="n"/>
      <c r="U74" s="25" t="n">
        <v>2</v>
      </c>
      <c r="V74" s="27">
        <f>IF(S74="","",S74*U74)</f>
        <v/>
      </c>
      <c r="W74" s="26" t="inlineStr">
        <is>
          <t>Catalogue fee €3,950/yr (entered by institution).</t>
        </is>
      </c>
      <c r="X74" s="25" t="inlineStr">
        <is>
          <t>High</t>
        </is>
      </c>
      <c r="Y74" s="25" t="inlineStr">
        <is>
          <t>3950</t>
        </is>
      </c>
      <c r="Z74" s="26" t="n"/>
      <c r="AA74" s="26" t="n"/>
      <c r="AB74" s="25" t="n"/>
      <c r="AC74" s="25" t="inlineStr">
        <is>
          <t>Open</t>
        </is>
      </c>
      <c r="AD74" s="25" t="inlineStr">
        <is>
          <t>2026-10-01</t>
        </is>
      </c>
      <c r="AE74" s="25" t="inlineStr">
        <is>
          <t>2027-03-15</t>
        </is>
      </c>
      <c r="AF74" s="25" t="inlineStr">
        <is>
          <t>Yes</t>
        </is>
      </c>
      <c r="AG74" s="28" t="inlineStr">
        <is>
          <t>http://polytech.univ-lyon1.fr</t>
        </is>
      </c>
      <c r="AH74" s="26" t="inlineStr">
        <is>
          <t>Les informations qui suivent, concernent la candidature en cycle ingénieur (diplôme niveau Bac+5 ) du réseau Polytech. Les candidatures sont possibles : - en 3ème année (1ère année cycle ingénieur) avec un niveau Bac+2/B</t>
        </is>
      </c>
      <c r="AI74" s="28" t="inlineStr">
        <is>
          <t>Open in EEF</t>
        </is>
      </c>
    </row>
    <row r="75" ht="32.8" customHeight="1" s="19">
      <c r="A75" s="25" t="n">
        <v>74</v>
      </c>
      <c r="B75" s="25" t="inlineStr">
        <is>
          <t>★★★★★</t>
        </is>
      </c>
      <c r="C75" s="25" t="inlineStr">
        <is>
          <t>5 – Core fit (embedded/biomedical/health tech)</t>
        </is>
      </c>
      <c r="D75" s="25" t="inlineStr">
        <is>
          <t>Cybersecurity</t>
        </is>
      </c>
      <c r="E75" s="26" t="inlineStr">
        <is>
          <t>Master of science Cyber-Physical Social Systems</t>
        </is>
      </c>
      <c r="F75" s="26" t="inlineStr">
        <is>
          <t>Master of science Cyber-Physical Social Systems</t>
        </is>
      </c>
      <c r="G75" s="25" t="inlineStr">
        <is>
          <t>Master of Science (MSc)</t>
        </is>
      </c>
      <c r="H75" s="25" t="inlineStr">
        <is>
          <t>Ecole nationale supérieure des mines de Saint-Etienne</t>
        </is>
      </c>
      <c r="I75" s="25" t="n"/>
      <c r="J75" s="25" t="inlineStr">
        <is>
          <t>Site de Saint-Etienne</t>
        </is>
      </c>
      <c r="K75" s="25" t="n"/>
      <c r="L75" s="25" t="inlineStr">
        <is>
          <t>Public school / institute</t>
        </is>
      </c>
      <c r="M75" s="25" t="inlineStr">
        <is>
          <t>English</t>
        </is>
      </c>
      <c r="N75" s="25" t="inlineStr">
        <is>
          <t>Taught in English</t>
        </is>
      </c>
      <c r="O75" s="25" t="inlineStr">
        <is>
          <t>Bac +4</t>
        </is>
      </c>
      <c r="P75" s="26" t="inlineStr">
        <is>
          <t>Eligible on level (4-yr BS ≈ Bac+4)</t>
        </is>
      </c>
      <c r="Q75" s="25" t="inlineStr">
        <is>
          <t>1</t>
        </is>
      </c>
      <c r="R75" s="25" t="inlineStr">
        <is>
          <t>24</t>
        </is>
      </c>
      <c r="S75" s="27" t="n">
        <v>4150</v>
      </c>
      <c r="T75" s="27" t="n"/>
      <c r="U75" s="25" t="n">
        <v>2</v>
      </c>
      <c r="V75" s="27">
        <f>IF(S75="","",S75*U75)</f>
        <v/>
      </c>
      <c r="W75" s="26" t="inlineStr">
        <is>
          <t>Not in catalogue. Mastersportal lists €4,150/yr for Mines Saint-Étienne MSc (verify with school).</t>
        </is>
      </c>
      <c r="X75" s="25" t="inlineStr">
        <is>
          <t>Low</t>
        </is>
      </c>
      <c r="Y75" s="25" t="n"/>
      <c r="Z75" s="26" t="n"/>
      <c r="AA75" s="26" t="n"/>
      <c r="AB75" s="25" t="n"/>
      <c r="AC75" s="25" t="inlineStr">
        <is>
          <t>Open</t>
        </is>
      </c>
      <c r="AD75" s="25" t="inlineStr">
        <is>
          <t>2026-10-01</t>
        </is>
      </c>
      <c r="AE75" s="25" t="inlineStr">
        <is>
          <t>2027-03-15</t>
        </is>
      </c>
      <c r="AF75" s="25" t="inlineStr">
        <is>
          <t>Yes</t>
        </is>
      </c>
      <c r="AG75" s="28" t="inlineStr">
        <is>
          <t>https://www.mines-stetienne.fr/en/academic/msc-cyber-physical-social-systems-cps2/</t>
        </is>
      </c>
      <c r="AH75" s="26" t="inlineStr">
        <is>
          <t>Applicants with at least a Bachelor degree level (180 ECTS) or M1 degree level (240 ECTS) in computer science or equivalent are invited to apply. A good command of English is mandatory. International students’ applicatio</t>
        </is>
      </c>
      <c r="AI75" s="28" t="inlineStr">
        <is>
          <t>Open in EEF</t>
        </is>
      </c>
    </row>
    <row r="76" ht="32.8" customHeight="1" s="19">
      <c r="A76" s="25" t="n">
        <v>75</v>
      </c>
      <c r="B76" s="25" t="inlineStr">
        <is>
          <t>★★★★★</t>
        </is>
      </c>
      <c r="C76" s="25" t="inlineStr">
        <is>
          <t>5 – Core fit (embedded/biomedical/health tech)</t>
        </is>
      </c>
      <c r="D76" s="25" t="inlineStr">
        <is>
          <t>Cybersecurity</t>
        </is>
      </c>
      <c r="E76" s="26" t="inlineStr">
        <is>
          <t>Master indifférencié (recherche et professionnel) Sciences, technologies, santé mention informatique parcours Master of science Cyber-Physical Social Systems</t>
        </is>
      </c>
      <c r="F76" s="26" t="inlineStr">
        <is>
          <t>Science, Technology, Health (STS) – major: Computer Science – track: Master of Science Cyber-Physical Social Systems</t>
        </is>
      </c>
      <c r="G76" s="25" t="inlineStr">
        <is>
          <t>Master indifférencié (recherche et professionnel)</t>
        </is>
      </c>
      <c r="H76" s="25" t="inlineStr">
        <is>
          <t>Ecole nationale supérieure des mines de Saint-Etienne</t>
        </is>
      </c>
      <c r="I76" s="25" t="n"/>
      <c r="J76" s="25" t="inlineStr">
        <is>
          <t>Site de Saint-Etienne</t>
        </is>
      </c>
      <c r="K76" s="25" t="n"/>
      <c r="L76" s="25" t="inlineStr">
        <is>
          <t>Public school / institute</t>
        </is>
      </c>
      <c r="M76" s="25" t="inlineStr">
        <is>
          <t>French</t>
        </is>
      </c>
      <c r="N76" s="25" t="inlineStr">
        <is>
          <t>General</t>
        </is>
      </c>
      <c r="O76" s="25" t="inlineStr">
        <is>
          <t>Bac +4 / Bac +5</t>
        </is>
      </c>
      <c r="P76" s="26" t="inlineStr">
        <is>
          <t>Eligible on level (4-yr BS ≈ Bac+4)</t>
        </is>
      </c>
      <c r="Q76" s="25" t="inlineStr">
        <is>
          <t>1/2</t>
        </is>
      </c>
      <c r="R76" s="25" t="inlineStr">
        <is>
          <t>24/12</t>
        </is>
      </c>
      <c r="S76" s="27" t="n">
        <v>4150</v>
      </c>
      <c r="T76" s="27" t="n"/>
      <c r="U76" s="25" t="n">
        <v>2</v>
      </c>
      <c r="V76" s="27">
        <f>IF(S76="","",S76*U76)</f>
        <v/>
      </c>
      <c r="W76" s="26" t="inlineStr">
        <is>
          <t>Not in catalogue. Mastersportal lists €4,150/yr for Mines Saint-Étienne MSc (verify with school).</t>
        </is>
      </c>
      <c r="X76" s="25" t="inlineStr">
        <is>
          <t>Low</t>
        </is>
      </c>
      <c r="Y76" s="25" t="n"/>
      <c r="Z76" s="26" t="n"/>
      <c r="AA76" s="26" t="n"/>
      <c r="AB76" s="25" t="n"/>
      <c r="AC76" s="25" t="inlineStr">
        <is>
          <t>Open</t>
        </is>
      </c>
      <c r="AD76" s="25" t="inlineStr">
        <is>
          <t>2026-10-01</t>
        </is>
      </c>
      <c r="AE76" s="25" t="inlineStr">
        <is>
          <t>2027-03-15</t>
        </is>
      </c>
      <c r="AF76" s="25" t="inlineStr">
        <is>
          <t>Yes</t>
        </is>
      </c>
      <c r="AG76" s="25" t="n"/>
      <c r="AH76" s="26" t="n"/>
      <c r="AI76" s="28" t="inlineStr">
        <is>
          <t>Open in EEF</t>
        </is>
      </c>
    </row>
    <row r="77" ht="15" customHeight="1" s="19">
      <c r="A77" s="25" t="n">
        <v>76</v>
      </c>
      <c r="B77" s="25" t="inlineStr">
        <is>
          <t>★★★★★</t>
        </is>
      </c>
      <c r="C77" s="25" t="inlineStr">
        <is>
          <t>5 – Core fit (embedded/biomedical/health tech)</t>
        </is>
      </c>
      <c r="D77" s="25" t="inlineStr">
        <is>
          <t>Biomedical / Health tech</t>
        </is>
      </c>
      <c r="E77" s="26" t="inlineStr">
        <is>
          <t>Master BioMedical Engineering</t>
        </is>
      </c>
      <c r="F77" s="26" t="inlineStr">
        <is>
          <t>Master BioMedical Engineering</t>
        </is>
      </c>
      <c r="G77" s="25" t="inlineStr">
        <is>
          <t>Master indifférencié (recherche et professionnel)</t>
        </is>
      </c>
      <c r="H77" s="25" t="inlineStr">
        <is>
          <t>Institut Supérieur d'Ingénieurs de Franche-Comté</t>
        </is>
      </c>
      <c r="I77" s="25" t="inlineStr">
        <is>
          <t>Université Marie et Louis Pasteur</t>
        </is>
      </c>
      <c r="J77" s="25" t="inlineStr">
        <is>
          <t>Site de Besançon</t>
        </is>
      </c>
      <c r="K77" s="25" t="n"/>
      <c r="L77" s="25" t="inlineStr">
        <is>
          <t>Public school / institute</t>
        </is>
      </c>
      <c r="M77" s="25" t="inlineStr">
        <is>
          <t>English</t>
        </is>
      </c>
      <c r="N77" s="25" t="inlineStr">
        <is>
          <t>General</t>
        </is>
      </c>
      <c r="O77" s="25" t="inlineStr">
        <is>
          <t>Bac +4 / Bac +5</t>
        </is>
      </c>
      <c r="P77" s="26" t="inlineStr">
        <is>
          <t>Eligible on level (4-yr BS ≈ Bac+4)</t>
        </is>
      </c>
      <c r="Q77" s="25" t="inlineStr">
        <is>
          <t>1/2</t>
        </is>
      </c>
      <c r="R77" s="25" t="n"/>
      <c r="S77" s="27" t="n">
        <v>5000</v>
      </c>
      <c r="T77" s="27" t="n"/>
      <c r="U77" s="25" t="n">
        <v>2</v>
      </c>
      <c r="V77" s="27">
        <f>IF(S77="","",S77*U77)</f>
        <v/>
      </c>
      <c r="W77" s="26" t="inlineStr">
        <is>
          <t>Catalogue fee €5,000/yr (entered by institution).</t>
        </is>
      </c>
      <c r="X77" s="25" t="inlineStr">
        <is>
          <t>High</t>
        </is>
      </c>
      <c r="Y77" s="25" t="inlineStr">
        <is>
          <t>5000</t>
        </is>
      </c>
      <c r="Z77" s="26" t="n"/>
      <c r="AA77" s="26" t="inlineStr">
        <is>
          <t>UMLP: individual exemption requests assessed on personal resources.</t>
        </is>
      </c>
      <c r="AB77" s="28" t="inlineStr">
        <is>
          <t>https://www.umlp.fr/sites/default/files/2026-07-02-page-droits-differencies-vf.pdf</t>
        </is>
      </c>
      <c r="AC77" s="25" t="inlineStr">
        <is>
          <t>Open</t>
        </is>
      </c>
      <c r="AD77" s="25" t="inlineStr">
        <is>
          <t>2026-10-01</t>
        </is>
      </c>
      <c r="AE77" s="25" t="inlineStr">
        <is>
          <t>2027-03-15</t>
        </is>
      </c>
      <c r="AF77" s="25" t="inlineStr">
        <is>
          <t>Yes</t>
        </is>
      </c>
      <c r="AG77" s="28" t="inlineStr">
        <is>
          <t>http://isifc.univ-fcomte.fr</t>
        </is>
      </c>
      <c r="AH77" s="26" t="n"/>
      <c r="AI77" s="28" t="inlineStr">
        <is>
          <t>Open in EEF</t>
        </is>
      </c>
    </row>
    <row r="78" ht="15" customHeight="1" s="19">
      <c r="A78" s="25" t="n">
        <v>77</v>
      </c>
      <c r="B78" s="25" t="inlineStr">
        <is>
          <t>★★★★★</t>
        </is>
      </c>
      <c r="C78" s="25" t="inlineStr">
        <is>
          <t>5 – Core fit (embedded/biomedical/health tech)</t>
        </is>
      </c>
      <c r="D78" s="25" t="inlineStr">
        <is>
          <t>Embedded systems / Electronics</t>
        </is>
      </c>
      <c r="E78" s="26" t="inlineStr">
        <is>
          <t>MSc. "Connected Embedded Intelligent Systems"</t>
        </is>
      </c>
      <c r="F78" s="26" t="inlineStr">
        <is>
          <t>MSc. "Connected Embedded Intelligent Systems"</t>
        </is>
      </c>
      <c r="G78" s="25" t="inlineStr">
        <is>
          <t>Mastère en sciences (MSc)</t>
        </is>
      </c>
      <c r="H78" s="25" t="inlineStr">
        <is>
          <t>Ecole supérieure d'ingénieurs en génie électrique</t>
        </is>
      </c>
      <c r="I78" s="25" t="n"/>
      <c r="J78" s="25" t="inlineStr">
        <is>
          <t>Site de Saint-Etienne-du-Rouvray</t>
        </is>
      </c>
      <c r="K78" s="25" t="n"/>
      <c r="L78" s="25" t="inlineStr">
        <is>
          <t>Private / EESPIG</t>
        </is>
      </c>
      <c r="M78" s="25" t="inlineStr">
        <is>
          <t>English</t>
        </is>
      </c>
      <c r="N78" s="25" t="inlineStr">
        <is>
          <t>General</t>
        </is>
      </c>
      <c r="O78" s="25" t="inlineStr">
        <is>
          <t>Bac +3 / Bac +4</t>
        </is>
      </c>
      <c r="P78" s="26" t="inlineStr">
        <is>
          <t>Eligible on level (4-yr BS ≈ Bac+4)</t>
        </is>
      </c>
      <c r="Q78" s="25" t="inlineStr">
        <is>
          <t>1/2</t>
        </is>
      </c>
      <c r="R78" s="25" t="n"/>
      <c r="S78" s="27" t="n">
        <v>6100</v>
      </c>
      <c r="T78" s="27" t="n"/>
      <c r="U78" s="25" t="n">
        <v>2</v>
      </c>
      <c r="V78" s="27">
        <f>IF(S78="","",S78*U78)</f>
        <v/>
      </c>
      <c r="W78" s="26" t="inlineStr">
        <is>
          <t>Catalogue fee €6,100/yr (entered by institution).</t>
        </is>
      </c>
      <c r="X78" s="25" t="inlineStr">
        <is>
          <t>High</t>
        </is>
      </c>
      <c r="Y78" s="25" t="inlineStr">
        <is>
          <t>6100</t>
        </is>
      </c>
      <c r="Z78" s="26" t="n"/>
      <c r="AA78" s="26" t="n"/>
      <c r="AB78" s="25" t="n"/>
      <c r="AC78" s="25" t="inlineStr">
        <is>
          <t>Open</t>
        </is>
      </c>
      <c r="AD78" s="25" t="inlineStr">
        <is>
          <t>2026-10-01</t>
        </is>
      </c>
      <c r="AE78" s="25" t="inlineStr">
        <is>
          <t>2027-03-15</t>
        </is>
      </c>
      <c r="AF78" s="25" t="inlineStr">
        <is>
          <t>Yes</t>
        </is>
      </c>
      <c r="AG78" s="28" t="inlineStr">
        <is>
          <t>http://www.esigelec.fr</t>
        </is>
      </c>
      <c r="AH78" s="26" t="inlineStr">
        <is>
          <t>Merci de contacter directement vidya.suresh@esigelec.fr</t>
        </is>
      </c>
      <c r="AI78" s="28" t="inlineStr">
        <is>
          <t>Open in EEF</t>
        </is>
      </c>
    </row>
    <row r="79" ht="32.8" customHeight="1" s="19">
      <c r="A79" s="25" t="n">
        <v>78</v>
      </c>
      <c r="B79" s="25" t="inlineStr">
        <is>
          <t>★★★★★</t>
        </is>
      </c>
      <c r="C79" s="25" t="inlineStr">
        <is>
          <t>5 – Core fit (embedded/biomedical/health tech)</t>
        </is>
      </c>
      <c r="D79" s="25" t="inlineStr">
        <is>
          <t>Embedded systems / Electronics</t>
        </is>
      </c>
      <c r="E79" s="26" t="inlineStr">
        <is>
          <t>Master indifférencié (recherche et professionnel) MSc in Information Technology (IT), track in Embedded AI (EMBAI)</t>
        </is>
      </c>
      <c r="F79" s="26" t="inlineStr">
        <is>
          <t>MSc in Information Technology (IT), track in Embedded AI (EMBAI)</t>
        </is>
      </c>
      <c r="G79" s="25" t="inlineStr">
        <is>
          <t>Master indifférencié (recherche et professionnel)</t>
        </is>
      </c>
      <c r="H79" s="25" t="inlineStr">
        <is>
          <t>IMT Atlantique</t>
        </is>
      </c>
      <c r="I79" s="25" t="inlineStr">
        <is>
          <t>IMT Atlantique</t>
        </is>
      </c>
      <c r="J79" s="25" t="inlineStr">
        <is>
          <t>Campus de Brest</t>
        </is>
      </c>
      <c r="K79" s="25" t="inlineStr">
        <is>
          <t>83818</t>
        </is>
      </c>
      <c r="L79" s="25" t="inlineStr">
        <is>
          <t>Public school / institute</t>
        </is>
      </c>
      <c r="M79" s="25" t="inlineStr">
        <is>
          <t>English</t>
        </is>
      </c>
      <c r="N79" s="25" t="inlineStr">
        <is>
          <t>Taught in English</t>
        </is>
      </c>
      <c r="O79" s="25" t="inlineStr">
        <is>
          <t>Bac +4</t>
        </is>
      </c>
      <c r="P79" s="26" t="inlineStr">
        <is>
          <t>Eligible on level (4-yr BS ≈ Bac+4)</t>
        </is>
      </c>
      <c r="Q79" s="25" t="inlineStr">
        <is>
          <t>1</t>
        </is>
      </c>
      <c r="R79" s="25" t="n"/>
      <c r="S79" s="27" t="n">
        <v>6500</v>
      </c>
      <c r="T79" s="27" t="n"/>
      <c r="U79" s="25" t="n">
        <v>2</v>
      </c>
      <c r="V79" s="27">
        <f>IF(S79="","",S79*U79)</f>
        <v/>
      </c>
      <c r="W79" s="26" t="inlineStr">
        <is>
          <t>Catalogue fee €6,500/yr (entered by institution).</t>
        </is>
      </c>
      <c r="X79" s="25" t="inlineStr">
        <is>
          <t>High</t>
        </is>
      </c>
      <c r="Y79" s="25" t="inlineStr">
        <is>
          <t>6500</t>
        </is>
      </c>
      <c r="Z79" s="26" t="n"/>
      <c r="AA79" s="26" t="n"/>
      <c r="AB79" s="25" t="n"/>
      <c r="AC79" s="25" t="inlineStr">
        <is>
          <t>Open</t>
        </is>
      </c>
      <c r="AD79" s="25" t="inlineStr">
        <is>
          <t>2026-10-01</t>
        </is>
      </c>
      <c r="AE79" s="25" t="inlineStr">
        <is>
          <t>2027-03-15</t>
        </is>
      </c>
      <c r="AF79" s="25" t="inlineStr">
        <is>
          <t>Yes</t>
        </is>
      </c>
      <c r="AG79" s="28" t="inlineStr">
        <is>
          <t>https://www.imt-atlantique.fr/en/study/masters/msc/it-embedded-ai</t>
        </is>
      </c>
      <c r="AH79" s="26" t="inlineStr">
        <is>
          <t>100% taught in English Admission This program is aimed at graduates with a Bachelor of Science or equivalent degree obtained after 4 years' higher education in fields such as Computer Science, Electronics, Telecommunicat</t>
        </is>
      </c>
      <c r="AI79" s="28" t="inlineStr">
        <is>
          <t>Open in EEF</t>
        </is>
      </c>
    </row>
    <row r="80" ht="32.8" customHeight="1" s="19">
      <c r="A80" s="25" t="n">
        <v>79</v>
      </c>
      <c r="B80" s="25" t="inlineStr">
        <is>
          <t>★★★★★</t>
        </is>
      </c>
      <c r="C80" s="25" t="inlineStr">
        <is>
          <t>5 – Core fit (embedded/biomedical/health tech)</t>
        </is>
      </c>
      <c r="D80" s="25" t="inlineStr">
        <is>
          <t>IoT / Telecom / Networks</t>
        </is>
      </c>
      <c r="E80" s="26" t="inlineStr">
        <is>
          <t>Master of Science in Information technology (IT), track in Next-generation Networks for Agentic systems and IoT (NETAI)</t>
        </is>
      </c>
      <c r="F80" s="26" t="inlineStr">
        <is>
          <t>Master of Science in Information technology (IT), track in Next-generation Networks for Agentic systems and IoT (NETAI)</t>
        </is>
      </c>
      <c r="G80" s="25" t="inlineStr">
        <is>
          <t>Master indifférencié (recherche et professionnel)</t>
        </is>
      </c>
      <c r="H80" s="25" t="inlineStr">
        <is>
          <t>IMT Atlantique</t>
        </is>
      </c>
      <c r="I80" s="25" t="inlineStr">
        <is>
          <t>IMT Atlantique</t>
        </is>
      </c>
      <c r="J80" s="25" t="inlineStr">
        <is>
          <t>Campus de Rennes</t>
        </is>
      </c>
      <c r="K80" s="25" t="n"/>
      <c r="L80" s="25" t="inlineStr">
        <is>
          <t>Public school / institute</t>
        </is>
      </c>
      <c r="M80" s="25" t="inlineStr">
        <is>
          <t>English</t>
        </is>
      </c>
      <c r="N80" s="25" t="inlineStr">
        <is>
          <t>Taught in English</t>
        </is>
      </c>
      <c r="O80" s="25" t="inlineStr">
        <is>
          <t>Bac +4 / Bac +5</t>
        </is>
      </c>
      <c r="P80" s="26" t="inlineStr">
        <is>
          <t>Eligible on level (4-yr BS ≈ Bac+4)</t>
        </is>
      </c>
      <c r="Q80" s="25" t="inlineStr">
        <is>
          <t>1/2</t>
        </is>
      </c>
      <c r="R80" s="25" t="n"/>
      <c r="S80" s="27" t="n">
        <v>6500</v>
      </c>
      <c r="T80" s="27" t="n"/>
      <c r="U80" s="25" t="n">
        <v>2</v>
      </c>
      <c r="V80" s="27">
        <f>IF(S80="","",S80*U80)</f>
        <v/>
      </c>
      <c r="W80" s="26" t="inlineStr">
        <is>
          <t>Catalogue fee €6,500/yr (entered by institution).</t>
        </is>
      </c>
      <c r="X80" s="25" t="inlineStr">
        <is>
          <t>High</t>
        </is>
      </c>
      <c r="Y80" s="25" t="inlineStr">
        <is>
          <t>6500</t>
        </is>
      </c>
      <c r="Z80" s="26" t="n"/>
      <c r="AA80" s="26" t="n"/>
      <c r="AB80" s="25" t="n"/>
      <c r="AC80" s="25" t="inlineStr">
        <is>
          <t>Open</t>
        </is>
      </c>
      <c r="AD80" s="25" t="inlineStr">
        <is>
          <t>2026-10-01</t>
        </is>
      </c>
      <c r="AE80" s="25" t="inlineStr">
        <is>
          <t>2027-03-15</t>
        </is>
      </c>
      <c r="AF80" s="25" t="inlineStr">
        <is>
          <t>Yes</t>
        </is>
      </c>
      <c r="AG80" s="28" t="inlineStr">
        <is>
          <t>https://www.imt-atlantique.fr/en/study/masters/msc/it-aeiot</t>
        </is>
      </c>
      <c r="AH80" s="26" t="inlineStr">
        <is>
          <t>100% taught in English Admission This program is aimed at graduates with a Bachelor of Science or equivalent degree obtained after 4 years' higher education in Electronics and/or Computer Science. A good background in Ma</t>
        </is>
      </c>
      <c r="AI80" s="28" t="inlineStr">
        <is>
          <t>Open in EEF</t>
        </is>
      </c>
    </row>
    <row r="81" ht="32.8" customHeight="1" s="19">
      <c r="A81" s="25" t="n">
        <v>80</v>
      </c>
      <c r="B81" s="25" t="inlineStr">
        <is>
          <t>★★★★★</t>
        </is>
      </c>
      <c r="C81" s="25" t="inlineStr">
        <is>
          <t>5 – Core fit (embedded/biomedical/health tech)</t>
        </is>
      </c>
      <c r="D81" s="25" t="inlineStr">
        <is>
          <t>Biomedical / Health tech</t>
        </is>
      </c>
      <c r="E81" s="26" t="inlineStr">
        <is>
          <t>Master recherche mention International Master in BioMedical Engineering</t>
        </is>
      </c>
      <c r="F81" s="26" t="inlineStr">
        <is>
          <t>Research Master – major: International Master in BioMedical Engineering</t>
        </is>
      </c>
      <c r="G81" s="25" t="inlineStr">
        <is>
          <t>Master recherche</t>
        </is>
      </c>
      <c r="H81" s="25" t="inlineStr">
        <is>
          <t>Centrale Lille Institut</t>
        </is>
      </c>
      <c r="I81" s="25" t="inlineStr">
        <is>
          <t>Centrale Lille Institut</t>
        </is>
      </c>
      <c r="J81" s="25" t="inlineStr">
        <is>
          <t>Site de Villeneuve d'Ascq</t>
        </is>
      </c>
      <c r="K81" s="25" t="inlineStr">
        <is>
          <t>20048 F</t>
        </is>
      </c>
      <c r="L81" s="25" t="inlineStr">
        <is>
          <t>Public school / institute</t>
        </is>
      </c>
      <c r="M81" s="25" t="inlineStr">
        <is>
          <t>English</t>
        </is>
      </c>
      <c r="N81" s="25" t="inlineStr">
        <is>
          <t>Taught in English</t>
        </is>
      </c>
      <c r="O81" s="25" t="inlineStr">
        <is>
          <t>Bac +4</t>
        </is>
      </c>
      <c r="P81" s="26" t="inlineStr">
        <is>
          <t>Eligible on level (4-yr BS ≈ Bac+4)</t>
        </is>
      </c>
      <c r="Q81" s="25" t="inlineStr">
        <is>
          <t>1</t>
        </is>
      </c>
      <c r="R81" s="25" t="inlineStr">
        <is>
          <t>12</t>
        </is>
      </c>
      <c r="S81" s="27" t="n">
        <v>7500</v>
      </c>
      <c r="T81" s="27" t="n"/>
      <c r="U81" s="25" t="n">
        <v>1</v>
      </c>
      <c r="V81" s="27">
        <f>IF(S81="","",S81*U81)</f>
        <v/>
      </c>
      <c r="W81" s="26" t="inlineStr">
        <is>
          <t>Catalogue fee €7,500/yr (entered by institution).</t>
        </is>
      </c>
      <c r="X81" s="25" t="inlineStr">
        <is>
          <t>High</t>
        </is>
      </c>
      <c r="Y81" s="25" t="inlineStr">
        <is>
          <t>7500</t>
        </is>
      </c>
      <c r="Z81" s="26" t="inlineStr">
        <is>
          <t>Fees: 5 000€ including a personal laptop, project material, pe</t>
        </is>
      </c>
      <c r="AA81" s="26" t="n"/>
      <c r="AB81" s="25" t="n"/>
      <c r="AC81" s="25" t="inlineStr">
        <is>
          <t>Open</t>
        </is>
      </c>
      <c r="AD81" s="25" t="inlineStr">
        <is>
          <t>2026-10-01</t>
        </is>
      </c>
      <c r="AE81" s="25" t="inlineStr">
        <is>
          <t>2027-03-15</t>
        </is>
      </c>
      <c r="AF81" s="25" t="inlineStr">
        <is>
          <t>Yes</t>
        </is>
      </c>
      <c r="AG81" s="28" t="inlineStr">
        <is>
          <t>https://centralelille.fr/en/formation/masters/master-biomedical-engineering/</t>
        </is>
      </c>
      <c r="AH81" s="26" t="inlineStr">
        <is>
          <t>Background in Physics or Mechanical Engineering or Electronics is expected but students with Medical, Biotech or Computer Sciences skills are eligible and may also apply. Applicants must be fluent in English - written an</t>
        </is>
      </c>
      <c r="AI81" s="28" t="inlineStr">
        <is>
          <t>Open in EEF</t>
        </is>
      </c>
    </row>
    <row r="82" ht="22.35" customHeight="1" s="19">
      <c r="A82" s="25" t="n">
        <v>81</v>
      </c>
      <c r="B82" s="25" t="inlineStr">
        <is>
          <t>★★★★★</t>
        </is>
      </c>
      <c r="C82" s="25" t="inlineStr">
        <is>
          <t>5 – Core fit (embedded/biomedical/health tech)</t>
        </is>
      </c>
      <c r="D82" s="25" t="inlineStr">
        <is>
          <t>Embedded systems / Electronics</t>
        </is>
      </c>
      <c r="E82" s="26" t="inlineStr">
        <is>
          <t>Master of Science (MSc) parcours MSc-Master of Science® in Intelligent Embedded Systems Engineering</t>
        </is>
      </c>
      <c r="F82" s="26" t="inlineStr">
        <is>
          <t>Master of Science (MSc) parcours MSc-Master of Science® in Intelligent Embedded Systems Engineering</t>
        </is>
      </c>
      <c r="G82" s="25" t="inlineStr">
        <is>
          <t>Master of Science (MSc)</t>
        </is>
      </c>
      <c r="H82" s="25" t="inlineStr">
        <is>
          <t>Institut supérieur de l'électronique et du numérique Toulon</t>
        </is>
      </c>
      <c r="I82" s="25" t="n"/>
      <c r="J82" s="25" t="inlineStr">
        <is>
          <t>ISEN Méditerranée - Campus Toulon</t>
        </is>
      </c>
      <c r="K82" s="25" t="inlineStr">
        <is>
          <t>83000 France</t>
        </is>
      </c>
      <c r="L82" s="25" t="inlineStr">
        <is>
          <t>Private / EESPIG</t>
        </is>
      </c>
      <c r="M82" s="25" t="inlineStr">
        <is>
          <t>English</t>
        </is>
      </c>
      <c r="N82" s="25" t="inlineStr">
        <is>
          <t>Taught in English</t>
        </is>
      </c>
      <c r="O82" s="25" t="inlineStr">
        <is>
          <t>Bac +3</t>
        </is>
      </c>
      <c r="P82" s="26" t="inlineStr">
        <is>
          <t>Eligible on level (4-yr BS ≈ Bac+4)</t>
        </is>
      </c>
      <c r="Q82" s="25" t="inlineStr">
        <is>
          <t>1</t>
        </is>
      </c>
      <c r="R82" s="25" t="inlineStr">
        <is>
          <t>15</t>
        </is>
      </c>
      <c r="S82" s="27" t="n">
        <v>8800</v>
      </c>
      <c r="T82" s="27" t="n"/>
      <c r="U82" s="25" t="n">
        <v>2</v>
      </c>
      <c r="V82" s="27">
        <f>IF(S82="","",S82*U82)</f>
        <v/>
      </c>
      <c r="W82" s="26" t="inlineStr">
        <is>
          <t>Catalogue fee €8,800/yr (entered by institution).</t>
        </is>
      </c>
      <c r="X82" s="25" t="inlineStr">
        <is>
          <t>High</t>
        </is>
      </c>
      <c r="Y82" s="25" t="inlineStr">
        <is>
          <t>8800</t>
        </is>
      </c>
      <c r="Z82" s="26" t="n"/>
      <c r="AA82" s="26" t="n"/>
      <c r="AB82" s="25" t="n"/>
      <c r="AC82" s="25" t="inlineStr">
        <is>
          <t>Open</t>
        </is>
      </c>
      <c r="AD82" s="25" t="inlineStr">
        <is>
          <t>2026-10-01</t>
        </is>
      </c>
      <c r="AE82" s="25" t="inlineStr">
        <is>
          <t>2027-03-15</t>
        </is>
      </c>
      <c r="AF82" s="25" t="inlineStr">
        <is>
          <t>Yes</t>
        </is>
      </c>
      <c r="AG82" s="28" t="inlineStr">
        <is>
          <t>https://isen-mediterranee.fr/en/formation/msc-master-of-science-in-intelligent-embedded-systems-engineering/</t>
        </is>
      </c>
      <c r="AH82" s="26" t="inlineStr">
        <is>
          <t>Admission This program is open to students who have completed a three-year degree in a field related to the program, or who hold an RNCP 6 qualification.</t>
        </is>
      </c>
      <c r="AI82" s="28" t="inlineStr">
        <is>
          <t>Open in EEF</t>
        </is>
      </c>
    </row>
    <row r="83" ht="43.25" customHeight="1" s="19">
      <c r="A83" s="25" t="n">
        <v>82</v>
      </c>
      <c r="B83" s="25" t="inlineStr">
        <is>
          <t>★★★★★</t>
        </is>
      </c>
      <c r="C83" s="25" t="inlineStr">
        <is>
          <t>5 – Core fit (embedded/biomedical/health tech)</t>
        </is>
      </c>
      <c r="D83" s="25" t="inlineStr">
        <is>
          <t>Embedded systems / Electronics</t>
        </is>
      </c>
      <c r="E83" s="26" t="inlineStr">
        <is>
          <t>International Master of Science in Electronics for Embedded ApplicationS</t>
        </is>
      </c>
      <c r="F83" s="26" t="inlineStr">
        <is>
          <t>International Master of Science in Electronics for Embedded ApplicationS</t>
        </is>
      </c>
      <c r="G83" s="25" t="inlineStr">
        <is>
          <t>Master indifférencié (recherche et professionnel)</t>
        </is>
      </c>
      <c r="H83" s="25" t="inlineStr">
        <is>
          <t>Institut national des sciences appliquées de Toulouse</t>
        </is>
      </c>
      <c r="I83" s="25" t="n"/>
      <c r="J83" s="25" t="inlineStr">
        <is>
          <t>Site de Toulouse</t>
        </is>
      </c>
      <c r="K83" s="25" t="inlineStr">
        <is>
          <t>31077 Toulouse Cedex</t>
        </is>
      </c>
      <c r="L83" s="25" t="inlineStr">
        <is>
          <t>Public school / institute</t>
        </is>
      </c>
      <c r="M83" s="25" t="inlineStr">
        <is>
          <t>English</t>
        </is>
      </c>
      <c r="N83" s="25" t="inlineStr">
        <is>
          <t>Taught in English</t>
        </is>
      </c>
      <c r="O83" s="25" t="inlineStr">
        <is>
          <t>Bac +4 / Bac +5</t>
        </is>
      </c>
      <c r="P83" s="26" t="inlineStr">
        <is>
          <t>Eligible on level (4-yr BS ≈ Bac+4)</t>
        </is>
      </c>
      <c r="Q83" s="25" t="inlineStr">
        <is>
          <t>1/2</t>
        </is>
      </c>
      <c r="R83" s="25" t="inlineStr">
        <is>
          <t>9</t>
        </is>
      </c>
      <c r="S83" s="27" t="n">
        <v>9000</v>
      </c>
      <c r="T83" s="27" t="n"/>
      <c r="U83" s="25" t="n">
        <v>2</v>
      </c>
      <c r="V83" s="27">
        <f>IF(S83="","",S83*U83)</f>
        <v/>
      </c>
      <c r="W83" s="26" t="inlineStr">
        <is>
          <t>Catalogue fee €9,000/yr (entered by institution).</t>
        </is>
      </c>
      <c r="X83" s="25" t="inlineStr">
        <is>
          <t>High</t>
        </is>
      </c>
      <c r="Y83" s="25" t="inlineStr">
        <is>
          <t>9000</t>
        </is>
      </c>
      <c r="Z83" s="26" t="inlineStr">
        <is>
          <t>ucation English proficiency Fluent French proficiency Not required Tuition fees are 9 000 € including administrative registration and health … Fees can be reduced to 5 000 € under specific conditions : - top level stud</t>
        </is>
      </c>
      <c r="AA83" s="26" t="n"/>
      <c r="AB83" s="25" t="n"/>
      <c r="AC83" s="25" t="inlineStr">
        <is>
          <t>Open</t>
        </is>
      </c>
      <c r="AD83" s="25" t="inlineStr">
        <is>
          <t>2026-10-01</t>
        </is>
      </c>
      <c r="AE83" s="25" t="inlineStr">
        <is>
          <t>2027-03-15</t>
        </is>
      </c>
      <c r="AF83" s="25" t="inlineStr">
        <is>
          <t>Yes</t>
        </is>
      </c>
      <c r="AG83" s="28" t="inlineStr">
        <is>
          <t>http://www.insa-toulouse.fr/fr/formation.html</t>
        </is>
      </c>
      <c r="AH83" s="26" t="inlineStr">
        <is>
          <t>All courses are taught in English Admission Bachelor of Sciences or Engineering degree or 4 years in higher education English proficiency Fluent French proficiency Not required Tuition fees are 9 000 € including administ</t>
        </is>
      </c>
      <c r="AI83" s="28" t="inlineStr">
        <is>
          <t>Open in EEF</t>
        </is>
      </c>
    </row>
    <row r="84" ht="32.8" customHeight="1" s="19">
      <c r="A84" s="25" t="n">
        <v>83</v>
      </c>
      <c r="B84" s="25" t="inlineStr">
        <is>
          <t>★★★★★</t>
        </is>
      </c>
      <c r="C84" s="25" t="inlineStr">
        <is>
          <t>5 – Core fit (embedded/biomedical/health tech)</t>
        </is>
      </c>
      <c r="D84" s="25" t="inlineStr">
        <is>
          <t>Embedded systems / Electronics</t>
        </is>
      </c>
      <c r="E84" s="26" t="inlineStr">
        <is>
          <t>Master indifférencié (recherche et professionnel) MSc - Electronic Systems for Embedded and Communicating Applications (ESECA)</t>
        </is>
      </c>
      <c r="F84" s="26" t="inlineStr">
        <is>
          <t>MSc - Electronic Systems for Embedded and Communicating Applications (ESECA)</t>
        </is>
      </c>
      <c r="G84" s="25" t="inlineStr">
        <is>
          <t>Master indifférencié (recherche et professionnel)</t>
        </is>
      </c>
      <c r="H84" s="25" t="inlineStr">
        <is>
          <t>École nationale supérieure d'électrotechnique, d'électronique, d'informatique, d'hydraulique et des télécommunications</t>
        </is>
      </c>
      <c r="I84" s="25" t="inlineStr">
        <is>
          <t>Institut national polytechnique de Toulouse</t>
        </is>
      </c>
      <c r="J84" s="25" t="inlineStr">
        <is>
          <t>Site de Toulouse</t>
        </is>
      </c>
      <c r="K84" s="25" t="inlineStr">
        <is>
          <t>31071 Toulouse Cedex</t>
        </is>
      </c>
      <c r="L84" s="25" t="inlineStr">
        <is>
          <t>Public school / institute</t>
        </is>
      </c>
      <c r="M84" s="25" t="inlineStr">
        <is>
          <t>English</t>
        </is>
      </c>
      <c r="N84" s="25" t="inlineStr">
        <is>
          <t>Taught in English</t>
        </is>
      </c>
      <c r="O84" s="25" t="inlineStr">
        <is>
          <t>Bac +4 / Bac +5</t>
        </is>
      </c>
      <c r="P84" s="26" t="inlineStr">
        <is>
          <t>Eligible on level (4-yr BS ≈ Bac+4)</t>
        </is>
      </c>
      <c r="Q84" s="25" t="inlineStr">
        <is>
          <t>1/2</t>
        </is>
      </c>
      <c r="R84" s="25" t="inlineStr">
        <is>
          <t>12</t>
        </is>
      </c>
      <c r="S84" s="27" t="n">
        <v>9000</v>
      </c>
      <c r="T84" s="27" t="n"/>
      <c r="U84" s="25" t="n">
        <v>2</v>
      </c>
      <c r="V84" s="27">
        <f>IF(S84="","",S84*U84)</f>
        <v/>
      </c>
      <c r="W84" s="26" t="inlineStr">
        <is>
          <t>Catalogue fee €9,000/yr (entered by institution).</t>
        </is>
      </c>
      <c r="X84" s="25" t="inlineStr">
        <is>
          <t>High</t>
        </is>
      </c>
      <c r="Y84" s="25" t="inlineStr">
        <is>
          <t>9000</t>
        </is>
      </c>
      <c r="Z84" s="26" t="inlineStr">
        <is>
          <t>excellent level, or coming from associated universities, the fees are lowered to 5 , 473 €/year … excellent level, or coming from associated universities, the fees are lowered to 5 , 473 €/year</t>
        </is>
      </c>
      <c r="AA84" s="26" t="n"/>
      <c r="AB84" s="25" t="n"/>
      <c r="AC84" s="25" t="inlineStr">
        <is>
          <t>Open</t>
        </is>
      </c>
      <c r="AD84" s="25" t="inlineStr">
        <is>
          <t>2026-10-01</t>
        </is>
      </c>
      <c r="AE84" s="25" t="inlineStr">
        <is>
          <t>2027-03-15</t>
        </is>
      </c>
      <c r="AF84" s="25" t="inlineStr">
        <is>
          <t>Yes</t>
        </is>
      </c>
      <c r="AG84" s="25" t="n"/>
      <c r="AH84" s="26" t="n"/>
      <c r="AI84" s="28" t="inlineStr">
        <is>
          <t>Open in EEF</t>
        </is>
      </c>
    </row>
    <row r="85" ht="32.8" customHeight="1" s="19">
      <c r="A85" s="25" t="n">
        <v>84</v>
      </c>
      <c r="B85" s="25" t="inlineStr">
        <is>
          <t>★★★★★</t>
        </is>
      </c>
      <c r="C85" s="25" t="inlineStr">
        <is>
          <t>5 – Core fit (embedded/biomedical/health tech)</t>
        </is>
      </c>
      <c r="D85" s="25" t="inlineStr">
        <is>
          <t>Embedded systems / Electronics</t>
        </is>
      </c>
      <c r="E85" s="26" t="inlineStr">
        <is>
          <t>Master International Master Electronic Systems For Embedded Communication And Applications (pour étudiants internationaux)</t>
        </is>
      </c>
      <c r="F85" s="26" t="inlineStr">
        <is>
          <t>Master International Master Electronic Systems For Embedded Communication And Applications (for students international)</t>
        </is>
      </c>
      <c r="G85" s="25" t="inlineStr">
        <is>
          <t>Master indifférencié (recherche et professionnel)</t>
        </is>
      </c>
      <c r="H85" s="25" t="inlineStr">
        <is>
          <t>Institut national des sciences appliquées de Toulouse</t>
        </is>
      </c>
      <c r="I85" s="25" t="n"/>
      <c r="J85" s="25" t="inlineStr">
        <is>
          <t>Site de Toulouse</t>
        </is>
      </c>
      <c r="K85" s="25" t="inlineStr">
        <is>
          <t>31077 Toulouse Cedex</t>
        </is>
      </c>
      <c r="L85" s="25" t="inlineStr">
        <is>
          <t>Public school / institute</t>
        </is>
      </c>
      <c r="M85" s="25" t="inlineStr">
        <is>
          <t>French</t>
        </is>
      </c>
      <c r="N85" s="25" t="inlineStr">
        <is>
          <t>General</t>
        </is>
      </c>
      <c r="O85" s="25" t="inlineStr">
        <is>
          <t>Bac +4 / Bac +5</t>
        </is>
      </c>
      <c r="P85" s="26" t="inlineStr">
        <is>
          <t>Eligible on level (4-yr BS ≈ Bac+4)</t>
        </is>
      </c>
      <c r="Q85" s="25" t="inlineStr">
        <is>
          <t>1/2</t>
        </is>
      </c>
      <c r="R85" s="25" t="n"/>
      <c r="S85" s="27" t="n">
        <v>9000</v>
      </c>
      <c r="T85" s="27" t="n"/>
      <c r="U85" s="25" t="n">
        <v>2</v>
      </c>
      <c r="V85" s="27">
        <f>IF(S85="","",S85*U85)</f>
        <v/>
      </c>
      <c r="W85" s="26" t="inlineStr">
        <is>
          <t>Catalogue fee €9,000/yr (entered by institution).</t>
        </is>
      </c>
      <c r="X85" s="25" t="inlineStr">
        <is>
          <t>High</t>
        </is>
      </c>
      <c r="Y85" s="25" t="inlineStr">
        <is>
          <t>9000</t>
        </is>
      </c>
      <c r="Z85" s="26" t="n"/>
      <c r="AA85" s="26" t="n"/>
      <c r="AB85" s="25" t="n"/>
      <c r="AC85" s="25" t="inlineStr">
        <is>
          <t>Open</t>
        </is>
      </c>
      <c r="AD85" s="25" t="inlineStr">
        <is>
          <t>2026-10-01</t>
        </is>
      </c>
      <c r="AE85" s="25" t="inlineStr">
        <is>
          <t>2027-03-15</t>
        </is>
      </c>
      <c r="AF85" s="25" t="inlineStr">
        <is>
          <t>Yes</t>
        </is>
      </c>
      <c r="AG85" s="28" t="inlineStr">
        <is>
          <t>http://www.insa-toulouse.fr/fr/formation.html</t>
        </is>
      </c>
      <c r="AH85" s="26" t="inlineStr">
        <is>
          <t>Cette formation cible le domaine des systèmes électroniques pour applications embarquées et communicantes. Le cœur des enseignements se focalise sur la conception de circuits intégrés (bruit, CEM, Gestion de l’énergie, P</t>
        </is>
      </c>
      <c r="AI85" s="28" t="inlineStr">
        <is>
          <t>Open in EEF</t>
        </is>
      </c>
    </row>
    <row r="86" ht="32.8" customHeight="1" s="19">
      <c r="A86" s="25" t="n">
        <v>85</v>
      </c>
      <c r="B86" s="25" t="inlineStr">
        <is>
          <t>★★★★★</t>
        </is>
      </c>
      <c r="C86" s="25" t="inlineStr">
        <is>
          <t>5 – Core fit (embedded/biomedical/health tech)</t>
        </is>
      </c>
      <c r="D86" s="25" t="inlineStr">
        <is>
          <t>Biomedical / Health tech</t>
        </is>
      </c>
      <c r="E86" s="26" t="inlineStr">
        <is>
          <t>Master of Science (MSc) Biomedical and Health Engineering</t>
        </is>
      </c>
      <c r="F86" s="26" t="inlineStr">
        <is>
          <t>Master of Science (MSc) Biomedical and Health Engineering</t>
        </is>
      </c>
      <c r="G86" s="25" t="inlineStr">
        <is>
          <t>Master of Science (MSc)</t>
        </is>
      </c>
      <c r="H86" s="25" t="inlineStr">
        <is>
          <t>JUNIA</t>
        </is>
      </c>
      <c r="I86" s="25" t="inlineStr">
        <is>
          <t>Université catholique de Lille</t>
        </is>
      </c>
      <c r="J86" s="25" t="inlineStr">
        <is>
          <t>Lille</t>
        </is>
      </c>
      <c r="K86" s="25" t="n"/>
      <c r="L86" s="25" t="inlineStr">
        <is>
          <t>Private / EESPIG</t>
        </is>
      </c>
      <c r="M86" s="25" t="inlineStr">
        <is>
          <t>English</t>
        </is>
      </c>
      <c r="N86" s="25" t="inlineStr">
        <is>
          <t>Taught in English</t>
        </is>
      </c>
      <c r="O86" s="25" t="inlineStr">
        <is>
          <t>Bac +4</t>
        </is>
      </c>
      <c r="P86" s="26" t="inlineStr">
        <is>
          <t>Eligible on level (4-yr BS ≈ Bac+4)</t>
        </is>
      </c>
      <c r="Q86" s="25" t="inlineStr">
        <is>
          <t>1</t>
        </is>
      </c>
      <c r="R86" s="25" t="inlineStr">
        <is>
          <t>12</t>
        </is>
      </c>
      <c r="S86" s="27" t="n">
        <v>9527</v>
      </c>
      <c r="T86" s="27" t="n"/>
      <c r="U86" s="25" t="n">
        <v>1</v>
      </c>
      <c r="V86" s="27">
        <f>IF(S86="","",S86*U86)</f>
        <v/>
      </c>
      <c r="W86" s="26" t="inlineStr">
        <is>
          <t>Catalogue fee €9,527/yr (entered by institution).</t>
        </is>
      </c>
      <c r="X86" s="25" t="inlineStr">
        <is>
          <t>High</t>
        </is>
      </c>
      <c r="Y86" s="25" t="inlineStr">
        <is>
          <t>9527</t>
        </is>
      </c>
      <c r="Z86" s="26" t="n"/>
      <c r="AA86" s="26" t="n"/>
      <c r="AB86" s="25" t="n"/>
      <c r="AC86" s="25" t="inlineStr">
        <is>
          <t>Open</t>
        </is>
      </c>
      <c r="AD86" s="25" t="inlineStr">
        <is>
          <t>2026-10-01</t>
        </is>
      </c>
      <c r="AE86" s="25" t="inlineStr">
        <is>
          <t>2027-03-15</t>
        </is>
      </c>
      <c r="AF86" s="25" t="inlineStr">
        <is>
          <t>Yes</t>
        </is>
      </c>
      <c r="AG86" s="28" t="inlineStr">
        <is>
          <t>https://www.junia.com/en/home/</t>
        </is>
      </c>
      <c r="AH86" s="26" t="inlineStr">
        <is>
          <t>Minimum Bachelor degree in Life sciences (biology, health science or any related field), general engineering, physics. B2 level in English certified by an official test score (TOEFL, TOEIC, IELTS) except for students fro</t>
        </is>
      </c>
      <c r="AI86" s="28" t="inlineStr">
        <is>
          <t>Open in EEF</t>
        </is>
      </c>
    </row>
    <row r="87" ht="32.8" customHeight="1" s="19">
      <c r="A87" s="25" t="n">
        <v>86</v>
      </c>
      <c r="B87" s="25" t="inlineStr">
        <is>
          <t>★★★★★</t>
        </is>
      </c>
      <c r="C87" s="25" t="inlineStr">
        <is>
          <t>5 – Core fit (embedded/biomedical/health tech)</t>
        </is>
      </c>
      <c r="D87" s="25" t="inlineStr">
        <is>
          <t>Embedded systems / Electronics</t>
        </is>
      </c>
      <c r="E87" s="26" t="inlineStr">
        <is>
          <t>Diplôme d'ingénieur Master of Science and Engineering ISEN – Electronics and Embedded systems</t>
        </is>
      </c>
      <c r="F87" s="26" t="inlineStr">
        <is>
          <t>Engineering diploma Master of Science and Engineering ISEN – Electronics and Embedded systems</t>
        </is>
      </c>
      <c r="G87" s="25" t="inlineStr">
        <is>
          <t>Diplôme d'ingénieur</t>
        </is>
      </c>
      <c r="H87" s="25" t="inlineStr">
        <is>
          <t>JUNIA</t>
        </is>
      </c>
      <c r="I87" s="25" t="inlineStr">
        <is>
          <t>Université catholique de Lille</t>
        </is>
      </c>
      <c r="J87" s="25" t="inlineStr">
        <is>
          <t>Lille</t>
        </is>
      </c>
      <c r="K87" s="25" t="n"/>
      <c r="L87" s="25" t="inlineStr">
        <is>
          <t>Private / EESPIG</t>
        </is>
      </c>
      <c r="M87" s="25" t="inlineStr">
        <is>
          <t>English</t>
        </is>
      </c>
      <c r="N87" s="25" t="inlineStr">
        <is>
          <t>Taught in English</t>
        </is>
      </c>
      <c r="O87" s="25" t="inlineStr">
        <is>
          <t>Bac +4</t>
        </is>
      </c>
      <c r="P87" s="26" t="inlineStr">
        <is>
          <t>Eligible on level (4-yr BS ≈ Bac+4)</t>
        </is>
      </c>
      <c r="Q87" s="25" t="inlineStr">
        <is>
          <t>1</t>
        </is>
      </c>
      <c r="R87" s="25" t="inlineStr">
        <is>
          <t>12</t>
        </is>
      </c>
      <c r="S87" s="27" t="n">
        <v>9527</v>
      </c>
      <c r="T87" s="27" t="n"/>
      <c r="U87" s="25" t="n">
        <v>2</v>
      </c>
      <c r="V87" s="27">
        <f>IF(S87="","",S87*U87)</f>
        <v/>
      </c>
      <c r="W87" s="26" t="inlineStr">
        <is>
          <t>Catalogue fee €9,527/yr (entered by institution).</t>
        </is>
      </c>
      <c r="X87" s="25" t="inlineStr">
        <is>
          <t>High</t>
        </is>
      </c>
      <c r="Y87" s="25" t="inlineStr">
        <is>
          <t>9527</t>
        </is>
      </c>
      <c r="Z87" s="26" t="n"/>
      <c r="AA87" s="26" t="n"/>
      <c r="AB87" s="25" t="n"/>
      <c r="AC87" s="25" t="inlineStr">
        <is>
          <t>Open</t>
        </is>
      </c>
      <c r="AD87" s="25" t="inlineStr">
        <is>
          <t>2026-10-01</t>
        </is>
      </c>
      <c r="AE87" s="25" t="inlineStr">
        <is>
          <t>2027-03-15</t>
        </is>
      </c>
      <c r="AF87" s="25" t="inlineStr">
        <is>
          <t>Yes</t>
        </is>
      </c>
      <c r="AG87" s="28" t="inlineStr">
        <is>
          <t>https://www.junia.com/en/academics/master-of-science-and-engineering-in-electronics-and-embedded-systems/</t>
        </is>
      </c>
      <c r="AH87" s="26" t="inlineStr">
        <is>
          <t>Minimum Bachelor degree in Physics, Electronics, IT engineering or equivalent. B2 level in English certified by an official test score (TOEFL, TOEIC, IELTS or equivalent) except for students from countries where English</t>
        </is>
      </c>
      <c r="AI87" s="28" t="inlineStr">
        <is>
          <t>Open in EEF</t>
        </is>
      </c>
    </row>
    <row r="88" ht="32.8" customHeight="1" s="19">
      <c r="A88" s="25" t="n">
        <v>87</v>
      </c>
      <c r="B88" s="25" t="inlineStr">
        <is>
          <t>★★★★★</t>
        </is>
      </c>
      <c r="C88" s="25" t="inlineStr">
        <is>
          <t>5 – Core fit (embedded/biomedical/health tech)</t>
        </is>
      </c>
      <c r="D88" s="25" t="inlineStr">
        <is>
          <t>IoT / Telecom / Networks</t>
        </is>
      </c>
      <c r="E88" s="26" t="inlineStr">
        <is>
          <t>Mastère spécialisé Concepteur de Systèmes IoT Sécurisés</t>
        </is>
      </c>
      <c r="F88" s="26" t="inlineStr">
        <is>
          <t>Specialised Master (MS) Concepteur of Systems IoT Secure</t>
        </is>
      </c>
      <c r="G88" s="25" t="inlineStr">
        <is>
          <t>Mastère spécialisé</t>
        </is>
      </c>
      <c r="H88" s="25" t="inlineStr">
        <is>
          <t>Ecole nationale supérieure des mines de Saint-Etienne</t>
        </is>
      </c>
      <c r="I88" s="25" t="n"/>
      <c r="J88" s="25" t="inlineStr">
        <is>
          <t>Campus Georges Charpak Provence</t>
        </is>
      </c>
      <c r="K88" s="25" t="n"/>
      <c r="L88" s="25" t="inlineStr">
        <is>
          <t>Public school / institute</t>
        </is>
      </c>
      <c r="M88" s="25" t="inlineStr">
        <is>
          <t>French</t>
        </is>
      </c>
      <c r="N88" s="25" t="inlineStr">
        <is>
          <t>General</t>
        </is>
      </c>
      <c r="O88" s="25" t="inlineStr">
        <is>
          <t>Bac +6</t>
        </is>
      </c>
      <c r="P88" s="26" t="inlineStr">
        <is>
          <t>Possible – MS rules allow Bac+4 + ≥3 yrs work experience (you have 3)</t>
        </is>
      </c>
      <c r="Q88" s="25" t="inlineStr">
        <is>
          <t>1</t>
        </is>
      </c>
      <c r="R88" s="25" t="inlineStr">
        <is>
          <t>12</t>
        </is>
      </c>
      <c r="S88" s="27" t="n">
        <v>10000</v>
      </c>
      <c r="T88" s="27" t="n"/>
      <c r="U88" s="25" t="n">
        <v>1</v>
      </c>
      <c r="V88" s="27">
        <f>IF(S88="","",S88*U88)</f>
        <v/>
      </c>
      <c r="W88" s="26" t="inlineStr">
        <is>
          <t>Catalogue fee €10,000/yr (entered by institution).</t>
        </is>
      </c>
      <c r="X88" s="25" t="inlineStr">
        <is>
          <t>High</t>
        </is>
      </c>
      <c r="Y88" s="25" t="inlineStr">
        <is>
          <t>10000</t>
        </is>
      </c>
      <c r="Z88" s="26" t="inlineStr">
        <is>
          <t>Le tarif de la formation : 10 000 € si financement personnel (hors statut salarié) Il</t>
        </is>
      </c>
      <c r="AA88" s="26" t="n"/>
      <c r="AB88" s="25" t="n"/>
      <c r="AC88" s="25" t="inlineStr">
        <is>
          <t>Open</t>
        </is>
      </c>
      <c r="AD88" s="25" t="inlineStr">
        <is>
          <t>2026-10-01</t>
        </is>
      </c>
      <c r="AE88" s="25" t="inlineStr">
        <is>
          <t>2027-03-15</t>
        </is>
      </c>
      <c r="AF88" s="25" t="inlineStr">
        <is>
          <t>Yes</t>
        </is>
      </c>
      <c r="AG88" s="28" t="inlineStr">
        <is>
          <t>https://www.mines-stetienne.fr/formation/mastere-specialise-iot/</t>
        </is>
      </c>
      <c r="AH88" s="26" t="inlineStr">
        <is>
          <t>Profil « jeune diplômé » Ingénieur généraliste ou spécialisé (électronique, robotique, informatique) Master II scientifique Master I avec 3 ans d’expérience professionnelle Profil « expérimenté » Ingénieur roboticien Ing</t>
        </is>
      </c>
      <c r="AI88" s="28" t="inlineStr">
        <is>
          <t>Open in EEF</t>
        </is>
      </c>
    </row>
    <row r="89" ht="43.25" customHeight="1" s="19">
      <c r="A89" s="25" t="n">
        <v>88</v>
      </c>
      <c r="B89" s="25" t="inlineStr">
        <is>
          <t>★★★★★</t>
        </is>
      </c>
      <c r="C89" s="25" t="inlineStr">
        <is>
          <t>5 – Core fit (embedded/biomedical/health tech)</t>
        </is>
      </c>
      <c r="D89" s="25" t="inlineStr">
        <is>
          <t>Biomedical / Health tech</t>
        </is>
      </c>
      <c r="E89" s="26" t="inlineStr">
        <is>
          <t>Master of Science and Technology: Complex Systems Engineering track Biomedical Engineering</t>
        </is>
      </c>
      <c r="F89" s="26" t="inlineStr">
        <is>
          <t>Master of Science and Technology: Complex Systems Engineering track Biomedical Engineering</t>
        </is>
      </c>
      <c r="G89" s="25" t="inlineStr">
        <is>
          <t>Master indifférencié (recherche et professionnel)</t>
        </is>
      </c>
      <c r="H89" s="25" t="inlineStr">
        <is>
          <t>Ecole centrale de Marseille</t>
        </is>
      </c>
      <c r="I89" s="25" t="n"/>
      <c r="J89" s="25" t="inlineStr">
        <is>
          <t>Ecole Centrale de Marseille</t>
        </is>
      </c>
      <c r="K89" s="25" t="inlineStr">
        <is>
          <t>13013 MARSEILLE</t>
        </is>
      </c>
      <c r="L89" s="25" t="inlineStr">
        <is>
          <t>Public school / institute</t>
        </is>
      </c>
      <c r="M89" s="25" t="inlineStr">
        <is>
          <t>English</t>
        </is>
      </c>
      <c r="N89" s="25" t="inlineStr">
        <is>
          <t>Taught in English</t>
        </is>
      </c>
      <c r="O89" s="25" t="inlineStr">
        <is>
          <t>Bac +4 / Bac +5</t>
        </is>
      </c>
      <c r="P89" s="26" t="inlineStr">
        <is>
          <t>Eligible on level (4-yr BS ≈ Bac+4)</t>
        </is>
      </c>
      <c r="Q89" s="25" t="inlineStr">
        <is>
          <t>1/2</t>
        </is>
      </c>
      <c r="R89" s="25" t="inlineStr">
        <is>
          <t>24/12</t>
        </is>
      </c>
      <c r="S89" s="27" t="n">
        <v>10270</v>
      </c>
      <c r="T89" s="27" t="n"/>
      <c r="U89" s="25" t="n">
        <v>2</v>
      </c>
      <c r="V89" s="27">
        <f>IF(S89="","",S89*U89)</f>
        <v/>
      </c>
      <c r="W89" s="26" t="inlineStr">
        <is>
          <t>Catalogue fee €10,270/yr (entered by institution).</t>
        </is>
      </c>
      <c r="X89" s="25" t="inlineStr">
        <is>
          <t>High</t>
        </is>
      </c>
      <c r="Y89" s="25" t="inlineStr">
        <is>
          <t>10270</t>
        </is>
      </c>
      <c r="Z89" s="26" t="inlineStr">
        <is>
          <t>you about our decision Deadline for applications: June 1st, 2026 Fees European Students: €6 750 / year* Non-European Students: €10 270 € / y … you about our decision Deadline for applications: June 1st, 2026 Fees Europ</t>
        </is>
      </c>
      <c r="AA89" s="26" t="n"/>
      <c r="AB89" s="25" t="n"/>
      <c r="AC89" s="25" t="inlineStr">
        <is>
          <t>Open</t>
        </is>
      </c>
      <c r="AD89" s="25" t="inlineStr">
        <is>
          <t>2026-10-01</t>
        </is>
      </c>
      <c r="AE89" s="25" t="inlineStr">
        <is>
          <t>2027-03-15</t>
        </is>
      </c>
      <c r="AF89" s="25" t="inlineStr">
        <is>
          <t>Yes</t>
        </is>
      </c>
      <c r="AG89" s="28" t="inlineStr">
        <is>
          <t>https://www.centrale-mediterranee.fr/fr/formation/masters/master-biomedical-engineering</t>
        </is>
      </c>
      <c r="AH89" s="26" t="inlineStr">
        <is>
          <t>The master’s course is fully taught in English - B2 level (independent user) is required. Entry level: Undergraduate / Bachelor's degree (180 ECTS) - with a strong background in sciences: physics, mechanics, applied math</t>
        </is>
      </c>
      <c r="AI89" s="28" t="inlineStr">
        <is>
          <t>Open in EEF</t>
        </is>
      </c>
    </row>
    <row r="90" ht="32.8" customHeight="1" s="19">
      <c r="A90" s="25" t="n">
        <v>89</v>
      </c>
      <c r="B90" s="25" t="inlineStr">
        <is>
          <t>★★★★★</t>
        </is>
      </c>
      <c r="C90" s="25" t="inlineStr">
        <is>
          <t>5 – Core fit (embedded/biomedical/health tech)</t>
        </is>
      </c>
      <c r="D90" s="25" t="inlineStr">
        <is>
          <t>Embedded systems / Electronics</t>
        </is>
      </c>
      <c r="E90" s="26" t="inlineStr">
        <is>
          <t>Cycle d'ingénieur généraliste ESEO - SYSTÈMES EMBARQUÉS - ÉLECTRONIQUE &amp; RADIOFRÉQUENCES</t>
        </is>
      </c>
      <c r="F90" s="26" t="inlineStr">
        <is>
          <t>cycle of Engineer General ESEO - Embedded Systems - Electronics &amp; RADIOFRÉQUENCES</t>
        </is>
      </c>
      <c r="G90" s="25" t="inlineStr">
        <is>
          <t>Diplôme d'ingénieur</t>
        </is>
      </c>
      <c r="H90" s="25" t="inlineStr">
        <is>
          <t>ESEO</t>
        </is>
      </c>
      <c r="I90" s="25" t="n"/>
      <c r="J90" s="25" t="inlineStr">
        <is>
          <t>ESEO site d'Angers</t>
        </is>
      </c>
      <c r="K90" s="25" t="inlineStr">
        <is>
          <t>49100 Angers</t>
        </is>
      </c>
      <c r="L90" s="25" t="inlineStr">
        <is>
          <t>Private / EESPIG</t>
        </is>
      </c>
      <c r="M90" s="25" t="inlineStr">
        <is>
          <t>French</t>
        </is>
      </c>
      <c r="N90" s="25" t="inlineStr">
        <is>
          <t>General</t>
        </is>
      </c>
      <c r="O90" s="25" t="inlineStr">
        <is>
          <t>Bac +4</t>
        </is>
      </c>
      <c r="P90" s="26" t="inlineStr">
        <is>
          <t>Eligible on level (4-yr BS ≈ Bac+4)</t>
        </is>
      </c>
      <c r="Q90" s="25" t="inlineStr">
        <is>
          <t>4</t>
        </is>
      </c>
      <c r="R90" s="25" t="inlineStr">
        <is>
          <t>12</t>
        </is>
      </c>
      <c r="S90" s="27" t="n">
        <v>10890</v>
      </c>
      <c r="T90" s="27" t="n"/>
      <c r="U90" s="25" t="n">
        <v>2</v>
      </c>
      <c r="V90" s="27">
        <f>IF(S90="","",S90*U90)</f>
        <v/>
      </c>
      <c r="W90" s="26" t="inlineStr">
        <is>
          <t>Catalogue fee €10,890/yr (entered by institution).</t>
        </is>
      </c>
      <c r="X90" s="25" t="inlineStr">
        <is>
          <t>High</t>
        </is>
      </c>
      <c r="Y90" s="25" t="inlineStr">
        <is>
          <t>10890</t>
        </is>
      </c>
      <c r="Z90" s="26" t="n"/>
      <c r="AA90" s="26" t="n"/>
      <c r="AB90" s="25" t="n"/>
      <c r="AC90" s="25" t="inlineStr">
        <is>
          <t>Open</t>
        </is>
      </c>
      <c r="AD90" s="25" t="inlineStr">
        <is>
          <t>2026-10-01</t>
        </is>
      </c>
      <c r="AE90" s="25" t="inlineStr">
        <is>
          <t>2027-03-15</t>
        </is>
      </c>
      <c r="AF90" s="25" t="inlineStr">
        <is>
          <t>No</t>
        </is>
      </c>
      <c r="AG90" s="25" t="n"/>
      <c r="AH90" s="26" t="inlineStr">
        <is>
          <t>Cette option forme des ingénieurs spécialisés dans la conception, l’intégration et la mise en œuvre de solutions électroniques pour les systèmes embarqués et communicants. Elle permet de développer des compétences dans l</t>
        </is>
      </c>
      <c r="AI90" s="28" t="inlineStr">
        <is>
          <t>Open in EEF</t>
        </is>
      </c>
    </row>
    <row r="91" ht="32.8" customHeight="1" s="19">
      <c r="A91" s="25" t="n">
        <v>90</v>
      </c>
      <c r="B91" s="25" t="inlineStr">
        <is>
          <t>★★★★★</t>
        </is>
      </c>
      <c r="C91" s="25" t="inlineStr">
        <is>
          <t>5 – Core fit (embedded/biomedical/health tech)</t>
        </is>
      </c>
      <c r="D91" s="25" t="inlineStr">
        <is>
          <t>Embedded systems / Electronics</t>
        </is>
      </c>
      <c r="E91" s="26" t="inlineStr">
        <is>
          <t>Cycle d'ingénieur généraliste ESEO - SYSTÈMES EMBARQUÉS – LOGICIELS &amp; CYBERSÉCURITÉ</t>
        </is>
      </c>
      <c r="F91" s="26" t="inlineStr">
        <is>
          <t>cycle of Engineer General ESEO - Embedded Systems – Software &amp; Cybersecurity</t>
        </is>
      </c>
      <c r="G91" s="25" t="inlineStr">
        <is>
          <t>Diplôme d'ingénieur</t>
        </is>
      </c>
      <c r="H91" s="25" t="inlineStr">
        <is>
          <t>ESEO</t>
        </is>
      </c>
      <c r="I91" s="25" t="n"/>
      <c r="J91" s="25" t="inlineStr">
        <is>
          <t>ESEO site d'Angers</t>
        </is>
      </c>
      <c r="K91" s="25" t="inlineStr">
        <is>
          <t>49100 Angers</t>
        </is>
      </c>
      <c r="L91" s="25" t="inlineStr">
        <is>
          <t>Private / EESPIG</t>
        </is>
      </c>
      <c r="M91" s="25" t="inlineStr">
        <is>
          <t>French</t>
        </is>
      </c>
      <c r="N91" s="25" t="inlineStr">
        <is>
          <t>General</t>
        </is>
      </c>
      <c r="O91" s="25" t="inlineStr">
        <is>
          <t>Bac +4</t>
        </is>
      </c>
      <c r="P91" s="26" t="inlineStr">
        <is>
          <t>Eligible on level (4-yr BS ≈ Bac+4)</t>
        </is>
      </c>
      <c r="Q91" s="25" t="inlineStr">
        <is>
          <t>4</t>
        </is>
      </c>
      <c r="R91" s="25" t="inlineStr">
        <is>
          <t>12</t>
        </is>
      </c>
      <c r="S91" s="27" t="n">
        <v>10890</v>
      </c>
      <c r="T91" s="27" t="n"/>
      <c r="U91" s="25" t="n">
        <v>2</v>
      </c>
      <c r="V91" s="27">
        <f>IF(S91="","",S91*U91)</f>
        <v/>
      </c>
      <c r="W91" s="26" t="inlineStr">
        <is>
          <t>Catalogue fee €10,890/yr (entered by institution).</t>
        </is>
      </c>
      <c r="X91" s="25" t="inlineStr">
        <is>
          <t>High</t>
        </is>
      </c>
      <c r="Y91" s="25" t="inlineStr">
        <is>
          <t>10890</t>
        </is>
      </c>
      <c r="Z91" s="26" t="n"/>
      <c r="AA91" s="26" t="n"/>
      <c r="AB91" s="25" t="n"/>
      <c r="AC91" s="25" t="inlineStr">
        <is>
          <t>Open</t>
        </is>
      </c>
      <c r="AD91" s="25" t="inlineStr">
        <is>
          <t>2026-10-01</t>
        </is>
      </c>
      <c r="AE91" s="25" t="inlineStr">
        <is>
          <t>2027-03-15</t>
        </is>
      </c>
      <c r="AF91" s="25" t="inlineStr">
        <is>
          <t>No</t>
        </is>
      </c>
      <c r="AG91" s="25" t="n"/>
      <c r="AH91" s="26" t="inlineStr">
        <is>
          <t>Cette option forme des ingénieurs spécialisés dans le développement logiciel et la cybersécurité des systèmes embarqués communicants . Elle permet de développer des compétences en programmation, architecture des systèmes</t>
        </is>
      </c>
      <c r="AI91" s="28" t="inlineStr">
        <is>
          <t>Open in EEF</t>
        </is>
      </c>
    </row>
    <row r="92" ht="22.35" customHeight="1" s="19">
      <c r="A92" s="25" t="n">
        <v>91</v>
      </c>
      <c r="B92" s="25" t="inlineStr">
        <is>
          <t>★★★★★</t>
        </is>
      </c>
      <c r="C92" s="25" t="inlineStr">
        <is>
          <t>5 – Core fit (embedded/biomedical/health tech)</t>
        </is>
      </c>
      <c r="D92" s="25" t="inlineStr">
        <is>
          <t>Embedded systems / Electronics</t>
        </is>
      </c>
      <c r="E92" s="26" t="inlineStr">
        <is>
          <t>mastère spé. Architecte de systèmes embarqués</t>
        </is>
      </c>
      <c r="F92" s="26" t="inlineStr">
        <is>
          <t>Specialised Master (MS) Architect of Embedded Systems</t>
        </is>
      </c>
      <c r="G92" s="25" t="inlineStr">
        <is>
          <t>Mastère spécialisé</t>
        </is>
      </c>
      <c r="H92" s="25" t="inlineStr">
        <is>
          <t>SUPELEC Campus Rennes</t>
        </is>
      </c>
      <c r="I92" s="25" t="n"/>
      <c r="J92" s="25" t="inlineStr">
        <is>
          <t>Site de Cesson-Sévigné</t>
        </is>
      </c>
      <c r="K92" s="25" t="n"/>
      <c r="L92" s="25" t="inlineStr">
        <is>
          <t>Public school / institute</t>
        </is>
      </c>
      <c r="M92" s="25" t="inlineStr">
        <is>
          <t>French</t>
        </is>
      </c>
      <c r="N92" s="25" t="inlineStr">
        <is>
          <t>General</t>
        </is>
      </c>
      <c r="O92" s="25" t="n"/>
      <c r="P92" s="26" t="inlineStr">
        <is>
          <t>Possible – MS rules allow Bac+4 + ≥3 yrs work experience (you have 3)</t>
        </is>
      </c>
      <c r="Q92" s="25" t="inlineStr">
        <is>
          <t>1</t>
        </is>
      </c>
      <c r="R92" s="25" t="n"/>
      <c r="S92" s="27" t="n">
        <v>12000</v>
      </c>
      <c r="T92" s="27" t="n"/>
      <c r="U92" s="25" t="n">
        <v>1</v>
      </c>
      <c r="V92" s="27">
        <f>IF(S92="","",S92*U92)</f>
        <v/>
      </c>
      <c r="W92" s="26" t="inlineStr">
        <is>
          <t>Not in catalogue. Mastère Spécialisé programmes typically cost €9k–€23k. Verify.</t>
        </is>
      </c>
      <c r="X92" s="25" t="inlineStr">
        <is>
          <t>Low</t>
        </is>
      </c>
      <c r="Y92" s="25" t="n"/>
      <c r="Z92" s="26" t="n"/>
      <c r="AA92" s="26" t="n"/>
      <c r="AB92" s="25" t="n"/>
      <c r="AC92" s="25" t="inlineStr">
        <is>
          <t>Closed</t>
        </is>
      </c>
      <c r="AD92" s="25" t="n"/>
      <c r="AE92" s="25" t="n"/>
      <c r="AF92" s="25" t="inlineStr">
        <is>
          <t>No</t>
        </is>
      </c>
      <c r="AG92" s="28" t="inlineStr">
        <is>
          <t>http://www.supelec.fr</t>
        </is>
      </c>
      <c r="AH92" s="26" t="n"/>
      <c r="AI92" s="28" t="inlineStr">
        <is>
          <t>Open in EEF</t>
        </is>
      </c>
    </row>
    <row r="93" ht="32.8" customHeight="1" s="19">
      <c r="A93" s="25" t="n">
        <v>92</v>
      </c>
      <c r="B93" s="25" t="inlineStr">
        <is>
          <t>★★★★★</t>
        </is>
      </c>
      <c r="C93" s="25" t="inlineStr">
        <is>
          <t>5 – Core fit (embedded/biomedical/health tech)</t>
        </is>
      </c>
      <c r="D93" s="25" t="inlineStr">
        <is>
          <t>Biomedical / Health tech</t>
        </is>
      </c>
      <c r="E93" s="26" t="inlineStr">
        <is>
          <t>Mastère spécialisé Santé Numérique</t>
        </is>
      </c>
      <c r="F93" s="26" t="inlineStr">
        <is>
          <t>Specialised Master (MS) Health Digital</t>
        </is>
      </c>
      <c r="G93" s="25" t="inlineStr">
        <is>
          <t>Mastère spécialisé</t>
        </is>
      </c>
      <c r="H93" s="25" t="inlineStr">
        <is>
          <t>CentraleSupelec</t>
        </is>
      </c>
      <c r="I93" s="25" t="inlineStr">
        <is>
          <t>CentraleSupelec</t>
        </is>
      </c>
      <c r="J93" s="25" t="inlineStr">
        <is>
          <t>CentraleSupélec Exed</t>
        </is>
      </c>
      <c r="K93" s="25" t="inlineStr">
        <is>
          <t>91192 Gif-sur-Yvette Cedex France</t>
        </is>
      </c>
      <c r="L93" s="25" t="inlineStr">
        <is>
          <t>Public school / institute</t>
        </is>
      </c>
      <c r="M93" s="25" t="inlineStr">
        <is>
          <t>French</t>
        </is>
      </c>
      <c r="N93" s="25" t="inlineStr">
        <is>
          <t>General</t>
        </is>
      </c>
      <c r="O93" s="25" t="inlineStr">
        <is>
          <t>Bac +5</t>
        </is>
      </c>
      <c r="P93" s="26" t="inlineStr">
        <is>
          <t>Possible – MS rules allow Bac+4 + ≥3 yrs work experience (you have 3)</t>
        </is>
      </c>
      <c r="Q93" s="25" t="inlineStr">
        <is>
          <t>1</t>
        </is>
      </c>
      <c r="R93" s="25" t="n"/>
      <c r="S93" s="27" t="n">
        <v>12000</v>
      </c>
      <c r="T93" s="27" t="n"/>
      <c r="U93" s="25" t="n">
        <v>1</v>
      </c>
      <c r="V93" s="27">
        <f>IF(S93="","",S93*U93)</f>
        <v/>
      </c>
      <c r="W93" s="26" t="inlineStr">
        <is>
          <t>Not in catalogue. Mastère Spécialisé programmes typically cost €9k–€23k. Verify.</t>
        </is>
      </c>
      <c r="X93" s="25" t="inlineStr">
        <is>
          <t>Low</t>
        </is>
      </c>
      <c r="Y93" s="25" t="n"/>
      <c r="Z93" s="26" t="n"/>
      <c r="AA93" s="26" t="n"/>
      <c r="AB93" s="25" t="n"/>
      <c r="AC93" s="25" t="inlineStr">
        <is>
          <t>Open</t>
        </is>
      </c>
      <c r="AD93" s="25" t="inlineStr">
        <is>
          <t>2026-10-01</t>
        </is>
      </c>
      <c r="AE93" s="25" t="inlineStr">
        <is>
          <t>2027-03-15</t>
        </is>
      </c>
      <c r="AF93" s="25" t="inlineStr">
        <is>
          <t>Yes</t>
        </is>
      </c>
      <c r="AG93" s="28" t="inlineStr">
        <is>
          <t>https://exed.centralesupelec.fr/formation/mastere-specialise-sante-numerique/</t>
        </is>
      </c>
      <c r="AH93" s="26" t="inlineStr">
        <is>
          <t>Les candidats seront principalement des salariés d’entreprise souhaitant évoluer dans le domaine de la Santé Numérique. Quelques jeunes diplômés BAC+5 et à haut potentiel pourront également être intégrés à cette formatio</t>
        </is>
      </c>
      <c r="AI93" s="28" t="inlineStr">
        <is>
          <t>Open in EEF</t>
        </is>
      </c>
    </row>
    <row r="94" ht="32.8" customHeight="1" s="19">
      <c r="A94" s="25" t="n">
        <v>93</v>
      </c>
      <c r="B94" s="25" t="inlineStr">
        <is>
          <t>★★★★★</t>
        </is>
      </c>
      <c r="C94" s="25" t="inlineStr">
        <is>
          <t>5 – Core fit (embedded/biomedical/health tech)</t>
        </is>
      </c>
      <c r="D94" s="25" t="inlineStr">
        <is>
          <t>Embedded systems / Electronics</t>
        </is>
      </c>
      <c r="E94" s="26" t="inlineStr">
        <is>
          <t>Mastère spécialisé© Embedded systems</t>
        </is>
      </c>
      <c r="F94" s="26" t="inlineStr">
        <is>
          <t>Specialised Master (MS)© Embedded systems</t>
        </is>
      </c>
      <c r="G94" s="25" t="inlineStr">
        <is>
          <t>Mastère spécialisé</t>
        </is>
      </c>
      <c r="H94" s="25" t="inlineStr">
        <is>
          <t>École nationale supérieure d'électrotechnique, d'électronique, d'informatique, d'hydraulique et des télécommunications</t>
        </is>
      </c>
      <c r="I94" s="25" t="inlineStr">
        <is>
          <t>Institut national polytechnique de Toulouse</t>
        </is>
      </c>
      <c r="J94" s="25" t="inlineStr">
        <is>
          <t>Site de Toulouse</t>
        </is>
      </c>
      <c r="K94" s="25" t="inlineStr">
        <is>
          <t>31071 Toulouse Cedex</t>
        </is>
      </c>
      <c r="L94" s="25" t="inlineStr">
        <is>
          <t>Public school / institute</t>
        </is>
      </c>
      <c r="M94" s="25" t="inlineStr">
        <is>
          <t>English</t>
        </is>
      </c>
      <c r="N94" s="25" t="inlineStr">
        <is>
          <t>General</t>
        </is>
      </c>
      <c r="O94" s="25" t="inlineStr">
        <is>
          <t>Bac +5</t>
        </is>
      </c>
      <c r="P94" s="26" t="inlineStr">
        <is>
          <t>Possible – MS rules allow Bac+4 + ≥3 yrs work experience (you have 3)</t>
        </is>
      </c>
      <c r="Q94" s="25" t="inlineStr">
        <is>
          <t>1</t>
        </is>
      </c>
      <c r="R94" s="25" t="inlineStr">
        <is>
          <t>12</t>
        </is>
      </c>
      <c r="S94" s="27" t="n">
        <v>13500</v>
      </c>
      <c r="T94" s="27" t="n"/>
      <c r="U94" s="25" t="n">
        <v>1</v>
      </c>
      <c r="V94" s="27">
        <f>IF(S94="","",S94*U94)</f>
        <v/>
      </c>
      <c r="W94" s="26" t="inlineStr">
        <is>
          <t>Catalogue fee €13,500/yr (entered by institution).</t>
        </is>
      </c>
      <c r="X94" s="25" t="inlineStr">
        <is>
          <t>High</t>
        </is>
      </c>
      <c r="Y94" s="25" t="inlineStr">
        <is>
          <t>13500</t>
        </is>
      </c>
      <c r="Z94" s="26" t="n"/>
      <c r="AA94" s="26" t="n"/>
      <c r="AB94" s="25" t="n"/>
      <c r="AC94" s="25" t="inlineStr">
        <is>
          <t>Open</t>
        </is>
      </c>
      <c r="AD94" s="25" t="inlineStr">
        <is>
          <t>2026-10-01</t>
        </is>
      </c>
      <c r="AE94" s="25" t="inlineStr">
        <is>
          <t>2027-03-15</t>
        </is>
      </c>
      <c r="AF94" s="25" t="inlineStr">
        <is>
          <t>Yes</t>
        </is>
      </c>
      <c r="AG94" s="28" t="inlineStr">
        <is>
          <t>http://www.enseeiht.fr</t>
        </is>
      </c>
      <c r="AH94" s="26" t="inlineStr">
        <is>
          <t>Niveau d’étude exigé : Bac+5 (Diplôme de Grande École d'ingénieur, DEA, master 2…) ou Bac+4 (maîtrise ou master1 avec expérience professionnelle d'au moins 3 années dans une fonction à responsabilités)</t>
        </is>
      </c>
      <c r="AI94" s="28" t="inlineStr">
        <is>
          <t>Open in EEF</t>
        </is>
      </c>
    </row>
    <row r="95" ht="32.8" customHeight="1" s="19">
      <c r="A95" s="25" t="n">
        <v>94</v>
      </c>
      <c r="B95" s="25" t="inlineStr">
        <is>
          <t>★★★★★</t>
        </is>
      </c>
      <c r="C95" s="25" t="inlineStr">
        <is>
          <t>5 – Core fit (embedded/biomedical/health tech)</t>
        </is>
      </c>
      <c r="D95" s="25" t="inlineStr">
        <is>
          <t>Embedded systems / Electronics</t>
        </is>
      </c>
      <c r="E95" s="26" t="inlineStr">
        <is>
          <t>Master recherche Master in Science and Technology, Electronic Embedded Systems</t>
        </is>
      </c>
      <c r="F95" s="26" t="inlineStr">
        <is>
          <t>Research Master Master in Science and Technology, Electronic Embedded Systems</t>
        </is>
      </c>
      <c r="G95" s="25" t="inlineStr">
        <is>
          <t>Master recherche</t>
        </is>
      </c>
      <c r="H95" s="25" t="inlineStr">
        <is>
          <t>Ecole supérieure d'ingénieurs en génie électrique</t>
        </is>
      </c>
      <c r="I95" s="25" t="n"/>
      <c r="J95" s="25" t="inlineStr">
        <is>
          <t>Site de Saint-Etienne-du-Rouvray</t>
        </is>
      </c>
      <c r="K95" s="25" t="n"/>
      <c r="L95" s="25" t="inlineStr">
        <is>
          <t>Private / EESPIG</t>
        </is>
      </c>
      <c r="M95" s="25" t="inlineStr">
        <is>
          <t>English</t>
        </is>
      </c>
      <c r="N95" s="25" t="inlineStr">
        <is>
          <t>Taught in English</t>
        </is>
      </c>
      <c r="O95" s="25" t="inlineStr">
        <is>
          <t>Bac +4 / Bac +5</t>
        </is>
      </c>
      <c r="P95" s="26" t="inlineStr">
        <is>
          <t>Eligible on level (4-yr BS ≈ Bac+4)</t>
        </is>
      </c>
      <c r="Q95" s="25" t="inlineStr">
        <is>
          <t>1/2</t>
        </is>
      </c>
      <c r="R95" s="25" t="inlineStr">
        <is>
          <t>24/18</t>
        </is>
      </c>
      <c r="S95" s="27" t="n">
        <v>14000</v>
      </c>
      <c r="T95" s="27" t="n"/>
      <c r="U95" s="25" t="n">
        <v>2</v>
      </c>
      <c r="V95" s="27">
        <f>IF(S95="","",S95*U95)</f>
        <v/>
      </c>
      <c r="W95" s="26" t="inlineStr">
        <is>
          <t>Catalogue fee €14,000/yr (entered by institution).</t>
        </is>
      </c>
      <c r="X95" s="25" t="inlineStr">
        <is>
          <t>High</t>
        </is>
      </c>
      <c r="Y95" s="25" t="inlineStr">
        <is>
          <t>17000/14000</t>
        </is>
      </c>
      <c r="Z95" s="26" t="n"/>
      <c r="AA95" s="26" t="n"/>
      <c r="AB95" s="25" t="n"/>
      <c r="AC95" s="25" t="inlineStr">
        <is>
          <t>Open</t>
        </is>
      </c>
      <c r="AD95" s="25" t="inlineStr">
        <is>
          <t>2026-10-01</t>
        </is>
      </c>
      <c r="AE95" s="25" t="inlineStr">
        <is>
          <t>2027-03-15</t>
        </is>
      </c>
      <c r="AF95" s="25" t="inlineStr">
        <is>
          <t>Yes</t>
        </is>
      </c>
      <c r="AG95" s="28" t="inlineStr">
        <is>
          <t>https://esigelec.fr/fr</t>
        </is>
      </c>
      <c r="AH95" s="26" t="inlineStr">
        <is>
          <t>All courses are taught in English Admission Bachelor degree in engineering domains (Electronics, Computer Science,..) English proficiency Level equivalent to 6.0 at IELTS Interview in english with a representative of the</t>
        </is>
      </c>
      <c r="AI95" s="28" t="inlineStr">
        <is>
          <t>Open in EEF</t>
        </is>
      </c>
    </row>
    <row r="96" ht="32.8" customHeight="1" s="19">
      <c r="A96" s="25" t="n">
        <v>95</v>
      </c>
      <c r="B96" s="25" t="inlineStr">
        <is>
          <t>★★★★★</t>
        </is>
      </c>
      <c r="C96" s="25" t="inlineStr">
        <is>
          <t>5 – Core fit (embedded/biomedical/health tech)</t>
        </is>
      </c>
      <c r="D96" s="25" t="inlineStr">
        <is>
          <t>IoT / Telecom / Networks</t>
        </is>
      </c>
      <c r="E96" s="26" t="inlineStr">
        <is>
          <t>MSc&amp;T Internet of Things: Innovation and Management Program</t>
        </is>
      </c>
      <c r="F96" s="26" t="inlineStr">
        <is>
          <t>MSc&amp;T Internet of Things: Innovation and Management Program</t>
        </is>
      </c>
      <c r="G96" s="25" t="inlineStr">
        <is>
          <t>Master indifférencié (recherche et professionnel)</t>
        </is>
      </c>
      <c r="H96" s="25" t="inlineStr">
        <is>
          <t>Ecole polytechnique</t>
        </is>
      </c>
      <c r="I96" s="25" t="n"/>
      <c r="J96" s="25" t="inlineStr">
        <is>
          <t>Site de Palaiseau</t>
        </is>
      </c>
      <c r="K96" s="25" t="n"/>
      <c r="L96" s="25" t="inlineStr">
        <is>
          <t>Public school / institute</t>
        </is>
      </c>
      <c r="M96" s="25" t="inlineStr">
        <is>
          <t>English</t>
        </is>
      </c>
      <c r="N96" s="25" t="inlineStr">
        <is>
          <t>Taught in English</t>
        </is>
      </c>
      <c r="O96" s="25" t="inlineStr">
        <is>
          <t>Bac +4</t>
        </is>
      </c>
      <c r="P96" s="26" t="inlineStr">
        <is>
          <t>Eligible on level (4-yr BS ≈ Bac+4)</t>
        </is>
      </c>
      <c r="Q96" s="25" t="inlineStr">
        <is>
          <t>1</t>
        </is>
      </c>
      <c r="R96" s="25" t="n"/>
      <c r="S96" s="27" t="n">
        <v>15500</v>
      </c>
      <c r="T96" s="27" t="n"/>
      <c r="U96" s="25" t="n">
        <v>2</v>
      </c>
      <c r="V96" s="27">
        <f>IF(S96="","",S96*U96)</f>
        <v/>
      </c>
      <c r="W96" s="26" t="inlineStr">
        <is>
          <t>Not in catalogue. École polytechnique MSc&amp;T programs cost €15,500–19,200/yr (official page); IoT fee not published – verify.</t>
        </is>
      </c>
      <c r="X96" s="25" t="inlineStr">
        <is>
          <t>Low</t>
        </is>
      </c>
      <c r="Y96" s="25" t="n"/>
      <c r="Z96" s="26" t="n"/>
      <c r="AA96" s="26" t="n"/>
      <c r="AB96" s="25" t="n"/>
      <c r="AC96" s="25" t="inlineStr">
        <is>
          <t>Open</t>
        </is>
      </c>
      <c r="AD96" s="25" t="inlineStr">
        <is>
          <t>2026-10-01</t>
        </is>
      </c>
      <c r="AE96" s="25" t="inlineStr">
        <is>
          <t>2027-03-15</t>
        </is>
      </c>
      <c r="AF96" s="25" t="inlineStr">
        <is>
          <t>Yes</t>
        </is>
      </c>
      <c r="AG96" s="28" t="inlineStr">
        <is>
          <t>https://bit.ly/3sYFUba</t>
        </is>
      </c>
      <c r="AH96" s="26" t="inlineStr">
        <is>
          <t>Les candidats doivent être diplômés d’un Bachelor ( licence ) en science, technologie, ingénierie, mathématiques . Des candidats issus d’autres formations peuvent être pris en considération, à condition qu’ils aient de s</t>
        </is>
      </c>
      <c r="AI96" s="28" t="inlineStr">
        <is>
          <t>Open in EEF</t>
        </is>
      </c>
    </row>
    <row r="97" ht="32.8" customHeight="1" s="19">
      <c r="A97" s="25" t="n">
        <v>96</v>
      </c>
      <c r="B97" s="25" t="inlineStr">
        <is>
          <t>★★★★★</t>
        </is>
      </c>
      <c r="C97" s="25" t="inlineStr">
        <is>
          <t>5 – Core fit (embedded/biomedical/health tech)</t>
        </is>
      </c>
      <c r="D97" s="25" t="inlineStr">
        <is>
          <t>Embedded systems / Electronics</t>
        </is>
      </c>
      <c r="E97" s="26" t="inlineStr">
        <is>
          <t>Master in Sciences &amp; Technology, major "Embedded Electronic Systems"</t>
        </is>
      </c>
      <c r="F97" s="26" t="inlineStr">
        <is>
          <t>Master in Sciences &amp; Technology, major "Embedded Electronic Systems"</t>
        </is>
      </c>
      <c r="G97" s="25" t="inlineStr">
        <is>
          <t>Master indifférencié (recherche et professionnel)</t>
        </is>
      </c>
      <c r="H97" s="25" t="inlineStr">
        <is>
          <t>Ecole supérieure d'ingénieurs en génie électrique</t>
        </is>
      </c>
      <c r="I97" s="25" t="n"/>
      <c r="J97" s="25" t="inlineStr">
        <is>
          <t>Site de Saint-Etienne-du-Rouvray</t>
        </is>
      </c>
      <c r="K97" s="25" t="n"/>
      <c r="L97" s="25" t="inlineStr">
        <is>
          <t>Private / EESPIG</t>
        </is>
      </c>
      <c r="M97" s="25" t="inlineStr">
        <is>
          <t>English</t>
        </is>
      </c>
      <c r="N97" s="25" t="inlineStr">
        <is>
          <t>Taught in English</t>
        </is>
      </c>
      <c r="O97" s="25" t="inlineStr">
        <is>
          <t>Bac +4 / Bac +5</t>
        </is>
      </c>
      <c r="P97" s="26" t="inlineStr">
        <is>
          <t>Eligible on level (4-yr BS ≈ Bac+4)</t>
        </is>
      </c>
      <c r="Q97" s="25" t="inlineStr">
        <is>
          <t>1/2</t>
        </is>
      </c>
      <c r="R97" s="25" t="inlineStr">
        <is>
          <t>24</t>
        </is>
      </c>
      <c r="S97" s="27" t="n">
        <v>17000</v>
      </c>
      <c r="T97" s="27" t="n"/>
      <c r="U97" s="25" t="n">
        <v>2</v>
      </c>
      <c r="V97" s="27">
        <f>IF(S97="","",S97*U97)</f>
        <v/>
      </c>
      <c r="W97" s="26" t="inlineStr">
        <is>
          <t>Catalogue fee €17,000/yr (entered by institution).</t>
        </is>
      </c>
      <c r="X97" s="25" t="inlineStr">
        <is>
          <t>High</t>
        </is>
      </c>
      <c r="Y97" s="25" t="inlineStr">
        <is>
          <t>17000</t>
        </is>
      </c>
      <c r="Z97" s="26" t="n"/>
      <c r="AA97" s="26" t="n"/>
      <c r="AB97" s="25" t="n"/>
      <c r="AC97" s="25" t="inlineStr">
        <is>
          <t>Open</t>
        </is>
      </c>
      <c r="AD97" s="25" t="inlineStr">
        <is>
          <t>2026-10-01</t>
        </is>
      </c>
      <c r="AE97" s="25" t="inlineStr">
        <is>
          <t>2027-03-15</t>
        </is>
      </c>
      <c r="AF97" s="25" t="inlineStr">
        <is>
          <t>Yes</t>
        </is>
      </c>
      <c r="AG97" s="28" t="inlineStr">
        <is>
          <t>http://www.esigelec.fr</t>
        </is>
      </c>
      <c r="AH97" s="26" t="inlineStr">
        <is>
          <t>All courses are taught in English Admission Bachelor degree in engineering domains (Electronics, Computer Science,..) English proficiency Level equivalent to 6.0 at IELTS Interview in english with a representative of the</t>
        </is>
      </c>
      <c r="AI97" s="28" t="inlineStr">
        <is>
          <t>Open in EEF</t>
        </is>
      </c>
    </row>
    <row r="98" ht="43.25" customHeight="1" s="19">
      <c r="A98" s="25" t="n">
        <v>97</v>
      </c>
      <c r="B98" s="25" t="inlineStr">
        <is>
          <t>★★★★★</t>
        </is>
      </c>
      <c r="C98" s="25" t="inlineStr">
        <is>
          <t>5 – Core fit (embedded/biomedical/health tech)</t>
        </is>
      </c>
      <c r="D98" s="25" t="inlineStr">
        <is>
          <t>Embedded systems / Electronics</t>
        </is>
      </c>
      <c r="E98" s="26" t="inlineStr">
        <is>
          <t>Mastère Spécialisé® / Advanced Master EMS Embedded Systems</t>
        </is>
      </c>
      <c r="F98" s="26" t="inlineStr">
        <is>
          <t>Mastère Spécialisé® / Advanced Master EMS Embedded Systems</t>
        </is>
      </c>
      <c r="G98" s="25" t="inlineStr">
        <is>
          <t>Mastère spécialisé</t>
        </is>
      </c>
      <c r="H98" s="25" t="inlineStr">
        <is>
          <t>Institut supérieur de l'aéronautique et de l'espace</t>
        </is>
      </c>
      <c r="I98" s="25" t="n"/>
      <c r="J98" s="25" t="inlineStr">
        <is>
          <t>Site de Toulouse</t>
        </is>
      </c>
      <c r="K98" s="25" t="n"/>
      <c r="L98" s="25" t="inlineStr">
        <is>
          <t>Public school / institute</t>
        </is>
      </c>
      <c r="M98" s="25" t="inlineStr">
        <is>
          <t>English</t>
        </is>
      </c>
      <c r="N98" s="25" t="inlineStr">
        <is>
          <t>General</t>
        </is>
      </c>
      <c r="O98" s="25" t="inlineStr">
        <is>
          <t>Bac +6</t>
        </is>
      </c>
      <c r="P98" s="26" t="inlineStr">
        <is>
          <t>Possible – MS rules allow Bac+4 + ≥3 yrs work experience (you have 3)</t>
        </is>
      </c>
      <c r="Q98" s="25" t="inlineStr">
        <is>
          <t>1</t>
        </is>
      </c>
      <c r="R98" s="25" t="inlineStr">
        <is>
          <t>12</t>
        </is>
      </c>
      <c r="S98" s="27" t="n">
        <v>17000</v>
      </c>
      <c r="T98" s="27" t="n"/>
      <c r="U98" s="25" t="n">
        <v>1</v>
      </c>
      <c r="V98" s="27">
        <f>IF(S98="","",S98*U98)</f>
        <v/>
      </c>
      <c r="W98" s="26" t="inlineStr">
        <is>
          <t>ISAE-SUPAERO Advanced Master: €17,000 (non-EU self-funded) / €23,000 company-funded – 2025-26 rates (official site).</t>
        </is>
      </c>
      <c r="X98" s="25" t="inlineStr">
        <is>
          <t>High</t>
        </is>
      </c>
      <c r="Y98" s="25" t="n"/>
      <c r="Z98" s="26" t="n"/>
      <c r="AA98" s="26" t="n"/>
      <c r="AB98" s="25" t="n"/>
      <c r="AC98" s="25" t="inlineStr">
        <is>
          <t>Open</t>
        </is>
      </c>
      <c r="AD98" s="25" t="inlineStr">
        <is>
          <t>2026-10-01</t>
        </is>
      </c>
      <c r="AE98" s="25" t="inlineStr">
        <is>
          <t>2027-03-15</t>
        </is>
      </c>
      <c r="AF98" s="25" t="inlineStr">
        <is>
          <t>Yes</t>
        </is>
      </c>
      <c r="AG98" s="28" t="inlineStr">
        <is>
          <t>https://www.tsaae.fr/</t>
        </is>
      </c>
      <c r="AH98" s="26" t="inlineStr">
        <is>
          <t>Candidates can apply for our programme with the following backgrounds: Engineering degree Master 2 Master 1 with three years’ post-graduate professional experience A Master’s degree from a business school that is a membe</t>
        </is>
      </c>
      <c r="AI98" s="28" t="inlineStr">
        <is>
          <t>Open in EEF</t>
        </is>
      </c>
    </row>
    <row r="99" ht="43.25" customHeight="1" s="19">
      <c r="A99" s="25" t="n">
        <v>98</v>
      </c>
      <c r="B99" s="25" t="inlineStr">
        <is>
          <t>★★★★★</t>
        </is>
      </c>
      <c r="C99" s="25" t="inlineStr">
        <is>
          <t>5 – Core fit (embedded/biomedical/health tech)</t>
        </is>
      </c>
      <c r="D99" s="25" t="inlineStr">
        <is>
          <t>Embedded systems / Electronics</t>
        </is>
      </c>
      <c r="E99" s="26" t="inlineStr">
        <is>
          <t>Mastère Spécialisé® / Advanced Master EMS Embedded Systems</t>
        </is>
      </c>
      <c r="F99" s="26" t="inlineStr">
        <is>
          <t>Mastère Spécialisé® / Advanced Master EMS Embedded Systems</t>
        </is>
      </c>
      <c r="G99" s="25" t="inlineStr">
        <is>
          <t>Mastère spécialisé</t>
        </is>
      </c>
      <c r="H99" s="25" t="inlineStr">
        <is>
          <t>Institut supérieur de l'aéronautique et de l'espace</t>
        </is>
      </c>
      <c r="I99" s="25" t="n"/>
      <c r="J99" s="25" t="inlineStr">
        <is>
          <t>Site de Toulouse</t>
        </is>
      </c>
      <c r="K99" s="25" t="n"/>
      <c r="L99" s="25" t="inlineStr">
        <is>
          <t>Public school / institute</t>
        </is>
      </c>
      <c r="M99" s="25" t="inlineStr">
        <is>
          <t>English</t>
        </is>
      </c>
      <c r="N99" s="25" t="inlineStr">
        <is>
          <t>Taught in English</t>
        </is>
      </c>
      <c r="O99" s="25" t="inlineStr">
        <is>
          <t>Bac +6</t>
        </is>
      </c>
      <c r="P99" s="26" t="inlineStr">
        <is>
          <t>Possible – MS rules allow Bac+4 + ≥3 yrs work experience (you have 3)</t>
        </is>
      </c>
      <c r="Q99" s="25" t="inlineStr">
        <is>
          <t>1</t>
        </is>
      </c>
      <c r="R99" s="25" t="inlineStr">
        <is>
          <t>12</t>
        </is>
      </c>
      <c r="S99" s="27" t="n">
        <v>17000</v>
      </c>
      <c r="T99" s="27" t="n"/>
      <c r="U99" s="25" t="n">
        <v>1</v>
      </c>
      <c r="V99" s="27">
        <f>IF(S99="","",S99*U99)</f>
        <v/>
      </c>
      <c r="W99" s="26" t="inlineStr">
        <is>
          <t>ISAE-SUPAERO Advanced Master: €17,000 (non-EU self-funded) / €23,000 company-funded – 2025-26 rates (official site).</t>
        </is>
      </c>
      <c r="X99" s="25" t="inlineStr">
        <is>
          <t>High</t>
        </is>
      </c>
      <c r="Y99" s="25" t="n"/>
      <c r="Z99" s="26" t="n"/>
      <c r="AA99" s="26" t="n"/>
      <c r="AB99" s="25" t="n"/>
      <c r="AC99" s="25" t="inlineStr">
        <is>
          <t>Open</t>
        </is>
      </c>
      <c r="AD99" s="25" t="inlineStr">
        <is>
          <t>2026-10-01</t>
        </is>
      </c>
      <c r="AE99" s="25" t="inlineStr">
        <is>
          <t>2027-03-15</t>
        </is>
      </c>
      <c r="AF99" s="25" t="inlineStr">
        <is>
          <t>Yes</t>
        </is>
      </c>
      <c r="AG99" s="28" t="inlineStr">
        <is>
          <t>https://www.tsaae.fr/</t>
        </is>
      </c>
      <c r="AH99" s="26" t="inlineStr">
        <is>
          <t>Candidates can apply for our programme with the following backgrounds: Engineering degree Master 2 Master 1 with three years’ post-graduate professional experience A Master’s degree from a business school that is a membe</t>
        </is>
      </c>
      <c r="AI99" s="28" t="inlineStr">
        <is>
          <t>Open in EEF</t>
        </is>
      </c>
    </row>
    <row r="100" ht="32.8" customHeight="1" s="19">
      <c r="A100" s="25" t="n">
        <v>99</v>
      </c>
      <c r="B100" s="25" t="inlineStr">
        <is>
          <t>★★★★★</t>
        </is>
      </c>
      <c r="C100" s="25" t="inlineStr">
        <is>
          <t>5 – Core fit (embedded/biomedical/health tech)</t>
        </is>
      </c>
      <c r="D100" s="25" t="inlineStr">
        <is>
          <t>IoT / Telecom / Networks</t>
        </is>
      </c>
      <c r="E100" s="26" t="inlineStr">
        <is>
          <t>Master Sciences, technologies et santé mention Réseaux et Télécommunication parcours Internet des Objets</t>
        </is>
      </c>
      <c r="F100" s="26" t="inlineStr">
        <is>
          <t>Master Sciences, Technologies &amp; Health – major: Networks &amp; Telecommunication – track: Internet of Things</t>
        </is>
      </c>
      <c r="G100" s="25" t="inlineStr">
        <is>
          <t>Master indifférencié (recherche et professionnel)</t>
        </is>
      </c>
      <c r="H100" s="25" t="inlineStr">
        <is>
          <t>EURECOM</t>
        </is>
      </c>
      <c r="I100" s="25" t="n"/>
      <c r="J100" s="25" t="inlineStr">
        <is>
          <t>EURECOM</t>
        </is>
      </c>
      <c r="K100" s="25" t="inlineStr">
        <is>
          <t>06410 Biot - Sophia Antipolis</t>
        </is>
      </c>
      <c r="L100" s="25" t="inlineStr">
        <is>
          <t>Private / EESPIG</t>
        </is>
      </c>
      <c r="M100" s="25" t="inlineStr">
        <is>
          <t>English</t>
        </is>
      </c>
      <c r="N100" s="25" t="inlineStr">
        <is>
          <t>General</t>
        </is>
      </c>
      <c r="O100" s="25" t="inlineStr">
        <is>
          <t>Bac +4</t>
        </is>
      </c>
      <c r="P100" s="26" t="inlineStr">
        <is>
          <t>Eligible on level (4-yr BS ≈ Bac+4)</t>
        </is>
      </c>
      <c r="Q100" s="25" t="inlineStr">
        <is>
          <t>1</t>
        </is>
      </c>
      <c r="R100" s="25" t="inlineStr">
        <is>
          <t>24</t>
        </is>
      </c>
      <c r="S100" s="27" t="n">
        <v>18000</v>
      </c>
      <c r="T100" s="27" t="n"/>
      <c r="U100" s="25" t="n">
        <v>2</v>
      </c>
      <c r="V100" s="27">
        <f>IF(S100="","",S100*U100)</f>
        <v/>
      </c>
      <c r="W100" s="26" t="inlineStr">
        <is>
          <t>Catalogue fee €18,000/yr (entered by institution).</t>
        </is>
      </c>
      <c r="X100" s="25" t="inlineStr">
        <is>
          <t>High</t>
        </is>
      </c>
      <c r="Y100" s="25" t="inlineStr">
        <is>
          <t>18000</t>
        </is>
      </c>
      <c r="Z100" s="26" t="inlineStr">
        <is>
          <t>dmission définitive dans le programme est conditionnée à la réception d’un acompte de 1000€ sur les frais de formation</t>
        </is>
      </c>
      <c r="AA100" s="26" t="n"/>
      <c r="AB100" s="25" t="n"/>
      <c r="AC100" s="25" t="inlineStr">
        <is>
          <t>Open</t>
        </is>
      </c>
      <c r="AD100" s="25" t="inlineStr">
        <is>
          <t>2026-10-01</t>
        </is>
      </c>
      <c r="AE100" s="25" t="inlineStr">
        <is>
          <t>2027-03-15</t>
        </is>
      </c>
      <c r="AF100" s="25" t="inlineStr">
        <is>
          <t>Yes</t>
        </is>
      </c>
      <c r="AG100" s="28" t="inlineStr">
        <is>
          <t>https://www.eurecom.fr/fr/les-formations/master-en-reseaux-et-telecommunication/master-en-reseaux-et-telecommunication-1</t>
        </is>
      </c>
      <c r="AH100" s="26" t="inlineStr">
        <is>
          <t>Pour être éligibles, les candidats doivent être titulaires: un diplôme de grade de Licence/Bachelor ou diplôme équivalent à 3 années minimum d'études supérieures d'une université réputée dans le domaine des technologies</t>
        </is>
      </c>
      <c r="AI100" s="28" t="inlineStr">
        <is>
          <t>Open in EEF</t>
        </is>
      </c>
    </row>
    <row r="101" ht="32.8" customHeight="1" s="19">
      <c r="A101" s="25" t="n">
        <v>100</v>
      </c>
      <c r="B101" s="25" t="inlineStr">
        <is>
          <t>★★★★★</t>
        </is>
      </c>
      <c r="C101" s="25" t="inlineStr">
        <is>
          <t>5 – Core fit (embedded/biomedical/health tech)</t>
        </is>
      </c>
      <c r="D101" s="25" t="inlineStr">
        <is>
          <t>Biomedical / Health tech</t>
        </is>
      </c>
      <c r="E101" s="26" t="inlineStr">
        <is>
          <t>Master Sciences, Technologies &amp; Health in Networks &amp; Telecommunication - Internet of Things track</t>
        </is>
      </c>
      <c r="F101" s="26" t="inlineStr">
        <is>
          <t>Master Sciences, Technologies &amp; Health in Networks &amp; Telecommunication - Internet of Things track</t>
        </is>
      </c>
      <c r="G101" s="25" t="inlineStr">
        <is>
          <t>Master indifférencié (recherche et professionnel)</t>
        </is>
      </c>
      <c r="H101" s="25" t="inlineStr">
        <is>
          <t>EURECOM</t>
        </is>
      </c>
      <c r="I101" s="25" t="n"/>
      <c r="J101" s="25" t="inlineStr">
        <is>
          <t>EURECOM</t>
        </is>
      </c>
      <c r="K101" s="25" t="inlineStr">
        <is>
          <t>06410 Biot - Sophia Antipolis</t>
        </is>
      </c>
      <c r="L101" s="25" t="inlineStr">
        <is>
          <t>Private / EESPIG</t>
        </is>
      </c>
      <c r="M101" s="25" t="inlineStr">
        <is>
          <t>English</t>
        </is>
      </c>
      <c r="N101" s="25" t="inlineStr">
        <is>
          <t>Taught in English</t>
        </is>
      </c>
      <c r="O101" s="25" t="inlineStr">
        <is>
          <t>Bac +4</t>
        </is>
      </c>
      <c r="P101" s="26" t="inlineStr">
        <is>
          <t>Eligible on level (4-yr BS ≈ Bac+4)</t>
        </is>
      </c>
      <c r="Q101" s="25" t="inlineStr">
        <is>
          <t>1</t>
        </is>
      </c>
      <c r="R101" s="25" t="inlineStr">
        <is>
          <t>24</t>
        </is>
      </c>
      <c r="S101" s="27" t="n">
        <v>18000</v>
      </c>
      <c r="T101" s="27" t="n"/>
      <c r="U101" s="25" t="n">
        <v>2</v>
      </c>
      <c r="V101" s="27">
        <f>IF(S101="","",S101*U101)</f>
        <v/>
      </c>
      <c r="W101" s="26" t="inlineStr">
        <is>
          <t>Catalogue fee €18,000/yr (entered by institution).</t>
        </is>
      </c>
      <c r="X101" s="25" t="inlineStr">
        <is>
          <t>High</t>
        </is>
      </c>
      <c r="Y101" s="25" t="inlineStr">
        <is>
          <t>18000</t>
        </is>
      </c>
      <c r="Z101" s="26" t="inlineStr">
        <is>
          <t>h or French Final admission to the program is contingent upon the receipt of a deposit of €1000 on tuition fees</t>
        </is>
      </c>
      <c r="AA101" s="26" t="n"/>
      <c r="AB101" s="25" t="n"/>
      <c r="AC101" s="25" t="inlineStr">
        <is>
          <t>Open</t>
        </is>
      </c>
      <c r="AD101" s="25" t="inlineStr">
        <is>
          <t>2026-10-01</t>
        </is>
      </c>
      <c r="AE101" s="25" t="inlineStr">
        <is>
          <t>2027-03-15</t>
        </is>
      </c>
      <c r="AF101" s="25" t="inlineStr">
        <is>
          <t>Yes</t>
        </is>
      </c>
      <c r="AG101" s="28" t="inlineStr">
        <is>
          <t>https://www.eurecom.fr/en/teaching/master-networks-and-telecommunication/msc-networks-and-telecommunication-internet-things</t>
        </is>
      </c>
      <c r="AH101" s="26" t="inlineStr">
        <is>
          <t>To be eligible, candidates must hold: a Bachelor's degree or diploma equivalent to at least 3 years of higher education from a reputable university in the field of information and communication technologies. (Computer sc</t>
        </is>
      </c>
      <c r="AI101" s="28" t="inlineStr">
        <is>
          <t>Open in EEF</t>
        </is>
      </c>
    </row>
    <row r="102" ht="32.8" customHeight="1" s="19">
      <c r="A102" s="25" t="n">
        <v>101</v>
      </c>
      <c r="B102" s="25" t="inlineStr">
        <is>
          <t>★★★★★</t>
        </is>
      </c>
      <c r="C102" s="25" t="inlineStr">
        <is>
          <t>5 – Core fit (embedded/biomedical/health tech)</t>
        </is>
      </c>
      <c r="D102" s="25" t="inlineStr">
        <is>
          <t>IoT / Telecom / Networks</t>
        </is>
      </c>
      <c r="E102" s="26" t="inlineStr">
        <is>
          <t>Master indifférencié (recherche et professionnel) Master Computer Networks and IoT Systems</t>
        </is>
      </c>
      <c r="F102" s="26" t="inlineStr">
        <is>
          <t>Master Computer Networks and IoT Systems</t>
        </is>
      </c>
      <c r="G102" s="25" t="inlineStr">
        <is>
          <t>Master indifférencié (recherche et professionnel)</t>
        </is>
      </c>
      <c r="H102" s="25" t="inlineStr">
        <is>
          <t>Conservatoire national des arts et métiers - CNAM</t>
        </is>
      </c>
      <c r="I102" s="25" t="n"/>
      <c r="J102" s="25" t="inlineStr">
        <is>
          <t>Cnam Etablissement Public - EPN5 Computer Science</t>
        </is>
      </c>
      <c r="K102" s="25" t="inlineStr">
        <is>
          <t>75003 Paris</t>
        </is>
      </c>
      <c r="L102" s="25" t="inlineStr">
        <is>
          <t>Public school / institute</t>
        </is>
      </c>
      <c r="M102" s="25" t="inlineStr">
        <is>
          <t>English</t>
        </is>
      </c>
      <c r="N102" s="25" t="inlineStr">
        <is>
          <t>Taught in English</t>
        </is>
      </c>
      <c r="O102" s="25" t="inlineStr">
        <is>
          <t>Bac +5</t>
        </is>
      </c>
      <c r="P102" s="26" t="inlineStr">
        <is>
          <t>Requires Bac+5 (Master) – likely not eligible; ask if 4-yr BS + experience accepted</t>
        </is>
      </c>
      <c r="Q102" s="25" t="inlineStr">
        <is>
          <t>2</t>
        </is>
      </c>
      <c r="R102" s="25" t="inlineStr">
        <is>
          <t>12</t>
        </is>
      </c>
      <c r="S102" s="27" t="n">
        <v>3950</v>
      </c>
      <c r="T102" s="27" t="n">
        <v>255</v>
      </c>
      <c r="U102" s="25" t="n">
        <v>1</v>
      </c>
      <c r="V102" s="27">
        <f>IF(S102="","",S102*U102)</f>
        <v/>
      </c>
      <c r="W102" s="26" t="inlineStr">
        <is>
          <t>Catalogue: €3,770. = national differentiated master fee (2026-27: €3,950). Exemption to ~€255 possible (university quota).</t>
        </is>
      </c>
      <c r="X102" s="25" t="inlineStr">
        <is>
          <t>High</t>
        </is>
      </c>
      <c r="Y102" s="25" t="inlineStr">
        <is>
          <t>3770</t>
        </is>
      </c>
      <c r="Z102" s="26" t="n"/>
      <c r="AA102" s="26" t="n"/>
      <c r="AB102" s="25" t="n"/>
      <c r="AC102" s="25" t="inlineStr">
        <is>
          <t>Open</t>
        </is>
      </c>
      <c r="AD102" s="25" t="inlineStr">
        <is>
          <t>2026-10-01</t>
        </is>
      </c>
      <c r="AE102" s="25" t="inlineStr">
        <is>
          <t>2027-03-15</t>
        </is>
      </c>
      <c r="AF102" s="25" t="inlineStr">
        <is>
          <t>Yes</t>
        </is>
      </c>
      <c r="AG102" s="28" t="inlineStr">
        <is>
          <t>https://master.roc.cnam.fr</t>
        </is>
      </c>
      <c r="AH102" s="26" t="inlineStr">
        <is>
          <t>International, European and French students willing to pursue a Master degree program in English, and possessing a Bachelor-level degree in one of following fields: Computer Science, Electronics, Computer Engineering, El</t>
        </is>
      </c>
      <c r="AI102" s="28" t="inlineStr">
        <is>
          <t>Open in EEF</t>
        </is>
      </c>
    </row>
    <row r="103" ht="32.8" customHeight="1" s="19">
      <c r="A103" s="25" t="n">
        <v>102</v>
      </c>
      <c r="B103" s="25" t="inlineStr">
        <is>
          <t>★★★★★</t>
        </is>
      </c>
      <c r="C103" s="25" t="inlineStr">
        <is>
          <t>5 – Core fit (embedded/biomedical/health tech)</t>
        </is>
      </c>
      <c r="D103" s="25" t="inlineStr">
        <is>
          <t>Other engineering / maths</t>
        </is>
      </c>
      <c r="E103" s="26" t="inlineStr">
        <is>
          <t>Master Sciences, technologies, santé, mention Ingéniérie de la santé Parcours Medical device engineering</t>
        </is>
      </c>
      <c r="F103" s="26" t="inlineStr">
        <is>
          <t>Master Science, Technology, Health (STS), – major: Engineering of the Health – track: Medical device engineering</t>
        </is>
      </c>
      <c r="G103" s="25" t="inlineStr">
        <is>
          <t>Master indifférencié (recherche et professionnel)</t>
        </is>
      </c>
      <c r="H103" s="25" t="inlineStr">
        <is>
          <t>École polytechnique universitaire de l'Université Lyon 1</t>
        </is>
      </c>
      <c r="I103" s="25" t="inlineStr">
        <is>
          <t>Université Claude Bernard - Lyon 1</t>
        </is>
      </c>
      <c r="J103" s="25" t="inlineStr">
        <is>
          <t>Site de Villeurbanne</t>
        </is>
      </c>
      <c r="K103" s="25" t="inlineStr">
        <is>
          <t>69100 Villeurbanne</t>
        </is>
      </c>
      <c r="L103" s="25" t="inlineStr">
        <is>
          <t>Public school / institute</t>
        </is>
      </c>
      <c r="M103" s="25" t="inlineStr">
        <is>
          <t>English</t>
        </is>
      </c>
      <c r="N103" s="25" t="inlineStr">
        <is>
          <t>General</t>
        </is>
      </c>
      <c r="O103" s="25" t="inlineStr">
        <is>
          <t>Bac +5</t>
        </is>
      </c>
      <c r="P103" s="26" t="inlineStr">
        <is>
          <t>Requires Bac+5 (Master) – likely not eligible; ask if 4-yr BS + experience accepted</t>
        </is>
      </c>
      <c r="Q103" s="25" t="inlineStr">
        <is>
          <t>2</t>
        </is>
      </c>
      <c r="R103" s="25" t="n"/>
      <c r="S103" s="27" t="n">
        <v>3950</v>
      </c>
      <c r="T103" s="27" t="n">
        <v>255</v>
      </c>
      <c r="U103" s="25" t="n">
        <v>1</v>
      </c>
      <c r="V103" s="27">
        <f>IF(S103="","",S103*U103)</f>
        <v/>
      </c>
      <c r="W103" s="26" t="inlineStr">
        <is>
          <t>Catalogue: €3,950. = national differentiated master fee (2026-27: €3,950). Exemption to ~€255 possible (university quota).</t>
        </is>
      </c>
      <c r="X103" s="25" t="inlineStr">
        <is>
          <t>High</t>
        </is>
      </c>
      <c r="Y103" s="25" t="inlineStr">
        <is>
          <t>3950</t>
        </is>
      </c>
      <c r="Z103" s="26" t="n"/>
      <c r="AA103" s="26" t="inlineStr">
        <is>
          <t>Lyon 1: individual exemptions within the 30% quota (2026-27), apply via eCandidat.</t>
        </is>
      </c>
      <c r="AB103" s="28" t="inlineStr">
        <is>
          <t>https://www.univ-lyon1.fr/formation/inscription-et-scolarite/etudiantes-et-etudiants-internationaux-droits-dinscription-differencies-et-exonerations</t>
        </is>
      </c>
      <c r="AC103" s="25" t="inlineStr">
        <is>
          <t>Open</t>
        </is>
      </c>
      <c r="AD103" s="25" t="inlineStr">
        <is>
          <t>2026-10-01</t>
        </is>
      </c>
      <c r="AE103" s="25" t="inlineStr">
        <is>
          <t>2027-03-15</t>
        </is>
      </c>
      <c r="AF103" s="25" t="inlineStr">
        <is>
          <t>No</t>
        </is>
      </c>
      <c r="AG103" s="28" t="inlineStr">
        <is>
          <t>https://polytech.univ-lyon1.fr/formation/graduate-school</t>
        </is>
      </c>
      <c r="AH103" s="26" t="inlineStr">
        <is>
          <t>Le prérequis en langue anglaise est le niveau B2 Le catalogue Etudes en France de l'université est mis à jour chaque année lors du lancement de la nouvelle campagne. Si la formation souhaitée est indiquée "point d'entrée</t>
        </is>
      </c>
      <c r="AI103" s="28" t="inlineStr">
        <is>
          <t>Open in EEF</t>
        </is>
      </c>
    </row>
    <row r="104" ht="32.8" customHeight="1" s="19">
      <c r="A104" s="25" t="n">
        <v>103</v>
      </c>
      <c r="B104" s="25" t="inlineStr">
        <is>
          <t>★★★★★</t>
        </is>
      </c>
      <c r="C104" s="25" t="inlineStr">
        <is>
          <t>5 – Core fit (embedded/biomedical/health tech)</t>
        </is>
      </c>
      <c r="D104" s="25" t="inlineStr">
        <is>
          <t>Biomedical / Health tech</t>
        </is>
      </c>
      <c r="E104" s="26" t="inlineStr">
        <is>
          <t>Bio-imagerie/Bio-imaging</t>
        </is>
      </c>
      <c r="F104" s="26" t="inlineStr">
        <is>
          <t>Bio-imagerie/Bio-imaging</t>
        </is>
      </c>
      <c r="G104" s="25" t="inlineStr">
        <is>
          <t>Master indifférencié (recherche et professionnel)</t>
        </is>
      </c>
      <c r="H104" s="25" t="inlineStr">
        <is>
          <t>UFR des Sciences Fondamentales et Biomédicales</t>
        </is>
      </c>
      <c r="I104" s="25" t="inlineStr">
        <is>
          <t>Université Paris Cité</t>
        </is>
      </c>
      <c r="J104" s="25" t="inlineStr">
        <is>
          <t>Site de Paris</t>
        </is>
      </c>
      <c r="K104" s="25" t="inlineStr">
        <is>
          <t>75006 Paris</t>
        </is>
      </c>
      <c r="L104" s="25" t="inlineStr">
        <is>
          <t>Public university</t>
        </is>
      </c>
      <c r="M104" s="25" t="inlineStr">
        <is>
          <t>English</t>
        </is>
      </c>
      <c r="N104" s="25" t="inlineStr">
        <is>
          <t>General</t>
        </is>
      </c>
      <c r="O104" s="25" t="inlineStr">
        <is>
          <t>Bac +5</t>
        </is>
      </c>
      <c r="P104" s="26" t="inlineStr">
        <is>
          <t>Requires Bac+5 (Master) – likely not eligible; ask if 4-yr BS + experience accepted</t>
        </is>
      </c>
      <c r="Q104" s="25" t="inlineStr">
        <is>
          <t>2</t>
        </is>
      </c>
      <c r="R104" s="25" t="n"/>
      <c r="S104" s="27" t="n">
        <v>3950</v>
      </c>
      <c r="T104" s="27" t="n">
        <v>255</v>
      </c>
      <c r="U104" s="25" t="n">
        <v>1</v>
      </c>
      <c r="V104" s="27">
        <f>IF(S104="","",S104*U104)</f>
        <v/>
      </c>
      <c r="W104" s="26" t="inlineStr">
        <is>
          <t>Not in catalogue. Public national master → 2026-27 differentiated fee €3,950; exemption to ~€254-255 depends on university quota (25% cap in 2027-28).</t>
        </is>
      </c>
      <c r="X104" s="25" t="inlineStr">
        <is>
          <t>Medium</t>
        </is>
      </c>
      <c r="Y104" s="25" t="n"/>
      <c r="Z104" s="26" t="n"/>
      <c r="AA104" s="26" t="inlineStr">
        <is>
          <t>Paris Cité historically exempted non-EU master students (paid EU rate). 2026-27/2027-28 policy not yet published – confirm.</t>
        </is>
      </c>
      <c r="AB104" s="28" t="inlineStr">
        <is>
          <t>https://u-paris.fr/droits-dinscription-tarifs-exonerations/</t>
        </is>
      </c>
      <c r="AC104" s="25" t="inlineStr">
        <is>
          <t>Open</t>
        </is>
      </c>
      <c r="AD104" s="25" t="inlineStr">
        <is>
          <t>2026-10-01</t>
        </is>
      </c>
      <c r="AE104" s="25" t="inlineStr">
        <is>
          <t>2027-03-15</t>
        </is>
      </c>
      <c r="AF104" s="25" t="inlineStr">
        <is>
          <t>Yes</t>
        </is>
      </c>
      <c r="AG104" s="28" t="inlineStr">
        <is>
          <t>https://odf.u-paris.fr/fr/offre-de-formation/master-XB/sciences-technologies-sante-STS/ingenierie-de-la-sante-K2NDJ7KW.html</t>
        </is>
      </c>
      <c r="AH104" s="26" t="inlineStr">
        <is>
          <t>All courses are taught in English, so candidates must demonstrate a perfect command of English (C1 level certificate required) with no French prerequisites for non-French speaking students. Candidates must: - excel in th</t>
        </is>
      </c>
      <c r="AI104" s="28" t="inlineStr">
        <is>
          <t>Open in EEF</t>
        </is>
      </c>
    </row>
    <row r="105" ht="32.8" customHeight="1" s="19">
      <c r="A105" s="25" t="n">
        <v>104</v>
      </c>
      <c r="B105" s="25" t="inlineStr">
        <is>
          <t>★★★★★</t>
        </is>
      </c>
      <c r="C105" s="25" t="inlineStr">
        <is>
          <t>5 – Core fit (embedded/biomedical/health tech)</t>
        </is>
      </c>
      <c r="D105" s="25" t="inlineStr">
        <is>
          <t>Biomedical / Health tech</t>
        </is>
      </c>
      <c r="E105" s="26" t="inlineStr">
        <is>
          <t>Innovation en santé numérique/ Innovation in Digital Health</t>
        </is>
      </c>
      <c r="F105" s="26" t="inlineStr">
        <is>
          <t>Innovation in Health Digital/ Innovation in Digital Health</t>
        </is>
      </c>
      <c r="G105" s="25" t="inlineStr">
        <is>
          <t>Master indifférencié (recherche et professionnel)</t>
        </is>
      </c>
      <c r="H105" s="25" t="inlineStr">
        <is>
          <t>UFR des Sciences Fondamentales et Biomédicales</t>
        </is>
      </c>
      <c r="I105" s="25" t="inlineStr">
        <is>
          <t>Université Paris Cité</t>
        </is>
      </c>
      <c r="J105" s="25" t="inlineStr">
        <is>
          <t>Site de Paris</t>
        </is>
      </c>
      <c r="K105" s="25" t="inlineStr">
        <is>
          <t>75006 Paris</t>
        </is>
      </c>
      <c r="L105" s="25" t="inlineStr">
        <is>
          <t>Public university</t>
        </is>
      </c>
      <c r="M105" s="25" t="inlineStr">
        <is>
          <t>English</t>
        </is>
      </c>
      <c r="N105" s="25" t="inlineStr">
        <is>
          <t>General</t>
        </is>
      </c>
      <c r="O105" s="25" t="inlineStr">
        <is>
          <t>Bac +5</t>
        </is>
      </c>
      <c r="P105" s="26" t="inlineStr">
        <is>
          <t>Requires Bac+5 (Master) – likely not eligible; ask if 4-yr BS + experience accepted</t>
        </is>
      </c>
      <c r="Q105" s="25" t="inlineStr">
        <is>
          <t>2</t>
        </is>
      </c>
      <c r="R105" s="25" t="n"/>
      <c r="S105" s="27" t="n">
        <v>3950</v>
      </c>
      <c r="T105" s="27" t="n">
        <v>255</v>
      </c>
      <c r="U105" s="25" t="n">
        <v>1</v>
      </c>
      <c r="V105" s="27">
        <f>IF(S105="","",S105*U105)</f>
        <v/>
      </c>
      <c r="W105" s="26" t="inlineStr">
        <is>
          <t>Not in catalogue. Public national master → 2026-27 differentiated fee €3,950; exemption to ~€254-255 depends on university quota (25% cap in 2027-28).</t>
        </is>
      </c>
      <c r="X105" s="25" t="inlineStr">
        <is>
          <t>Medium</t>
        </is>
      </c>
      <c r="Y105" s="25" t="n"/>
      <c r="Z105" s="26" t="n"/>
      <c r="AA105" s="26" t="inlineStr">
        <is>
          <t>Paris Cité historically exempted non-EU master students (paid EU rate). 2026-27/2027-28 policy not yet published – confirm.</t>
        </is>
      </c>
      <c r="AB105" s="28" t="inlineStr">
        <is>
          <t>https://u-paris.fr/droits-dinscription-tarifs-exonerations/</t>
        </is>
      </c>
      <c r="AC105" s="25" t="inlineStr">
        <is>
          <t>Open</t>
        </is>
      </c>
      <c r="AD105" s="25" t="inlineStr">
        <is>
          <t>2026-10-01</t>
        </is>
      </c>
      <c r="AE105" s="25" t="inlineStr">
        <is>
          <t>2027-03-15</t>
        </is>
      </c>
      <c r="AF105" s="25" t="inlineStr">
        <is>
          <t>Yes</t>
        </is>
      </c>
      <c r="AG105" s="28" t="inlineStr">
        <is>
          <t>https://odf.u-paris.fr/fr/offre-de-formation/master-XB/sciences-technologies-sante-STS/ingenierie-de-la-sante-K2NDJ7KW.html</t>
        </is>
      </c>
      <c r="AH105" s="26" t="inlineStr">
        <is>
          <t>All courses are taught in English, so candidates must demonstrate a perfect command of English (C1 level certificate required) with no French prerequisites for non-French speaking students. Candidates must: - excel in th</t>
        </is>
      </c>
      <c r="AI105" s="28" t="inlineStr">
        <is>
          <t>Open in EEF</t>
        </is>
      </c>
    </row>
    <row r="106" ht="43.25" customHeight="1" s="19">
      <c r="A106" s="25" t="n">
        <v>105</v>
      </c>
      <c r="B106" s="25" t="inlineStr">
        <is>
          <t>★★★★★</t>
        </is>
      </c>
      <c r="C106" s="25" t="inlineStr">
        <is>
          <t>5 – Core fit (embedded/biomedical/health tech)</t>
        </is>
      </c>
      <c r="D106" s="25" t="inlineStr">
        <is>
          <t>Embedded systems / Electronics</t>
        </is>
      </c>
      <c r="E106" s="26" t="inlineStr">
        <is>
          <t>International Master in Embedded Systems Security - IMESS (ex-MISTRE Valence)</t>
        </is>
      </c>
      <c r="F106" s="26" t="inlineStr">
        <is>
          <t>International Master in Embedded Systems Security - IMESS (ex-MISTRE Valence)</t>
        </is>
      </c>
      <c r="G106" s="25" t="inlineStr">
        <is>
          <t>Master indifférencié (recherche et professionnel)</t>
        </is>
      </c>
      <c r="H106" s="25" t="inlineStr">
        <is>
          <t>Ecole nationale supérieure en systèmes avancés et réseaux - Grenoble INP</t>
        </is>
      </c>
      <c r="I106" s="25" t="inlineStr">
        <is>
          <t>Grenoble INP</t>
        </is>
      </c>
      <c r="J106" s="25" t="inlineStr">
        <is>
          <t>Site de Valence</t>
        </is>
      </c>
      <c r="K106" s="25" t="inlineStr">
        <is>
          <t>26902 Valence Cedex</t>
        </is>
      </c>
      <c r="L106" s="25" t="inlineStr">
        <is>
          <t>Public school / institute</t>
        </is>
      </c>
      <c r="M106" s="25" t="inlineStr">
        <is>
          <t>English</t>
        </is>
      </c>
      <c r="N106" s="25" t="inlineStr">
        <is>
          <t>Taught in English</t>
        </is>
      </c>
      <c r="O106" s="25" t="inlineStr">
        <is>
          <t>Bac +5</t>
        </is>
      </c>
      <c r="P106" s="26" t="inlineStr">
        <is>
          <t>Requires Bac+5 (Master) – likely not eligible; ask if 4-yr BS + experience accepted</t>
        </is>
      </c>
      <c r="Q106" s="25" t="inlineStr">
        <is>
          <t>2</t>
        </is>
      </c>
      <c r="R106" s="25" t="n"/>
      <c r="S106" s="27" t="n">
        <v>3950</v>
      </c>
      <c r="T106" s="27" t="n">
        <v>255</v>
      </c>
      <c r="U106" s="25" t="n">
        <v>1</v>
      </c>
      <c r="V106" s="27">
        <f>IF(S106="","",S106*U106)</f>
        <v/>
      </c>
      <c r="W106" s="26" t="inlineStr">
        <is>
          <t>Not in catalogue. Public national master → 2026-27 differentiated fee €3,950; exemption to ~€254-255 depends on university quota (25% cap in 2027-28).</t>
        </is>
      </c>
      <c r="X106" s="25" t="inlineStr">
        <is>
          <t>Medium</t>
        </is>
      </c>
      <c r="Y106" s="25" t="n"/>
      <c r="Z106" s="26" t="n"/>
      <c r="AA106" s="26" t="inlineStr">
        <is>
          <t>UGA (incl. Grenoble INP masters): 2026-27 broad exemptions on request (pay national €254). From 2027-28 the decree caps apply; exemptions based on resources.</t>
        </is>
      </c>
      <c r="AB106" s="28" t="inlineStr">
        <is>
          <t>https://www.univ-grenoble-alpes.fr/actualites/a-la-une/actualites-universite/etudiants-internationaux-ce-que-change-le-nouveau-decret-sur-les-droits-d-inscription-a-l-uga-1775870.kjsp</t>
        </is>
      </c>
      <c r="AC106" s="25" t="inlineStr">
        <is>
          <t>Open</t>
        </is>
      </c>
      <c r="AD106" s="25" t="inlineStr">
        <is>
          <t>2026-10-01</t>
        </is>
      </c>
      <c r="AE106" s="25" t="inlineStr">
        <is>
          <t>2027-03-15</t>
        </is>
      </c>
      <c r="AF106" s="25" t="inlineStr">
        <is>
          <t>Yes</t>
        </is>
      </c>
      <c r="AG106" s="28" t="inlineStr">
        <is>
          <t>https://esisar.grenoble-inp.fr/fr/formation/master-mistre#page-admission</t>
        </is>
      </c>
      <c r="AH106" s="26" t="inlineStr">
        <is>
          <t>***PAGE EN COURS D'ACTUALISATION POUR LA RENTREE UNIVERSITAIRE 2027- 2028 **** (PAGE CURRENTLY BEING UPDATED FOR THE 2027–2028 ACADEMIC YEAR) Avant de candidater, il est important de vérifier le coût de la formation et l</t>
        </is>
      </c>
      <c r="AI106" s="28" t="inlineStr">
        <is>
          <t>Open in EEF</t>
        </is>
      </c>
    </row>
    <row r="107" ht="43.25" customHeight="1" s="19">
      <c r="A107" s="25" t="n">
        <v>106</v>
      </c>
      <c r="B107" s="25" t="inlineStr">
        <is>
          <t>★★★★★</t>
        </is>
      </c>
      <c r="C107" s="25" t="inlineStr">
        <is>
          <t>5 – Core fit (embedded/biomedical/health tech)</t>
        </is>
      </c>
      <c r="D107" s="25" t="inlineStr">
        <is>
          <t>Embedded systems / Electronics</t>
        </is>
      </c>
      <c r="E107" s="26" t="inlineStr">
        <is>
          <t>Master indifférencié (recherche et professionnel) Sciences, technologies, santé mention Electronique, énergie électrique, automatique parcours International Master in Embedded Systems Security - IMESS (ex-MISTRE Valence)</t>
        </is>
      </c>
      <c r="F107" s="26" t="inlineStr">
        <is>
          <t>Science, Technology, Health (STS) – major: Electronics, Electrical Energy &amp; Automation (EEA) – track: International Master in Embedded Systems Security - IMESS (ex-MISTRE Valence)</t>
        </is>
      </c>
      <c r="G107" s="25" t="inlineStr">
        <is>
          <t>Master indifférencié (recherche et professionnel)</t>
        </is>
      </c>
      <c r="H107" s="25" t="inlineStr">
        <is>
          <t>Ecole nationale supérieure en systèmes avancés et réseaux - Grenoble INP</t>
        </is>
      </c>
      <c r="I107" s="25" t="inlineStr">
        <is>
          <t>Grenoble INP</t>
        </is>
      </c>
      <c r="J107" s="25" t="inlineStr">
        <is>
          <t>Site de Valence</t>
        </is>
      </c>
      <c r="K107" s="25" t="inlineStr">
        <is>
          <t>26902 Valence Cedex</t>
        </is>
      </c>
      <c r="L107" s="25" t="inlineStr">
        <is>
          <t>Public school / institute</t>
        </is>
      </c>
      <c r="M107" s="25" t="inlineStr">
        <is>
          <t>English</t>
        </is>
      </c>
      <c r="N107" s="25" t="inlineStr">
        <is>
          <t>General</t>
        </is>
      </c>
      <c r="O107" s="25" t="inlineStr">
        <is>
          <t>Bac +5</t>
        </is>
      </c>
      <c r="P107" s="26" t="inlineStr">
        <is>
          <t>Requires Bac+5 (Master) – likely not eligible; ask if 4-yr BS + experience accepted</t>
        </is>
      </c>
      <c r="Q107" s="25" t="inlineStr">
        <is>
          <t>2</t>
        </is>
      </c>
      <c r="R107" s="25" t="n"/>
      <c r="S107" s="27" t="n">
        <v>3950</v>
      </c>
      <c r="T107" s="27" t="n">
        <v>255</v>
      </c>
      <c r="U107" s="25" t="n">
        <v>1</v>
      </c>
      <c r="V107" s="27">
        <f>IF(S107="","",S107*U107)</f>
        <v/>
      </c>
      <c r="W107" s="26" t="inlineStr">
        <is>
          <t>Not in catalogue. Public national master → 2026-27 differentiated fee €3,950; exemption to ~€254-255 depends on university quota (25% cap in 2027-28).</t>
        </is>
      </c>
      <c r="X107" s="25" t="inlineStr">
        <is>
          <t>Medium</t>
        </is>
      </c>
      <c r="Y107" s="25" t="n"/>
      <c r="Z107" s="26" t="n"/>
      <c r="AA107" s="26" t="inlineStr">
        <is>
          <t>UGA (incl. Grenoble INP masters): 2026-27 broad exemptions on request (pay national €254). From 2027-28 the decree caps apply; exemptions based on resources.</t>
        </is>
      </c>
      <c r="AB107" s="28" t="inlineStr">
        <is>
          <t>https://www.univ-grenoble-alpes.fr/actualites/a-la-une/actualites-universite/etudiants-internationaux-ce-que-change-le-nouveau-decret-sur-les-droits-d-inscription-a-l-uga-1775870.kjsp</t>
        </is>
      </c>
      <c r="AC107" s="25" t="inlineStr">
        <is>
          <t>Open</t>
        </is>
      </c>
      <c r="AD107" s="25" t="inlineStr">
        <is>
          <t>2026-10-01</t>
        </is>
      </c>
      <c r="AE107" s="25" t="inlineStr">
        <is>
          <t>2027-03-15</t>
        </is>
      </c>
      <c r="AF107" s="25" t="inlineStr">
        <is>
          <t>Yes</t>
        </is>
      </c>
      <c r="AG107" s="28" t="inlineStr">
        <is>
          <t>https://esisar.grenoble-inp.fr/fr/formation/master-mistre#page-admission</t>
        </is>
      </c>
      <c r="AH107" s="26" t="inlineStr">
        <is>
          <t>***PAGE EN COURS D'ACTUALISATION POUR LA RENTREE UNIVERSITAIRE 2027- 2028 **** (PAGE CURRENTLY BEING UPDATED FOR THE 2027–2028 ACADEMIC YEAR) Avant de candidater, il est important de vérifier le coût de la formation et l</t>
        </is>
      </c>
      <c r="AI107" s="28" t="inlineStr">
        <is>
          <t>Open in EEF</t>
        </is>
      </c>
    </row>
    <row r="108" ht="32.8" customHeight="1" s="19">
      <c r="A108" s="25" t="n">
        <v>107</v>
      </c>
      <c r="B108" s="25" t="inlineStr">
        <is>
          <t>★★★★★</t>
        </is>
      </c>
      <c r="C108" s="25" t="inlineStr">
        <is>
          <t>5 – Core fit (embedded/biomedical/health tech)</t>
        </is>
      </c>
      <c r="D108" s="25" t="inlineStr">
        <is>
          <t>Biomedical / Health tech</t>
        </is>
      </c>
      <c r="E108" s="26" t="inlineStr">
        <is>
          <t>Master Sciences de la santé mention Ingénierie de la santé parcours Biomécanique/BioMechanics</t>
        </is>
      </c>
      <c r="F108" s="26" t="inlineStr">
        <is>
          <t>Master Sciences of the Health – major: Health Engineering – track: Biomécanique/BioMechanics</t>
        </is>
      </c>
      <c r="G108" s="25" t="inlineStr">
        <is>
          <t>Master indifférencié (recherche et professionnel)</t>
        </is>
      </c>
      <c r="H108" s="25" t="inlineStr">
        <is>
          <t>UFR des Sciences Fondamentales et Biomédicales</t>
        </is>
      </c>
      <c r="I108" s="25" t="inlineStr">
        <is>
          <t>Université Paris Cité</t>
        </is>
      </c>
      <c r="J108" s="25" t="inlineStr">
        <is>
          <t>Site de Paris</t>
        </is>
      </c>
      <c r="K108" s="25" t="inlineStr">
        <is>
          <t>75006 Paris</t>
        </is>
      </c>
      <c r="L108" s="25" t="inlineStr">
        <is>
          <t>Public university</t>
        </is>
      </c>
      <c r="M108" s="25" t="inlineStr">
        <is>
          <t>English</t>
        </is>
      </c>
      <c r="N108" s="25" t="inlineStr">
        <is>
          <t>General</t>
        </is>
      </c>
      <c r="O108" s="25" t="inlineStr">
        <is>
          <t>Bac +5</t>
        </is>
      </c>
      <c r="P108" s="26" t="inlineStr">
        <is>
          <t>Requires Bac+5 (Master) – likely not eligible; ask if 4-yr BS + experience accepted</t>
        </is>
      </c>
      <c r="Q108" s="25" t="inlineStr">
        <is>
          <t>2</t>
        </is>
      </c>
      <c r="R108" s="25" t="n"/>
      <c r="S108" s="27" t="n">
        <v>3950</v>
      </c>
      <c r="T108" s="27" t="n">
        <v>255</v>
      </c>
      <c r="U108" s="25" t="n">
        <v>1</v>
      </c>
      <c r="V108" s="27">
        <f>IF(S108="","",S108*U108)</f>
        <v/>
      </c>
      <c r="W108" s="26" t="inlineStr">
        <is>
          <t>Not in catalogue. Public national master → 2026-27 differentiated fee €3,950; exemption to ~€254-255 depends on university quota (25% cap in 2027-28).</t>
        </is>
      </c>
      <c r="X108" s="25" t="inlineStr">
        <is>
          <t>Medium</t>
        </is>
      </c>
      <c r="Y108" s="25" t="n"/>
      <c r="Z108" s="26" t="n"/>
      <c r="AA108" s="26" t="inlineStr">
        <is>
          <t>Paris Cité historically exempted non-EU master students (paid EU rate). 2026-27/2027-28 policy not yet published – confirm.</t>
        </is>
      </c>
      <c r="AB108" s="28" t="inlineStr">
        <is>
          <t>https://u-paris.fr/droits-dinscription-tarifs-exonerations/</t>
        </is>
      </c>
      <c r="AC108" s="25" t="inlineStr">
        <is>
          <t>Open</t>
        </is>
      </c>
      <c r="AD108" s="25" t="inlineStr">
        <is>
          <t>2026-10-01</t>
        </is>
      </c>
      <c r="AE108" s="25" t="inlineStr">
        <is>
          <t>2027-03-15</t>
        </is>
      </c>
      <c r="AF108" s="25" t="inlineStr">
        <is>
          <t>Yes</t>
        </is>
      </c>
      <c r="AG108" s="28" t="inlineStr">
        <is>
          <t>https://odf.u-paris.fr/fr/offre-de-formation/master-XB/sciences-technologies-sante-STS/ingenierie-de-la-sante-K2NDJ7KW.html</t>
        </is>
      </c>
      <c r="AH108" s="26" t="inlineStr">
        <is>
          <t>All courses are taught in English, so candidates must demonstrate a perfect command of English (C1 level certificate required) with no French prerequisites for non-French speaking students. Candidates must: - excel in th</t>
        </is>
      </c>
      <c r="AI108" s="28" t="inlineStr">
        <is>
          <t>Open in EEF</t>
        </is>
      </c>
    </row>
    <row r="109" ht="32.8" customHeight="1" s="19">
      <c r="A109" s="25" t="n">
        <v>108</v>
      </c>
      <c r="B109" s="25" t="inlineStr">
        <is>
          <t>★★★★★</t>
        </is>
      </c>
      <c r="C109" s="25" t="inlineStr">
        <is>
          <t>5 – Core fit (embedded/biomedical/health tech)</t>
        </is>
      </c>
      <c r="D109" s="25" t="inlineStr">
        <is>
          <t>Biomedical / Health tech</t>
        </is>
      </c>
      <c r="E109" s="26" t="inlineStr">
        <is>
          <t>Master recherche Sciences, technologies, santé mention sciences biologiques et technologiques pour la santé parcours Biomedical Engineering and Design</t>
        </is>
      </c>
      <c r="F109" s="26" t="inlineStr">
        <is>
          <t>Research Master Science, Technology, Health (STS) – major: Sciences Biological &amp; technologiques for the Health – track: Biomedical Engineering and Design</t>
        </is>
      </c>
      <c r="G109" s="25" t="inlineStr">
        <is>
          <t>Master recherche</t>
        </is>
      </c>
      <c r="H109" s="25" t="inlineStr">
        <is>
          <t>Ecole nationale supérieure des mines de Saint-Etienne</t>
        </is>
      </c>
      <c r="I109" s="25" t="n"/>
      <c r="J109" s="25" t="inlineStr">
        <is>
          <t>Site de Saint-Etienne</t>
        </is>
      </c>
      <c r="K109" s="25" t="n"/>
      <c r="L109" s="25" t="inlineStr">
        <is>
          <t>Public school / institute</t>
        </is>
      </c>
      <c r="M109" s="25" t="inlineStr">
        <is>
          <t>English</t>
        </is>
      </c>
      <c r="N109" s="25" t="inlineStr">
        <is>
          <t>General</t>
        </is>
      </c>
      <c r="O109" s="25" t="inlineStr">
        <is>
          <t>Bac +5</t>
        </is>
      </c>
      <c r="P109" s="26" t="inlineStr">
        <is>
          <t>Requires Bac+5 (Master) – likely not eligible; ask if 4-yr BS + experience accepted</t>
        </is>
      </c>
      <c r="Q109" s="25" t="inlineStr">
        <is>
          <t>2</t>
        </is>
      </c>
      <c r="R109" s="25" t="inlineStr">
        <is>
          <t>12</t>
        </is>
      </c>
      <c r="S109" s="27" t="n">
        <v>3950</v>
      </c>
      <c r="T109" s="27" t="n">
        <v>255</v>
      </c>
      <c r="U109" s="25" t="n">
        <v>1</v>
      </c>
      <c r="V109" s="27">
        <f>IF(S109="","",S109*U109)</f>
        <v/>
      </c>
      <c r="W109" s="26" t="inlineStr">
        <is>
          <t>Not in catalogue. Public national master → 2026-27 differentiated fee €3,950; exemption to ~€254-255 depends on university quota (25% cap in 2027-28).</t>
        </is>
      </c>
      <c r="X109" s="25" t="inlineStr">
        <is>
          <t>Medium</t>
        </is>
      </c>
      <c r="Y109" s="25" t="n"/>
      <c r="Z109" s="26" t="n"/>
      <c r="AA109" s="26" t="n"/>
      <c r="AB109" s="25" t="n"/>
      <c r="AC109" s="25" t="inlineStr">
        <is>
          <t>Open</t>
        </is>
      </c>
      <c r="AD109" s="25" t="inlineStr">
        <is>
          <t>2026-10-01</t>
        </is>
      </c>
      <c r="AE109" s="25" t="inlineStr">
        <is>
          <t>2027-03-15</t>
        </is>
      </c>
      <c r="AF109" s="25" t="inlineStr">
        <is>
          <t>Yes</t>
        </is>
      </c>
      <c r="AG109" s="28" t="inlineStr">
        <is>
          <t>http://www.mines-stetienne.fr/formation-mines-saint-etienne/</t>
        </is>
      </c>
      <c r="AH109" s="26" t="inlineStr">
        <is>
          <t>master 1 validé</t>
        </is>
      </c>
      <c r="AI109" s="28" t="inlineStr">
        <is>
          <t>Open in EEF</t>
        </is>
      </c>
    </row>
    <row r="110" ht="32.8" customHeight="1" s="19">
      <c r="A110" s="25" t="n">
        <v>109</v>
      </c>
      <c r="B110" s="25" t="inlineStr">
        <is>
          <t>★★★★★</t>
        </is>
      </c>
      <c r="C110" s="25" t="inlineStr">
        <is>
          <t>5 – Core fit (embedded/biomedical/health tech)</t>
        </is>
      </c>
      <c r="D110" s="25" t="inlineStr">
        <is>
          <t>Neuroscience / Neuro-engineering</t>
        </is>
      </c>
      <c r="E110" s="26" t="inlineStr">
        <is>
          <t>Neurotechnologies/Neurotechnologies</t>
        </is>
      </c>
      <c r="F110" s="26" t="inlineStr">
        <is>
          <t>Neurotechnologies/Neurotechnologies</t>
        </is>
      </c>
      <c r="G110" s="25" t="inlineStr">
        <is>
          <t>Master indifférencié (recherche et professionnel)</t>
        </is>
      </c>
      <c r="H110" s="25" t="inlineStr">
        <is>
          <t>UFR des Sciences Fondamentales et Biomédicales</t>
        </is>
      </c>
      <c r="I110" s="25" t="inlineStr">
        <is>
          <t>Université Paris Cité</t>
        </is>
      </c>
      <c r="J110" s="25" t="inlineStr">
        <is>
          <t>Site de Paris</t>
        </is>
      </c>
      <c r="K110" s="25" t="inlineStr">
        <is>
          <t>75006 Paris</t>
        </is>
      </c>
      <c r="L110" s="25" t="inlineStr">
        <is>
          <t>Public university</t>
        </is>
      </c>
      <c r="M110" s="25" t="inlineStr">
        <is>
          <t>English</t>
        </is>
      </c>
      <c r="N110" s="25" t="inlineStr">
        <is>
          <t>General</t>
        </is>
      </c>
      <c r="O110" s="25" t="inlineStr">
        <is>
          <t>Bac +5</t>
        </is>
      </c>
      <c r="P110" s="26" t="inlineStr">
        <is>
          <t>Requires Bac+5 (Master) – likely not eligible; ask if 4-yr BS + experience accepted</t>
        </is>
      </c>
      <c r="Q110" s="25" t="inlineStr">
        <is>
          <t>2</t>
        </is>
      </c>
      <c r="R110" s="25" t="n"/>
      <c r="S110" s="27" t="n">
        <v>3950</v>
      </c>
      <c r="T110" s="27" t="n">
        <v>255</v>
      </c>
      <c r="U110" s="25" t="n">
        <v>1</v>
      </c>
      <c r="V110" s="27">
        <f>IF(S110="","",S110*U110)</f>
        <v/>
      </c>
      <c r="W110" s="26" t="inlineStr">
        <is>
          <t>Not in catalogue. Public national master → 2026-27 differentiated fee €3,950; exemption to ~€254-255 depends on university quota (25% cap in 2027-28).</t>
        </is>
      </c>
      <c r="X110" s="25" t="inlineStr">
        <is>
          <t>Medium</t>
        </is>
      </c>
      <c r="Y110" s="25" t="n"/>
      <c r="Z110" s="26" t="n"/>
      <c r="AA110" s="26" t="inlineStr">
        <is>
          <t>Paris Cité historically exempted non-EU master students (paid EU rate). 2026-27/2027-28 policy not yet published – confirm.</t>
        </is>
      </c>
      <c r="AB110" s="28" t="inlineStr">
        <is>
          <t>https://u-paris.fr/droits-dinscription-tarifs-exonerations/</t>
        </is>
      </c>
      <c r="AC110" s="25" t="inlineStr">
        <is>
          <t>Open</t>
        </is>
      </c>
      <c r="AD110" s="25" t="inlineStr">
        <is>
          <t>2026-10-01</t>
        </is>
      </c>
      <c r="AE110" s="25" t="inlineStr">
        <is>
          <t>2027-03-15</t>
        </is>
      </c>
      <c r="AF110" s="25" t="inlineStr">
        <is>
          <t>Yes</t>
        </is>
      </c>
      <c r="AG110" s="28" t="inlineStr">
        <is>
          <t>https://odf.u-paris.fr/fr/offre-de-formation/master-XB/sciences-technologies-sante-STS/ingenierie-de-la-sante-K2NDJ7KW.html</t>
        </is>
      </c>
      <c r="AH110" s="26" t="inlineStr">
        <is>
          <t>All courses are taught in English, so candidates must demonstrate a perfect command of English (C1 level certificate required) with no French prerequisites for non-French speaking students. Candidates must: - excel in th</t>
        </is>
      </c>
      <c r="AI110" s="28" t="inlineStr">
        <is>
          <t>Open in EEF</t>
        </is>
      </c>
    </row>
    <row r="111" ht="32.8" customHeight="1" s="19">
      <c r="A111" s="25" t="n">
        <v>110</v>
      </c>
      <c r="B111" s="25" t="inlineStr">
        <is>
          <t>★★★★★</t>
        </is>
      </c>
      <c r="C111" s="25" t="inlineStr">
        <is>
          <t>5 – Core fit (embedded/biomedical/health tech)</t>
        </is>
      </c>
      <c r="D111" s="25" t="inlineStr">
        <is>
          <t>Biomedical / Health tech</t>
        </is>
      </c>
      <c r="E111" s="26" t="inlineStr">
        <is>
          <t>Master Sciences, technologies, santé, mention Cancer parcours Cancer Bioengineering</t>
        </is>
      </c>
      <c r="F111" s="26" t="inlineStr">
        <is>
          <t>Master Science, Technology, Health (STS), – major: Cancer – track: Cancer Bioengineering</t>
        </is>
      </c>
      <c r="G111" s="25" t="inlineStr">
        <is>
          <t>Master indifférencié (recherche et professionnel)</t>
        </is>
      </c>
      <c r="H111" s="25" t="inlineStr">
        <is>
          <t>Institut des sciences pharmaceutiques et biologiques</t>
        </is>
      </c>
      <c r="I111" s="25" t="inlineStr">
        <is>
          <t>Université Claude Bernard - Lyon 1</t>
        </is>
      </c>
      <c r="J111" s="25" t="inlineStr">
        <is>
          <t>Site de Lyon</t>
        </is>
      </c>
      <c r="K111" s="25" t="n"/>
      <c r="L111" s="25" t="inlineStr">
        <is>
          <t>Public school / institute</t>
        </is>
      </c>
      <c r="M111" s="25" t="inlineStr">
        <is>
          <t>French &amp; English</t>
        </is>
      </c>
      <c r="N111" s="25" t="inlineStr">
        <is>
          <t>General</t>
        </is>
      </c>
      <c r="O111" s="25" t="inlineStr">
        <is>
          <t>Bac +5</t>
        </is>
      </c>
      <c r="P111" s="26" t="inlineStr">
        <is>
          <t>Requires Bac+5 (Master) – likely not eligible; ask if 4-yr BS + experience accepted</t>
        </is>
      </c>
      <c r="Q111" s="25" t="inlineStr">
        <is>
          <t>2</t>
        </is>
      </c>
      <c r="R111" s="25" t="n"/>
      <c r="S111" s="27" t="n">
        <v>3950</v>
      </c>
      <c r="T111" s="27" t="n">
        <v>255</v>
      </c>
      <c r="U111" s="25" t="n">
        <v>1</v>
      </c>
      <c r="V111" s="27">
        <f>IF(S111="","",S111*U111)</f>
        <v/>
      </c>
      <c r="W111" s="26" t="inlineStr">
        <is>
          <t>Catalogue: €3,950. = national differentiated master fee (2026-27: €3,950). Exemption to ~€255 possible (university quota).</t>
        </is>
      </c>
      <c r="X111" s="25" t="inlineStr">
        <is>
          <t>High</t>
        </is>
      </c>
      <c r="Y111" s="25" t="inlineStr">
        <is>
          <t>3950</t>
        </is>
      </c>
      <c r="Z111" s="26" t="n"/>
      <c r="AA111" s="26" t="inlineStr">
        <is>
          <t>Lyon 1: individual exemptions within the 30% quota (2026-27), apply via eCandidat.</t>
        </is>
      </c>
      <c r="AB111" s="28" t="inlineStr">
        <is>
          <t>https://www.univ-lyon1.fr/formation/inscription-et-scolarite/etudiantes-et-etudiants-internationaux-droits-dinscription-differencies-et-exonerations</t>
        </is>
      </c>
      <c r="AC111" s="25" t="inlineStr">
        <is>
          <t>Open</t>
        </is>
      </c>
      <c r="AD111" s="25" t="inlineStr">
        <is>
          <t>2026-10-01</t>
        </is>
      </c>
      <c r="AE111" s="25" t="inlineStr">
        <is>
          <t>2027-03-15</t>
        </is>
      </c>
      <c r="AF111" s="25" t="inlineStr">
        <is>
          <t>No</t>
        </is>
      </c>
      <c r="AG111" s="28" t="inlineStr">
        <is>
          <t>http://ispb.univ-lyon1.fr/</t>
        </is>
      </c>
      <c r="AH111" s="26" t="inlineStr">
        <is>
          <t>Niveau de langue française requis (obligatoire mais non suffisant pour l'accès à l'Université) Pour toutes les candidatures (sauf titulaires d'un baccalauréat dans un pays exclusivement francophone), pour cette formation</t>
        </is>
      </c>
      <c r="AI111" s="28" t="inlineStr">
        <is>
          <t>Open in EEF</t>
        </is>
      </c>
    </row>
    <row r="112" ht="32.8" customHeight="1" s="19">
      <c r="A112" s="25" t="n">
        <v>111</v>
      </c>
      <c r="B112" s="25" t="inlineStr">
        <is>
          <t>★★★★★</t>
        </is>
      </c>
      <c r="C112" s="25" t="inlineStr">
        <is>
          <t>5 – Core fit (embedded/biomedical/health tech)</t>
        </is>
      </c>
      <c r="D112" s="25" t="inlineStr">
        <is>
          <t>Biomedical / Health tech</t>
        </is>
      </c>
      <c r="E112" s="26" t="inlineStr">
        <is>
          <t>Master Sciences, technologies, santé mention Ingénierie de la santé parcours Evaluation clinique</t>
        </is>
      </c>
      <c r="F112" s="26" t="inlineStr">
        <is>
          <t>Master Science, Technology, Health (STS) – major: Health Engineering – track: Evaluation Clinical</t>
        </is>
      </c>
      <c r="G112" s="25" t="inlineStr">
        <is>
          <t>Master indifférencié (recherche et professionnel)</t>
        </is>
      </c>
      <c r="H112" s="25" t="inlineStr">
        <is>
          <t>Institut des sciences pharmaceutiques et biologiques</t>
        </is>
      </c>
      <c r="I112" s="25" t="inlineStr">
        <is>
          <t>Université Claude Bernard - Lyon 1</t>
        </is>
      </c>
      <c r="J112" s="25" t="inlineStr">
        <is>
          <t>Site de Lyon</t>
        </is>
      </c>
      <c r="K112" s="25" t="n"/>
      <c r="L112" s="25" t="inlineStr">
        <is>
          <t>Public school / institute</t>
        </is>
      </c>
      <c r="M112" s="25" t="inlineStr">
        <is>
          <t>French &amp; English</t>
        </is>
      </c>
      <c r="N112" s="25" t="inlineStr">
        <is>
          <t>General</t>
        </is>
      </c>
      <c r="O112" s="25" t="inlineStr">
        <is>
          <t>Bac +5</t>
        </is>
      </c>
      <c r="P112" s="26" t="inlineStr">
        <is>
          <t>Requires Bac+5 (Master) – likely not eligible; ask if 4-yr BS + experience accepted</t>
        </is>
      </c>
      <c r="Q112" s="25" t="inlineStr">
        <is>
          <t>2</t>
        </is>
      </c>
      <c r="R112" s="25" t="n"/>
      <c r="S112" s="27" t="n">
        <v>3950</v>
      </c>
      <c r="T112" s="27" t="n">
        <v>255</v>
      </c>
      <c r="U112" s="25" t="n">
        <v>1</v>
      </c>
      <c r="V112" s="27">
        <f>IF(S112="","",S112*U112)</f>
        <v/>
      </c>
      <c r="W112" s="26" t="inlineStr">
        <is>
          <t>Catalogue: €3,950. = national differentiated master fee (2026-27: €3,950). Exemption to ~€255 possible (university quota).</t>
        </is>
      </c>
      <c r="X112" s="25" t="inlineStr">
        <is>
          <t>High</t>
        </is>
      </c>
      <c r="Y112" s="25" t="inlineStr">
        <is>
          <t>3950</t>
        </is>
      </c>
      <c r="Z112" s="26" t="n"/>
      <c r="AA112" s="26" t="inlineStr">
        <is>
          <t>Lyon 1: individual exemptions within the 30% quota (2026-27), apply via eCandidat.</t>
        </is>
      </c>
      <c r="AB112" s="28" t="inlineStr">
        <is>
          <t>https://www.univ-lyon1.fr/formation/inscription-et-scolarite/etudiantes-et-etudiants-internationaux-droits-dinscription-differencies-et-exonerations</t>
        </is>
      </c>
      <c r="AC112" s="25" t="inlineStr">
        <is>
          <t>Open</t>
        </is>
      </c>
      <c r="AD112" s="25" t="inlineStr">
        <is>
          <t>2026-10-01</t>
        </is>
      </c>
      <c r="AE112" s="25" t="inlineStr">
        <is>
          <t>2027-03-15</t>
        </is>
      </c>
      <c r="AF112" s="25" t="inlineStr">
        <is>
          <t>No</t>
        </is>
      </c>
      <c r="AG112" s="28" t="inlineStr">
        <is>
          <t>http://ispb.univ-lyon1.fr/</t>
        </is>
      </c>
      <c r="AH112" s="26" t="inlineStr">
        <is>
          <t>Niveau de langue française requis B2 (obligatoire mais non suffisant pour l'accès à l'Université) Niveau de langue anglaise recommandé B2 Pour toutes les candidatures (sauf titulaires d'un baccalauréat dans un pays franc</t>
        </is>
      </c>
      <c r="AI112" s="28" t="inlineStr">
        <is>
          <t>Open in EEF</t>
        </is>
      </c>
    </row>
    <row r="113" ht="32.8" customHeight="1" s="19">
      <c r="A113" s="25" t="n">
        <v>112</v>
      </c>
      <c r="B113" s="25" t="inlineStr">
        <is>
          <t>★★★★★</t>
        </is>
      </c>
      <c r="C113" s="25" t="inlineStr">
        <is>
          <t>5 – Core fit (embedded/biomedical/health tech)</t>
        </is>
      </c>
      <c r="D113" s="25" t="inlineStr">
        <is>
          <t>Biomedical / Health tech</t>
        </is>
      </c>
      <c r="E113" s="26" t="inlineStr">
        <is>
          <t>Master indifférencié (recherche et professionnel) Sciences, technologies, santé mention Ingénierie de la santé parcours Génétique, Génomique et Infertilité</t>
        </is>
      </c>
      <c r="F113" s="26" t="inlineStr">
        <is>
          <t>Science, Technology, Health (STS) – major: Health Engineering – track: Genetics, Genomics &amp; Infertilité</t>
        </is>
      </c>
      <c r="G113" s="25" t="inlineStr">
        <is>
          <t>Master indifférencié (recherche et professionnel)</t>
        </is>
      </c>
      <c r="H113" s="25" t="inlineStr">
        <is>
          <t>UFR Médecine - Pharmacie</t>
        </is>
      </c>
      <c r="I113" s="25" t="inlineStr">
        <is>
          <t>Université de Grenoble Alpes</t>
        </is>
      </c>
      <c r="J113" s="25" t="inlineStr">
        <is>
          <t>Site de Grenoble - Campus de La Merci - La Tronche</t>
        </is>
      </c>
      <c r="K113" s="25" t="n"/>
      <c r="L113" s="25" t="inlineStr">
        <is>
          <t>Public university</t>
        </is>
      </c>
      <c r="M113" s="25" t="inlineStr">
        <is>
          <t>French &amp; English</t>
        </is>
      </c>
      <c r="N113" s="25" t="inlineStr">
        <is>
          <t>General</t>
        </is>
      </c>
      <c r="O113" s="25" t="inlineStr">
        <is>
          <t>Bac +5</t>
        </is>
      </c>
      <c r="P113" s="26" t="inlineStr">
        <is>
          <t>Requires Bac+5 (Master) – likely not eligible; ask if 4-yr BS + experience accepted</t>
        </is>
      </c>
      <c r="Q113" s="25" t="inlineStr">
        <is>
          <t>2</t>
        </is>
      </c>
      <c r="R113" s="25" t="n"/>
      <c r="S113" s="27" t="n">
        <v>3950</v>
      </c>
      <c r="T113" s="27" t="n">
        <v>255</v>
      </c>
      <c r="U113" s="25" t="n">
        <v>1</v>
      </c>
      <c r="V113" s="27">
        <f>IF(S113="","",S113*U113)</f>
        <v/>
      </c>
      <c r="W113" s="26" t="inlineStr">
        <is>
          <t>Not in catalogue. Public national master → 2026-27 differentiated fee €3,950; exemption to ~€254-255 depends on university quota (25% cap in 2027-28).</t>
        </is>
      </c>
      <c r="X113" s="25" t="inlineStr">
        <is>
          <t>Medium</t>
        </is>
      </c>
      <c r="Y113" s="25" t="n"/>
      <c r="Z113" s="26" t="n"/>
      <c r="AA113" s="26" t="inlineStr">
        <is>
          <t>UGA (incl. Grenoble INP masters): 2026-27 broad exemptions on request (pay national €254). From 2027-28 the decree caps apply; exemptions based on resources.</t>
        </is>
      </c>
      <c r="AB113" s="28" t="inlineStr">
        <is>
          <t>https://www.univ-grenoble-alpes.fr/actualites/a-la-une/actualites-universite/etudiants-internationaux-ce-que-change-le-nouveau-decret-sur-les-droits-d-inscription-a-l-uga-1775870.kjsp</t>
        </is>
      </c>
      <c r="AC113" s="25" t="inlineStr">
        <is>
          <t>Open</t>
        </is>
      </c>
      <c r="AD113" s="25" t="inlineStr">
        <is>
          <t>2026-10-01</t>
        </is>
      </c>
      <c r="AE113" s="25" t="inlineStr">
        <is>
          <t>2027-03-15</t>
        </is>
      </c>
      <c r="AF113" s="25" t="inlineStr">
        <is>
          <t>No</t>
        </is>
      </c>
      <c r="AG113" s="28" t="inlineStr">
        <is>
          <t>https://formations.univ-grenoble-alpes.fr/fr/catalogue-2021/master-XB/master-ingenierie-de-la-sante-IAQKSXOB/parcours-genetique-genomique-et-infertilite-2e-annee-KJV5CKSF.html</t>
        </is>
      </c>
      <c r="AH113" s="26" t="inlineStr">
        <is>
          <t>Prérequis : - Bon niveau pratique et théorique en biologie cellulaire et biologie moléculaire. - Niveau C1 en français requis. - Niveau B2 en anglais fortement conseillé.</t>
        </is>
      </c>
      <c r="AI113" s="28" t="inlineStr">
        <is>
          <t>Open in EEF</t>
        </is>
      </c>
    </row>
    <row r="114" ht="32.8" customHeight="1" s="19">
      <c r="A114" s="25" t="n">
        <v>113</v>
      </c>
      <c r="B114" s="25" t="inlineStr">
        <is>
          <t>★★★★★</t>
        </is>
      </c>
      <c r="C114" s="25" t="inlineStr">
        <is>
          <t>5 – Core fit (embedded/biomedical/health tech)</t>
        </is>
      </c>
      <c r="D114" s="25" t="inlineStr">
        <is>
          <t>Signal / Image / Vision</t>
        </is>
      </c>
      <c r="E114" s="26" t="inlineStr">
        <is>
          <t>Master indifférencié (recherche et professionnel) Sciences, technologies, santé mention biologie et santé parcours Signaux et images en Biologie et médecine (SIBM)</t>
        </is>
      </c>
      <c r="F114" s="26" t="inlineStr">
        <is>
          <t>Science, Technology, Health (STS) – major: Biology &amp; Health – track: Signals &amp; Images in Biology &amp; Medicine (SIBM)</t>
        </is>
      </c>
      <c r="G114" s="25" t="inlineStr">
        <is>
          <t>Master indifférencié (recherche et professionnel)</t>
        </is>
      </c>
      <c r="H114" s="25" t="inlineStr">
        <is>
          <t>UFR médecine et sciences de la santé</t>
        </is>
      </c>
      <c r="I114" s="25" t="inlineStr">
        <is>
          <t>Université de Bretagne Occidentale</t>
        </is>
      </c>
      <c r="J114" s="25" t="inlineStr">
        <is>
          <t>Site de Brest</t>
        </is>
      </c>
      <c r="K114" s="25" t="n"/>
      <c r="L114" s="25" t="inlineStr">
        <is>
          <t>Public university</t>
        </is>
      </c>
      <c r="M114" s="25" t="inlineStr">
        <is>
          <t>French</t>
        </is>
      </c>
      <c r="N114" s="25" t="inlineStr">
        <is>
          <t>General</t>
        </is>
      </c>
      <c r="O114" s="25" t="inlineStr">
        <is>
          <t>Bac +5</t>
        </is>
      </c>
      <c r="P114" s="26" t="inlineStr">
        <is>
          <t>Requires Bac+5 (Master) – likely not eligible; ask if 4-yr BS + experience accepted</t>
        </is>
      </c>
      <c r="Q114" s="25" t="inlineStr">
        <is>
          <t>2</t>
        </is>
      </c>
      <c r="R114" s="25" t="n"/>
      <c r="S114" s="27" t="n">
        <v>3950</v>
      </c>
      <c r="T114" s="27" t="n">
        <v>255</v>
      </c>
      <c r="U114" s="25" t="n">
        <v>1</v>
      </c>
      <c r="V114" s="27">
        <f>IF(S114="","",S114*U114)</f>
        <v/>
      </c>
      <c r="W114" s="26" t="inlineStr">
        <is>
          <t>Catalogue: €3,950. = national differentiated master fee (2026-27: €3,950). Exemption to ~€255 possible (university quota).</t>
        </is>
      </c>
      <c r="X114" s="25" t="inlineStr">
        <is>
          <t>High</t>
        </is>
      </c>
      <c r="Y114" s="25" t="inlineStr">
        <is>
          <t>3950</t>
        </is>
      </c>
      <c r="Z114" s="26" t="n"/>
      <c r="AA114" s="26" t="n"/>
      <c r="AB114" s="25" t="n"/>
      <c r="AC114" s="25" t="inlineStr">
        <is>
          <t>Open</t>
        </is>
      </c>
      <c r="AD114" s="25" t="inlineStr">
        <is>
          <t>2026-10-01</t>
        </is>
      </c>
      <c r="AE114" s="25" t="inlineStr">
        <is>
          <t>2027-03-15</t>
        </is>
      </c>
      <c r="AF114" s="25" t="inlineStr">
        <is>
          <t>No</t>
        </is>
      </c>
      <c r="AG114" s="28" t="inlineStr">
        <is>
          <t>https://www.univ-brest.fr/medecine</t>
        </is>
      </c>
      <c r="AH114" s="26" t="inlineStr">
        <is>
          <t>L'université de Bretagne occidentale demande de présenter un Test de connaissance en français pour tous les candidats dont une des langues officielles n'est pas le français. Pour les pays où le français n'est pas la seul</t>
        </is>
      </c>
      <c r="AI114" s="28" t="inlineStr">
        <is>
          <t>Open in EEF</t>
        </is>
      </c>
    </row>
    <row r="115" ht="32.8" customHeight="1" s="19">
      <c r="A115" s="25" t="n">
        <v>114</v>
      </c>
      <c r="B115" s="25" t="inlineStr">
        <is>
          <t>★★★★★</t>
        </is>
      </c>
      <c r="C115" s="25" t="inlineStr">
        <is>
          <t>5 – Core fit (embedded/biomedical/health tech)</t>
        </is>
      </c>
      <c r="D115" s="25" t="inlineStr">
        <is>
          <t>Biomedical / Health tech</t>
        </is>
      </c>
      <c r="E115" s="26" t="inlineStr">
        <is>
          <t>Master indifférencié (recherche et professionnel) Sciences, technologies, santé mention biologie, santé parcours bio-ingénierie pour la santé (MBIOS)</t>
        </is>
      </c>
      <c r="F115" s="26" t="inlineStr">
        <is>
          <t>Science, Technology, Health (STS) – major: Biology-Health – track: bio-Engineering for Health (MBIOS)</t>
        </is>
      </c>
      <c r="G115" s="25" t="inlineStr">
        <is>
          <t>Master indifférencié (recherche et professionnel)</t>
        </is>
      </c>
      <c r="H115" s="25" t="inlineStr">
        <is>
          <t>UFR de Santé (Créteil et Torcy)</t>
        </is>
      </c>
      <c r="I115" s="25" t="inlineStr">
        <is>
          <t>Université Paris-Est Créteil Val-de-Marne</t>
        </is>
      </c>
      <c r="J115" s="25" t="inlineStr">
        <is>
          <t>Site de Créteil</t>
        </is>
      </c>
      <c r="K115" s="25" t="n"/>
      <c r="L115" s="25" t="inlineStr">
        <is>
          <t>Public university</t>
        </is>
      </c>
      <c r="M115" s="25" t="inlineStr">
        <is>
          <t>French</t>
        </is>
      </c>
      <c r="N115" s="25" t="inlineStr">
        <is>
          <t>General</t>
        </is>
      </c>
      <c r="O115" s="25" t="inlineStr">
        <is>
          <t>Bac +5</t>
        </is>
      </c>
      <c r="P115" s="26" t="inlineStr">
        <is>
          <t>Requires Bac+5 (Master) – likely not eligible; ask if 4-yr BS + experience accepted</t>
        </is>
      </c>
      <c r="Q115" s="25" t="inlineStr">
        <is>
          <t>2</t>
        </is>
      </c>
      <c r="R115" s="25" t="inlineStr">
        <is>
          <t>12</t>
        </is>
      </c>
      <c r="S115" s="27" t="n">
        <v>3950</v>
      </c>
      <c r="T115" s="27" t="n">
        <v>255</v>
      </c>
      <c r="U115" s="25" t="n">
        <v>1</v>
      </c>
      <c r="V115" s="27">
        <f>IF(S115="","",S115*U115)</f>
        <v/>
      </c>
      <c r="W115" s="26" t="inlineStr">
        <is>
          <t>Catalogue: €3,950. = national differentiated master fee (2026-27: €3,950). Exemption to ~€255 possible (university quota).</t>
        </is>
      </c>
      <c r="X115" s="25" t="inlineStr">
        <is>
          <t>High</t>
        </is>
      </c>
      <c r="Y115" s="25" t="inlineStr">
        <is>
          <t>3950</t>
        </is>
      </c>
      <c r="Z115" s="26" t="n"/>
      <c r="AA115" s="26" t="n"/>
      <c r="AB115" s="25" t="n"/>
      <c r="AC115" s="25" t="inlineStr">
        <is>
          <t>Open</t>
        </is>
      </c>
      <c r="AD115" s="25" t="inlineStr">
        <is>
          <t>2026-10-01</t>
        </is>
      </c>
      <c r="AE115" s="25" t="inlineStr">
        <is>
          <t>2027-03-15</t>
        </is>
      </c>
      <c r="AF115" s="25" t="inlineStr">
        <is>
          <t>No</t>
        </is>
      </c>
      <c r="AG115" s="28" t="inlineStr">
        <is>
          <t>https://sante.u-pec.fr/</t>
        </is>
      </c>
      <c r="AH115" s="26" t="inlineStr">
        <is>
          <t>Bases solides en sciences de la vie et en bio-ingénierie : biomécanique, biomatériaux, bioimagerie. Candidatures ouvertes aux dentistes, pharmaciens, kinés, ingénieurs et medecins Contact du responsable pédagogique du pa</t>
        </is>
      </c>
      <c r="AI115" s="28" t="inlineStr">
        <is>
          <t>Open in EEF</t>
        </is>
      </c>
    </row>
    <row r="116" ht="43.25" customHeight="1" s="19">
      <c r="A116" s="25" t="n">
        <v>115</v>
      </c>
      <c r="B116" s="25" t="inlineStr">
        <is>
          <t>★★★★★</t>
        </is>
      </c>
      <c r="C116" s="25" t="inlineStr">
        <is>
          <t>5 – Core fit (embedded/biomedical/health tech)</t>
        </is>
      </c>
      <c r="D116" s="25" t="inlineStr">
        <is>
          <t>Embedded systems / Electronics</t>
        </is>
      </c>
      <c r="E116" s="26" t="inlineStr">
        <is>
          <t>Master indifférencié (recherche et professionnel) Sciences, technologies, santé mention Electronique, énergie électrique, automatique parcours EMB : Electronique Embarquée</t>
        </is>
      </c>
      <c r="F116" s="26" t="inlineStr">
        <is>
          <t>Science, Technology, Health (STS) – major: Electronics, Electrical Energy &amp; Automation (EEA) – track: EMB : Embedded Electronics</t>
        </is>
      </c>
      <c r="G116" s="25" t="inlineStr">
        <is>
          <t>Master indifférencié (recherche et professionnel)</t>
        </is>
      </c>
      <c r="H116" s="25" t="inlineStr">
        <is>
          <t>Faculté des Sciences et Technologies</t>
        </is>
      </c>
      <c r="I116" s="25" t="inlineStr">
        <is>
          <t>Université de Lorraine</t>
        </is>
      </c>
      <c r="J116" s="25" t="inlineStr">
        <is>
          <t>Site de Vandoeuvre-lès-Nancy</t>
        </is>
      </c>
      <c r="K116" s="25" t="n"/>
      <c r="L116" s="25" t="inlineStr">
        <is>
          <t>Public university</t>
        </is>
      </c>
      <c r="M116" s="25" t="inlineStr">
        <is>
          <t>French</t>
        </is>
      </c>
      <c r="N116" s="25" t="inlineStr">
        <is>
          <t>General</t>
        </is>
      </c>
      <c r="O116" s="25" t="inlineStr">
        <is>
          <t>Bac +5</t>
        </is>
      </c>
      <c r="P116" s="26" t="inlineStr">
        <is>
          <t>Requires Bac+5 (Master) – likely not eligible; ask if 4-yr BS + experience accepted</t>
        </is>
      </c>
      <c r="Q116" s="25" t="inlineStr">
        <is>
          <t>2</t>
        </is>
      </c>
      <c r="R116" s="25" t="n"/>
      <c r="S116" s="27" t="n">
        <v>3950</v>
      </c>
      <c r="T116" s="27" t="n">
        <v>255</v>
      </c>
      <c r="U116" s="25" t="n">
        <v>1</v>
      </c>
      <c r="V116" s="27">
        <f>IF(S116="","",S116*U116)</f>
        <v/>
      </c>
      <c r="W116" s="26" t="inlineStr">
        <is>
          <t>Catalogue: €3,950. = national differentiated master fee (2026-27: €3,950). Exemption to ~€255 possible (university quota).</t>
        </is>
      </c>
      <c r="X116" s="25" t="inlineStr">
        <is>
          <t>High</t>
        </is>
      </c>
      <c r="Y116" s="25" t="inlineStr">
        <is>
          <t>3950</t>
        </is>
      </c>
      <c r="Z116" s="26" t="n"/>
      <c r="AA116" s="26" t="n"/>
      <c r="AB116" s="25" t="n"/>
      <c r="AC116" s="25" t="inlineStr">
        <is>
          <t>Open</t>
        </is>
      </c>
      <c r="AD116" s="25" t="inlineStr">
        <is>
          <t>2026-10-01</t>
        </is>
      </c>
      <c r="AE116" s="25" t="inlineStr">
        <is>
          <t>2027-03-15</t>
        </is>
      </c>
      <c r="AF116" s="25" t="inlineStr">
        <is>
          <t>No</t>
        </is>
      </c>
      <c r="AG116" s="28" t="inlineStr">
        <is>
          <t>https://fst.univ-lorraine.fr/formations/</t>
        </is>
      </c>
      <c r="AH116" s="26" t="inlineStr">
        <is>
          <t>Pour le Master 2 : Compétences en conception de circuits numériques et microélectroniques exigées. Niveau B2 en langue française exigé. Aucun dossier transmis en dehors de la campagne d'ouverture de Campus France ne sera</t>
        </is>
      </c>
      <c r="AI116" s="28" t="inlineStr">
        <is>
          <t>Open in EEF</t>
        </is>
      </c>
    </row>
    <row r="117" ht="22.35" customHeight="1" s="19">
      <c r="A117" s="25" t="n">
        <v>116</v>
      </c>
      <c r="B117" s="25" t="inlineStr">
        <is>
          <t>★★★★★</t>
        </is>
      </c>
      <c r="C117" s="25" t="inlineStr">
        <is>
          <t>5 – Core fit (embedded/biomedical/health tech)</t>
        </is>
      </c>
      <c r="D117" s="25" t="inlineStr">
        <is>
          <t>Biomedical / Health tech</t>
        </is>
      </c>
      <c r="E117" s="26" t="inlineStr">
        <is>
          <t>Master indifférencié (recherche et professionnel) Sciences, technologies, santé mention Physique fondamentale et applications parcours Physique médicale</t>
        </is>
      </c>
      <c r="F117" s="26" t="inlineStr">
        <is>
          <t>Science, Technology, Health (STS) – major: Physics Fundamental &amp; Applications – track: Medical Physics</t>
        </is>
      </c>
      <c r="G117" s="25" t="inlineStr">
        <is>
          <t>Master indifférencié (recherche et professionnel)</t>
        </is>
      </c>
      <c r="H117" s="25" t="inlineStr">
        <is>
          <t>Faculté des sciences et technologies</t>
        </is>
      </c>
      <c r="I117" s="25" t="inlineStr">
        <is>
          <t>Université de Lille</t>
        </is>
      </c>
      <c r="J117" s="25" t="inlineStr">
        <is>
          <t>Département Physique</t>
        </is>
      </c>
      <c r="K117" s="25" t="n"/>
      <c r="L117" s="25" t="inlineStr">
        <is>
          <t>Public university</t>
        </is>
      </c>
      <c r="M117" s="25" t="inlineStr">
        <is>
          <t>French</t>
        </is>
      </c>
      <c r="N117" s="25" t="inlineStr">
        <is>
          <t>General</t>
        </is>
      </c>
      <c r="O117" s="25" t="inlineStr">
        <is>
          <t>Bac +5</t>
        </is>
      </c>
      <c r="P117" s="26" t="inlineStr">
        <is>
          <t>Requires Bac+5 (Master) – likely not eligible; ask if 4-yr BS + experience accepted</t>
        </is>
      </c>
      <c r="Q117" s="25" t="inlineStr">
        <is>
          <t>2</t>
        </is>
      </c>
      <c r="R117" s="25" t="inlineStr">
        <is>
          <t>12</t>
        </is>
      </c>
      <c r="S117" s="27" t="n">
        <v>3950</v>
      </c>
      <c r="T117" s="27" t="n">
        <v>255</v>
      </c>
      <c r="U117" s="25" t="n">
        <v>1</v>
      </c>
      <c r="V117" s="27">
        <f>IF(S117="","",S117*U117)</f>
        <v/>
      </c>
      <c r="W117" s="26" t="inlineStr">
        <is>
          <t>Catalogue: €3,950. = national differentiated master fee (2026-27: €3,950). Exemption to ~€255 possible (university quota).</t>
        </is>
      </c>
      <c r="X117" s="25" t="inlineStr">
        <is>
          <t>High</t>
        </is>
      </c>
      <c r="Y117" s="25" t="inlineStr">
        <is>
          <t>3950</t>
        </is>
      </c>
      <c r="Z117" s="26" t="n"/>
      <c r="AA117" s="26" t="inlineStr">
        <is>
          <t>Lille opposed the decree; continues exemptions for part of non-EU students (master €254 if exempted). Apply for exemption early.</t>
        </is>
      </c>
      <c r="AB117" s="28" t="inlineStr">
        <is>
          <t>https://observalgerie.com/2026/06/13/misc/frais-dinscription-en-france-lille-maintient-un-avantage-pour-les-etudiants-etrangers/</t>
        </is>
      </c>
      <c r="AC117" s="25" t="inlineStr">
        <is>
          <t>Open</t>
        </is>
      </c>
      <c r="AD117" s="25" t="inlineStr">
        <is>
          <t>2026-10-01</t>
        </is>
      </c>
      <c r="AE117" s="25" t="inlineStr">
        <is>
          <t>2027-03-15</t>
        </is>
      </c>
      <c r="AF117" s="25" t="inlineStr">
        <is>
          <t>No</t>
        </is>
      </c>
      <c r="AG117" s="28" t="inlineStr">
        <is>
          <t>https://formation.univ-lille.fr/fr/offre-de-formation/master-lmd-XB/master-physique-fondamentale-et-applications-MG001988/physique-medicale-m2-MX002075.html</t>
        </is>
      </c>
      <c r="AH117" s="26" t="inlineStr">
        <is>
          <t>Le candidat doit avoir un niveau M1 ou équivalent en Physique, Physique-Chimie ou Physique Appliquée. Niveau de français eet d'anglais B2 exigé.</t>
        </is>
      </c>
      <c r="AI117" s="28" t="inlineStr">
        <is>
          <t>Open in EEF</t>
        </is>
      </c>
    </row>
    <row r="118" ht="32.8" customHeight="1" s="19">
      <c r="A118" s="25" t="n">
        <v>117</v>
      </c>
      <c r="B118" s="25" t="inlineStr">
        <is>
          <t>★★★★★</t>
        </is>
      </c>
      <c r="C118" s="25" t="inlineStr">
        <is>
          <t>5 – Core fit (embedded/biomedical/health tech)</t>
        </is>
      </c>
      <c r="D118" s="25" t="inlineStr">
        <is>
          <t>Biomedical / Health tech</t>
        </is>
      </c>
      <c r="E118" s="26" t="inlineStr">
        <is>
          <t>Master Ingénierie de la santé parcours Ingénierie Qualité des Bioproduits (IQBio)</t>
        </is>
      </c>
      <c r="F118" s="26" t="inlineStr">
        <is>
          <t>Master Health Engineering – track: Engineering Quality of Bioproduits (IQBio)</t>
        </is>
      </c>
      <c r="G118" s="25" t="inlineStr">
        <is>
          <t>Master indifférencié (recherche et professionnel)</t>
        </is>
      </c>
      <c r="H118" s="25" t="inlineStr">
        <is>
          <t>UFR Sciences et Techniques</t>
        </is>
      </c>
      <c r="I118" s="25" t="inlineStr">
        <is>
          <t>Université de Rouen</t>
        </is>
      </c>
      <c r="J118" s="25" t="inlineStr">
        <is>
          <t>Site de Evreux</t>
        </is>
      </c>
      <c r="K118" s="25" t="n"/>
      <c r="L118" s="25" t="inlineStr">
        <is>
          <t>Public university</t>
        </is>
      </c>
      <c r="M118" s="25" t="inlineStr">
        <is>
          <t>French</t>
        </is>
      </c>
      <c r="N118" s="25" t="inlineStr">
        <is>
          <t>General</t>
        </is>
      </c>
      <c r="O118" s="25" t="inlineStr">
        <is>
          <t>Bac +5</t>
        </is>
      </c>
      <c r="P118" s="26" t="inlineStr">
        <is>
          <t>Requires Bac+5 (Master) – likely not eligible; ask if 4-yr BS + experience accepted</t>
        </is>
      </c>
      <c r="Q118" s="25" t="inlineStr">
        <is>
          <t>2</t>
        </is>
      </c>
      <c r="R118" s="25" t="inlineStr">
        <is>
          <t>10</t>
        </is>
      </c>
      <c r="S118" s="27" t="n">
        <v>3950</v>
      </c>
      <c r="T118" s="27" t="n">
        <v>255</v>
      </c>
      <c r="U118" s="25" t="n">
        <v>1</v>
      </c>
      <c r="V118" s="27">
        <f>IF(S118="","",S118*U118)</f>
        <v/>
      </c>
      <c r="W118" s="26" t="inlineStr">
        <is>
          <t>Catalogue: €3,950. = national differentiated master fee (2026-27: €3,950). Exemption to ~€255 possible (university quota).</t>
        </is>
      </c>
      <c r="X118" s="25" t="inlineStr">
        <is>
          <t>High</t>
        </is>
      </c>
      <c r="Y118" s="25" t="inlineStr">
        <is>
          <t>3950</t>
        </is>
      </c>
      <c r="Z118" s="26" t="n"/>
      <c r="AA118" s="26" t="inlineStr">
        <is>
          <t>Rouen: individual exemptions up to 30% quota, priority to social/economic hardship.</t>
        </is>
      </c>
      <c r="AB118" s="28" t="inlineStr">
        <is>
          <t>https://www.univ-rouen.fr/actualites/application-des-droits-dinscription-differencies-a-luniversite-de-rouen-normandie-a-compter-de-la-rentree-universitaire-2026-2027/</t>
        </is>
      </c>
      <c r="AC118" s="25" t="inlineStr">
        <is>
          <t>Open</t>
        </is>
      </c>
      <c r="AD118" s="25" t="inlineStr">
        <is>
          <t>2026-10-01</t>
        </is>
      </c>
      <c r="AE118" s="25" t="inlineStr">
        <is>
          <t>2027-03-15</t>
        </is>
      </c>
      <c r="AF118" s="25" t="inlineStr">
        <is>
          <t>No</t>
        </is>
      </c>
      <c r="AG118" s="28" t="inlineStr">
        <is>
          <t>http://sciences-techniques.univ-rouen.fr/</t>
        </is>
      </c>
      <c r="AH118" s="26" t="inlineStr">
        <is>
          <t>B2 minimum en français requis. Le parcours "Ingénierie Qualité des Bio-produits"est proposé en 2ème année de Master, uniquement sur le site d'Evreux , distant de 50kms de Rouen ( prévoir un logement sur Evreux) après une</t>
        </is>
      </c>
      <c r="AI118" s="28" t="inlineStr">
        <is>
          <t>Open in EEF</t>
        </is>
      </c>
    </row>
    <row r="119" ht="32.8" customHeight="1" s="19">
      <c r="A119" s="25" t="n">
        <v>118</v>
      </c>
      <c r="B119" s="25" t="inlineStr">
        <is>
          <t>★★★★★</t>
        </is>
      </c>
      <c r="C119" s="25" t="inlineStr">
        <is>
          <t>5 – Core fit (embedded/biomedical/health tech)</t>
        </is>
      </c>
      <c r="D119" s="25" t="inlineStr">
        <is>
          <t>Embedded systems / Electronics</t>
        </is>
      </c>
      <c r="E119" s="26" t="inlineStr">
        <is>
          <t>Master Sciences, technologies, santé mention Electronique, énergie électrique, automatique parcours Electronique Systèmes Embarqués</t>
        </is>
      </c>
      <c r="F119" s="26" t="inlineStr">
        <is>
          <t>Master Science, Technology, Health (STS) – major: Electronics, Electrical Energy &amp; Automation (EEA) – track: Electronics Embedded Systems</t>
        </is>
      </c>
      <c r="G119" s="25" t="inlineStr">
        <is>
          <t>Master indifférencié (recherche et professionnel)</t>
        </is>
      </c>
      <c r="H119" s="25" t="inlineStr">
        <is>
          <t>Département-composante GEP (Génie Electrique et des Procédés)</t>
        </is>
      </c>
      <c r="I119" s="25" t="inlineStr">
        <is>
          <t>Université Claude Bernard - Lyon 1</t>
        </is>
      </c>
      <c r="J119" s="25" t="inlineStr">
        <is>
          <t>Site de Villeurbanne</t>
        </is>
      </c>
      <c r="K119" s="25" t="n"/>
      <c r="L119" s="25" t="inlineStr">
        <is>
          <t>Public university</t>
        </is>
      </c>
      <c r="M119" s="25" t="inlineStr">
        <is>
          <t>French</t>
        </is>
      </c>
      <c r="N119" s="25" t="inlineStr">
        <is>
          <t>General</t>
        </is>
      </c>
      <c r="O119" s="25" t="inlineStr">
        <is>
          <t>Bac +5</t>
        </is>
      </c>
      <c r="P119" s="26" t="inlineStr">
        <is>
          <t>Requires Bac+5 (Master) – likely not eligible; ask if 4-yr BS + experience accepted</t>
        </is>
      </c>
      <c r="Q119" s="25" t="inlineStr">
        <is>
          <t>2</t>
        </is>
      </c>
      <c r="R119" s="25" t="n"/>
      <c r="S119" s="27" t="n">
        <v>3950</v>
      </c>
      <c r="T119" s="27" t="n">
        <v>255</v>
      </c>
      <c r="U119" s="25" t="n">
        <v>1</v>
      </c>
      <c r="V119" s="27">
        <f>IF(S119="","",S119*U119)</f>
        <v/>
      </c>
      <c r="W119" s="26" t="inlineStr">
        <is>
          <t>Catalogue: €3,950. = national differentiated master fee (2026-27: €3,950). Exemption to ~€255 possible (university quota).</t>
        </is>
      </c>
      <c r="X119" s="25" t="inlineStr">
        <is>
          <t>High</t>
        </is>
      </c>
      <c r="Y119" s="25" t="inlineStr">
        <is>
          <t>3950</t>
        </is>
      </c>
      <c r="Z119" s="26" t="n"/>
      <c r="AA119" s="26" t="inlineStr">
        <is>
          <t>Lyon 1: individual exemptions within the 30% quota (2026-27), apply via eCandidat.</t>
        </is>
      </c>
      <c r="AB119" s="28" t="inlineStr">
        <is>
          <t>https://www.univ-lyon1.fr/formation/inscription-et-scolarite/etudiantes-et-etudiants-internationaux-droits-dinscription-differencies-et-exonerations</t>
        </is>
      </c>
      <c r="AC119" s="25" t="inlineStr">
        <is>
          <t>Open</t>
        </is>
      </c>
      <c r="AD119" s="25" t="inlineStr">
        <is>
          <t>2026-10-01</t>
        </is>
      </c>
      <c r="AE119" s="25" t="inlineStr">
        <is>
          <t>2027-03-15</t>
        </is>
      </c>
      <c r="AF119" s="25" t="inlineStr">
        <is>
          <t>No</t>
        </is>
      </c>
      <c r="AG119" s="28" t="inlineStr">
        <is>
          <t>http://ufr-gep.univ-lyon1.fr</t>
        </is>
      </c>
      <c r="AH119" s="26" t="inlineStr">
        <is>
          <t>Niveau de langue française requis (obligatoire mais non suffisant pour l'accès à l'Université) Les candidats sont sélectionnés sur la qualité du dossier académique. L'Université Claude Bernard Lyon 1 exige le justificati</t>
        </is>
      </c>
      <c r="AI119" s="28" t="inlineStr">
        <is>
          <t>Open in EEF</t>
        </is>
      </c>
    </row>
    <row r="120" ht="22.35" customHeight="1" s="19">
      <c r="A120" s="25" t="n">
        <v>119</v>
      </c>
      <c r="B120" s="25" t="inlineStr">
        <is>
          <t>★★★★★</t>
        </is>
      </c>
      <c r="C120" s="25" t="inlineStr">
        <is>
          <t>5 – Core fit (embedded/biomedical/health tech)</t>
        </is>
      </c>
      <c r="D120" s="25" t="inlineStr">
        <is>
          <t>Biomedical / Health tech</t>
        </is>
      </c>
      <c r="E120" s="26" t="inlineStr">
        <is>
          <t>Master Sciences, technologies, santé mention USTH biotechnologie et pharmacologie parcours Biomedical sciences</t>
        </is>
      </c>
      <c r="F120" s="26" t="inlineStr">
        <is>
          <t>Master Science, Technology, Health (STS) – major: USTH biotechnologie &amp; Pharmacology – track: Biomedical Sciences</t>
        </is>
      </c>
      <c r="G120" s="25" t="inlineStr">
        <is>
          <t>Master indifférencié (recherche et professionnel)</t>
        </is>
      </c>
      <c r="H120" s="25" t="inlineStr">
        <is>
          <t>Institut des sciences pharmaceutiques et biologiques</t>
        </is>
      </c>
      <c r="I120" s="25" t="inlineStr">
        <is>
          <t>Université Claude Bernard - Lyon 1</t>
        </is>
      </c>
      <c r="J120" s="25" t="inlineStr">
        <is>
          <t>Site de Lyon</t>
        </is>
      </c>
      <c r="K120" s="25" t="n"/>
      <c r="L120" s="25" t="inlineStr">
        <is>
          <t>Public school / institute</t>
        </is>
      </c>
      <c r="M120" s="25" t="inlineStr">
        <is>
          <t>French</t>
        </is>
      </c>
      <c r="N120" s="25" t="inlineStr">
        <is>
          <t>General</t>
        </is>
      </c>
      <c r="O120" s="25" t="inlineStr">
        <is>
          <t>Bac +5</t>
        </is>
      </c>
      <c r="P120" s="26" t="inlineStr">
        <is>
          <t>Requires Bac+5 (Master) – likely not eligible; ask if 4-yr BS + experience accepted</t>
        </is>
      </c>
      <c r="Q120" s="25" t="inlineStr">
        <is>
          <t>2</t>
        </is>
      </c>
      <c r="R120" s="25" t="n"/>
      <c r="S120" s="27" t="n">
        <v>3950</v>
      </c>
      <c r="T120" s="27" t="n">
        <v>255</v>
      </c>
      <c r="U120" s="25" t="n">
        <v>1</v>
      </c>
      <c r="V120" s="27">
        <f>IF(S120="","",S120*U120)</f>
        <v/>
      </c>
      <c r="W120" s="26" t="inlineStr">
        <is>
          <t>Catalogue: €3,950. = national differentiated master fee (2026-27: €3,950). Exemption to ~€255 possible (university quota).</t>
        </is>
      </c>
      <c r="X120" s="25" t="inlineStr">
        <is>
          <t>High</t>
        </is>
      </c>
      <c r="Y120" s="25" t="inlineStr">
        <is>
          <t>3950</t>
        </is>
      </c>
      <c r="Z120" s="26" t="n"/>
      <c r="AA120" s="26" t="inlineStr">
        <is>
          <t>Lyon 1: individual exemptions within the 30% quota (2026-27), apply via eCandidat.</t>
        </is>
      </c>
      <c r="AB120" s="28" t="inlineStr">
        <is>
          <t>https://www.univ-lyon1.fr/formation/inscription-et-scolarite/etudiantes-et-etudiants-internationaux-droits-dinscription-differencies-et-exonerations</t>
        </is>
      </c>
      <c r="AC120" s="25" t="inlineStr">
        <is>
          <t>Open</t>
        </is>
      </c>
      <c r="AD120" s="25" t="inlineStr">
        <is>
          <t>2026-10-01</t>
        </is>
      </c>
      <c r="AE120" s="25" t="inlineStr">
        <is>
          <t>2027-03-15</t>
        </is>
      </c>
      <c r="AF120" s="25" t="inlineStr">
        <is>
          <t>No</t>
        </is>
      </c>
      <c r="AG120" s="25" t="n"/>
      <c r="AH120" s="26" t="n"/>
      <c r="AI120" s="28" t="inlineStr">
        <is>
          <t>Open in EEF</t>
        </is>
      </c>
    </row>
    <row r="121" ht="32.8" customHeight="1" s="19">
      <c r="A121" s="25" t="n">
        <v>120</v>
      </c>
      <c r="B121" s="25" t="inlineStr">
        <is>
          <t>★★★★★</t>
        </is>
      </c>
      <c r="C121" s="25" t="inlineStr">
        <is>
          <t>5 – Core fit (embedded/biomedical/health tech)</t>
        </is>
      </c>
      <c r="D121" s="25" t="inlineStr">
        <is>
          <t>IoT / Telecom / Networks</t>
        </is>
      </c>
      <c r="E121" s="26" t="inlineStr">
        <is>
          <t>Master indifférencié (recherche et professionnel) Sciences, technologies, santé mention informatique parcours Systèmes et Services pour l'Internet des Objets (M2)</t>
        </is>
      </c>
      <c r="F121" s="26" t="inlineStr">
        <is>
          <t>Science, Technology, Health (STS) – major: Computer Science – track: Systems &amp; Services for the Internet of Things (M2)</t>
        </is>
      </c>
      <c r="G121" s="25" t="inlineStr">
        <is>
          <t>Master indifférencié (recherche et professionnel)</t>
        </is>
      </c>
      <c r="H121" s="25" t="inlineStr">
        <is>
          <t>Institut d'électronique et d'informatique Gaspard Monge</t>
        </is>
      </c>
      <c r="I121" s="25" t="inlineStr">
        <is>
          <t>Université Gustave Eiffel</t>
        </is>
      </c>
      <c r="J121" s="25" t="inlineStr">
        <is>
          <t>Site de Champs-sur-Marne</t>
        </is>
      </c>
      <c r="K121" s="25" t="n"/>
      <c r="L121" s="25" t="inlineStr">
        <is>
          <t>Public school / institute</t>
        </is>
      </c>
      <c r="M121" s="25" t="inlineStr">
        <is>
          <t>French</t>
        </is>
      </c>
      <c r="N121" s="25" t="inlineStr">
        <is>
          <t>General</t>
        </is>
      </c>
      <c r="O121" s="25" t="inlineStr">
        <is>
          <t>Bac +5</t>
        </is>
      </c>
      <c r="P121" s="26" t="inlineStr">
        <is>
          <t>Requires Bac+5 (Master) – likely not eligible; ask if 4-yr BS + experience accepted</t>
        </is>
      </c>
      <c r="Q121" s="25" t="inlineStr">
        <is>
          <t>2</t>
        </is>
      </c>
      <c r="R121" s="25" t="n"/>
      <c r="S121" s="27" t="n">
        <v>3950</v>
      </c>
      <c r="T121" s="27" t="n">
        <v>255</v>
      </c>
      <c r="U121" s="25" t="n">
        <v>1</v>
      </c>
      <c r="V121" s="27">
        <f>IF(S121="","",S121*U121)</f>
        <v/>
      </c>
      <c r="W121" s="26" t="inlineStr">
        <is>
          <t>Not in catalogue. Public national master → 2026-27 differentiated fee €3,950; exemption to ~€254-255 depends on university quota (25% cap in 2027-28).</t>
        </is>
      </c>
      <c r="X121" s="25" t="inlineStr">
        <is>
          <t>Medium</t>
        </is>
      </c>
      <c r="Y121" s="25" t="n"/>
      <c r="Z121" s="26" t="n"/>
      <c r="AA121" s="26" t="n"/>
      <c r="AB121" s="25" t="n"/>
      <c r="AC121" s="25" t="inlineStr">
        <is>
          <t>Open</t>
        </is>
      </c>
      <c r="AD121" s="25" t="inlineStr">
        <is>
          <t>2026-10-01</t>
        </is>
      </c>
      <c r="AE121" s="25" t="inlineStr">
        <is>
          <t>2027-03-15</t>
        </is>
      </c>
      <c r="AF121" s="25" t="inlineStr">
        <is>
          <t>No</t>
        </is>
      </c>
      <c r="AG121" s="28" t="inlineStr">
        <is>
          <t>https://igm.univ-gustave-eiffel.fr/</t>
        </is>
      </c>
      <c r="AH121" s="26" t="inlineStr">
        <is>
          <t>Diplôme équivalent à un master 1 en informatique. Français C1 Anglais B2</t>
        </is>
      </c>
      <c r="AI121" s="28" t="inlineStr">
        <is>
          <t>Open in EEF</t>
        </is>
      </c>
    </row>
    <row r="122" ht="32.8" customHeight="1" s="19">
      <c r="A122" s="25" t="n">
        <v>121</v>
      </c>
      <c r="B122" s="25" t="inlineStr">
        <is>
          <t>★★★★★</t>
        </is>
      </c>
      <c r="C122" s="25" t="inlineStr">
        <is>
          <t>5 – Core fit (embedded/biomedical/health tech)</t>
        </is>
      </c>
      <c r="D122" s="25" t="inlineStr">
        <is>
          <t>Biomedical / Health tech</t>
        </is>
      </c>
      <c r="E122" s="26" t="inlineStr">
        <is>
          <t>Master indifférencié (recherche et professionnel) Sciences, technologies, santé mention Ingénierie de la santé parcours Méthodes pour la conception, la conduite et l'analyse de projets en recherche clinique</t>
        </is>
      </c>
      <c r="F122" s="26" t="inlineStr">
        <is>
          <t>Science, Technology, Health (STS) – major: Health Engineering – track: Methods for the Design, the Operation &amp; Analysis of Projects in Research Clinical</t>
        </is>
      </c>
      <c r="G122" s="25" t="inlineStr">
        <is>
          <t>Master indifférencié (recherche et professionnel)</t>
        </is>
      </c>
      <c r="H122" s="25" t="inlineStr">
        <is>
          <t>UFR Médecine - Pharmacie</t>
        </is>
      </c>
      <c r="I122" s="25" t="inlineStr">
        <is>
          <t>Université de Grenoble Alpes</t>
        </is>
      </c>
      <c r="J122" s="25" t="inlineStr">
        <is>
          <t>Site de Grenoble - Campus de La Merci - La Tronche</t>
        </is>
      </c>
      <c r="K122" s="25" t="n"/>
      <c r="L122" s="25" t="inlineStr">
        <is>
          <t>Public university</t>
        </is>
      </c>
      <c r="M122" s="25" t="inlineStr">
        <is>
          <t>French</t>
        </is>
      </c>
      <c r="N122" s="25" t="inlineStr">
        <is>
          <t>General</t>
        </is>
      </c>
      <c r="O122" s="25" t="inlineStr">
        <is>
          <t>Bac +5</t>
        </is>
      </c>
      <c r="P122" s="26" t="inlineStr">
        <is>
          <t>Requires Bac+5 (Master) – likely not eligible; ask if 4-yr BS + experience accepted</t>
        </is>
      </c>
      <c r="Q122" s="25" t="inlineStr">
        <is>
          <t>2</t>
        </is>
      </c>
      <c r="R122" s="25" t="n"/>
      <c r="S122" s="27" t="n">
        <v>3950</v>
      </c>
      <c r="T122" s="27" t="n">
        <v>255</v>
      </c>
      <c r="U122" s="25" t="n">
        <v>1</v>
      </c>
      <c r="V122" s="27">
        <f>IF(S122="","",S122*U122)</f>
        <v/>
      </c>
      <c r="W122" s="26" t="inlineStr">
        <is>
          <t>Not in catalogue. Public national master → 2026-27 differentiated fee €3,950; exemption to ~€254-255 depends on university quota (25% cap in 2027-28).</t>
        </is>
      </c>
      <c r="X122" s="25" t="inlineStr">
        <is>
          <t>Medium</t>
        </is>
      </c>
      <c r="Y122" s="25" t="n"/>
      <c r="Z122" s="26" t="n"/>
      <c r="AA122" s="26" t="inlineStr">
        <is>
          <t>UGA (incl. Grenoble INP masters): 2026-27 broad exemptions on request (pay national €254). From 2027-28 the decree caps apply; exemptions based on resources.</t>
        </is>
      </c>
      <c r="AB122" s="28" t="inlineStr">
        <is>
          <t>https://www.univ-grenoble-alpes.fr/actualites/a-la-une/actualites-universite/etudiants-internationaux-ce-que-change-le-nouveau-decret-sur-les-droits-d-inscription-a-l-uga-1775870.kjsp</t>
        </is>
      </c>
      <c r="AC122" s="25" t="inlineStr">
        <is>
          <t>Open</t>
        </is>
      </c>
      <c r="AD122" s="25" t="inlineStr">
        <is>
          <t>2026-10-01</t>
        </is>
      </c>
      <c r="AE122" s="25" t="inlineStr">
        <is>
          <t>2027-03-15</t>
        </is>
      </c>
      <c r="AF122" s="25" t="inlineStr">
        <is>
          <t>No</t>
        </is>
      </c>
      <c r="AG122" s="28" t="inlineStr">
        <is>
          <t>https://formations.univ-grenoble-alpes.fr/fr/catalogue-2021/master-XB/master-ingenierie-de-la-sante-IAQKSXOB/parcours-methodes-pour-la-conception-et-la-conduite-de-projets-en-recherche-clinique-2e-annee-IBKJLUAL.html</t>
        </is>
      </c>
      <c r="AH122" s="26" t="inlineStr">
        <is>
          <t>Pré-requis : - Statistiques, connaissance de la recherche clinique, des essais cliniques. - Niveau C1 en français requis. - Niveau B2 en anglais fortement conseillé</t>
        </is>
      </c>
      <c r="AI122" s="28" t="inlineStr">
        <is>
          <t>Open in EEF</t>
        </is>
      </c>
    </row>
    <row r="123" ht="32.8" customHeight="1" s="19">
      <c r="A123" s="25" t="n">
        <v>122</v>
      </c>
      <c r="B123" s="25" t="inlineStr">
        <is>
          <t>★★★★★</t>
        </is>
      </c>
      <c r="C123" s="25" t="inlineStr">
        <is>
          <t>5 – Core fit (embedded/biomedical/health tech)</t>
        </is>
      </c>
      <c r="D123" s="25" t="inlineStr">
        <is>
          <t>Biomedical / Health tech</t>
        </is>
      </c>
      <c r="E123" s="26" t="inlineStr">
        <is>
          <t>Master indifférencié (recherche et professionnel) Sciences, technologies, santé mention Ingénierie de la santé parcours Physique Médicale - Radioprotection de l’Homme et de l’Environnement</t>
        </is>
      </c>
      <c r="F123" s="26" t="inlineStr">
        <is>
          <t>Science, Technology, Health (STS) – major: Health Engineering – track: Medical Physics - Radiation Protection of l’Homme &amp; of l’Environnement</t>
        </is>
      </c>
      <c r="G123" s="25" t="inlineStr">
        <is>
          <t>Master indifférencié (recherche et professionnel)</t>
        </is>
      </c>
      <c r="H123" s="25" t="inlineStr">
        <is>
          <t>UFR Médecine - Pharmacie</t>
        </is>
      </c>
      <c r="I123" s="25" t="inlineStr">
        <is>
          <t>Université de Grenoble Alpes</t>
        </is>
      </c>
      <c r="J123" s="25" t="inlineStr">
        <is>
          <t>Site de Grenoble - Campus de La Merci - La Tronche</t>
        </is>
      </c>
      <c r="K123" s="25" t="n"/>
      <c r="L123" s="25" t="inlineStr">
        <is>
          <t>Public university</t>
        </is>
      </c>
      <c r="M123" s="25" t="inlineStr">
        <is>
          <t>French</t>
        </is>
      </c>
      <c r="N123" s="25" t="inlineStr">
        <is>
          <t>General</t>
        </is>
      </c>
      <c r="O123" s="25" t="inlineStr">
        <is>
          <t>Bac +5</t>
        </is>
      </c>
      <c r="P123" s="26" t="inlineStr">
        <is>
          <t>Requires Bac+5 (Master) – likely not eligible; ask if 4-yr BS + experience accepted</t>
        </is>
      </c>
      <c r="Q123" s="25" t="inlineStr">
        <is>
          <t>2</t>
        </is>
      </c>
      <c r="R123" s="25" t="n"/>
      <c r="S123" s="27" t="n">
        <v>3950</v>
      </c>
      <c r="T123" s="27" t="n">
        <v>255</v>
      </c>
      <c r="U123" s="25" t="n">
        <v>1</v>
      </c>
      <c r="V123" s="27">
        <f>IF(S123="","",S123*U123)</f>
        <v/>
      </c>
      <c r="W123" s="26" t="inlineStr">
        <is>
          <t>Not in catalogue. Public national master → 2026-27 differentiated fee €3,950; exemption to ~€254-255 depends on university quota (25% cap in 2027-28).</t>
        </is>
      </c>
      <c r="X123" s="25" t="inlineStr">
        <is>
          <t>Medium</t>
        </is>
      </c>
      <c r="Y123" s="25" t="n"/>
      <c r="Z123" s="26" t="n"/>
      <c r="AA123" s="26" t="inlineStr">
        <is>
          <t>UGA (incl. Grenoble INP masters): 2026-27 broad exemptions on request (pay national €254). From 2027-28 the decree caps apply; exemptions based on resources.</t>
        </is>
      </c>
      <c r="AB123" s="28" t="inlineStr">
        <is>
          <t>https://www.univ-grenoble-alpes.fr/actualites/a-la-une/actualites-universite/etudiants-internationaux-ce-que-change-le-nouveau-decret-sur-les-droits-d-inscription-a-l-uga-1775870.kjsp</t>
        </is>
      </c>
      <c r="AC123" s="25" t="inlineStr">
        <is>
          <t>Open</t>
        </is>
      </c>
      <c r="AD123" s="25" t="inlineStr">
        <is>
          <t>2026-10-01</t>
        </is>
      </c>
      <c r="AE123" s="25" t="inlineStr">
        <is>
          <t>2027-03-15</t>
        </is>
      </c>
      <c r="AF123" s="25" t="inlineStr">
        <is>
          <t>No</t>
        </is>
      </c>
      <c r="AG123" s="28" t="inlineStr">
        <is>
          <t>https://formations.univ-grenoble-alpes.fr/fr/catalogue-2021/master-XB/master-ingenierie-de-la-sante-IAQKSXOB/parcours-physique-medicale-radioprotection-de-l-homme-et-de-l-environnement-2e-annee-IBKJN95V.html</t>
        </is>
      </c>
      <c r="AH123" s="26" t="inlineStr">
        <is>
          <t>Prérequis : - Niveau C1 en français requis. - Niveau B2 en anglais fortement conseillé. - Les candidats doivent avoir une formation solide en physqiue nucléaire, en physique des interactions des rayonnement ionisants ave</t>
        </is>
      </c>
      <c r="AI123" s="28" t="inlineStr">
        <is>
          <t>Open in EEF</t>
        </is>
      </c>
    </row>
    <row r="124" ht="32.8" customHeight="1" s="19">
      <c r="A124" s="25" t="n">
        <v>123</v>
      </c>
      <c r="B124" s="25" t="inlineStr">
        <is>
          <t>★★★★★</t>
        </is>
      </c>
      <c r="C124" s="25" t="inlineStr">
        <is>
          <t>5 – Core fit (embedded/biomedical/health tech)</t>
        </is>
      </c>
      <c r="D124" s="25" t="inlineStr">
        <is>
          <t>Embedded systems / Electronics</t>
        </is>
      </c>
      <c r="E124" s="26" t="inlineStr">
        <is>
          <t>Master indifférencié (recherche et professionnel) Sciences, technologies, santé mention Maintenance aéronautique parcours Systèmes embarqués</t>
        </is>
      </c>
      <c r="F124" s="26" t="inlineStr">
        <is>
          <t>Science, Technology, Health (STS) – major: Maintenance Aeronautics – track: Embedded Systems</t>
        </is>
      </c>
      <c r="G124" s="25" t="inlineStr">
        <is>
          <t>Master indifférencié (recherche et professionnel)</t>
        </is>
      </c>
      <c r="H124" s="25" t="inlineStr">
        <is>
          <t>Unité de formation Sciences de l'ingénieur</t>
        </is>
      </c>
      <c r="I124" s="25" t="inlineStr">
        <is>
          <t>Université de Bordeaux</t>
        </is>
      </c>
      <c r="J124" s="25" t="inlineStr">
        <is>
          <t>Site de Talence</t>
        </is>
      </c>
      <c r="K124" s="25" t="inlineStr">
        <is>
          <t>33405 TALENCE</t>
        </is>
      </c>
      <c r="L124" s="25" t="inlineStr">
        <is>
          <t>Public university</t>
        </is>
      </c>
      <c r="M124" s="25" t="inlineStr">
        <is>
          <t>French</t>
        </is>
      </c>
      <c r="N124" s="25" t="inlineStr">
        <is>
          <t>General</t>
        </is>
      </c>
      <c r="O124" s="25" t="inlineStr">
        <is>
          <t>Bac +5</t>
        </is>
      </c>
      <c r="P124" s="26" t="inlineStr">
        <is>
          <t>Requires Bac+5 (Master) – likely not eligible; ask if 4-yr BS + experience accepted</t>
        </is>
      </c>
      <c r="Q124" s="25" t="inlineStr">
        <is>
          <t>2</t>
        </is>
      </c>
      <c r="R124" s="25" t="n"/>
      <c r="S124" s="27" t="n">
        <v>3950</v>
      </c>
      <c r="T124" s="27" t="n">
        <v>255</v>
      </c>
      <c r="U124" s="25" t="n">
        <v>1</v>
      </c>
      <c r="V124" s="27">
        <f>IF(S124="","",S124*U124)</f>
        <v/>
      </c>
      <c r="W124" s="26" t="inlineStr">
        <is>
          <t>Not in catalogue. Public national master → 2026-27 differentiated fee €3,950; exemption to ~€254-255 depends on university quota (25% cap in 2027-28).</t>
        </is>
      </c>
      <c r="X124" s="25" t="inlineStr">
        <is>
          <t>Medium</t>
        </is>
      </c>
      <c r="Y124" s="25" t="n"/>
      <c r="Z124" s="26" t="n"/>
      <c r="AA124" s="26" t="n"/>
      <c r="AB124" s="25" t="n"/>
      <c r="AC124" s="25" t="inlineStr">
        <is>
          <t>Open</t>
        </is>
      </c>
      <c r="AD124" s="25" t="inlineStr">
        <is>
          <t>2026-10-01</t>
        </is>
      </c>
      <c r="AE124" s="25" t="inlineStr">
        <is>
          <t>2027-03-15</t>
        </is>
      </c>
      <c r="AF124" s="25" t="inlineStr">
        <is>
          <t>No</t>
        </is>
      </c>
      <c r="AG124" s="28" t="inlineStr">
        <is>
          <t>https://formations.u-bordeaux.fr/#/details-formation?type=formation&amp;id=128</t>
        </is>
      </c>
      <c r="AH124" s="26" t="inlineStr">
        <is>
          <t>TCF B2. Lettre de recommandation d’enseignants locaux attestant d’un avis pour une poursuite d’études en France et précisant le rang de classement de l’étudiant au sein de sa promotion (à déposer au sein des justificatif</t>
        </is>
      </c>
      <c r="AI124" s="28" t="inlineStr">
        <is>
          <t>Open in EEF</t>
        </is>
      </c>
    </row>
    <row r="125" ht="32.8" customHeight="1" s="19">
      <c r="A125" s="25" t="n">
        <v>124</v>
      </c>
      <c r="B125" s="25" t="inlineStr">
        <is>
          <t>★★★★★</t>
        </is>
      </c>
      <c r="C125" s="25" t="inlineStr">
        <is>
          <t>5 – Core fit (embedded/biomedical/health tech)</t>
        </is>
      </c>
      <c r="D125" s="25" t="inlineStr">
        <is>
          <t>Biomedical / Health tech</t>
        </is>
      </c>
      <c r="E125" s="26" t="inlineStr">
        <is>
          <t>Master indifférencié (recherche et professionnel) Sciences, technologies, santé mention Santé publique parcours Informatique biomédicale</t>
        </is>
      </c>
      <c r="F125" s="26" t="inlineStr">
        <is>
          <t>Science, Technology, Health (STS) – major: Health Public – track: Computer Science Biomedical</t>
        </is>
      </c>
      <c r="G125" s="25" t="inlineStr">
        <is>
          <t>Master indifférencié (recherche et professionnel)</t>
        </is>
      </c>
      <c r="H125" s="25" t="inlineStr">
        <is>
          <t>Médecine</t>
        </is>
      </c>
      <c r="I125" s="25" t="inlineStr">
        <is>
          <t>Sorbonne Université</t>
        </is>
      </c>
      <c r="J125" s="25" t="inlineStr">
        <is>
          <t>Site de Paris</t>
        </is>
      </c>
      <c r="K125" s="25" t="n"/>
      <c r="L125" s="25" t="inlineStr">
        <is>
          <t>Public university</t>
        </is>
      </c>
      <c r="M125" s="25" t="inlineStr">
        <is>
          <t>French</t>
        </is>
      </c>
      <c r="N125" s="25" t="inlineStr">
        <is>
          <t>General</t>
        </is>
      </c>
      <c r="O125" s="25" t="inlineStr">
        <is>
          <t>Bac +5</t>
        </is>
      </c>
      <c r="P125" s="26" t="inlineStr">
        <is>
          <t>Requires Bac+5 (Master) – likely not eligible; ask if 4-yr BS + experience accepted</t>
        </is>
      </c>
      <c r="Q125" s="25" t="inlineStr">
        <is>
          <t>2</t>
        </is>
      </c>
      <c r="R125" s="25" t="n"/>
      <c r="S125" s="27" t="n">
        <v>3950</v>
      </c>
      <c r="T125" s="27" t="n">
        <v>255</v>
      </c>
      <c r="U125" s="25" t="n">
        <v>1</v>
      </c>
      <c r="V125" s="27">
        <f>IF(S125="","",S125*U125)</f>
        <v/>
      </c>
      <c r="W125" s="26" t="inlineStr">
        <is>
          <t>Not in catalogue. Public national master → 2026-27 differentiated fee €3,950; exemption to ~€254-255 depends on university quota (25% cap in 2027-28).</t>
        </is>
      </c>
      <c r="X125" s="25" t="inlineStr">
        <is>
          <t>Medium</t>
        </is>
      </c>
      <c r="Y125" s="25" t="n"/>
      <c r="Z125" s="26" t="n"/>
      <c r="AA125" s="26" t="inlineStr">
        <is>
          <t>Board vote 7 Jul 2026: Sorbonne Université says it can exempt all eligible non-EU applicants (pay same as EU, ~€254) for 2026-27.</t>
        </is>
      </c>
      <c r="AB125" s="28" t="inlineStr">
        <is>
          <t>https://www.sorbonne-universite.fr/actualites/le-conseil-dadministration-de-sorbonne-universite-vote-lunanimite-le-7-juillet-2026-sa</t>
        </is>
      </c>
      <c r="AC125" s="25" t="inlineStr">
        <is>
          <t>Open</t>
        </is>
      </c>
      <c r="AD125" s="25" t="inlineStr">
        <is>
          <t>2026-10-01</t>
        </is>
      </c>
      <c r="AE125" s="25" t="inlineStr">
        <is>
          <t>2027-03-15</t>
        </is>
      </c>
      <c r="AF125" s="25" t="inlineStr">
        <is>
          <t>No</t>
        </is>
      </c>
      <c r="AG125" s="28" t="inlineStr">
        <is>
          <t>http://master.sante.sorbonne-universite.fr/fr/index.html</t>
        </is>
      </c>
      <c r="AH125" s="26" t="inlineStr">
        <is>
          <t>Etudiants titulaires d’une première année de master en Informatique Biomédicale, les médecins, odontologistes, pharmaciens, vétérinaires, les biologistes titulaires d’une première année de master en informatique biomédic</t>
        </is>
      </c>
      <c r="AI125" s="28" t="inlineStr">
        <is>
          <t>Open in EEF</t>
        </is>
      </c>
    </row>
    <row r="126" ht="43.25" customHeight="1" s="19">
      <c r="A126" s="25" t="n">
        <v>125</v>
      </c>
      <c r="B126" s="25" t="inlineStr">
        <is>
          <t>★★★★★</t>
        </is>
      </c>
      <c r="C126" s="25" t="inlineStr">
        <is>
          <t>5 – Core fit (embedded/biomedical/health tech)</t>
        </is>
      </c>
      <c r="D126" s="25" t="inlineStr">
        <is>
          <t>Biomedical / Health tech</t>
        </is>
      </c>
      <c r="E126" s="26" t="inlineStr">
        <is>
          <t>Master indifférencié (recherche et professionnel) Sciences, technologies, santé mention Santé publique parcours Informatique Biomédicale (IBM)</t>
        </is>
      </c>
      <c r="F126" s="26" t="inlineStr">
        <is>
          <t>Science, Technology, Health (STS) – major: Health Public – track: Computer Science Biomedical (IBM)</t>
        </is>
      </c>
      <c r="G126" s="25" t="inlineStr">
        <is>
          <t>Master indifférencié (recherche et professionnel)</t>
        </is>
      </c>
      <c r="H126" s="25" t="inlineStr">
        <is>
          <t>UFR de Médecine</t>
        </is>
      </c>
      <c r="I126" s="25" t="inlineStr">
        <is>
          <t>Université Paris Cité</t>
        </is>
      </c>
      <c r="J126" s="25" t="inlineStr">
        <is>
          <t>Site de Paris **</t>
        </is>
      </c>
      <c r="K126" s="25" t="inlineStr">
        <is>
          <t>75006 Paris</t>
        </is>
      </c>
      <c r="L126" s="25" t="inlineStr">
        <is>
          <t>Public university</t>
        </is>
      </c>
      <c r="M126" s="25" t="inlineStr">
        <is>
          <t>French</t>
        </is>
      </c>
      <c r="N126" s="25" t="inlineStr">
        <is>
          <t>General</t>
        </is>
      </c>
      <c r="O126" s="25" t="inlineStr">
        <is>
          <t>Bac +5</t>
        </is>
      </c>
      <c r="P126" s="26" t="inlineStr">
        <is>
          <t>Requires Bac+5 (Master) – likely not eligible; ask if 4-yr BS + experience accepted</t>
        </is>
      </c>
      <c r="Q126" s="25" t="inlineStr">
        <is>
          <t>2</t>
        </is>
      </c>
      <c r="R126" s="25" t="n"/>
      <c r="S126" s="27" t="n">
        <v>3950</v>
      </c>
      <c r="T126" s="27" t="n">
        <v>255</v>
      </c>
      <c r="U126" s="25" t="n">
        <v>1</v>
      </c>
      <c r="V126" s="27">
        <f>IF(S126="","",S126*U126)</f>
        <v/>
      </c>
      <c r="W126" s="26" t="inlineStr">
        <is>
          <t>Not in catalogue. Public national master → 2026-27 differentiated fee €3,950; exemption to ~€254-255 depends on university quota (25% cap in 2027-28).</t>
        </is>
      </c>
      <c r="X126" s="25" t="inlineStr">
        <is>
          <t>Medium</t>
        </is>
      </c>
      <c r="Y126" s="25" t="n"/>
      <c r="Z126" s="26" t="n"/>
      <c r="AA126" s="26" t="inlineStr">
        <is>
          <t>Paris Cité historically exempted non-EU master students (paid EU rate). 2026-27/2027-28 policy not yet published – confirm.</t>
        </is>
      </c>
      <c r="AB126" s="28" t="inlineStr">
        <is>
          <t>https://u-paris.fr/droits-dinscription-tarifs-exonerations/</t>
        </is>
      </c>
      <c r="AC126" s="25" t="inlineStr">
        <is>
          <t>Open</t>
        </is>
      </c>
      <c r="AD126" s="25" t="inlineStr">
        <is>
          <t>2026-10-01</t>
        </is>
      </c>
      <c r="AE126" s="25" t="inlineStr">
        <is>
          <t>2027-03-15</t>
        </is>
      </c>
      <c r="AF126" s="25" t="inlineStr">
        <is>
          <t>No</t>
        </is>
      </c>
      <c r="AG126" s="28" t="inlineStr">
        <is>
          <t>https://u-paris.fr/medecine/formation-initiale/masters/</t>
        </is>
      </c>
      <c r="AH126" s="26" t="inlineStr">
        <is>
          <t>https://odf.u-paris.fr/fr/offre-de-formation/master-lmd-XB/sciences-technologies-sante-STS/sante-publique-K2NDGZO3//master-sante-publique-parcours-informatique-biomedicale-K168NOR5.html?search-keywords=Informatique,biom%</t>
        </is>
      </c>
      <c r="AI126" s="28" t="inlineStr">
        <is>
          <t>Open in EEF</t>
        </is>
      </c>
    </row>
    <row r="127" ht="32.8" customHeight="1" s="19">
      <c r="A127" s="25" t="n">
        <v>126</v>
      </c>
      <c r="B127" s="25" t="inlineStr">
        <is>
          <t>★★★★★</t>
        </is>
      </c>
      <c r="C127" s="25" t="inlineStr">
        <is>
          <t>5 – Core fit (embedded/biomedical/health tech)</t>
        </is>
      </c>
      <c r="D127" s="25" t="inlineStr">
        <is>
          <t>Biomedical / Health tech</t>
        </is>
      </c>
      <c r="E127" s="26" t="inlineStr">
        <is>
          <t>Master indifférencié (recherche et professionnel) Sciences, technologies, santé mention sciences du vivant parcours Infectiologie, immunité, vaccinologie et biomédicament</t>
        </is>
      </c>
      <c r="F127" s="26" t="inlineStr">
        <is>
          <t>Science, Technology, Health (STS) – major: Sciences of Life – track: Infectiologie, immunité, vaccinologie &amp; biomédicament</t>
        </is>
      </c>
      <c r="G127" s="25" t="inlineStr">
        <is>
          <t>Master indifférencié (recherche et professionnel)</t>
        </is>
      </c>
      <c r="H127" s="25" t="inlineStr">
        <is>
          <t>UFR de Pharmacie</t>
        </is>
      </c>
      <c r="I127" s="25" t="inlineStr">
        <is>
          <t>Université de Tours</t>
        </is>
      </c>
      <c r="J127" s="25" t="inlineStr">
        <is>
          <t>Site de Tours</t>
        </is>
      </c>
      <c r="K127" s="25" t="n"/>
      <c r="L127" s="25" t="inlineStr">
        <is>
          <t>Public university</t>
        </is>
      </c>
      <c r="M127" s="25" t="inlineStr">
        <is>
          <t>French</t>
        </is>
      </c>
      <c r="N127" s="25" t="inlineStr">
        <is>
          <t>General</t>
        </is>
      </c>
      <c r="O127" s="25" t="inlineStr">
        <is>
          <t>Bac +5</t>
        </is>
      </c>
      <c r="P127" s="26" t="inlineStr">
        <is>
          <t>Requires Bac+5 (Master) – likely not eligible; ask if 4-yr BS + experience accepted</t>
        </is>
      </c>
      <c r="Q127" s="25" t="inlineStr">
        <is>
          <t>2</t>
        </is>
      </c>
      <c r="R127" s="25" t="inlineStr">
        <is>
          <t>12</t>
        </is>
      </c>
      <c r="S127" s="27" t="n">
        <v>3950</v>
      </c>
      <c r="T127" s="27" t="n">
        <v>255</v>
      </c>
      <c r="U127" s="25" t="n">
        <v>1</v>
      </c>
      <c r="V127" s="27">
        <f>IF(S127="","",S127*U127)</f>
        <v/>
      </c>
      <c r="W127" s="26" t="inlineStr">
        <is>
          <t>Not in catalogue. Public national master → 2026-27 differentiated fee €3,950; exemption to ~€254-255 depends on university quota (25% cap in 2027-28).</t>
        </is>
      </c>
      <c r="X127" s="25" t="inlineStr">
        <is>
          <t>Medium</t>
        </is>
      </c>
      <c r="Y127" s="25" t="n"/>
      <c r="Z127" s="26" t="n"/>
      <c r="AA127" s="26" t="inlineStr">
        <is>
          <t>Tours: exemptions capped at 30% of non-EU students (2026-27); exempted students pay €255.</t>
        </is>
      </c>
      <c r="AB127" s="28" t="inlineStr">
        <is>
          <t>https://www.univ-tours.fr/international/etudes-stages-a-tours/droits-dinscription-differencies-pour-les-etudiants-extra-communautaires-2026-2027</t>
        </is>
      </c>
      <c r="AC127" s="25" t="inlineStr">
        <is>
          <t>Open</t>
        </is>
      </c>
      <c r="AD127" s="25" t="inlineStr">
        <is>
          <t>2026-10-01</t>
        </is>
      </c>
      <c r="AE127" s="25" t="inlineStr">
        <is>
          <t>2027-03-15</t>
        </is>
      </c>
      <c r="AF127" s="25" t="inlineStr">
        <is>
          <t>No</t>
        </is>
      </c>
      <c r="AG127" s="28" t="inlineStr">
        <is>
          <t>https://www.univ-tours.fr/formations/master-sciences-technologies-sante-mention-sciences-du-vivant-parcours-infectiologie-immunite-vaccinologie-et-biomedicaments</t>
        </is>
      </c>
      <c r="AH127" s="26" t="inlineStr">
        <is>
          <t>Bonjour, L'Université de Tours demande un niveau de français C1 validé (soit 500 points minimum). (niveau C1 aux résultats globaux QCM + niveau C1 à l’expression écrite) Les dossiers n'ayant pas ce niveau ne seront pas e</t>
        </is>
      </c>
      <c r="AI127" s="28" t="inlineStr">
        <is>
          <t>Open in EEF</t>
        </is>
      </c>
    </row>
    <row r="128" ht="32.8" customHeight="1" s="19">
      <c r="A128" s="25" t="n">
        <v>127</v>
      </c>
      <c r="B128" s="25" t="inlineStr">
        <is>
          <t>★★★★★</t>
        </is>
      </c>
      <c r="C128" s="25" t="inlineStr">
        <is>
          <t>5 – Core fit (embedded/biomedical/health tech)</t>
        </is>
      </c>
      <c r="D128" s="25" t="inlineStr">
        <is>
          <t>Biomedical / Health tech</t>
        </is>
      </c>
      <c r="E128" s="26" t="inlineStr">
        <is>
          <t>Master Sciences, technologies, santé, mention Ingénierie de la santé parcours Graduate program SITH (IRM-biomédicale)</t>
        </is>
      </c>
      <c r="F128" s="26" t="inlineStr">
        <is>
          <t>Master Science, Technology, Health (STS), – major: Health Engineering – track: Graduate program SITH (IRM-biomédicale)</t>
        </is>
      </c>
      <c r="G128" s="25" t="inlineStr">
        <is>
          <t>Master indifférencié (recherche et professionnel)</t>
        </is>
      </c>
      <c r="H128" s="25" t="inlineStr">
        <is>
          <t>Unité de formation de biologie</t>
        </is>
      </c>
      <c r="I128" s="25" t="inlineStr">
        <is>
          <t>Université de Bordeaux</t>
        </is>
      </c>
      <c r="J128" s="25" t="inlineStr">
        <is>
          <t>Site de Talence</t>
        </is>
      </c>
      <c r="K128" s="25" t="n"/>
      <c r="L128" s="25" t="inlineStr">
        <is>
          <t>Public university</t>
        </is>
      </c>
      <c r="M128" s="25" t="inlineStr">
        <is>
          <t>French</t>
        </is>
      </c>
      <c r="N128" s="25" t="inlineStr">
        <is>
          <t>General</t>
        </is>
      </c>
      <c r="O128" s="25" t="inlineStr">
        <is>
          <t>Bac +5</t>
        </is>
      </c>
      <c r="P128" s="26" t="inlineStr">
        <is>
          <t>Requires Bac+5 (Master) – likely not eligible; ask if 4-yr BS + experience accepted</t>
        </is>
      </c>
      <c r="Q128" s="25" t="inlineStr">
        <is>
          <t>2</t>
        </is>
      </c>
      <c r="R128" s="25" t="n"/>
      <c r="S128" s="27" t="n">
        <v>3950</v>
      </c>
      <c r="T128" s="27" t="n">
        <v>255</v>
      </c>
      <c r="U128" s="25" t="n">
        <v>1</v>
      </c>
      <c r="V128" s="27">
        <f>IF(S128="","",S128*U128)</f>
        <v/>
      </c>
      <c r="W128" s="26" t="inlineStr">
        <is>
          <t>Not in catalogue. Public national master → 2026-27 differentiated fee €3,950; exemption to ~€254-255 depends on university quota (25% cap in 2027-28).</t>
        </is>
      </c>
      <c r="X128" s="25" t="inlineStr">
        <is>
          <t>Medium</t>
        </is>
      </c>
      <c r="Y128" s="25" t="n"/>
      <c r="Z128" s="26" t="n"/>
      <c r="AA128" s="26" t="n"/>
      <c r="AB128" s="25" t="n"/>
      <c r="AC128" s="25" t="inlineStr">
        <is>
          <t>Open</t>
        </is>
      </c>
      <c r="AD128" s="25" t="inlineStr">
        <is>
          <t>2026-10-01</t>
        </is>
      </c>
      <c r="AE128" s="25" t="inlineStr">
        <is>
          <t>2027-03-15</t>
        </is>
      </c>
      <c r="AF128" s="25" t="inlineStr">
        <is>
          <t>No</t>
        </is>
      </c>
      <c r="AG128" s="28" t="inlineStr">
        <is>
          <t>https://formations.u-bordeaux.fr/details-formation?type=formation&amp;id=126</t>
        </is>
      </c>
      <c r="AH128" s="26" t="inlineStr">
        <is>
          <t>Candidates must hold a Bachelor’s degree with honors or an equivalent of 240 ECTS in computer sciences or mathematics with a focus on theoretical computer sciences or discrete mathematics. For non-native English speakers</t>
        </is>
      </c>
      <c r="AI128" s="28" t="inlineStr">
        <is>
          <t>Open in EEF</t>
        </is>
      </c>
    </row>
    <row r="129" ht="32.8" customHeight="1" s="19">
      <c r="A129" s="25" t="n">
        <v>128</v>
      </c>
      <c r="B129" s="25" t="inlineStr">
        <is>
          <t>★★★★★</t>
        </is>
      </c>
      <c r="C129" s="25" t="inlineStr">
        <is>
          <t>5 – Core fit (embedded/biomedical/health tech)</t>
        </is>
      </c>
      <c r="D129" s="25" t="inlineStr">
        <is>
          <t>Biomedical / Health tech</t>
        </is>
      </c>
      <c r="E129" s="26" t="inlineStr">
        <is>
          <t>Master Sciences, technologies, santé, mention Ingénierie de la santé parcours Modèles, imagerie, IA et innovation en médecine et biologie</t>
        </is>
      </c>
      <c r="F129" s="26" t="inlineStr">
        <is>
          <t>Master Science, Technology, Health (STS), – major: Health Engineering – track: Models, Imaging, IA &amp; innovation in Medicine &amp; Biology</t>
        </is>
      </c>
      <c r="G129" s="25" t="inlineStr">
        <is>
          <t>Master indifférencié (recherche et professionnel)</t>
        </is>
      </c>
      <c r="H129" s="25" t="inlineStr">
        <is>
          <t>UFR Médecine - Pharmacie</t>
        </is>
      </c>
      <c r="I129" s="25" t="inlineStr">
        <is>
          <t>Université de Grenoble Alpes</t>
        </is>
      </c>
      <c r="J129" s="25" t="inlineStr">
        <is>
          <t>Site de Grenoble - Campus de La Merci - La Tronche</t>
        </is>
      </c>
      <c r="K129" s="25" t="n"/>
      <c r="L129" s="25" t="inlineStr">
        <is>
          <t>Public university</t>
        </is>
      </c>
      <c r="M129" s="25" t="inlineStr">
        <is>
          <t>French</t>
        </is>
      </c>
      <c r="N129" s="25" t="inlineStr">
        <is>
          <t>General</t>
        </is>
      </c>
      <c r="O129" s="25" t="inlineStr">
        <is>
          <t>Bac +5</t>
        </is>
      </c>
      <c r="P129" s="26" t="inlineStr">
        <is>
          <t>Requires Bac+5 (Master) – likely not eligible; ask if 4-yr BS + experience accepted</t>
        </is>
      </c>
      <c r="Q129" s="25" t="inlineStr">
        <is>
          <t>2</t>
        </is>
      </c>
      <c r="R129" s="25" t="n"/>
      <c r="S129" s="27" t="n">
        <v>3950</v>
      </c>
      <c r="T129" s="27" t="n">
        <v>255</v>
      </c>
      <c r="U129" s="25" t="n">
        <v>1</v>
      </c>
      <c r="V129" s="27">
        <f>IF(S129="","",S129*U129)</f>
        <v/>
      </c>
      <c r="W129" s="26" t="inlineStr">
        <is>
          <t>Not in catalogue. Public national master → 2026-27 differentiated fee €3,950; exemption to ~€254-255 depends on university quota (25% cap in 2027-28).</t>
        </is>
      </c>
      <c r="X129" s="25" t="inlineStr">
        <is>
          <t>Medium</t>
        </is>
      </c>
      <c r="Y129" s="25" t="n"/>
      <c r="Z129" s="26" t="n"/>
      <c r="AA129" s="26" t="inlineStr">
        <is>
          <t>UGA (incl. Grenoble INP masters): 2026-27 broad exemptions on request (pay national €254). From 2027-28 the decree caps apply; exemptions based on resources.</t>
        </is>
      </c>
      <c r="AB129" s="28" t="inlineStr">
        <is>
          <t>https://www.univ-grenoble-alpes.fr/actualites/a-la-une/actualites-universite/etudiants-internationaux-ce-que-change-le-nouveau-decret-sur-les-droits-d-inscription-a-l-uga-1775870.kjsp</t>
        </is>
      </c>
      <c r="AC129" s="25" t="inlineStr">
        <is>
          <t>Open</t>
        </is>
      </c>
      <c r="AD129" s="25" t="inlineStr">
        <is>
          <t>2026-10-01</t>
        </is>
      </c>
      <c r="AE129" s="25" t="inlineStr">
        <is>
          <t>2027-03-15</t>
        </is>
      </c>
      <c r="AF129" s="25" t="inlineStr">
        <is>
          <t>No</t>
        </is>
      </c>
      <c r="AG129" s="28" t="inlineStr">
        <is>
          <t>https://licences-masters-sante.univ-grenoble-alpes.fr/masters/medtechs-numerique-et-physique-appliques-a-la-sante/m2-modeles-innovation-technologique-imagerie-miti-/m2-modeles-innovation-technologique-imagerie-miti--279879.kjsp</t>
        </is>
      </c>
      <c r="AH129" s="26" t="inlineStr">
        <is>
          <t>Pas de prérequis.</t>
        </is>
      </c>
      <c r="AI129" s="28" t="inlineStr">
        <is>
          <t>Open in EEF</t>
        </is>
      </c>
    </row>
    <row r="130" ht="32.8" customHeight="1" s="19">
      <c r="A130" s="25" t="n">
        <v>129</v>
      </c>
      <c r="B130" s="25" t="inlineStr">
        <is>
          <t>★★★★★</t>
        </is>
      </c>
      <c r="C130" s="25" t="inlineStr">
        <is>
          <t>5 – Core fit (embedded/biomedical/health tech)</t>
        </is>
      </c>
      <c r="D130" s="25" t="inlineStr">
        <is>
          <t>Biomedical / Health tech</t>
        </is>
      </c>
      <c r="E130" s="26" t="inlineStr">
        <is>
          <t>Master Sciences, technologies, santé, mention Physique fondamentale et applications parcours Physique médicale - radioprotection de l'Homme et de l'environnement</t>
        </is>
      </c>
      <c r="F130" s="26" t="inlineStr">
        <is>
          <t>Master Science, Technology, Health (STS), – major: Physics Fundamental &amp; Applications – track: Medical Physics - Radiation Protection of l'Homme &amp; of l'environnement</t>
        </is>
      </c>
      <c r="G130" s="25" t="inlineStr">
        <is>
          <t>Master indifférencié (recherche et professionnel)</t>
        </is>
      </c>
      <c r="H130" s="25" t="inlineStr">
        <is>
          <t>UFR de Physique, ingénierie, terre, environnement, mécanique</t>
        </is>
      </c>
      <c r="I130" s="25" t="inlineStr">
        <is>
          <t>Université de Grenoble Alpes</t>
        </is>
      </c>
      <c r="J130" s="25" t="inlineStr">
        <is>
          <t>Site de Grenoble - Polygone scientifique - GreEn-ER</t>
        </is>
      </c>
      <c r="K130" s="25" t="n"/>
      <c r="L130" s="25" t="inlineStr">
        <is>
          <t>Public university</t>
        </is>
      </c>
      <c r="M130" s="25" t="inlineStr">
        <is>
          <t>French</t>
        </is>
      </c>
      <c r="N130" s="25" t="inlineStr">
        <is>
          <t>General</t>
        </is>
      </c>
      <c r="O130" s="25" t="inlineStr">
        <is>
          <t>Bac +5</t>
        </is>
      </c>
      <c r="P130" s="26" t="inlineStr">
        <is>
          <t>Requires Bac+5 (Master) – likely not eligible; ask if 4-yr BS + experience accepted</t>
        </is>
      </c>
      <c r="Q130" s="25" t="inlineStr">
        <is>
          <t>2</t>
        </is>
      </c>
      <c r="R130" s="25" t="n"/>
      <c r="S130" s="27" t="n">
        <v>3950</v>
      </c>
      <c r="T130" s="27" t="n">
        <v>255</v>
      </c>
      <c r="U130" s="25" t="n">
        <v>1</v>
      </c>
      <c r="V130" s="27">
        <f>IF(S130="","",S130*U130)</f>
        <v/>
      </c>
      <c r="W130" s="26" t="inlineStr">
        <is>
          <t>Not in catalogue. Public national master → 2026-27 differentiated fee €3,950; exemption to ~€254-255 depends on university quota (25% cap in 2027-28).</t>
        </is>
      </c>
      <c r="X130" s="25" t="inlineStr">
        <is>
          <t>Medium</t>
        </is>
      </c>
      <c r="Y130" s="25" t="n"/>
      <c r="Z130" s="26" t="n"/>
      <c r="AA130" s="26" t="inlineStr">
        <is>
          <t>UGA (incl. Grenoble INP masters): 2026-27 broad exemptions on request (pay national €254). From 2027-28 the decree caps apply; exemptions based on resources.</t>
        </is>
      </c>
      <c r="AB130" s="28" t="inlineStr">
        <is>
          <t>https://www.univ-grenoble-alpes.fr/actualites/a-la-une/actualites-universite/etudiants-internationaux-ce-que-change-le-nouveau-decret-sur-les-droits-d-inscription-a-l-uga-1775870.kjsp</t>
        </is>
      </c>
      <c r="AC130" s="25" t="inlineStr">
        <is>
          <t>Open</t>
        </is>
      </c>
      <c r="AD130" s="25" t="inlineStr">
        <is>
          <t>2026-10-01</t>
        </is>
      </c>
      <c r="AE130" s="25" t="inlineStr">
        <is>
          <t>2027-03-15</t>
        </is>
      </c>
      <c r="AF130" s="25" t="inlineStr">
        <is>
          <t>No</t>
        </is>
      </c>
      <c r="AG130" s="28" t="inlineStr">
        <is>
          <t>https://formations.univ-grenoble-alpes.fr/fr/catalogue-2021/master-XB/master-physique-fondamentale-et-applications-IAQK7WZY.html</t>
        </is>
      </c>
      <c r="AH130" s="26" t="inlineStr">
        <is>
          <t>"Présentation et objectifs Le parcours proposé "" Physique médicale, radioprotection de l'homme et de l'envirronnement"" est un parcours de master 2 dont l'objectif est de donner une formation solide, polyvalente, de niv</t>
        </is>
      </c>
      <c r="AI130" s="28" t="inlineStr">
        <is>
          <t>Open in EEF</t>
        </is>
      </c>
    </row>
    <row r="131" ht="32.8" customHeight="1" s="19">
      <c r="A131" s="25" t="n">
        <v>130</v>
      </c>
      <c r="B131" s="25" t="inlineStr">
        <is>
          <t>★★★★★</t>
        </is>
      </c>
      <c r="C131" s="25" t="inlineStr">
        <is>
          <t>5 – Core fit (embedded/biomedical/health tech)</t>
        </is>
      </c>
      <c r="D131" s="25" t="inlineStr">
        <is>
          <t>Biomedical / Health tech</t>
        </is>
      </c>
      <c r="E131" s="26" t="inlineStr">
        <is>
          <t>Master Sciences, technologies, santé mention Sciences et génie des matériaux. parcours Ingénierie biomédicale, Biomatériaux, Biomolécules.</t>
        </is>
      </c>
      <c r="F131" s="26" t="inlineStr">
        <is>
          <t>Master Science, Technology, Health (STS) – major: Sciences &amp; Engineering of Materials. – track: Biomedical Engineering, Biomaterials, Biomolecules.</t>
        </is>
      </c>
      <c r="G131" s="25" t="inlineStr">
        <is>
          <t>Master indifférencié (recherche et professionnel)</t>
        </is>
      </c>
      <c r="H131" s="25" t="inlineStr">
        <is>
          <t>UFR d'Odontologie</t>
        </is>
      </c>
      <c r="I131" s="25" t="inlineStr">
        <is>
          <t>Université Paris Cité</t>
        </is>
      </c>
      <c r="J131" s="25" t="inlineStr">
        <is>
          <t>Odontologie - Site de Paris</t>
        </is>
      </c>
      <c r="K131" s="25" t="inlineStr">
        <is>
          <t>92120 Montrouge</t>
        </is>
      </c>
      <c r="L131" s="25" t="inlineStr">
        <is>
          <t>Public university</t>
        </is>
      </c>
      <c r="M131" s="25" t="inlineStr">
        <is>
          <t>French</t>
        </is>
      </c>
      <c r="N131" s="25" t="inlineStr">
        <is>
          <t>General</t>
        </is>
      </c>
      <c r="O131" s="25" t="inlineStr">
        <is>
          <t>Bac +5</t>
        </is>
      </c>
      <c r="P131" s="26" t="inlineStr">
        <is>
          <t>Requires Bac+5 (Master) – likely not eligible; ask if 4-yr BS + experience accepted</t>
        </is>
      </c>
      <c r="Q131" s="25" t="inlineStr">
        <is>
          <t>2</t>
        </is>
      </c>
      <c r="R131" s="25" t="n"/>
      <c r="S131" s="27" t="n">
        <v>3950</v>
      </c>
      <c r="T131" s="27" t="n">
        <v>255</v>
      </c>
      <c r="U131" s="25" t="n">
        <v>1</v>
      </c>
      <c r="V131" s="27">
        <f>IF(S131="","",S131*U131)</f>
        <v/>
      </c>
      <c r="W131" s="26" t="inlineStr">
        <is>
          <t>Not in catalogue. Public national master → 2026-27 differentiated fee €3,950; exemption to ~€254-255 depends on university quota (25% cap in 2027-28).</t>
        </is>
      </c>
      <c r="X131" s="25" t="inlineStr">
        <is>
          <t>Medium</t>
        </is>
      </c>
      <c r="Y131" s="25" t="n"/>
      <c r="Z131" s="26" t="n"/>
      <c r="AA131" s="26" t="inlineStr">
        <is>
          <t>Paris Cité historically exempted non-EU master students (paid EU rate). 2026-27/2027-28 policy not yet published – confirm.</t>
        </is>
      </c>
      <c r="AB131" s="28" t="inlineStr">
        <is>
          <t>https://u-paris.fr/droits-dinscription-tarifs-exonerations/</t>
        </is>
      </c>
      <c r="AC131" s="25" t="inlineStr">
        <is>
          <t>Open</t>
        </is>
      </c>
      <c r="AD131" s="25" t="inlineStr">
        <is>
          <t>2026-10-01</t>
        </is>
      </c>
      <c r="AE131" s="25" t="inlineStr">
        <is>
          <t>2027-03-15</t>
        </is>
      </c>
      <c r="AF131" s="25" t="inlineStr">
        <is>
          <t>No</t>
        </is>
      </c>
      <c r="AG131" s="28" t="inlineStr">
        <is>
          <t>https://odf.u-paris.fr/fr/offre-de-formation/master-XB/sciences-technologies-sante-STS/sciences-et-genie-des-materiaux-K2M598T7/master-sciences-et-genie-des-materiaux-parcours-ingenierie-biomedicale-biomateriaux-biomolecules-K1AEGQPI.html</t>
        </is>
      </c>
      <c r="AH131" s="26" t="inlineStr">
        <is>
          <t>Prérequis pour le M1 : Licence sciences de la vie/licence de chimie/licence sciences pour la santé. Connaissances en matériaux pour le M1. Adéquation de la lettre de motivation avec le projet d'orientation. Maîtrise de l</t>
        </is>
      </c>
      <c r="AI131" s="28" t="inlineStr">
        <is>
          <t>Open in EEF</t>
        </is>
      </c>
    </row>
    <row r="132" ht="32.8" customHeight="1" s="19">
      <c r="A132" s="25" t="n">
        <v>131</v>
      </c>
      <c r="B132" s="25" t="inlineStr">
        <is>
          <t>★★★★★</t>
        </is>
      </c>
      <c r="C132" s="25" t="inlineStr">
        <is>
          <t>5 – Core fit (embedded/biomedical/health tech)</t>
        </is>
      </c>
      <c r="D132" s="25" t="inlineStr">
        <is>
          <t>Embedded systems / Electronics</t>
        </is>
      </c>
      <c r="E132" s="26" t="inlineStr">
        <is>
          <t>Master rech. Sciences, technologies, santé mention électronique et télécommunications spécialité signal, image, systèmes embarqués, automatique</t>
        </is>
      </c>
      <c r="F132" s="26" t="inlineStr">
        <is>
          <t>Research Master Science, Technology, Health (STS) – major: Electronics &amp; Telecommunications – specialisation: signal, Image, Embedded Systems, Automation</t>
        </is>
      </c>
      <c r="G132" s="25" t="inlineStr">
        <is>
          <t>Master recherche</t>
        </is>
      </c>
      <c r="H132" s="25" t="inlineStr">
        <is>
          <t>IMT Atlantique</t>
        </is>
      </c>
      <c r="I132" s="25" t="inlineStr">
        <is>
          <t>IMT Atlantique</t>
        </is>
      </c>
      <c r="J132" s="25" t="inlineStr">
        <is>
          <t>Campus de Brest</t>
        </is>
      </c>
      <c r="K132" s="25" t="inlineStr">
        <is>
          <t>83818</t>
        </is>
      </c>
      <c r="L132" s="25" t="inlineStr">
        <is>
          <t>Public school / institute</t>
        </is>
      </c>
      <c r="M132" s="25" t="inlineStr">
        <is>
          <t>French</t>
        </is>
      </c>
      <c r="N132" s="25" t="inlineStr">
        <is>
          <t>General</t>
        </is>
      </c>
      <c r="O132" s="25" t="inlineStr">
        <is>
          <t>Bac +5</t>
        </is>
      </c>
      <c r="P132" s="26" t="inlineStr">
        <is>
          <t>Requires Bac+5 (Master) – likely not eligible; ask if 4-yr BS + experience accepted</t>
        </is>
      </c>
      <c r="Q132" s="25" t="inlineStr">
        <is>
          <t>2</t>
        </is>
      </c>
      <c r="R132" s="25" t="n"/>
      <c r="S132" s="27" t="n">
        <v>3950</v>
      </c>
      <c r="T132" s="27" t="n">
        <v>255</v>
      </c>
      <c r="U132" s="25" t="n">
        <v>1</v>
      </c>
      <c r="V132" s="27">
        <f>IF(S132="","",S132*U132)</f>
        <v/>
      </c>
      <c r="W132" s="26" t="inlineStr">
        <is>
          <t>Not in catalogue. Public national master → 2026-27 differentiated fee €3,950; exemption to ~€254-255 depends on university quota (25% cap in 2027-28).</t>
        </is>
      </c>
      <c r="X132" s="25" t="inlineStr">
        <is>
          <t>Medium</t>
        </is>
      </c>
      <c r="Y132" s="25" t="n"/>
      <c r="Z132" s="26" t="n"/>
      <c r="AA132" s="26" t="n"/>
      <c r="AB132" s="25" t="n"/>
      <c r="AC132" s="25" t="inlineStr">
        <is>
          <t>Open</t>
        </is>
      </c>
      <c r="AD132" s="25" t="inlineStr">
        <is>
          <t>2026-10-01</t>
        </is>
      </c>
      <c r="AE132" s="25" t="inlineStr">
        <is>
          <t>2027-03-15</t>
        </is>
      </c>
      <c r="AF132" s="25" t="inlineStr">
        <is>
          <t>No</t>
        </is>
      </c>
      <c r="AG132" s="28" t="inlineStr">
        <is>
          <t>http://www.imt-atlantique.fr</t>
        </is>
      </c>
      <c r="AH132" s="26" t="inlineStr">
        <is>
          <t>Formation en Master 2 ouverte uniquement aux candidats provenant d'un établissement ayant signé un partenariat avec IMT Atlantique (se renseigner au préalable auprès de l'administration de votre établissement d'origine).</t>
        </is>
      </c>
      <c r="AI132" s="28" t="inlineStr">
        <is>
          <t>Open in EEF</t>
        </is>
      </c>
    </row>
    <row r="133" ht="32.8" customHeight="1" s="19">
      <c r="A133" s="25" t="n">
        <v>132</v>
      </c>
      <c r="B133" s="25" t="inlineStr">
        <is>
          <t>★★★★★</t>
        </is>
      </c>
      <c r="C133" s="25" t="inlineStr">
        <is>
          <t>5 – Core fit (embedded/biomedical/health tech)</t>
        </is>
      </c>
      <c r="D133" s="25" t="inlineStr">
        <is>
          <t>Embedded systems / Electronics</t>
        </is>
      </c>
      <c r="E133" s="26" t="inlineStr">
        <is>
          <t>Master rech. Sciences, technologies, santé mention électronique et télécommunications spécialité signal, image, systèmes embarqués, automatique</t>
        </is>
      </c>
      <c r="F133" s="26" t="inlineStr">
        <is>
          <t>Research Master Science, Technology, Health (STS) – major: Electronics &amp; Telecommunications – specialisation: signal, Image, Embedded Systems, Automation</t>
        </is>
      </c>
      <c r="G133" s="25" t="inlineStr">
        <is>
          <t>Master recherche</t>
        </is>
      </c>
      <c r="H133" s="25" t="inlineStr">
        <is>
          <t>SUPELEC Campus Rennes</t>
        </is>
      </c>
      <c r="I133" s="25" t="n"/>
      <c r="J133" s="25" t="inlineStr">
        <is>
          <t>Site de Cesson-Sévigné</t>
        </is>
      </c>
      <c r="K133" s="25" t="n"/>
      <c r="L133" s="25" t="inlineStr">
        <is>
          <t>Public school / institute</t>
        </is>
      </c>
      <c r="M133" s="25" t="inlineStr">
        <is>
          <t>French</t>
        </is>
      </c>
      <c r="N133" s="25" t="inlineStr">
        <is>
          <t>General</t>
        </is>
      </c>
      <c r="O133" s="25" t="inlineStr">
        <is>
          <t>Bac +5</t>
        </is>
      </c>
      <c r="P133" s="26" t="inlineStr">
        <is>
          <t>Requires Bac+5 (Master) – likely not eligible; ask if 4-yr BS + experience accepted</t>
        </is>
      </c>
      <c r="Q133" s="25" t="inlineStr">
        <is>
          <t>2</t>
        </is>
      </c>
      <c r="R133" s="25" t="n"/>
      <c r="S133" s="27" t="n">
        <v>3950</v>
      </c>
      <c r="T133" s="27" t="n">
        <v>255</v>
      </c>
      <c r="U133" s="25" t="n">
        <v>1</v>
      </c>
      <c r="V133" s="27">
        <f>IF(S133="","",S133*U133)</f>
        <v/>
      </c>
      <c r="W133" s="26" t="inlineStr">
        <is>
          <t>Not in catalogue. Public national master → 2026-27 differentiated fee €3,950; exemption to ~€254-255 depends on university quota (25% cap in 2027-28).</t>
        </is>
      </c>
      <c r="X133" s="25" t="inlineStr">
        <is>
          <t>Medium</t>
        </is>
      </c>
      <c r="Y133" s="25" t="n"/>
      <c r="Z133" s="26" t="n"/>
      <c r="AA133" s="26" t="n"/>
      <c r="AB133" s="25" t="n"/>
      <c r="AC133" s="25" t="inlineStr">
        <is>
          <t>Closed</t>
        </is>
      </c>
      <c r="AD133" s="25" t="n"/>
      <c r="AE133" s="25" t="n"/>
      <c r="AF133" s="25" t="inlineStr">
        <is>
          <t>No</t>
        </is>
      </c>
      <c r="AG133" s="28" t="inlineStr">
        <is>
          <t>http://www.supelec.fr</t>
        </is>
      </c>
      <c r="AH133" s="26" t="n"/>
      <c r="AI133" s="28" t="inlineStr">
        <is>
          <t>Open in EEF</t>
        </is>
      </c>
    </row>
    <row r="134" ht="22.35" customHeight="1" s="19">
      <c r="A134" s="25" t="n">
        <v>133</v>
      </c>
      <c r="B134" s="25" t="inlineStr">
        <is>
          <t>★★★★★</t>
        </is>
      </c>
      <c r="C134" s="25" t="inlineStr">
        <is>
          <t>5 – Core fit (embedded/biomedical/health tech)</t>
        </is>
      </c>
      <c r="D134" s="25" t="inlineStr">
        <is>
          <t>Signal / Image / Vision</t>
        </is>
      </c>
      <c r="E134" s="26" t="inlineStr">
        <is>
          <t>Master rech. Sciences, technologies, santé mention informatique spécialité signaux et images en biologie et médecine</t>
        </is>
      </c>
      <c r="F134" s="26" t="inlineStr">
        <is>
          <t>Research Master Science, Technology, Health (STS) – major: Computer Science – specialisation: Signals &amp; Images in Biology &amp; Medicine</t>
        </is>
      </c>
      <c r="G134" s="25" t="inlineStr">
        <is>
          <t>Master recherche</t>
        </is>
      </c>
      <c r="H134" s="25" t="inlineStr">
        <is>
          <t>Polytech Nantes</t>
        </is>
      </c>
      <c r="I134" s="25" t="inlineStr">
        <is>
          <t>Groupement Polytech</t>
        </is>
      </c>
      <c r="J134" s="25" t="inlineStr">
        <is>
          <t>Masters Univ. Nantes</t>
        </is>
      </c>
      <c r="K134" s="25" t="n"/>
      <c r="L134" s="25" t="inlineStr">
        <is>
          <t>Public school / institute</t>
        </is>
      </c>
      <c r="M134" s="25" t="inlineStr">
        <is>
          <t>French</t>
        </is>
      </c>
      <c r="N134" s="25" t="inlineStr">
        <is>
          <t>General</t>
        </is>
      </c>
      <c r="O134" s="25" t="inlineStr">
        <is>
          <t>Bac +5</t>
        </is>
      </c>
      <c r="P134" s="26" t="inlineStr">
        <is>
          <t>Requires Bac+5 (Master) – likely not eligible; ask if 4-yr BS + experience accepted</t>
        </is>
      </c>
      <c r="Q134" s="25" t="inlineStr">
        <is>
          <t>2</t>
        </is>
      </c>
      <c r="R134" s="25" t="n"/>
      <c r="S134" s="27" t="n">
        <v>3950</v>
      </c>
      <c r="T134" s="27" t="n">
        <v>255</v>
      </c>
      <c r="U134" s="25" t="n">
        <v>1</v>
      </c>
      <c r="V134" s="27">
        <f>IF(S134="","",S134*U134)</f>
        <v/>
      </c>
      <c r="W134" s="26" t="inlineStr">
        <is>
          <t>Not in catalogue. Public national master → 2026-27 differentiated fee €3,950; exemption to ~€254-255 depends on university quota (25% cap in 2027-28).</t>
        </is>
      </c>
      <c r="X134" s="25" t="inlineStr">
        <is>
          <t>Medium</t>
        </is>
      </c>
      <c r="Y134" s="25" t="n"/>
      <c r="Z134" s="26" t="n"/>
      <c r="AA134" s="26" t="n"/>
      <c r="AB134" s="25" t="n"/>
      <c r="AC134" s="25" t="inlineStr">
        <is>
          <t>Open</t>
        </is>
      </c>
      <c r="AD134" s="25" t="inlineStr">
        <is>
          <t>2026-10-01</t>
        </is>
      </c>
      <c r="AE134" s="25" t="inlineStr">
        <is>
          <t>2027-03-15</t>
        </is>
      </c>
      <c r="AF134" s="25" t="inlineStr">
        <is>
          <t>No</t>
        </is>
      </c>
      <c r="AG134" s="25" t="n"/>
      <c r="AH134" s="26" t="n"/>
      <c r="AI134" s="28" t="inlineStr">
        <is>
          <t>Open in EEF</t>
        </is>
      </c>
    </row>
    <row r="135" ht="22.35" customHeight="1" s="19">
      <c r="A135" s="25" t="n">
        <v>134</v>
      </c>
      <c r="B135" s="25" t="inlineStr">
        <is>
          <t>★★★★★</t>
        </is>
      </c>
      <c r="C135" s="25" t="inlineStr">
        <is>
          <t>5 – Core fit (embedded/biomedical/health tech)</t>
        </is>
      </c>
      <c r="D135" s="25" t="inlineStr">
        <is>
          <t>Biomedical / Health tech</t>
        </is>
      </c>
      <c r="E135" s="26" t="inlineStr">
        <is>
          <t>Master BioMedical Engineering</t>
        </is>
      </c>
      <c r="F135" s="26" t="inlineStr">
        <is>
          <t>Master BioMedical Engineering</t>
        </is>
      </c>
      <c r="G135" s="25" t="inlineStr">
        <is>
          <t>Master indifférencié (recherche et professionnel)</t>
        </is>
      </c>
      <c r="H135" s="25" t="inlineStr">
        <is>
          <t>Ecole nationale supérieure des mines de Saint-Etienne</t>
        </is>
      </c>
      <c r="I135" s="25" t="n"/>
      <c r="J135" s="25" t="inlineStr">
        <is>
          <t>Site de Saint-Etienne</t>
        </is>
      </c>
      <c r="K135" s="25" t="n"/>
      <c r="L135" s="25" t="inlineStr">
        <is>
          <t>Public school / institute</t>
        </is>
      </c>
      <c r="M135" s="25" t="inlineStr">
        <is>
          <t>English</t>
        </is>
      </c>
      <c r="N135" s="25" t="inlineStr">
        <is>
          <t>General</t>
        </is>
      </c>
      <c r="O135" s="25" t="inlineStr">
        <is>
          <t>Bac +5</t>
        </is>
      </c>
      <c r="P135" s="26" t="inlineStr">
        <is>
          <t>Requires Bac+5 (Master) – likely not eligible; ask if 4-yr BS + experience accepted</t>
        </is>
      </c>
      <c r="Q135" s="25" t="inlineStr">
        <is>
          <t>2</t>
        </is>
      </c>
      <c r="R135" s="25" t="n"/>
      <c r="S135" s="27" t="n">
        <v>256</v>
      </c>
      <c r="T135" s="27" t="n"/>
      <c r="U135" s="25" t="n">
        <v>1</v>
      </c>
      <c r="V135" s="27">
        <f>IF(S135="","",S135*U135)</f>
        <v/>
      </c>
      <c r="W135" s="26" t="inlineStr">
        <is>
          <t>Catalogue lists €256 (EU/national rate). Confirm whether non-EU surcharge applies.</t>
        </is>
      </c>
      <c r="X135" s="25" t="inlineStr">
        <is>
          <t>Medium</t>
        </is>
      </c>
      <c r="Y135" s="25" t="inlineStr">
        <is>
          <t>256</t>
        </is>
      </c>
      <c r="Z135" s="26" t="n"/>
      <c r="AA135" s="26" t="n"/>
      <c r="AB135" s="25" t="n"/>
      <c r="AC135" s="25" t="inlineStr">
        <is>
          <t>Open</t>
        </is>
      </c>
      <c r="AD135" s="25" t="inlineStr">
        <is>
          <t>2026-10-01</t>
        </is>
      </c>
      <c r="AE135" s="25" t="inlineStr">
        <is>
          <t>2027-03-15</t>
        </is>
      </c>
      <c r="AF135" s="25" t="inlineStr">
        <is>
          <t>Yes</t>
        </is>
      </c>
      <c r="AG135" s="28" t="inlineStr">
        <is>
          <t>http://www.mines-stetienne.fr/formation-mines-saint-etienne/</t>
        </is>
      </c>
      <c r="AH135" s="26" t="n"/>
      <c r="AI135" s="28" t="inlineStr">
        <is>
          <t>Open in EEF</t>
        </is>
      </c>
    </row>
    <row r="136" ht="22.35" customHeight="1" s="19">
      <c r="A136" s="25" t="n">
        <v>135</v>
      </c>
      <c r="B136" s="25" t="inlineStr">
        <is>
          <t>★★★★★</t>
        </is>
      </c>
      <c r="C136" s="25" t="inlineStr">
        <is>
          <t>5 – Core fit (embedded/biomedical/health tech)</t>
        </is>
      </c>
      <c r="D136" s="25" t="inlineStr">
        <is>
          <t>Biomedical / Health tech</t>
        </is>
      </c>
      <c r="E136" s="26" t="inlineStr">
        <is>
          <t>Master of Science Biomedical Engineering and Design</t>
        </is>
      </c>
      <c r="F136" s="26" t="inlineStr">
        <is>
          <t>Master of Science Biomedical Engineering and Design</t>
        </is>
      </c>
      <c r="G136" s="25" t="inlineStr">
        <is>
          <t>Master of Science (MSc)</t>
        </is>
      </c>
      <c r="H136" s="25" t="inlineStr">
        <is>
          <t>Ecole nationale supérieure des mines de Saint-Etienne</t>
        </is>
      </c>
      <c r="I136" s="25" t="n"/>
      <c r="J136" s="25" t="inlineStr">
        <is>
          <t>Site de Saint-Etienne</t>
        </is>
      </c>
      <c r="K136" s="25" t="n"/>
      <c r="L136" s="25" t="inlineStr">
        <is>
          <t>Public school / institute</t>
        </is>
      </c>
      <c r="M136" s="25" t="inlineStr">
        <is>
          <t>English</t>
        </is>
      </c>
      <c r="N136" s="25" t="inlineStr">
        <is>
          <t>Taught in English</t>
        </is>
      </c>
      <c r="O136" s="25" t="inlineStr">
        <is>
          <t>Bac +5</t>
        </is>
      </c>
      <c r="P136" s="26" t="inlineStr">
        <is>
          <t>Requires Bac+5 (Master) – likely not eligible; ask if 4-yr BS + experience accepted</t>
        </is>
      </c>
      <c r="Q136" s="25" t="inlineStr">
        <is>
          <t>2</t>
        </is>
      </c>
      <c r="R136" s="25" t="inlineStr">
        <is>
          <t>12</t>
        </is>
      </c>
      <c r="S136" s="27" t="n">
        <v>4150</v>
      </c>
      <c r="T136" s="27" t="n"/>
      <c r="U136" s="25" t="n">
        <v>1</v>
      </c>
      <c r="V136" s="27">
        <f>IF(S136="","",S136*U136)</f>
        <v/>
      </c>
      <c r="W136" s="26" t="inlineStr">
        <is>
          <t>Not in catalogue. Mastersportal lists €4,150/yr for Mines Saint-Étienne MSc (verify with school).</t>
        </is>
      </c>
      <c r="X136" s="25" t="inlineStr">
        <is>
          <t>Low</t>
        </is>
      </c>
      <c r="Y136" s="25" t="n"/>
      <c r="Z136" s="26" t="n"/>
      <c r="AA136" s="26" t="n"/>
      <c r="AB136" s="25" t="n"/>
      <c r="AC136" s="25" t="inlineStr">
        <is>
          <t>Open</t>
        </is>
      </c>
      <c r="AD136" s="25" t="inlineStr">
        <is>
          <t>2026-10-01</t>
        </is>
      </c>
      <c r="AE136" s="25" t="inlineStr">
        <is>
          <t>2027-03-15</t>
        </is>
      </c>
      <c r="AF136" s="25" t="inlineStr">
        <is>
          <t>Yes</t>
        </is>
      </c>
      <c r="AG136" s="28" t="inlineStr">
        <is>
          <t>https://www.mines-stetienne.fr/en/academic/msc-biomedical-engineering-design-bmed/</t>
        </is>
      </c>
      <c r="AH136" s="26" t="n"/>
      <c r="AI136" s="28" t="inlineStr">
        <is>
          <t>Open in EEF</t>
        </is>
      </c>
    </row>
    <row r="137" ht="32.8" customHeight="1" s="19">
      <c r="A137" s="25" t="n">
        <v>136</v>
      </c>
      <c r="B137" s="25" t="inlineStr">
        <is>
          <t>★★★★★</t>
        </is>
      </c>
      <c r="C137" s="25" t="inlineStr">
        <is>
          <t>5 – Core fit (embedded/biomedical/health tech)</t>
        </is>
      </c>
      <c r="D137" s="25" t="inlineStr">
        <is>
          <t>Biomedical / Health tech</t>
        </is>
      </c>
      <c r="E137" s="26" t="inlineStr">
        <is>
          <t>Master of science in Biomedical engineering and Design</t>
        </is>
      </c>
      <c r="F137" s="26" t="inlineStr">
        <is>
          <t>Master of science in Biomedical engineering and Design</t>
        </is>
      </c>
      <c r="G137" s="25" t="inlineStr">
        <is>
          <t>Master indifférencié (recherche et professionnel)</t>
        </is>
      </c>
      <c r="H137" s="25" t="inlineStr">
        <is>
          <t>Ecole nationale supérieure des mines de Saint-Etienne</t>
        </is>
      </c>
      <c r="I137" s="25" t="n"/>
      <c r="J137" s="25" t="inlineStr">
        <is>
          <t>Site de Saint-Etienne</t>
        </is>
      </c>
      <c r="K137" s="25" t="n"/>
      <c r="L137" s="25" t="inlineStr">
        <is>
          <t>Public school / institute</t>
        </is>
      </c>
      <c r="M137" s="25" t="inlineStr">
        <is>
          <t>English</t>
        </is>
      </c>
      <c r="N137" s="25" t="inlineStr">
        <is>
          <t>Taught in English</t>
        </is>
      </c>
      <c r="O137" s="25" t="inlineStr">
        <is>
          <t>Bac +5</t>
        </is>
      </c>
      <c r="P137" s="26" t="inlineStr">
        <is>
          <t>Requires Bac+5 (Master) – likely not eligible; ask if 4-yr BS + experience accepted</t>
        </is>
      </c>
      <c r="Q137" s="25" t="inlineStr">
        <is>
          <t>2</t>
        </is>
      </c>
      <c r="R137" s="25" t="inlineStr">
        <is>
          <t>12</t>
        </is>
      </c>
      <c r="S137" s="27" t="n">
        <v>4150</v>
      </c>
      <c r="T137" s="27" t="n"/>
      <c r="U137" s="25" t="n">
        <v>1</v>
      </c>
      <c r="V137" s="27">
        <f>IF(S137="","",S137*U137)</f>
        <v/>
      </c>
      <c r="W137" s="26" t="inlineStr">
        <is>
          <t>Not in catalogue. Mastersportal lists €4,150/yr for Mines Saint-Étienne MSc (verify with school).</t>
        </is>
      </c>
      <c r="X137" s="25" t="inlineStr">
        <is>
          <t>Low</t>
        </is>
      </c>
      <c r="Y137" s="25" t="n"/>
      <c r="Z137" s="26" t="n"/>
      <c r="AA137" s="26" t="n"/>
      <c r="AB137" s="25" t="n"/>
      <c r="AC137" s="25" t="inlineStr">
        <is>
          <t>Open</t>
        </is>
      </c>
      <c r="AD137" s="25" t="inlineStr">
        <is>
          <t>2026-10-01</t>
        </is>
      </c>
      <c r="AE137" s="25" t="inlineStr">
        <is>
          <t>2027-03-15</t>
        </is>
      </c>
      <c r="AF137" s="25" t="inlineStr">
        <is>
          <t>Yes</t>
        </is>
      </c>
      <c r="AG137" s="28" t="inlineStr">
        <is>
          <t>http://www.mines-stetienne.fr/formation-mines-saint-etienne/</t>
        </is>
      </c>
      <c r="AH137" s="26" t="inlineStr">
        <is>
          <t>All courses are taught in English Admission Bachelor degree required and/or 240 ECTS validated. Selection based on ranking English proficiency succesfull completion of one of the following English language tests : IELTS</t>
        </is>
      </c>
      <c r="AI137" s="28" t="inlineStr">
        <is>
          <t>Open in EEF</t>
        </is>
      </c>
    </row>
    <row r="138" ht="22.35" customHeight="1" s="19">
      <c r="A138" s="25" t="n">
        <v>137</v>
      </c>
      <c r="B138" s="25" t="inlineStr">
        <is>
          <t>★★★★★</t>
        </is>
      </c>
      <c r="C138" s="25" t="inlineStr">
        <is>
          <t>5 – Core fit (embedded/biomedical/health tech)</t>
        </is>
      </c>
      <c r="D138" s="25" t="inlineStr">
        <is>
          <t>Cybersecurity</t>
        </is>
      </c>
      <c r="E138" s="26" t="inlineStr">
        <is>
          <t>Msc Cyber-Physical Social systems</t>
        </is>
      </c>
      <c r="F138" s="26" t="inlineStr">
        <is>
          <t>Msc Cyber-Physical Social systems</t>
        </is>
      </c>
      <c r="G138" s="25" t="inlineStr">
        <is>
          <t>Master indifférencié (recherche et professionnel)</t>
        </is>
      </c>
      <c r="H138" s="25" t="inlineStr">
        <is>
          <t>Ecole nationale supérieure des mines de Saint-Etienne</t>
        </is>
      </c>
      <c r="I138" s="25" t="n"/>
      <c r="J138" s="25" t="inlineStr">
        <is>
          <t>Site de Saint-Etienne</t>
        </is>
      </c>
      <c r="K138" s="25" t="n"/>
      <c r="L138" s="25" t="inlineStr">
        <is>
          <t>Public school / institute</t>
        </is>
      </c>
      <c r="M138" s="25" t="inlineStr">
        <is>
          <t>English</t>
        </is>
      </c>
      <c r="N138" s="25" t="inlineStr">
        <is>
          <t>Taught in English</t>
        </is>
      </c>
      <c r="O138" s="25" t="inlineStr">
        <is>
          <t>Bac +5</t>
        </is>
      </c>
      <c r="P138" s="26" t="inlineStr">
        <is>
          <t>Requires Bac+5 (Master) – likely not eligible; ask if 4-yr BS + experience accepted</t>
        </is>
      </c>
      <c r="Q138" s="25" t="inlineStr">
        <is>
          <t>2</t>
        </is>
      </c>
      <c r="R138" s="25" t="inlineStr">
        <is>
          <t>12</t>
        </is>
      </c>
      <c r="S138" s="27" t="n">
        <v>4150</v>
      </c>
      <c r="T138" s="27" t="n"/>
      <c r="U138" s="25" t="n">
        <v>1</v>
      </c>
      <c r="V138" s="27">
        <f>IF(S138="","",S138*U138)</f>
        <v/>
      </c>
      <c r="W138" s="26" t="inlineStr">
        <is>
          <t>Not in catalogue. Mastersportal lists €4,150/yr for Mines Saint-Étienne MSc (verify with school).</t>
        </is>
      </c>
      <c r="X138" s="25" t="inlineStr">
        <is>
          <t>Low</t>
        </is>
      </c>
      <c r="Y138" s="25" t="n"/>
      <c r="Z138" s="26" t="n"/>
      <c r="AA138" s="26" t="n"/>
      <c r="AB138" s="25" t="n"/>
      <c r="AC138" s="25" t="inlineStr">
        <is>
          <t>Open</t>
        </is>
      </c>
      <c r="AD138" s="25" t="inlineStr">
        <is>
          <t>2026-10-01</t>
        </is>
      </c>
      <c r="AE138" s="25" t="inlineStr">
        <is>
          <t>2027-03-15</t>
        </is>
      </c>
      <c r="AF138" s="25" t="inlineStr">
        <is>
          <t>Yes</t>
        </is>
      </c>
      <c r="AG138" s="28" t="inlineStr">
        <is>
          <t>http://www.mines-stetienne.fr/formation-mines-saint-etienne/</t>
        </is>
      </c>
      <c r="AH138" s="26" t="n"/>
      <c r="AI138" s="28" t="inlineStr">
        <is>
          <t>Open in EEF</t>
        </is>
      </c>
    </row>
    <row r="139" ht="32.8" customHeight="1" s="19">
      <c r="A139" s="25" t="n">
        <v>138</v>
      </c>
      <c r="B139" s="25" t="inlineStr">
        <is>
          <t>★★★★★</t>
        </is>
      </c>
      <c r="C139" s="25" t="inlineStr">
        <is>
          <t>5 – Core fit (embedded/biomedical/health tech)</t>
        </is>
      </c>
      <c r="D139" s="25" t="inlineStr">
        <is>
          <t>Embedded systems / Electronics</t>
        </is>
      </c>
      <c r="E139" s="26" t="inlineStr">
        <is>
          <t>Master rech. Sciences, technologies, santé mention information, systèmes et technologie spécialité systèmes électroniques embarqués et informatique industrielle</t>
        </is>
      </c>
      <c r="F139" s="26" t="inlineStr">
        <is>
          <t>Research Master Science, Technology, Health (STS) – major: Information, Systems &amp; Technology – specialisation: Systems Electronic Embedded &amp; Industrial Computing</t>
        </is>
      </c>
      <c r="G139" s="25" t="inlineStr">
        <is>
          <t>Master recherche</t>
        </is>
      </c>
      <c r="H139" s="25" t="inlineStr">
        <is>
          <t>Ecole nationale supérieure de techniques avancées</t>
        </is>
      </c>
      <c r="I139" s="25" t="n"/>
      <c r="J139" s="25" t="inlineStr">
        <is>
          <t>Site de Palaiseau</t>
        </is>
      </c>
      <c r="K139" s="25" t="n"/>
      <c r="L139" s="25" t="inlineStr">
        <is>
          <t>Public school / institute</t>
        </is>
      </c>
      <c r="M139" s="25" t="inlineStr">
        <is>
          <t>French</t>
        </is>
      </c>
      <c r="N139" s="25" t="inlineStr">
        <is>
          <t>General</t>
        </is>
      </c>
      <c r="O139" s="25" t="inlineStr">
        <is>
          <t>Bac +5</t>
        </is>
      </c>
      <c r="P139" s="26" t="inlineStr">
        <is>
          <t>Requires Bac+5 (Master) – likely not eligible; ask if 4-yr BS + experience accepted</t>
        </is>
      </c>
      <c r="Q139" s="25" t="inlineStr">
        <is>
          <t>2</t>
        </is>
      </c>
      <c r="R139" s="25" t="n"/>
      <c r="S139" s="27" t="n">
        <v>4317</v>
      </c>
      <c r="T139" s="27" t="n"/>
      <c r="U139" s="25" t="n">
        <v>1</v>
      </c>
      <c r="V139" s="27">
        <f>IF(S139="","",S139*U139)</f>
        <v/>
      </c>
      <c r="W139" s="26" t="inlineStr">
        <is>
          <t>Not in catalogue. IP Paris 2026-27: national master €4,317 non-EU (international-track masters €7,148).</t>
        </is>
      </c>
      <c r="X139" s="25" t="inlineStr">
        <is>
          <t>High</t>
        </is>
      </c>
      <c r="Y139" s="25" t="n"/>
      <c r="Z139" s="26" t="n"/>
      <c r="AA139" s="26" t="n"/>
      <c r="AB139" s="25" t="n"/>
      <c r="AC139" s="25" t="inlineStr">
        <is>
          <t>Closed</t>
        </is>
      </c>
      <c r="AD139" s="25" t="n"/>
      <c r="AE139" s="25" t="n"/>
      <c r="AF139" s="25" t="inlineStr">
        <is>
          <t>No</t>
        </is>
      </c>
      <c r="AG139" s="28" t="inlineStr">
        <is>
          <t>http://www.ensta-paristech.fr</t>
        </is>
      </c>
      <c r="AH139" s="26" t="n"/>
      <c r="AI139" s="28" t="inlineStr">
        <is>
          <t>Open in EEF</t>
        </is>
      </c>
    </row>
    <row r="140" ht="43.25" customHeight="1" s="19">
      <c r="A140" s="25" t="n">
        <v>139</v>
      </c>
      <c r="B140" s="25" t="inlineStr">
        <is>
          <t>★★★★★</t>
        </is>
      </c>
      <c r="C140" s="25" t="inlineStr">
        <is>
          <t>5 – Core fit (embedded/biomedical/health tech)</t>
        </is>
      </c>
      <c r="D140" s="25" t="inlineStr">
        <is>
          <t>Embedded systems / Electronics</t>
        </is>
      </c>
      <c r="E140" s="26" t="inlineStr">
        <is>
          <t>Master 2 in Embedded Technologies and Artificial Intelligence</t>
        </is>
      </c>
      <c r="F140" s="26" t="inlineStr">
        <is>
          <t>Master 2 in Embedded Technologies and Artificial Intelligence</t>
        </is>
      </c>
      <c r="G140" s="25" t="inlineStr">
        <is>
          <t>Master indifférencié (recherche et professionnel)</t>
        </is>
      </c>
      <c r="H140" s="25" t="inlineStr">
        <is>
          <t>Polytech Nantes</t>
        </is>
      </c>
      <c r="I140" s="25" t="inlineStr">
        <is>
          <t>Groupement Polytech</t>
        </is>
      </c>
      <c r="J140" s="25" t="inlineStr">
        <is>
          <t>Masters Internationaux Polytech</t>
        </is>
      </c>
      <c r="K140" s="25" t="inlineStr">
        <is>
          <t>50609</t>
        </is>
      </c>
      <c r="L140" s="25" t="inlineStr">
        <is>
          <t>Public school / institute</t>
        </is>
      </c>
      <c r="M140" s="25" t="inlineStr">
        <is>
          <t>English</t>
        </is>
      </c>
      <c r="N140" s="25" t="inlineStr">
        <is>
          <t>Taught in English</t>
        </is>
      </c>
      <c r="O140" s="25" t="inlineStr">
        <is>
          <t>Bac +5</t>
        </is>
      </c>
      <c r="P140" s="26" t="inlineStr">
        <is>
          <t>Requires Bac+5 (Master) – likely not eligible; ask if 4-yr BS + experience accepted</t>
        </is>
      </c>
      <c r="Q140" s="25" t="inlineStr">
        <is>
          <t>2</t>
        </is>
      </c>
      <c r="R140" s="25" t="n"/>
      <c r="S140" s="27" t="n">
        <v>12000</v>
      </c>
      <c r="T140" s="27" t="n"/>
      <c r="U140" s="25" t="n">
        <v>1</v>
      </c>
      <c r="V140" s="27">
        <f>IF(S140="","",S140*U140)</f>
        <v/>
      </c>
      <c r="W140" s="26" t="inlineStr">
        <is>
          <t>Catalogue fee €12,000/yr (entered by institution).</t>
        </is>
      </c>
      <c r="X140" s="25" t="inlineStr">
        <is>
          <t>High</t>
        </is>
      </c>
      <c r="Y140" s="25" t="inlineStr">
        <is>
          <t>12000</t>
        </is>
      </c>
      <c r="Z140" s="26" t="inlineStr">
        <is>
          <t>COSTS: 12000 €: tuition fees - International Master programs 10500€: early bird (students paying 1500€ of confirmatio … n fees before April the 30th) 0€ : students holding a Eiffel Excellence Scolarship 6000€: students</t>
        </is>
      </c>
      <c r="AA140" s="26" t="n"/>
      <c r="AB140" s="25" t="n"/>
      <c r="AC140" s="25" t="inlineStr">
        <is>
          <t>Open</t>
        </is>
      </c>
      <c r="AD140" s="25" t="inlineStr">
        <is>
          <t>2026-10-01</t>
        </is>
      </c>
      <c r="AE140" s="25" t="inlineStr">
        <is>
          <t>2027-03-15</t>
        </is>
      </c>
      <c r="AF140" s="25" t="inlineStr">
        <is>
          <t>No</t>
        </is>
      </c>
      <c r="AG140" s="28" t="inlineStr">
        <is>
          <t>https://polytech.univ-nantes.fr/les-formations/masters-internationaux/wireless-embedded-technologies-master-s-degree-wet--2355194.kjsp?RH=1382971139912</t>
        </is>
      </c>
      <c r="AH140" s="26" t="inlineStr">
        <is>
          <t>Admission Requirements: Applicants should earn a degree which validates at least a 4-year degree in higher education (i.e 240 ECTS) and should be in one of the following fields: computer science or engineering informatio</t>
        </is>
      </c>
      <c r="AI140" s="28" t="inlineStr">
        <is>
          <t>Open in EEF</t>
        </is>
      </c>
    </row>
    <row r="141" ht="32.8" customHeight="1" s="19">
      <c r="A141" s="25" t="n">
        <v>140</v>
      </c>
      <c r="B141" s="25" t="inlineStr">
        <is>
          <t>★★★★☆</t>
        </is>
      </c>
      <c r="C141" s="25" t="inlineStr">
        <is>
          <t>4 – Strong fit (electronics/signal/robotics/IoT/sensors)</t>
        </is>
      </c>
      <c r="D141" s="25" t="inlineStr">
        <is>
          <t>Robotics / Automation / Mechatronics</t>
        </is>
      </c>
      <c r="E141" s="26" t="inlineStr">
        <is>
          <t>Master indifférencié (recherche et professionnel) Sciences et technologies mention informatique parcours Intelligence artificielle et apprentissage automatique (IAAA)</t>
        </is>
      </c>
      <c r="F141" s="26" t="inlineStr">
        <is>
          <t>Science &amp; Technology – major: Computer Science – track: Artificial Intelligence &amp; Machine Learning (IAAA)</t>
        </is>
      </c>
      <c r="G141" s="25" t="inlineStr">
        <is>
          <t>Master indifférencié (recherche et professionnel)</t>
        </is>
      </c>
      <c r="H141" s="25" t="inlineStr">
        <is>
          <t>UFR Sciences</t>
        </is>
      </c>
      <c r="I141" s="25" t="inlineStr">
        <is>
          <t>Université d'Aix-Marseille</t>
        </is>
      </c>
      <c r="J141" s="25" t="inlineStr">
        <is>
          <t>Site de Marseille - Luminy</t>
        </is>
      </c>
      <c r="K141" s="25" t="n"/>
      <c r="L141" s="25" t="inlineStr">
        <is>
          <t>Apprenticeship (CFA/ITII)</t>
        </is>
      </c>
      <c r="M141" s="25" t="inlineStr">
        <is>
          <t>French</t>
        </is>
      </c>
      <c r="N141" s="25" t="inlineStr">
        <is>
          <t>General</t>
        </is>
      </c>
      <c r="O141" s="25" t="inlineStr">
        <is>
          <t>Bac +4</t>
        </is>
      </c>
      <c r="P141" s="26" t="inlineStr">
        <is>
          <t>Eligible on level (4-yr BS ≈ Bac+4)</t>
        </is>
      </c>
      <c r="Q141" s="25" t="inlineStr">
        <is>
          <t>1</t>
        </is>
      </c>
      <c r="R141" s="25" t="n"/>
      <c r="S141" s="27" t="n">
        <v>0</v>
      </c>
      <c r="T141" s="27" t="n"/>
      <c r="U141" s="25" t="n">
        <v>2</v>
      </c>
      <c r="V141" s="27">
        <f>IF(S141="","",S141*U141)</f>
        <v/>
      </c>
      <c r="W141" s="26" t="inlineStr">
        <is>
          <t>Apprenticeship: tuition paid by employer (€0 to student) BUT requires a French employment contract + residence permit – practically not accessible from abroad.</t>
        </is>
      </c>
      <c r="X141" s="25" t="inlineStr">
        <is>
          <t>High</t>
        </is>
      </c>
      <c r="Y141" s="25" t="n"/>
      <c r="Z141" s="26" t="n"/>
      <c r="AA141" s="26" t="inlineStr">
        <is>
          <t>AMU 2026-27: limited exemptions (≈1,800 of 5,500 students) – priority to continuing students, conflict zones, excellence scholarships. New master entrants usually pay €3,950.</t>
        </is>
      </c>
      <c r="AB141" s="28" t="inlineStr">
        <is>
          <t>https://www.univ-amu.fr/fr/actualites/aix-marseille-universite-mobilise-pleinement-capacite-dexoneration-continuer-accueillir</t>
        </is>
      </c>
      <c r="AC141" s="25" t="inlineStr">
        <is>
          <t>Open</t>
        </is>
      </c>
      <c r="AD141" s="25" t="inlineStr">
        <is>
          <t>2026-10-01</t>
        </is>
      </c>
      <c r="AE141" s="25" t="inlineStr">
        <is>
          <t>2027-03-15</t>
        </is>
      </c>
      <c r="AF141" s="25" t="inlineStr">
        <is>
          <t>No</t>
        </is>
      </c>
      <c r="AG141" s="28" t="inlineStr">
        <is>
          <t>https://formations.univ-amu.fr/fr/master/5SIN/PRSIN5C5</t>
        </is>
      </c>
      <c r="AH141" s="26" t="inlineStr">
        <is>
          <t>Nous attirons votre attention sur plusieurs points importants pour votre candidature : Votre dossier doit être complet et validé par l’Espace Etudes en France La faculté des sciences examinera les dossiers de candidature</t>
        </is>
      </c>
      <c r="AI141" s="28" t="inlineStr">
        <is>
          <t>Open in EEF</t>
        </is>
      </c>
    </row>
    <row r="142" ht="32.8" customHeight="1" s="19">
      <c r="A142" s="25" t="n">
        <v>141</v>
      </c>
      <c r="B142" s="25" t="inlineStr">
        <is>
          <t>★★★★☆</t>
        </is>
      </c>
      <c r="C142" s="25" t="inlineStr">
        <is>
          <t>4 – Strong fit (electronics/signal/robotics/IoT/sensors)</t>
        </is>
      </c>
      <c r="D142" s="25" t="inlineStr">
        <is>
          <t>Embedded systems / Electronics</t>
        </is>
      </c>
      <c r="E142" s="26" t="inlineStr">
        <is>
          <t>Master indifférencié (recherche et professionnel) Sciences, technologies, santé mention Electronique, Energie électrique et Automatique parcours Signal, Image et Apprentissage Automatique</t>
        </is>
      </c>
      <c r="F142" s="26" t="inlineStr">
        <is>
          <t>Science, Technology, Health (STS) – major: Electronics, Electrical Energy &amp; Automation (EEA) – track: Signal, Image &amp; Machine Learning</t>
        </is>
      </c>
      <c r="G142" s="25" t="inlineStr">
        <is>
          <t>Master indifférencié (recherche et professionnel)</t>
        </is>
      </c>
      <c r="H142" s="25" t="inlineStr">
        <is>
          <t>Faculté des Sciences et d'Ingénierie</t>
        </is>
      </c>
      <c r="I142" s="25" t="inlineStr">
        <is>
          <t>Université de Toulouse</t>
        </is>
      </c>
      <c r="J142" s="25" t="inlineStr">
        <is>
          <t>Site de Toulouse</t>
        </is>
      </c>
      <c r="K142" s="25" t="n"/>
      <c r="L142" s="25" t="inlineStr">
        <is>
          <t>Apprenticeship (CFA/ITII)</t>
        </is>
      </c>
      <c r="M142" s="25" t="inlineStr">
        <is>
          <t>French</t>
        </is>
      </c>
      <c r="N142" s="25" t="inlineStr">
        <is>
          <t>General</t>
        </is>
      </c>
      <c r="O142" s="25" t="inlineStr">
        <is>
          <t>Bac +4 / Bac +5</t>
        </is>
      </c>
      <c r="P142" s="26" t="inlineStr">
        <is>
          <t>Eligible on level (4-yr BS ≈ Bac+4)</t>
        </is>
      </c>
      <c r="Q142" s="25" t="inlineStr">
        <is>
          <t>1/2</t>
        </is>
      </c>
      <c r="R142" s="25" t="n"/>
      <c r="S142" s="27" t="n">
        <v>0</v>
      </c>
      <c r="T142" s="27" t="n"/>
      <c r="U142" s="25" t="n">
        <v>2</v>
      </c>
      <c r="V142" s="27">
        <f>IF(S142="","",S142*U142)</f>
        <v/>
      </c>
      <c r="W142" s="26" t="inlineStr">
        <is>
          <t>Apprenticeship: tuition paid by employer (€0 to student) BUT requires a French employment contract + residence permit – practically not accessible from abroad.</t>
        </is>
      </c>
      <c r="X142" s="25" t="inlineStr">
        <is>
          <t>High</t>
        </is>
      </c>
      <c r="Y142" s="25" t="n"/>
      <c r="Z142" s="26" t="n"/>
      <c r="AA142" s="26" t="inlineStr">
        <is>
          <t>Board decision (Feb 2026, pre-decree): partial exemption for ALL non-EU students subject to differentiated fees, until end of cycle. Re-check for 2027-28.</t>
        </is>
      </c>
      <c r="AB142" s="28" t="inlineStr">
        <is>
          <t>https://www.utoulouse.fr/medias/fichier/2026-02-ca-075_1774430647495-pdf</t>
        </is>
      </c>
      <c r="AC142" s="25" t="inlineStr">
        <is>
          <t>Open</t>
        </is>
      </c>
      <c r="AD142" s="25" t="inlineStr">
        <is>
          <t>2026-10-01</t>
        </is>
      </c>
      <c r="AE142" s="25" t="inlineStr">
        <is>
          <t>2027-03-15</t>
        </is>
      </c>
      <c r="AF142" s="25" t="inlineStr">
        <is>
          <t>No</t>
        </is>
      </c>
      <c r="AG142" s="28" t="inlineStr">
        <is>
          <t>http://www.univ-tlse3.fr/</t>
        </is>
      </c>
      <c r="AH142" s="26" t="inlineStr">
        <is>
          <t>https://www.utoulouse.fr/decouvrir-nos-diplomes/les-mentions-de-masters Si vous ne maîtrisez pas encore le français au niveau exigé pour intégrer une formation en France, le DU FUSEE (Diplôme Universitaire de Français po</t>
        </is>
      </c>
      <c r="AI142" s="28" t="inlineStr">
        <is>
          <t>Open in EEF</t>
        </is>
      </c>
    </row>
    <row r="143" ht="32.8" customHeight="1" s="19">
      <c r="A143" s="25" t="n">
        <v>142</v>
      </c>
      <c r="B143" s="25" t="inlineStr">
        <is>
          <t>★★★★☆</t>
        </is>
      </c>
      <c r="C143" s="25" t="inlineStr">
        <is>
          <t>4 – Strong fit (electronics/signal/robotics/IoT/sensors)</t>
        </is>
      </c>
      <c r="D143" s="25" t="inlineStr">
        <is>
          <t>Robotics / Automation / Mechatronics</t>
        </is>
      </c>
      <c r="E143" s="26" t="inlineStr">
        <is>
          <t>Master indifférencié Sciences, technologies, santé mention informatique parcours apprentissage et traitement automatique de la langue</t>
        </is>
      </c>
      <c r="F143" s="26" t="inlineStr">
        <is>
          <t>Master indifférencié Science, Technology, Health (STS) – major: Computer Science – track: Apprenticeship &amp; Processing Automation of the langue</t>
        </is>
      </c>
      <c r="G143" s="25" t="inlineStr">
        <is>
          <t>Master indifférencié (recherche et professionnel)</t>
        </is>
      </c>
      <c r="H143" s="25" t="inlineStr">
        <is>
          <t>UFR de sciences et techniques</t>
        </is>
      </c>
      <c r="I143" s="25" t="inlineStr">
        <is>
          <t>Nantes Université</t>
        </is>
      </c>
      <c r="J143" s="25" t="inlineStr">
        <is>
          <t>Site de Nantes</t>
        </is>
      </c>
      <c r="K143" s="25" t="n"/>
      <c r="L143" s="25" t="inlineStr">
        <is>
          <t>Apprenticeship (CFA/ITII)</t>
        </is>
      </c>
      <c r="M143" s="25" t="inlineStr">
        <is>
          <t>French</t>
        </is>
      </c>
      <c r="N143" s="25" t="inlineStr">
        <is>
          <t>General</t>
        </is>
      </c>
      <c r="O143" s="25" t="inlineStr">
        <is>
          <t>Bac +4 / Bac +5</t>
        </is>
      </c>
      <c r="P143" s="26" t="inlineStr">
        <is>
          <t>Eligible on level (4-yr BS ≈ Bac+4)</t>
        </is>
      </c>
      <c r="Q143" s="25" t="inlineStr">
        <is>
          <t>1/2</t>
        </is>
      </c>
      <c r="R143" s="25" t="n"/>
      <c r="S143" s="27" t="n">
        <v>0</v>
      </c>
      <c r="T143" s="27" t="n"/>
      <c r="U143" s="25" t="n">
        <v>2</v>
      </c>
      <c r="V143" s="27">
        <f>IF(S143="","",S143*U143)</f>
        <v/>
      </c>
      <c r="W143" s="26" t="inlineStr">
        <is>
          <t>Apprenticeship: tuition paid by employer (€0 to student) BUT requires a French employment contract + residence permit – practically not accessible from abroad.</t>
        </is>
      </c>
      <c r="X143" s="25" t="inlineStr">
        <is>
          <t>High</t>
        </is>
      </c>
      <c r="Y143" s="25" t="inlineStr">
        <is>
          <t>3950</t>
        </is>
      </c>
      <c r="Z143" s="26" t="n"/>
      <c r="AA143" s="26" t="n"/>
      <c r="AB143" s="25" t="n"/>
      <c r="AC143" s="25" t="inlineStr">
        <is>
          <t>Open</t>
        </is>
      </c>
      <c r="AD143" s="25" t="inlineStr">
        <is>
          <t>2026-10-01</t>
        </is>
      </c>
      <c r="AE143" s="25" t="inlineStr">
        <is>
          <t>2027-03-15</t>
        </is>
      </c>
      <c r="AF143" s="25" t="inlineStr">
        <is>
          <t>No</t>
        </is>
      </c>
      <c r="AG143" s="28" t="inlineStr">
        <is>
          <t>https://sciences-techniques.univ-nantes.fr/formations/masters/master-informatique</t>
        </is>
      </c>
      <c r="AH143" s="26" t="inlineStr">
        <is>
          <t>Prérequis linguistiques : Niveau de français minimum : Pour le TCF, niveau B2 avec minimum 14/20 au test écrit - Attention : l’épreuve d’expression écrite ne fait pas partie du test standard du TCF. Il s’agit d’une épreu</t>
        </is>
      </c>
      <c r="AI143" s="28" t="inlineStr">
        <is>
          <t>Open in EEF</t>
        </is>
      </c>
    </row>
    <row r="144" ht="32.8" customHeight="1" s="19">
      <c r="A144" s="25" t="n">
        <v>143</v>
      </c>
      <c r="B144" s="25" t="inlineStr">
        <is>
          <t>★★★★☆</t>
        </is>
      </c>
      <c r="C144" s="25" t="inlineStr">
        <is>
          <t>4 – Strong fit (electronics/signal/robotics/IoT/sensors)</t>
        </is>
      </c>
      <c r="D144" s="25" t="inlineStr">
        <is>
          <t>Robotics / Automation / Mechatronics</t>
        </is>
      </c>
      <c r="E144" s="26" t="inlineStr">
        <is>
          <t>Master Sciences des données parcours Apprentissage Automatique pour l'Intelligence Artificielle (A2IA)</t>
        </is>
      </c>
      <c r="F144" s="26" t="inlineStr">
        <is>
          <t>Master Data Science – track: Machine Learning for l'Artificial Intelligence (A2IA)</t>
        </is>
      </c>
      <c r="G144" s="25" t="inlineStr">
        <is>
          <t>Master indifférencié (recherche et professionnel)</t>
        </is>
      </c>
      <c r="H144" s="25" t="inlineStr">
        <is>
          <t>UFR Sciences et Techniques</t>
        </is>
      </c>
      <c r="I144" s="25" t="inlineStr">
        <is>
          <t>Université de Rouen</t>
        </is>
      </c>
      <c r="J144" s="25" t="inlineStr">
        <is>
          <t>Saint-Etienne-du-Rouvray</t>
        </is>
      </c>
      <c r="K144" s="25" t="n"/>
      <c r="L144" s="25" t="inlineStr">
        <is>
          <t>Apprenticeship (CFA/ITII)</t>
        </is>
      </c>
      <c r="M144" s="25" t="inlineStr">
        <is>
          <t>French</t>
        </is>
      </c>
      <c r="N144" s="25" t="inlineStr">
        <is>
          <t>General</t>
        </is>
      </c>
      <c r="O144" s="25" t="inlineStr">
        <is>
          <t>Bac +4 / Bac +5</t>
        </is>
      </c>
      <c r="P144" s="26" t="inlineStr">
        <is>
          <t>Eligible on level (4-yr BS ≈ Bac+4)</t>
        </is>
      </c>
      <c r="Q144" s="25" t="inlineStr">
        <is>
          <t>1/2</t>
        </is>
      </c>
      <c r="R144" s="25" t="inlineStr">
        <is>
          <t>10</t>
        </is>
      </c>
      <c r="S144" s="27" t="n">
        <v>0</v>
      </c>
      <c r="T144" s="27" t="n"/>
      <c r="U144" s="25" t="n">
        <v>2</v>
      </c>
      <c r="V144" s="27">
        <f>IF(S144="","",S144*U144)</f>
        <v/>
      </c>
      <c r="W144" s="26" t="inlineStr">
        <is>
          <t>Apprenticeship: tuition paid by employer (€0 to student) BUT requires a French employment contract + residence permit – practically not accessible from abroad.</t>
        </is>
      </c>
      <c r="X144" s="25" t="inlineStr">
        <is>
          <t>High</t>
        </is>
      </c>
      <c r="Y144" s="25" t="inlineStr">
        <is>
          <t>3950</t>
        </is>
      </c>
      <c r="Z144" s="26" t="n"/>
      <c r="AA144" s="26" t="inlineStr">
        <is>
          <t>Rouen: individual exemptions up to 30% quota, priority to social/economic hardship.</t>
        </is>
      </c>
      <c r="AB144" s="28" t="inlineStr">
        <is>
          <t>https://www.univ-rouen.fr/actualites/application-des-droits-dinscription-differencies-a-luniversite-de-rouen-normandie-a-compter-de-la-rentree-universitaire-2026-2027/</t>
        </is>
      </c>
      <c r="AC144" s="25" t="inlineStr">
        <is>
          <t>Open</t>
        </is>
      </c>
      <c r="AD144" s="25" t="inlineStr">
        <is>
          <t>2026-10-01</t>
        </is>
      </c>
      <c r="AE144" s="25" t="inlineStr">
        <is>
          <t>2027-03-15</t>
        </is>
      </c>
      <c r="AF144" s="25" t="inlineStr">
        <is>
          <t>No</t>
        </is>
      </c>
      <c r="AG144" s="28" t="inlineStr">
        <is>
          <t>http://sciences-techniques.univ-rouen.fr/</t>
        </is>
      </c>
      <c r="AH144" s="26" t="inlineStr">
        <is>
          <t>Master mention Science des Données sur 2 ans constitué de deux parcours au choix à partir de la 1ère année : - Apprentissage Automatique pour l'Intelligence Artificielle (A2IA) - Systèmes Intelligents Mobiles et Embarqué</t>
        </is>
      </c>
      <c r="AI144" s="28" t="inlineStr">
        <is>
          <t>Open in EEF</t>
        </is>
      </c>
    </row>
    <row r="145" ht="32.8" customHeight="1" s="19">
      <c r="A145" s="25" t="n">
        <v>144</v>
      </c>
      <c r="B145" s="25" t="inlineStr">
        <is>
          <t>★★★★☆</t>
        </is>
      </c>
      <c r="C145" s="25" t="inlineStr">
        <is>
          <t>4 – Strong fit (electronics/signal/robotics/IoT/sensors)</t>
        </is>
      </c>
      <c r="D145" s="25" t="inlineStr">
        <is>
          <t>Embedded systems / Electronics</t>
        </is>
      </c>
      <c r="E145" s="26" t="inlineStr">
        <is>
          <t>diplôme d'ingénieur de l'Ecole nationale supérieure de l'électronique et de ses applications spécialité électronique et informatique industrielle en partenariat avec l'ITII Ile-de-France</t>
        </is>
      </c>
      <c r="F145" s="26" t="inlineStr">
        <is>
          <t>Engineering diploma of the National Graduate School of Electronics &amp; of its Applications – specialisation: Electronics &amp; Industrial Computing in partnership with l'ITII Ile-de-France</t>
        </is>
      </c>
      <c r="G145" s="25" t="inlineStr">
        <is>
          <t>Diplôme d'ingénieur</t>
        </is>
      </c>
      <c r="H145" s="25" t="inlineStr">
        <is>
          <t>Ecole nationale supérieure de l'électronique et de ses applications</t>
        </is>
      </c>
      <c r="I145" s="25" t="n"/>
      <c r="J145" s="25" t="inlineStr">
        <is>
          <t>Site de Cergy</t>
        </is>
      </c>
      <c r="K145" s="25" t="n"/>
      <c r="L145" s="25" t="inlineStr">
        <is>
          <t>Apprenticeship (CFA/ITII)</t>
        </is>
      </c>
      <c r="M145" s="25" t="inlineStr">
        <is>
          <t>French</t>
        </is>
      </c>
      <c r="N145" s="25" t="inlineStr">
        <is>
          <t>General</t>
        </is>
      </c>
      <c r="O145" s="25" t="inlineStr">
        <is>
          <t>Bac +3 / Bac +4</t>
        </is>
      </c>
      <c r="P145" s="26" t="inlineStr">
        <is>
          <t>Eligible on level (4-yr BS ≈ Bac+4)</t>
        </is>
      </c>
      <c r="Q145" s="25" t="inlineStr">
        <is>
          <t>1/2</t>
        </is>
      </c>
      <c r="R145" s="25" t="n"/>
      <c r="S145" s="27" t="n">
        <v>0</v>
      </c>
      <c r="T145" s="27" t="n"/>
      <c r="U145" s="25" t="n">
        <v>2</v>
      </c>
      <c r="V145" s="27">
        <f>IF(S145="","",S145*U145)</f>
        <v/>
      </c>
      <c r="W145" s="26" t="inlineStr">
        <is>
          <t>Apprenticeship: tuition paid by employer (€0 to student) BUT requires a French employment contract + residence permit – practically not accessible from abroad.</t>
        </is>
      </c>
      <c r="X145" s="25" t="inlineStr">
        <is>
          <t>High</t>
        </is>
      </c>
      <c r="Y145" s="25" t="n"/>
      <c r="Z145" s="26" t="n"/>
      <c r="AA145" s="26" t="n"/>
      <c r="AB145" s="25" t="n"/>
      <c r="AC145" s="25" t="inlineStr">
        <is>
          <t>Closed</t>
        </is>
      </c>
      <c r="AD145" s="25" t="n"/>
      <c r="AE145" s="25" t="n"/>
      <c r="AF145" s="25" t="inlineStr">
        <is>
          <t>No</t>
        </is>
      </c>
      <c r="AG145" s="28" t="inlineStr">
        <is>
          <t>http://www.ensea.fr</t>
        </is>
      </c>
      <c r="AH145" s="26" t="n"/>
      <c r="AI145" s="28" t="inlineStr">
        <is>
          <t>Open in EEF</t>
        </is>
      </c>
    </row>
    <row r="146" ht="32.8" customHeight="1" s="19">
      <c r="A146" s="25" t="n">
        <v>145</v>
      </c>
      <c r="B146" s="25" t="inlineStr">
        <is>
          <t>★★★★☆</t>
        </is>
      </c>
      <c r="C146" s="25" t="inlineStr">
        <is>
          <t>4 – Strong fit (electronics/signal/robotics/IoT/sensors)</t>
        </is>
      </c>
      <c r="D146" s="25" t="inlineStr">
        <is>
          <t>Embedded systems / Electronics</t>
        </is>
      </c>
      <c r="E146" s="26" t="inlineStr">
        <is>
          <t>diplôme d'ingénieur de l'Ecole nationale supérieure de l'électronique et de ses applications spécialité électronique et informatique industrielle en partenariat avec l'ITII Ile-de-France</t>
        </is>
      </c>
      <c r="F146" s="26" t="inlineStr">
        <is>
          <t>Engineering diploma of the National Graduate School of Electronics &amp; of its Applications – specialisation: Electronics &amp; Industrial Computing in partnership with l'ITII Ile-de-France</t>
        </is>
      </c>
      <c r="G146" s="25" t="inlineStr">
        <is>
          <t>Diplôme d'ingénieur</t>
        </is>
      </c>
      <c r="H146" s="25" t="inlineStr">
        <is>
          <t>Ecole nationale supérieure de l'électronique et de ses applications cycle ITII</t>
        </is>
      </c>
      <c r="I146" s="25" t="n"/>
      <c r="J146" s="25" t="inlineStr">
        <is>
          <t>Site de Cergy</t>
        </is>
      </c>
      <c r="K146" s="25" t="n"/>
      <c r="L146" s="25" t="inlineStr">
        <is>
          <t>Apprenticeship (CFA/ITII)</t>
        </is>
      </c>
      <c r="M146" s="25" t="inlineStr">
        <is>
          <t>French</t>
        </is>
      </c>
      <c r="N146" s="25" t="inlineStr">
        <is>
          <t>General</t>
        </is>
      </c>
      <c r="O146" s="25" t="inlineStr">
        <is>
          <t>Bac +3 / Bac +4</t>
        </is>
      </c>
      <c r="P146" s="26" t="inlineStr">
        <is>
          <t>Eligible on level (4-yr BS ≈ Bac+4)</t>
        </is>
      </c>
      <c r="Q146" s="25" t="inlineStr">
        <is>
          <t>1/2</t>
        </is>
      </c>
      <c r="R146" s="25" t="n"/>
      <c r="S146" s="27" t="n">
        <v>0</v>
      </c>
      <c r="T146" s="27" t="n"/>
      <c r="U146" s="25" t="n">
        <v>2</v>
      </c>
      <c r="V146" s="27">
        <f>IF(S146="","",S146*U146)</f>
        <v/>
      </c>
      <c r="W146" s="26" t="inlineStr">
        <is>
          <t>Apprenticeship: tuition paid by employer (€0 to student) BUT requires a French employment contract + residence permit – practically not accessible from abroad.</t>
        </is>
      </c>
      <c r="X146" s="25" t="inlineStr">
        <is>
          <t>High</t>
        </is>
      </c>
      <c r="Y146" s="25" t="n"/>
      <c r="Z146" s="26" t="n"/>
      <c r="AA146" s="26" t="n"/>
      <c r="AB146" s="25" t="n"/>
      <c r="AC146" s="25" t="inlineStr">
        <is>
          <t>Closed</t>
        </is>
      </c>
      <c r="AD146" s="25" t="n"/>
      <c r="AE146" s="25" t="n"/>
      <c r="AF146" s="25" t="inlineStr">
        <is>
          <t>No</t>
        </is>
      </c>
      <c r="AG146" s="28" t="inlineStr">
        <is>
          <t>http://www.ensea.fr</t>
        </is>
      </c>
      <c r="AH146" s="26" t="n"/>
      <c r="AI146" s="28" t="inlineStr">
        <is>
          <t>Open in EEF</t>
        </is>
      </c>
    </row>
    <row r="147" ht="32.8" customHeight="1" s="19">
      <c r="A147" s="25" t="n">
        <v>146</v>
      </c>
      <c r="B147" s="25" t="inlineStr">
        <is>
          <t>★★★★☆</t>
        </is>
      </c>
      <c r="C147" s="25" t="inlineStr">
        <is>
          <t>4 – Strong fit (electronics/signal/robotics/IoT/sensors)</t>
        </is>
      </c>
      <c r="D147" s="25" t="inlineStr">
        <is>
          <t>Embedded systems / Electronics</t>
        </is>
      </c>
      <c r="E147" s="26" t="inlineStr">
        <is>
          <t>diplôme d'ingénieur de l'Ecole nationale supérieure de sciences appliquées et de technologie de Lannion de l'université Rennes 1 parcours Photonique et Electronique en partenariat avec l'ITII Bretagne Année 1</t>
        </is>
      </c>
      <c r="F147" s="26" t="inlineStr">
        <is>
          <t>Engineering diploma of the National Graduate School of Sciences Applied &amp; of Technology of Lannion of University Rennes 1 – track: Photonics &amp; Electronics in partnership with l'ITII Bretagne year 1</t>
        </is>
      </c>
      <c r="G147" s="25" t="inlineStr">
        <is>
          <t>Diplôme d'ingénieur</t>
        </is>
      </c>
      <c r="H147" s="25" t="inlineStr">
        <is>
          <t>Ecole nationale supérieure des sciences appliquées et de technologie</t>
        </is>
      </c>
      <c r="I147" s="25" t="inlineStr">
        <is>
          <t>Université de Rennes</t>
        </is>
      </c>
      <c r="J147" s="25" t="inlineStr">
        <is>
          <t>Site de Lannion</t>
        </is>
      </c>
      <c r="K147" s="25" t="n"/>
      <c r="L147" s="25" t="inlineStr">
        <is>
          <t>Apprenticeship (CFA/ITII)</t>
        </is>
      </c>
      <c r="M147" s="25" t="inlineStr">
        <is>
          <t>French</t>
        </is>
      </c>
      <c r="N147" s="25" t="inlineStr">
        <is>
          <t>General</t>
        </is>
      </c>
      <c r="O147" s="25" t="inlineStr">
        <is>
          <t>Bac +3</t>
        </is>
      </c>
      <c r="P147" s="26" t="inlineStr">
        <is>
          <t>Eligible on level (4-yr BS ≈ Bac+4)</t>
        </is>
      </c>
      <c r="Q147" s="25" t="inlineStr">
        <is>
          <t>1</t>
        </is>
      </c>
      <c r="R147" s="25" t="n"/>
      <c r="S147" s="27" t="n">
        <v>0</v>
      </c>
      <c r="T147" s="27" t="n"/>
      <c r="U147" s="25" t="n">
        <v>2</v>
      </c>
      <c r="V147" s="27">
        <f>IF(S147="","",S147*U147)</f>
        <v/>
      </c>
      <c r="W147" s="26" t="inlineStr">
        <is>
          <t>Apprenticeship: tuition paid by employer (€0 to student) BUT requires a French employment contract + residence permit – practically not accessible from abroad.</t>
        </is>
      </c>
      <c r="X147" s="25" t="inlineStr">
        <is>
          <t>High</t>
        </is>
      </c>
      <c r="Y147" s="25" t="inlineStr">
        <is>
          <t>1370</t>
        </is>
      </c>
      <c r="Z147" s="26" t="n"/>
      <c r="AA147" s="26" t="n"/>
      <c r="AB147" s="25" t="n"/>
      <c r="AC147" s="25" t="inlineStr">
        <is>
          <t>Open</t>
        </is>
      </c>
      <c r="AD147" s="25" t="inlineStr">
        <is>
          <t>2026-10-01</t>
        </is>
      </c>
      <c r="AE147" s="25" t="inlineStr">
        <is>
          <t>2027-03-15</t>
        </is>
      </c>
      <c r="AF147" s="25" t="inlineStr">
        <is>
          <t>Yes</t>
        </is>
      </c>
      <c r="AG147" s="25" t="n"/>
      <c r="AH147" s="26" t="inlineStr">
        <is>
          <t>Pour intégrer cette formation, il est obligatoire de s'inscrire sur la plateforme IMT apprentissage ( https://dossier-apprentissage.imt.fr/) dont l'ENSSAT est une des écoles d'ingénieurs affiliées. Il faut indiquer l'ENS</t>
        </is>
      </c>
      <c r="AI147" s="28" t="inlineStr">
        <is>
          <t>Open in EEF</t>
        </is>
      </c>
    </row>
    <row r="148" ht="32.8" customHeight="1" s="19">
      <c r="A148" s="25" t="n">
        <v>147</v>
      </c>
      <c r="B148" s="25" t="inlineStr">
        <is>
          <t>★★★★☆</t>
        </is>
      </c>
      <c r="C148" s="25" t="inlineStr">
        <is>
          <t>4 – Strong fit (electronics/signal/robotics/IoT/sensors)</t>
        </is>
      </c>
      <c r="D148" s="25" t="inlineStr">
        <is>
          <t>Embedded systems / Electronics</t>
        </is>
      </c>
      <c r="E148" s="26" t="inlineStr">
        <is>
          <t>diplôme d'ingénieur de l'Ecole nationale supérieure de techniques avancées Bretagne spécialité mécanique et électronique en partenariat avec l'ITII Bretagne</t>
        </is>
      </c>
      <c r="F148" s="26" t="inlineStr">
        <is>
          <t>Engineering diploma of the National Graduate School of Techniques Advanced Bretagne – specialisation: Mechanics &amp; Electronics in partnership with l'ITII Bretagne</t>
        </is>
      </c>
      <c r="G148" s="25" t="inlineStr">
        <is>
          <t>Diplôme d'ingénieur</t>
        </is>
      </c>
      <c r="H148" s="25" t="inlineStr">
        <is>
          <t>Institut des techniques d'ingénieur de l'industrie de Bretagne</t>
        </is>
      </c>
      <c r="I148" s="25" t="n"/>
      <c r="J148" s="25" t="inlineStr">
        <is>
          <t>Site de Plérin</t>
        </is>
      </c>
      <c r="K148" s="25" t="n"/>
      <c r="L148" s="25" t="inlineStr">
        <is>
          <t>Apprenticeship (CFA/ITII)</t>
        </is>
      </c>
      <c r="M148" s="25" t="inlineStr">
        <is>
          <t>French</t>
        </is>
      </c>
      <c r="N148" s="25" t="inlineStr">
        <is>
          <t>General</t>
        </is>
      </c>
      <c r="O148" s="25" t="inlineStr">
        <is>
          <t>Bac +3</t>
        </is>
      </c>
      <c r="P148" s="26" t="inlineStr">
        <is>
          <t>Eligible on level (4-yr BS ≈ Bac+4)</t>
        </is>
      </c>
      <c r="Q148" s="25" t="inlineStr">
        <is>
          <t>1</t>
        </is>
      </c>
      <c r="R148" s="25" t="n"/>
      <c r="S148" s="27" t="n">
        <v>0</v>
      </c>
      <c r="T148" s="27" t="n"/>
      <c r="U148" s="25" t="n">
        <v>2</v>
      </c>
      <c r="V148" s="27">
        <f>IF(S148="","",S148*U148)</f>
        <v/>
      </c>
      <c r="W148" s="26" t="inlineStr">
        <is>
          <t>Apprenticeship: tuition paid by employer (€0 to student) BUT requires a French employment contract + residence permit – practically not accessible from abroad.</t>
        </is>
      </c>
      <c r="X148" s="25" t="inlineStr">
        <is>
          <t>High</t>
        </is>
      </c>
      <c r="Y148" s="25" t="n"/>
      <c r="Z148" s="26" t="n"/>
      <c r="AA148" s="26" t="n"/>
      <c r="AB148" s="25" t="n"/>
      <c r="AC148" s="25" t="inlineStr">
        <is>
          <t>Closed</t>
        </is>
      </c>
      <c r="AD148" s="25" t="n"/>
      <c r="AE148" s="25" t="n"/>
      <c r="AF148" s="25" t="inlineStr">
        <is>
          <t>No</t>
        </is>
      </c>
      <c r="AG148" s="28" t="inlineStr">
        <is>
          <t>http://www.itiibretagne.fr</t>
        </is>
      </c>
      <c r="AH148" s="26" t="n"/>
      <c r="AI148" s="28" t="inlineStr">
        <is>
          <t>Open in EEF</t>
        </is>
      </c>
    </row>
    <row r="149" ht="32.8" customHeight="1" s="19">
      <c r="A149" s="25" t="n">
        <v>148</v>
      </c>
      <c r="B149" s="25" t="inlineStr">
        <is>
          <t>★★★★☆</t>
        </is>
      </c>
      <c r="C149" s="25" t="inlineStr">
        <is>
          <t>4 – Strong fit (electronics/signal/robotics/IoT/sensors)</t>
        </is>
      </c>
      <c r="D149" s="25" t="inlineStr">
        <is>
          <t>Embedded systems / Electronics</t>
        </is>
      </c>
      <c r="E149" s="26" t="inlineStr">
        <is>
          <t>diplôme d'ingénieur de l'Ecole polytechnique de l'université Paris XI spécialité électronique en partenariat avec l'ITII Ile de France</t>
        </is>
      </c>
      <c r="F149" s="26" t="inlineStr">
        <is>
          <t>Engineering diploma of School polytechnique of University Paris XI – specialisation: Electronics in partnership with l'ITII Ile of France</t>
        </is>
      </c>
      <c r="G149" s="25" t="inlineStr">
        <is>
          <t>Diplôme d'ingénieur</t>
        </is>
      </c>
      <c r="H149" s="25" t="inlineStr">
        <is>
          <t>Institut des techniques d'ingénieur de l'industrie Ile-de-France</t>
        </is>
      </c>
      <c r="I149" s="25" t="n"/>
      <c r="J149" s="25" t="inlineStr">
        <is>
          <t>Site de Neuilly-sur-Seine</t>
        </is>
      </c>
      <c r="K149" s="25" t="n"/>
      <c r="L149" s="25" t="inlineStr">
        <is>
          <t>Apprenticeship (CFA/ITII)</t>
        </is>
      </c>
      <c r="M149" s="25" t="inlineStr">
        <is>
          <t>French</t>
        </is>
      </c>
      <c r="N149" s="25" t="inlineStr">
        <is>
          <t>General</t>
        </is>
      </c>
      <c r="O149" s="25" t="inlineStr">
        <is>
          <t>Bac +3</t>
        </is>
      </c>
      <c r="P149" s="26" t="inlineStr">
        <is>
          <t>Eligible on level (4-yr BS ≈ Bac+4)</t>
        </is>
      </c>
      <c r="Q149" s="25" t="inlineStr">
        <is>
          <t>1</t>
        </is>
      </c>
      <c r="R149" s="25" t="n"/>
      <c r="S149" s="27" t="n">
        <v>0</v>
      </c>
      <c r="T149" s="27" t="n"/>
      <c r="U149" s="25" t="n">
        <v>2</v>
      </c>
      <c r="V149" s="27">
        <f>IF(S149="","",S149*U149)</f>
        <v/>
      </c>
      <c r="W149" s="26" t="inlineStr">
        <is>
          <t>Apprenticeship: tuition paid by employer (€0 to student) BUT requires a French employment contract + residence permit – practically not accessible from abroad.</t>
        </is>
      </c>
      <c r="X149" s="25" t="inlineStr">
        <is>
          <t>High</t>
        </is>
      </c>
      <c r="Y149" s="25" t="n"/>
      <c r="Z149" s="26" t="n"/>
      <c r="AA149" s="26" t="n"/>
      <c r="AB149" s="25" t="n"/>
      <c r="AC149" s="25" t="inlineStr">
        <is>
          <t>Closed</t>
        </is>
      </c>
      <c r="AD149" s="25" t="n"/>
      <c r="AE149" s="25" t="n"/>
      <c r="AF149" s="25" t="inlineStr">
        <is>
          <t>No</t>
        </is>
      </c>
      <c r="AG149" s="28" t="inlineStr">
        <is>
          <t>http://www.itii-iledefrance.fr:8080/article.php3?id_article=1</t>
        </is>
      </c>
      <c r="AH149" s="26" t="n"/>
      <c r="AI149" s="28" t="inlineStr">
        <is>
          <t>Open in EEF</t>
        </is>
      </c>
    </row>
    <row r="150" ht="32.8" customHeight="1" s="19">
      <c r="A150" s="25" t="n">
        <v>149</v>
      </c>
      <c r="B150" s="25" t="inlineStr">
        <is>
          <t>★★★★☆</t>
        </is>
      </c>
      <c r="C150" s="25" t="inlineStr">
        <is>
          <t>4 – Strong fit (electronics/signal/robotics/IoT/sensors)</t>
        </is>
      </c>
      <c r="D150" s="25" t="inlineStr">
        <is>
          <t>Embedded systems / Electronics</t>
        </is>
      </c>
      <c r="E150" s="26" t="inlineStr">
        <is>
          <t>diplôme d'ingénieur de l'Ecole polytechnique de l'université de Nice spécialité électronique et informatique industrielle en partenariat avec l'ITII PACA</t>
        </is>
      </c>
      <c r="F150" s="26" t="inlineStr">
        <is>
          <t>Engineering diploma of School polytechnique of University of Nice – specialisation: Electronics &amp; Industrial Computing in partnership with l'ITII PACA</t>
        </is>
      </c>
      <c r="G150" s="25" t="inlineStr">
        <is>
          <t>Diplôme d'ingénieur</t>
        </is>
      </c>
      <c r="H150" s="25" t="inlineStr">
        <is>
          <t>Institut des techniques d'ingénieur de l'industrie, Provence Alpes Côte d'Azur</t>
        </is>
      </c>
      <c r="I150" s="25" t="n"/>
      <c r="J150" s="25" t="inlineStr">
        <is>
          <t>Site de Istres</t>
        </is>
      </c>
      <c r="K150" s="25" t="n"/>
      <c r="L150" s="25" t="inlineStr">
        <is>
          <t>Apprenticeship (CFA/ITII)</t>
        </is>
      </c>
      <c r="M150" s="25" t="inlineStr">
        <is>
          <t>French</t>
        </is>
      </c>
      <c r="N150" s="25" t="inlineStr">
        <is>
          <t>General</t>
        </is>
      </c>
      <c r="O150" s="25" t="inlineStr">
        <is>
          <t>Bac +3 / Bac +4 / Bac +5</t>
        </is>
      </c>
      <c r="P150" s="26" t="inlineStr">
        <is>
          <t>Eligible on level (4-yr BS ≈ Bac+4)</t>
        </is>
      </c>
      <c r="Q150" s="25" t="inlineStr">
        <is>
          <t>1/2/3</t>
        </is>
      </c>
      <c r="R150" s="25" t="n"/>
      <c r="S150" s="27" t="n">
        <v>0</v>
      </c>
      <c r="T150" s="27" t="n"/>
      <c r="U150" s="25" t="n">
        <v>2</v>
      </c>
      <c r="V150" s="27">
        <f>IF(S150="","",S150*U150)</f>
        <v/>
      </c>
      <c r="W150" s="26" t="inlineStr">
        <is>
          <t>Apprenticeship: tuition paid by employer (€0 to student) BUT requires a French employment contract + residence permit – practically not accessible from abroad.</t>
        </is>
      </c>
      <c r="X150" s="25" t="inlineStr">
        <is>
          <t>High</t>
        </is>
      </c>
      <c r="Y150" s="25" t="n"/>
      <c r="Z150" s="26" t="n"/>
      <c r="AA150" s="26" t="n"/>
      <c r="AB150" s="25" t="n"/>
      <c r="AC150" s="25" t="inlineStr">
        <is>
          <t>Closed</t>
        </is>
      </c>
      <c r="AD150" s="25" t="n"/>
      <c r="AE150" s="25" t="n"/>
      <c r="AF150" s="25" t="inlineStr">
        <is>
          <t>No</t>
        </is>
      </c>
      <c r="AG150" s="28" t="inlineStr">
        <is>
          <t>http://www.itii-paca.com</t>
        </is>
      </c>
      <c r="AH150" s="26" t="n"/>
      <c r="AI150" s="28" t="inlineStr">
        <is>
          <t>Open in EEF</t>
        </is>
      </c>
    </row>
    <row r="151" ht="32.8" customHeight="1" s="19">
      <c r="A151" s="25" t="n">
        <v>150</v>
      </c>
      <c r="B151" s="25" t="inlineStr">
        <is>
          <t>★★★★☆</t>
        </is>
      </c>
      <c r="C151" s="25" t="inlineStr">
        <is>
          <t>4 – Strong fit (electronics/signal/robotics/IoT/sensors)</t>
        </is>
      </c>
      <c r="D151" s="25" t="inlineStr">
        <is>
          <t>Electrical energy</t>
        </is>
      </c>
      <c r="E151" s="26" t="inlineStr">
        <is>
          <t>diplôme d'ingénieur de l'École polytechnique de l'université de Nantes spécialité génie électrique et énergétique en partenariat avec l'ITII Pays de la Loire</t>
        </is>
      </c>
      <c r="F151" s="26" t="inlineStr">
        <is>
          <t>Engineering diploma of School polytechnique of University of Nantes – specialisation: Electrical Engineering &amp; Energy in partnership with l'ITII Pays of the Loire</t>
        </is>
      </c>
      <c r="G151" s="25" t="inlineStr">
        <is>
          <t>Diplôme d'ingénieur</t>
        </is>
      </c>
      <c r="H151" s="25" t="inlineStr">
        <is>
          <t>Institut des techniques d'ingénieur de l'industrie des Pays de la Loire</t>
        </is>
      </c>
      <c r="I151" s="25" t="n"/>
      <c r="J151" s="25" t="inlineStr">
        <is>
          <t>Site de Saint-Herblain</t>
        </is>
      </c>
      <c r="K151" s="25" t="n"/>
      <c r="L151" s="25" t="inlineStr">
        <is>
          <t>Apprenticeship (CFA/ITII)</t>
        </is>
      </c>
      <c r="M151" s="25" t="inlineStr">
        <is>
          <t>French</t>
        </is>
      </c>
      <c r="N151" s="25" t="inlineStr">
        <is>
          <t>General</t>
        </is>
      </c>
      <c r="O151" s="25" t="inlineStr">
        <is>
          <t>Bac +3 / Bac +4 / Bac +5</t>
        </is>
      </c>
      <c r="P151" s="26" t="inlineStr">
        <is>
          <t>Eligible on level (4-yr BS ≈ Bac+4)</t>
        </is>
      </c>
      <c r="Q151" s="25" t="inlineStr">
        <is>
          <t>1/2/3</t>
        </is>
      </c>
      <c r="R151" s="25" t="n"/>
      <c r="S151" s="27" t="n">
        <v>0</v>
      </c>
      <c r="T151" s="27" t="n"/>
      <c r="U151" s="25" t="n">
        <v>2</v>
      </c>
      <c r="V151" s="27">
        <f>IF(S151="","",S151*U151)</f>
        <v/>
      </c>
      <c r="W151" s="26" t="inlineStr">
        <is>
          <t>Apprenticeship: tuition paid by employer (€0 to student) BUT requires a French employment contract + residence permit – practically not accessible from abroad.</t>
        </is>
      </c>
      <c r="X151" s="25" t="inlineStr">
        <is>
          <t>High</t>
        </is>
      </c>
      <c r="Y151" s="25" t="n"/>
      <c r="Z151" s="26" t="n"/>
      <c r="AA151" s="26" t="n"/>
      <c r="AB151" s="25" t="n"/>
      <c r="AC151" s="25" t="inlineStr">
        <is>
          <t>Closed</t>
        </is>
      </c>
      <c r="AD151" s="25" t="n"/>
      <c r="AE151" s="25" t="n"/>
      <c r="AF151" s="25" t="inlineStr">
        <is>
          <t>No</t>
        </is>
      </c>
      <c r="AG151" s="28" t="inlineStr">
        <is>
          <t>http://www.itii-pdl.com</t>
        </is>
      </c>
      <c r="AH151" s="26" t="n"/>
      <c r="AI151" s="28" t="inlineStr">
        <is>
          <t>Open in EEF</t>
        </is>
      </c>
    </row>
    <row r="152" ht="32.8" customHeight="1" s="19">
      <c r="A152" s="25" t="n">
        <v>151</v>
      </c>
      <c r="B152" s="25" t="inlineStr">
        <is>
          <t>★★★★☆</t>
        </is>
      </c>
      <c r="C152" s="25" t="inlineStr">
        <is>
          <t>4 – Strong fit (electronics/signal/robotics/IoT/sensors)</t>
        </is>
      </c>
      <c r="D152" s="25" t="inlineStr">
        <is>
          <t>Embedded systems / Electronics</t>
        </is>
      </c>
      <c r="E152" s="26" t="inlineStr">
        <is>
          <t>diplôme d'ingénieur de l'Ecole polytechnique universitaire Pierre et Marie Curie de l'université Paris VI spécialité électronique et informatique en partenariat avec l'ITII Ile-de-France</t>
        </is>
      </c>
      <c r="F152" s="26" t="inlineStr">
        <is>
          <t>Engineering diploma of the University Polytechnic School Pierre &amp; Marie Curie of University Paris VI – specialisation: Electronics &amp; Computer Science in partnership with l'ITII Ile-de-France</t>
        </is>
      </c>
      <c r="G152" s="25" t="inlineStr">
        <is>
          <t>Diplôme d'ingénieur</t>
        </is>
      </c>
      <c r="H152" s="25" t="inlineStr">
        <is>
          <t>Institut des techniques d'ingénieur de l'industrie Ile-de-France</t>
        </is>
      </c>
      <c r="I152" s="25" t="n"/>
      <c r="J152" s="25" t="inlineStr">
        <is>
          <t>Site de Neuilly-sur-Seine</t>
        </is>
      </c>
      <c r="K152" s="25" t="n"/>
      <c r="L152" s="25" t="inlineStr">
        <is>
          <t>Apprenticeship (CFA/ITII)</t>
        </is>
      </c>
      <c r="M152" s="25" t="inlineStr">
        <is>
          <t>French</t>
        </is>
      </c>
      <c r="N152" s="25" t="inlineStr">
        <is>
          <t>General</t>
        </is>
      </c>
      <c r="O152" s="25" t="inlineStr">
        <is>
          <t>Bac +3 / Bac +4 / Bac +5</t>
        </is>
      </c>
      <c r="P152" s="26" t="inlineStr">
        <is>
          <t>Eligible on level (4-yr BS ≈ Bac+4)</t>
        </is>
      </c>
      <c r="Q152" s="25" t="inlineStr">
        <is>
          <t>1/2/3</t>
        </is>
      </c>
      <c r="R152" s="25" t="n"/>
      <c r="S152" s="27" t="n">
        <v>0</v>
      </c>
      <c r="T152" s="27" t="n"/>
      <c r="U152" s="25" t="n">
        <v>2</v>
      </c>
      <c r="V152" s="27">
        <f>IF(S152="","",S152*U152)</f>
        <v/>
      </c>
      <c r="W152" s="26" t="inlineStr">
        <is>
          <t>Apprenticeship: tuition paid by employer (€0 to student) BUT requires a French employment contract + residence permit – practically not accessible from abroad.</t>
        </is>
      </c>
      <c r="X152" s="25" t="inlineStr">
        <is>
          <t>High</t>
        </is>
      </c>
      <c r="Y152" s="25" t="n"/>
      <c r="Z152" s="26" t="n"/>
      <c r="AA152" s="26" t="n"/>
      <c r="AB152" s="25" t="n"/>
      <c r="AC152" s="25" t="inlineStr">
        <is>
          <t>Closed</t>
        </is>
      </c>
      <c r="AD152" s="25" t="n"/>
      <c r="AE152" s="25" t="n"/>
      <c r="AF152" s="25" t="inlineStr">
        <is>
          <t>No</t>
        </is>
      </c>
      <c r="AG152" s="28" t="inlineStr">
        <is>
          <t>http://www.itii-iledefrance.fr:8080/article.php3?id_article=1</t>
        </is>
      </c>
      <c r="AH152" s="26" t="n"/>
      <c r="AI152" s="28" t="inlineStr">
        <is>
          <t>Open in EEF</t>
        </is>
      </c>
    </row>
    <row r="153" ht="32.8" customHeight="1" s="19">
      <c r="A153" s="25" t="n">
        <v>152</v>
      </c>
      <c r="B153" s="25" t="inlineStr">
        <is>
          <t>★★★★☆</t>
        </is>
      </c>
      <c r="C153" s="25" t="inlineStr">
        <is>
          <t>4 – Strong fit (electronics/signal/robotics/IoT/sensors)</t>
        </is>
      </c>
      <c r="D153" s="25" t="inlineStr">
        <is>
          <t>Embedded systems / Electronics</t>
        </is>
      </c>
      <c r="E153" s="26" t="inlineStr">
        <is>
          <t>diplôme d'ingénieur de l'Ecole supérieure de chimie physique électronique de Lyon spécialité informatique et réseaux de communication en partenariat avec l'ITII Lyon</t>
        </is>
      </c>
      <c r="F153" s="26" t="inlineStr">
        <is>
          <t>Engineering diploma of School Higher of chimie Physics Electronics of Lyon – specialisation: Computer Science &amp; Networks of Communication in partnership with l'ITII Lyon</t>
        </is>
      </c>
      <c r="G153" s="25" t="inlineStr">
        <is>
          <t>Diplôme d'ingénieur</t>
        </is>
      </c>
      <c r="H153" s="25" t="inlineStr">
        <is>
          <t>Institut des techniques d'ingénieur de l'industrie de Lyon</t>
        </is>
      </c>
      <c r="I153" s="25" t="n"/>
      <c r="J153" s="25" t="inlineStr">
        <is>
          <t>Site de Lyon</t>
        </is>
      </c>
      <c r="K153" s="25" t="n"/>
      <c r="L153" s="25" t="inlineStr">
        <is>
          <t>Apprenticeship (CFA/ITII)</t>
        </is>
      </c>
      <c r="M153" s="25" t="inlineStr">
        <is>
          <t>French</t>
        </is>
      </c>
      <c r="N153" s="25" t="inlineStr">
        <is>
          <t>General</t>
        </is>
      </c>
      <c r="O153" s="25" t="inlineStr">
        <is>
          <t>Bac +3 / Bac +4</t>
        </is>
      </c>
      <c r="P153" s="26" t="inlineStr">
        <is>
          <t>Eligible on level (4-yr BS ≈ Bac+4)</t>
        </is>
      </c>
      <c r="Q153" s="25" t="inlineStr">
        <is>
          <t>1/2</t>
        </is>
      </c>
      <c r="R153" s="25" t="n"/>
      <c r="S153" s="27" t="n">
        <v>0</v>
      </c>
      <c r="T153" s="27" t="n"/>
      <c r="U153" s="25" t="n">
        <v>2</v>
      </c>
      <c r="V153" s="27">
        <f>IF(S153="","",S153*U153)</f>
        <v/>
      </c>
      <c r="W153" s="26" t="inlineStr">
        <is>
          <t>Apprenticeship: tuition paid by employer (€0 to student) BUT requires a French employment contract + residence permit – practically not accessible from abroad.</t>
        </is>
      </c>
      <c r="X153" s="25" t="inlineStr">
        <is>
          <t>High</t>
        </is>
      </c>
      <c r="Y153" s="25" t="n"/>
      <c r="Z153" s="26" t="n"/>
      <c r="AA153" s="26" t="n"/>
      <c r="AB153" s="25" t="n"/>
      <c r="AC153" s="25" t="inlineStr">
        <is>
          <t>Closed</t>
        </is>
      </c>
      <c r="AD153" s="25" t="n"/>
      <c r="AE153" s="25" t="n"/>
      <c r="AF153" s="25" t="inlineStr">
        <is>
          <t>No</t>
        </is>
      </c>
      <c r="AG153" s="28" t="inlineStr">
        <is>
          <t>http://www.itii-lyon.fr</t>
        </is>
      </c>
      <c r="AH153" s="26" t="n"/>
      <c r="AI153" s="28" t="inlineStr">
        <is>
          <t>Open in EEF</t>
        </is>
      </c>
    </row>
    <row r="154" ht="32.8" customHeight="1" s="19">
      <c r="A154" s="25" t="n">
        <v>153</v>
      </c>
      <c r="B154" s="25" t="inlineStr">
        <is>
          <t>★★★★☆</t>
        </is>
      </c>
      <c r="C154" s="25" t="inlineStr">
        <is>
          <t>4 – Strong fit (electronics/signal/robotics/IoT/sensors)</t>
        </is>
      </c>
      <c r="D154" s="25" t="inlineStr">
        <is>
          <t>Embedded systems / Electronics</t>
        </is>
      </c>
      <c r="E154" s="26" t="inlineStr">
        <is>
          <t>diplôme d'ingénieur de l'Ecole supérieure d'électronique de l'Ouest spécialité informatique industrielle en partenariat avec l'ITII Pays de la Loire</t>
        </is>
      </c>
      <c r="F154" s="26" t="inlineStr">
        <is>
          <t>Engineering diploma of School Higher of Electronics of l'Ouest – specialisation: Industrial Computing in partnership with l'ITII Pays of the Loire</t>
        </is>
      </c>
      <c r="G154" s="25" t="inlineStr">
        <is>
          <t>Diplôme d'ingénieur</t>
        </is>
      </c>
      <c r="H154" s="25" t="inlineStr">
        <is>
          <t>Institut des techniques d'ingénieur de l'industrie des Pays de la Loire</t>
        </is>
      </c>
      <c r="I154" s="25" t="n"/>
      <c r="J154" s="25" t="inlineStr">
        <is>
          <t>Site de Saint-Herblain</t>
        </is>
      </c>
      <c r="K154" s="25" t="n"/>
      <c r="L154" s="25" t="inlineStr">
        <is>
          <t>Apprenticeship (CFA/ITII)</t>
        </is>
      </c>
      <c r="M154" s="25" t="inlineStr">
        <is>
          <t>French</t>
        </is>
      </c>
      <c r="N154" s="25" t="inlineStr">
        <is>
          <t>General</t>
        </is>
      </c>
      <c r="O154" s="25" t="inlineStr">
        <is>
          <t>Bac +3</t>
        </is>
      </c>
      <c r="P154" s="26" t="inlineStr">
        <is>
          <t>Eligible on level (4-yr BS ≈ Bac+4)</t>
        </is>
      </c>
      <c r="Q154" s="25" t="inlineStr">
        <is>
          <t>1</t>
        </is>
      </c>
      <c r="R154" s="25" t="n"/>
      <c r="S154" s="27" t="n">
        <v>0</v>
      </c>
      <c r="T154" s="27" t="n"/>
      <c r="U154" s="25" t="n">
        <v>2</v>
      </c>
      <c r="V154" s="27">
        <f>IF(S154="","",S154*U154)</f>
        <v/>
      </c>
      <c r="W154" s="26" t="inlineStr">
        <is>
          <t>Apprenticeship: tuition paid by employer (€0 to student) BUT requires a French employment contract + residence permit – practically not accessible from abroad.</t>
        </is>
      </c>
      <c r="X154" s="25" t="inlineStr">
        <is>
          <t>High</t>
        </is>
      </c>
      <c r="Y154" s="25" t="n"/>
      <c r="Z154" s="26" t="n"/>
      <c r="AA154" s="26" t="n"/>
      <c r="AB154" s="25" t="n"/>
      <c r="AC154" s="25" t="inlineStr">
        <is>
          <t>Closed</t>
        </is>
      </c>
      <c r="AD154" s="25" t="n"/>
      <c r="AE154" s="25" t="n"/>
      <c r="AF154" s="25" t="inlineStr">
        <is>
          <t>No</t>
        </is>
      </c>
      <c r="AG154" s="28" t="inlineStr">
        <is>
          <t>http://www.itii-pdl.com</t>
        </is>
      </c>
      <c r="AH154" s="26" t="n"/>
      <c r="AI154" s="28" t="inlineStr">
        <is>
          <t>Open in EEF</t>
        </is>
      </c>
    </row>
    <row r="155" ht="32.8" customHeight="1" s="19">
      <c r="A155" s="25" t="n">
        <v>154</v>
      </c>
      <c r="B155" s="25" t="inlineStr">
        <is>
          <t>★★★★☆</t>
        </is>
      </c>
      <c r="C155" s="25" t="inlineStr">
        <is>
          <t>4 – Strong fit (electronics/signal/robotics/IoT/sensors)</t>
        </is>
      </c>
      <c r="D155" s="25" t="inlineStr">
        <is>
          <t>Robotics / Automation / Mechatronics</t>
        </is>
      </c>
      <c r="E155" s="26" t="inlineStr">
        <is>
          <t>diplôme d'ingénieur de l'Institut des sciences et techniques des Yvelines de l'université de Versailles Saint-Quentin en Yvelines spécialité mécatronique en partenariat avec Ingénieurs 2000</t>
        </is>
      </c>
      <c r="F155" s="26" t="inlineStr">
        <is>
          <t>Engineering diploma of Institute of Sciences &amp; Techniques of Yvelines of University of Versailles Saint-Quentin in Yvelines – specialisation: Mechatronics in partnership with Engineers 2000</t>
        </is>
      </c>
      <c r="G155" s="25" t="inlineStr">
        <is>
          <t>Diplôme d'ingénieur</t>
        </is>
      </c>
      <c r="H155" s="25" t="inlineStr">
        <is>
          <t>Ingénieurs 2000</t>
        </is>
      </c>
      <c r="I155" s="25" t="n"/>
      <c r="J155" s="25" t="inlineStr">
        <is>
          <t>Site de Champs-sur-Marne</t>
        </is>
      </c>
      <c r="K155" s="25" t="n"/>
      <c r="L155" s="25" t="inlineStr">
        <is>
          <t>Apprenticeship (CFA/ITII)</t>
        </is>
      </c>
      <c r="M155" s="25" t="inlineStr">
        <is>
          <t>French</t>
        </is>
      </c>
      <c r="N155" s="25" t="inlineStr">
        <is>
          <t>General</t>
        </is>
      </c>
      <c r="O155" s="25" t="inlineStr">
        <is>
          <t>Bac +3 / Bac +4 / Bac +5</t>
        </is>
      </c>
      <c r="P155" s="26" t="inlineStr">
        <is>
          <t>Eligible on level (4-yr BS ≈ Bac+4)</t>
        </is>
      </c>
      <c r="Q155" s="25" t="inlineStr">
        <is>
          <t>1/2/3</t>
        </is>
      </c>
      <c r="R155" s="25" t="n"/>
      <c r="S155" s="27" t="n">
        <v>0</v>
      </c>
      <c r="T155" s="27" t="n"/>
      <c r="U155" s="25" t="n">
        <v>2</v>
      </c>
      <c r="V155" s="27">
        <f>IF(S155="","",S155*U155)</f>
        <v/>
      </c>
      <c r="W155" s="26" t="inlineStr">
        <is>
          <t>Apprenticeship: tuition paid by employer (€0 to student) BUT requires a French employment contract + residence permit – practically not accessible from abroad.</t>
        </is>
      </c>
      <c r="X155" s="25" t="inlineStr">
        <is>
          <t>High</t>
        </is>
      </c>
      <c r="Y155" s="25" t="n"/>
      <c r="Z155" s="26" t="n"/>
      <c r="AA155" s="26" t="n"/>
      <c r="AB155" s="25" t="n"/>
      <c r="AC155" s="25" t="inlineStr">
        <is>
          <t>Closed</t>
        </is>
      </c>
      <c r="AD155" s="25" t="n"/>
      <c r="AE155" s="25" t="n"/>
      <c r="AF155" s="25" t="inlineStr">
        <is>
          <t>No</t>
        </is>
      </c>
      <c r="AG155" s="28" t="inlineStr">
        <is>
          <t>http://www.ingenieurs2000.com</t>
        </is>
      </c>
      <c r="AH155" s="26" t="n"/>
      <c r="AI155" s="28" t="inlineStr">
        <is>
          <t>Open in EEF</t>
        </is>
      </c>
    </row>
    <row r="156" ht="32.8" customHeight="1" s="19">
      <c r="A156" s="25" t="n">
        <v>155</v>
      </c>
      <c r="B156" s="25" t="inlineStr">
        <is>
          <t>★★★★☆</t>
        </is>
      </c>
      <c r="C156" s="25" t="inlineStr">
        <is>
          <t>4 – Strong fit (electronics/signal/robotics/IoT/sensors)</t>
        </is>
      </c>
      <c r="D156" s="25" t="inlineStr">
        <is>
          <t>Embedded systems / Electronics</t>
        </is>
      </c>
      <c r="E156" s="26" t="inlineStr">
        <is>
          <t>diplôme d'ingénieur de l'Institut des sciences et techniques des Yvelines de l'université de Versailles Saint-Quentin en Yvelines spécialité systèmes électroniques en partenariat avec l'ITII Ile de France</t>
        </is>
      </c>
      <c r="F156" s="26" t="inlineStr">
        <is>
          <t>Engineering diploma of Institute of Sciences &amp; Techniques of Yvelines of University of Versailles Saint-Quentin in Yvelines – specialisation: Systems Electronic in partnership with l'ITII Ile of France</t>
        </is>
      </c>
      <c r="G156" s="25" t="inlineStr">
        <is>
          <t>Diplôme d'ingénieur</t>
        </is>
      </c>
      <c r="H156" s="25" t="inlineStr">
        <is>
          <t>Institut des techniques d'ingénieur de l'industrie Ile-de-France</t>
        </is>
      </c>
      <c r="I156" s="25" t="n"/>
      <c r="J156" s="25" t="inlineStr">
        <is>
          <t>Site de Neuilly-sur-Seine</t>
        </is>
      </c>
      <c r="K156" s="25" t="n"/>
      <c r="L156" s="25" t="inlineStr">
        <is>
          <t>Apprenticeship (CFA/ITII)</t>
        </is>
      </c>
      <c r="M156" s="25" t="inlineStr">
        <is>
          <t>French</t>
        </is>
      </c>
      <c r="N156" s="25" t="inlineStr">
        <is>
          <t>General</t>
        </is>
      </c>
      <c r="O156" s="25" t="inlineStr">
        <is>
          <t>Bac +3</t>
        </is>
      </c>
      <c r="P156" s="26" t="inlineStr">
        <is>
          <t>Eligible on level (4-yr BS ≈ Bac+4)</t>
        </is>
      </c>
      <c r="Q156" s="25" t="inlineStr">
        <is>
          <t>1</t>
        </is>
      </c>
      <c r="R156" s="25" t="n"/>
      <c r="S156" s="27" t="n">
        <v>0</v>
      </c>
      <c r="T156" s="27" t="n"/>
      <c r="U156" s="25" t="n">
        <v>2</v>
      </c>
      <c r="V156" s="27">
        <f>IF(S156="","",S156*U156)</f>
        <v/>
      </c>
      <c r="W156" s="26" t="inlineStr">
        <is>
          <t>Apprenticeship: tuition paid by employer (€0 to student) BUT requires a French employment contract + residence permit – practically not accessible from abroad.</t>
        </is>
      </c>
      <c r="X156" s="25" t="inlineStr">
        <is>
          <t>High</t>
        </is>
      </c>
      <c r="Y156" s="25" t="n"/>
      <c r="Z156" s="26" t="n"/>
      <c r="AA156" s="26" t="n"/>
      <c r="AB156" s="25" t="n"/>
      <c r="AC156" s="25" t="inlineStr">
        <is>
          <t>Closed</t>
        </is>
      </c>
      <c r="AD156" s="25" t="n"/>
      <c r="AE156" s="25" t="n"/>
      <c r="AF156" s="25" t="inlineStr">
        <is>
          <t>No</t>
        </is>
      </c>
      <c r="AG156" s="28" t="inlineStr">
        <is>
          <t>http://www.itii-iledefrance.fr:8080/article.php3?id_article=1</t>
        </is>
      </c>
      <c r="AH156" s="26" t="n"/>
      <c r="AI156" s="28" t="inlineStr">
        <is>
          <t>Open in EEF</t>
        </is>
      </c>
    </row>
    <row r="157" ht="32.8" customHeight="1" s="19">
      <c r="A157" s="25" t="n">
        <v>156</v>
      </c>
      <c r="B157" s="25" t="inlineStr">
        <is>
          <t>★★★★☆</t>
        </is>
      </c>
      <c r="C157" s="25" t="inlineStr">
        <is>
          <t>4 – Strong fit (electronics/signal/robotics/IoT/sensors)</t>
        </is>
      </c>
      <c r="D157" s="25" t="inlineStr">
        <is>
          <t>Electrical energy</t>
        </is>
      </c>
      <c r="E157" s="26" t="inlineStr">
        <is>
          <t>diplôme d'ingénieur de l'Institut national des sciences appliquées de Lyon spécialité génie électrique en partenariat avec l'ITII de Lyon</t>
        </is>
      </c>
      <c r="F157" s="26" t="inlineStr">
        <is>
          <t>Engineering diploma of INSA of Lyon – specialisation: Electrical Engineering in partnership with l'ITII of Lyon</t>
        </is>
      </c>
      <c r="G157" s="25" t="inlineStr">
        <is>
          <t>Diplôme d'ingénieur</t>
        </is>
      </c>
      <c r="H157" s="25" t="inlineStr">
        <is>
          <t>Institut des techniques d'ingénieur de l'industrie de Lyon</t>
        </is>
      </c>
      <c r="I157" s="25" t="n"/>
      <c r="J157" s="25" t="inlineStr">
        <is>
          <t>Site de Lyon</t>
        </is>
      </c>
      <c r="K157" s="25" t="n"/>
      <c r="L157" s="25" t="inlineStr">
        <is>
          <t>Apprenticeship (CFA/ITII)</t>
        </is>
      </c>
      <c r="M157" s="25" t="inlineStr">
        <is>
          <t>French</t>
        </is>
      </c>
      <c r="N157" s="25" t="inlineStr">
        <is>
          <t>General</t>
        </is>
      </c>
      <c r="O157" s="25" t="inlineStr">
        <is>
          <t>Bac +3 / Bac +4 / Bac +5</t>
        </is>
      </c>
      <c r="P157" s="26" t="inlineStr">
        <is>
          <t>Eligible on level (4-yr BS ≈ Bac+4)</t>
        </is>
      </c>
      <c r="Q157" s="25" t="inlineStr">
        <is>
          <t>1/2/3</t>
        </is>
      </c>
      <c r="R157" s="25" t="n"/>
      <c r="S157" s="27" t="n">
        <v>0</v>
      </c>
      <c r="T157" s="27" t="n"/>
      <c r="U157" s="25" t="n">
        <v>2</v>
      </c>
      <c r="V157" s="27">
        <f>IF(S157="","",S157*U157)</f>
        <v/>
      </c>
      <c r="W157" s="26" t="inlineStr">
        <is>
          <t>Apprenticeship: tuition paid by employer (€0 to student) BUT requires a French employment contract + residence permit – practically not accessible from abroad.</t>
        </is>
      </c>
      <c r="X157" s="25" t="inlineStr">
        <is>
          <t>High</t>
        </is>
      </c>
      <c r="Y157" s="25" t="n"/>
      <c r="Z157" s="26" t="n"/>
      <c r="AA157" s="26" t="n"/>
      <c r="AB157" s="25" t="n"/>
      <c r="AC157" s="25" t="inlineStr">
        <is>
          <t>Closed</t>
        </is>
      </c>
      <c r="AD157" s="25" t="n"/>
      <c r="AE157" s="25" t="n"/>
      <c r="AF157" s="25" t="inlineStr">
        <is>
          <t>No</t>
        </is>
      </c>
      <c r="AG157" s="28" t="inlineStr">
        <is>
          <t>http://www.itii-lyon.fr</t>
        </is>
      </c>
      <c r="AH157" s="26" t="n"/>
      <c r="AI157" s="28" t="inlineStr">
        <is>
          <t>Open in EEF</t>
        </is>
      </c>
    </row>
    <row r="158" ht="32.8" customHeight="1" s="19">
      <c r="A158" s="25" t="n">
        <v>157</v>
      </c>
      <c r="B158" s="25" t="inlineStr">
        <is>
          <t>★★★★☆</t>
        </is>
      </c>
      <c r="C158" s="25" t="inlineStr">
        <is>
          <t>4 – Strong fit (electronics/signal/robotics/IoT/sensors)</t>
        </is>
      </c>
      <c r="D158" s="25" t="inlineStr">
        <is>
          <t>Electrical energy</t>
        </is>
      </c>
      <c r="E158" s="26" t="inlineStr">
        <is>
          <t>diplôme d'ingénieur de l'Institut national des sciences appliquées de Strasbourg spécialité génie électrique en partenariat avec l'ITII Alsace</t>
        </is>
      </c>
      <c r="F158" s="26" t="inlineStr">
        <is>
          <t>Engineering diploma of INSA of Strasbourg – specialisation: Electrical Engineering in partnership with l'ITII Alsace</t>
        </is>
      </c>
      <c r="G158" s="25" t="inlineStr">
        <is>
          <t>Diplôme d'ingénieur</t>
        </is>
      </c>
      <c r="H158" s="25" t="inlineStr">
        <is>
          <t>Institut des techniques d'ingénieur de l'industrie Alsace</t>
        </is>
      </c>
      <c r="I158" s="25" t="n"/>
      <c r="J158" s="25" t="inlineStr">
        <is>
          <t>Site de Mulhouse</t>
        </is>
      </c>
      <c r="K158" s="25" t="n"/>
      <c r="L158" s="25" t="inlineStr">
        <is>
          <t>Apprenticeship (CFA/ITII)</t>
        </is>
      </c>
      <c r="M158" s="25" t="inlineStr">
        <is>
          <t>French</t>
        </is>
      </c>
      <c r="N158" s="25" t="inlineStr">
        <is>
          <t>General</t>
        </is>
      </c>
      <c r="O158" s="25" t="inlineStr">
        <is>
          <t>Bac +3 / Bac +4 / Bac +5</t>
        </is>
      </c>
      <c r="P158" s="26" t="inlineStr">
        <is>
          <t>Eligible on level (4-yr BS ≈ Bac+4)</t>
        </is>
      </c>
      <c r="Q158" s="25" t="inlineStr">
        <is>
          <t>1/2/3</t>
        </is>
      </c>
      <c r="R158" s="25" t="n"/>
      <c r="S158" s="27" t="n">
        <v>0</v>
      </c>
      <c r="T158" s="27" t="n"/>
      <c r="U158" s="25" t="n">
        <v>2</v>
      </c>
      <c r="V158" s="27">
        <f>IF(S158="","",S158*U158)</f>
        <v/>
      </c>
      <c r="W158" s="26" t="inlineStr">
        <is>
          <t>Apprenticeship: tuition paid by employer (€0 to student) BUT requires a French employment contract + residence permit – practically not accessible from abroad.</t>
        </is>
      </c>
      <c r="X158" s="25" t="inlineStr">
        <is>
          <t>High</t>
        </is>
      </c>
      <c r="Y158" s="25" t="n"/>
      <c r="Z158" s="26" t="n"/>
      <c r="AA158" s="26" t="inlineStr">
        <is>
          <t>Unistra: master entrants who did not do their licence at Unistra pay the differentiated fee (€3,950).</t>
        </is>
      </c>
      <c r="AB158" s="28" t="inlineStr">
        <is>
          <t>https://www.unistra.fr/fr/node/8168</t>
        </is>
      </c>
      <c r="AC158" s="25" t="inlineStr">
        <is>
          <t>Closed</t>
        </is>
      </c>
      <c r="AD158" s="25" t="n"/>
      <c r="AE158" s="25" t="n"/>
      <c r="AF158" s="25" t="inlineStr">
        <is>
          <t>No</t>
        </is>
      </c>
      <c r="AG158" s="28" t="inlineStr">
        <is>
          <t>http://www.itii-alsace.fr</t>
        </is>
      </c>
      <c r="AH158" s="26" t="n"/>
      <c r="AI158" s="28" t="inlineStr">
        <is>
          <t>Open in EEF</t>
        </is>
      </c>
    </row>
    <row r="159" ht="53.7" customHeight="1" s="19">
      <c r="A159" s="25" t="n">
        <v>158</v>
      </c>
      <c r="B159" s="25" t="inlineStr">
        <is>
          <t>★★★★☆</t>
        </is>
      </c>
      <c r="C159" s="25" t="inlineStr">
        <is>
          <t>4 – Strong fit (electronics/signal/robotics/IoT/sensors)</t>
        </is>
      </c>
      <c r="D159" s="25" t="inlineStr">
        <is>
          <t>Embedded systems / Electronics</t>
        </is>
      </c>
      <c r="E159" s="26" t="inlineStr">
        <is>
          <t>diplôme d'ingénieur de l'Institut national polytechnique de Bordeaux - École nationale supérieure d'électronique, informatique, télécommunications, mathématique et mécanique de Bordeaux spécialité réseaux et systèmes d'information en partenariat avec l'ITII Aquitaine</t>
        </is>
      </c>
      <c r="F159" s="26" t="inlineStr">
        <is>
          <t>Engineering diploma of Institute National polytechnique of Bordeaux - National Graduate School of Electronics, Computer Science, Telecommunications, Mathematical &amp; Mechanics of Bordeaux – specialisation: Networks &amp; Information Systems in partnership with l'ITII Aquitaine</t>
        </is>
      </c>
      <c r="G159" s="25" t="inlineStr">
        <is>
          <t>Diplôme d'ingénieur</t>
        </is>
      </c>
      <c r="H159" s="25" t="inlineStr">
        <is>
          <t>Institut des techniques d'ingénieur de l'industrie d'Aquitaine</t>
        </is>
      </c>
      <c r="I159" s="25" t="n"/>
      <c r="J159" s="25" t="inlineStr">
        <is>
          <t>Site de Bruges</t>
        </is>
      </c>
      <c r="K159" s="25" t="n"/>
      <c r="L159" s="25" t="inlineStr">
        <is>
          <t>Apprenticeship (CFA/ITII)</t>
        </is>
      </c>
      <c r="M159" s="25" t="inlineStr">
        <is>
          <t>French</t>
        </is>
      </c>
      <c r="N159" s="25" t="inlineStr">
        <is>
          <t>General</t>
        </is>
      </c>
      <c r="O159" s="25" t="inlineStr">
        <is>
          <t>Bac +3 / Bac +4</t>
        </is>
      </c>
      <c r="P159" s="26" t="inlineStr">
        <is>
          <t>Eligible on level (4-yr BS ≈ Bac+4)</t>
        </is>
      </c>
      <c r="Q159" s="25" t="inlineStr">
        <is>
          <t>1/2</t>
        </is>
      </c>
      <c r="R159" s="25" t="n"/>
      <c r="S159" s="27" t="n">
        <v>0</v>
      </c>
      <c r="T159" s="27" t="n"/>
      <c r="U159" s="25" t="n">
        <v>2</v>
      </c>
      <c r="V159" s="27">
        <f>IF(S159="","",S159*U159)</f>
        <v/>
      </c>
      <c r="W159" s="26" t="inlineStr">
        <is>
          <t>Apprenticeship: tuition paid by employer (€0 to student) BUT requires a French employment contract + residence permit – practically not accessible from abroad.</t>
        </is>
      </c>
      <c r="X159" s="25" t="inlineStr">
        <is>
          <t>High</t>
        </is>
      </c>
      <c r="Y159" s="25" t="n"/>
      <c r="Z159" s="26" t="n"/>
      <c r="AA159" s="26" t="n"/>
      <c r="AB159" s="25" t="n"/>
      <c r="AC159" s="25" t="inlineStr">
        <is>
          <t>Closed</t>
        </is>
      </c>
      <c r="AD159" s="25" t="n"/>
      <c r="AE159" s="25" t="n"/>
      <c r="AF159" s="25" t="inlineStr">
        <is>
          <t>No</t>
        </is>
      </c>
      <c r="AG159" s="28" t="inlineStr">
        <is>
          <t>http://www.itii-aquitaine.com</t>
        </is>
      </c>
      <c r="AH159" s="26" t="n"/>
      <c r="AI159" s="28" t="inlineStr">
        <is>
          <t>Open in EEF</t>
        </is>
      </c>
    </row>
    <row r="160" ht="53.7" customHeight="1" s="19">
      <c r="A160" s="25" t="n">
        <v>159</v>
      </c>
      <c r="B160" s="25" t="inlineStr">
        <is>
          <t>★★★★☆</t>
        </is>
      </c>
      <c r="C160" s="25" t="inlineStr">
        <is>
          <t>4 – Strong fit (electronics/signal/robotics/IoT/sensors)</t>
        </is>
      </c>
      <c r="D160" s="25" t="inlineStr">
        <is>
          <t>Embedded systems / Electronics</t>
        </is>
      </c>
      <c r="E160" s="26" t="inlineStr">
        <is>
          <t>diplôme d'ingénieur de l'Institut national polytechnique de Bordeaux - École nationale supérieure d'électronique, informatique, télécommunications, mathématique et mécanique de Bordeaux spécialité réseaux et systèmes d'information en partenariat avec l'ITII Aquitaine</t>
        </is>
      </c>
      <c r="F160" s="26" t="inlineStr">
        <is>
          <t>Engineering diploma of Institute National polytechnique of Bordeaux - National Graduate School of Electronics, Computer Science, Telecommunications, Mathematical &amp; Mechanics of Bordeaux – specialisation: Networks &amp; Information Systems in partnership with l'ITII Aquitaine</t>
        </is>
      </c>
      <c r="G160" s="25" t="inlineStr">
        <is>
          <t>Diplôme d'ingénieur</t>
        </is>
      </c>
      <c r="H160" s="25" t="inlineStr">
        <is>
          <t>CFAI Aquitaine</t>
        </is>
      </c>
      <c r="I160" s="25" t="n"/>
      <c r="J160" s="25" t="inlineStr">
        <is>
          <t>Site de Bruges</t>
        </is>
      </c>
      <c r="K160" s="25" t="n"/>
      <c r="L160" s="25" t="inlineStr">
        <is>
          <t>Apprenticeship (CFA/ITII)</t>
        </is>
      </c>
      <c r="M160" s="25" t="inlineStr">
        <is>
          <t>French</t>
        </is>
      </c>
      <c r="N160" s="25" t="inlineStr">
        <is>
          <t>General</t>
        </is>
      </c>
      <c r="O160" s="25" t="inlineStr">
        <is>
          <t>Bac +3</t>
        </is>
      </c>
      <c r="P160" s="26" t="inlineStr">
        <is>
          <t>Eligible on level (4-yr BS ≈ Bac+4)</t>
        </is>
      </c>
      <c r="Q160" s="25" t="inlineStr">
        <is>
          <t>1</t>
        </is>
      </c>
      <c r="R160" s="25" t="n"/>
      <c r="S160" s="27" t="n">
        <v>0</v>
      </c>
      <c r="T160" s="27" t="n"/>
      <c r="U160" s="25" t="n">
        <v>2</v>
      </c>
      <c r="V160" s="27">
        <f>IF(S160="","",S160*U160)</f>
        <v/>
      </c>
      <c r="W160" s="26" t="inlineStr">
        <is>
          <t>Apprenticeship: tuition paid by employer (€0 to student) BUT requires a French employment contract + residence permit – practically not accessible from abroad.</t>
        </is>
      </c>
      <c r="X160" s="25" t="inlineStr">
        <is>
          <t>High</t>
        </is>
      </c>
      <c r="Y160" s="25" t="n"/>
      <c r="Z160" s="26" t="n"/>
      <c r="AA160" s="26" t="n"/>
      <c r="AB160" s="25" t="n"/>
      <c r="AC160" s="25" t="inlineStr">
        <is>
          <t>Closed</t>
        </is>
      </c>
      <c r="AD160" s="25" t="n"/>
      <c r="AE160" s="25" t="n"/>
      <c r="AF160" s="25" t="inlineStr">
        <is>
          <t>No</t>
        </is>
      </c>
      <c r="AG160" s="28" t="inlineStr">
        <is>
          <t>http://www.cfai-aquitaine.org</t>
        </is>
      </c>
      <c r="AH160" s="26" t="n"/>
      <c r="AI160" s="28" t="inlineStr">
        <is>
          <t>Open in EEF</t>
        </is>
      </c>
    </row>
    <row r="161" ht="32.8" customHeight="1" s="19">
      <c r="A161" s="25" t="n">
        <v>160</v>
      </c>
      <c r="B161" s="25" t="inlineStr">
        <is>
          <t>★★★★☆</t>
        </is>
      </c>
      <c r="C161" s="25" t="inlineStr">
        <is>
          <t>4 – Strong fit (electronics/signal/robotics/IoT/sensors)</t>
        </is>
      </c>
      <c r="D161" s="25" t="inlineStr">
        <is>
          <t>Embedded systems / Electronics</t>
        </is>
      </c>
      <c r="E161" s="26" t="inlineStr">
        <is>
          <t>diplôme d'ingénieur de l'Institut polytechnique de Grenoble - Ecole nationale supérieure de physique électronique et matériaux spécialité conception des systèmes intégrés en partenariat avec l'ITII Dauphiné-Vivarais</t>
        </is>
      </c>
      <c r="F161" s="26" t="inlineStr">
        <is>
          <t>Engineering diploma of Institute polytechnique of Grenoble - National Graduate School of Physics Electronics &amp; Materials – specialisation: Design of Systems Integrated in partnership with l'ITII Dauphiné-Vivarais</t>
        </is>
      </c>
      <c r="G161" s="25" t="inlineStr">
        <is>
          <t>Diplôme d'ingénieur</t>
        </is>
      </c>
      <c r="H161" s="25" t="inlineStr">
        <is>
          <t>Institut des techniques d'ingénieur de l'industrie Dauphiné-Vivarais</t>
        </is>
      </c>
      <c r="I161" s="25" t="n"/>
      <c r="J161" s="25" t="inlineStr">
        <is>
          <t>Site de Valence</t>
        </is>
      </c>
      <c r="K161" s="25" t="n"/>
      <c r="L161" s="25" t="inlineStr">
        <is>
          <t>Apprenticeship (CFA/ITII)</t>
        </is>
      </c>
      <c r="M161" s="25" t="inlineStr">
        <is>
          <t>French</t>
        </is>
      </c>
      <c r="N161" s="25" t="inlineStr">
        <is>
          <t>General</t>
        </is>
      </c>
      <c r="O161" s="25" t="inlineStr">
        <is>
          <t>Bac +3</t>
        </is>
      </c>
      <c r="P161" s="26" t="inlineStr">
        <is>
          <t>Eligible on level (4-yr BS ≈ Bac+4)</t>
        </is>
      </c>
      <c r="Q161" s="25" t="inlineStr">
        <is>
          <t>1</t>
        </is>
      </c>
      <c r="R161" s="25" t="n"/>
      <c r="S161" s="27" t="n">
        <v>0</v>
      </c>
      <c r="T161" s="27" t="n"/>
      <c r="U161" s="25" t="n">
        <v>2</v>
      </c>
      <c r="V161" s="27">
        <f>IF(S161="","",S161*U161)</f>
        <v/>
      </c>
      <c r="W161" s="26" t="inlineStr">
        <is>
          <t>Apprenticeship: tuition paid by employer (€0 to student) BUT requires a French employment contract + residence permit – practically not accessible from abroad.</t>
        </is>
      </c>
      <c r="X161" s="25" t="inlineStr">
        <is>
          <t>High</t>
        </is>
      </c>
      <c r="Y161" s="25" t="n"/>
      <c r="Z161" s="26" t="n"/>
      <c r="AA161" s="26" t="inlineStr">
        <is>
          <t>UGA (incl. Grenoble INP masters): 2026-27 broad exemptions on request (pay national €254). From 2027-28 the decree caps apply; exemptions based on resources.</t>
        </is>
      </c>
      <c r="AB161" s="28" t="inlineStr">
        <is>
          <t>https://www.univ-grenoble-alpes.fr/actualites/a-la-une/actualites-universite/etudiants-internationaux-ce-que-change-le-nouveau-decret-sur-les-droits-d-inscription-a-l-uga-1775870.kjsp</t>
        </is>
      </c>
      <c r="AC161" s="25" t="inlineStr">
        <is>
          <t>Closed</t>
        </is>
      </c>
      <c r="AD161" s="25" t="n"/>
      <c r="AE161" s="25" t="n"/>
      <c r="AF161" s="25" t="inlineStr">
        <is>
          <t>No</t>
        </is>
      </c>
      <c r="AG161" s="28" t="inlineStr">
        <is>
          <t>http://www.grenoble-inp.fr</t>
        </is>
      </c>
      <c r="AH161" s="26" t="n"/>
      <c r="AI161" s="28" t="inlineStr">
        <is>
          <t>Open in EEF</t>
        </is>
      </c>
    </row>
    <row r="162" ht="43.25" customHeight="1" s="19">
      <c r="A162" s="25" t="n">
        <v>161</v>
      </c>
      <c r="B162" s="25" t="inlineStr">
        <is>
          <t>★★★★☆</t>
        </is>
      </c>
      <c r="C162" s="25" t="inlineStr">
        <is>
          <t>4 – Strong fit (electronics/signal/robotics/IoT/sensors)</t>
        </is>
      </c>
      <c r="D162" s="25" t="inlineStr">
        <is>
          <t>Embedded systems / Electronics</t>
        </is>
      </c>
      <c r="E162" s="26" t="inlineStr">
        <is>
          <t>diplôme d'ingénieur de l'Institut polytechnique de Grenoble - Ecole nationale supérieure des systèmes avancés et réseaux spécialité électronique et informatique industrielle en partenariat avec l'ITII Dauphiné-Vivarais</t>
        </is>
      </c>
      <c r="F162" s="26" t="inlineStr">
        <is>
          <t>Engineering diploma of Institute polytechnique of Grenoble - National Graduate School of Systems Advanced &amp; Networks – specialisation: Electronics &amp; Industrial Computing in partnership with l'ITII Dauphiné-Vivarais</t>
        </is>
      </c>
      <c r="G162" s="25" t="inlineStr">
        <is>
          <t>Diplôme d'ingénieur</t>
        </is>
      </c>
      <c r="H162" s="25" t="inlineStr">
        <is>
          <t>Institut des techniques d'ingénieur de l'industrie Dauphiné-Vivarais</t>
        </is>
      </c>
      <c r="I162" s="25" t="n"/>
      <c r="J162" s="25" t="inlineStr">
        <is>
          <t>Site de Valence</t>
        </is>
      </c>
      <c r="K162" s="25" t="n"/>
      <c r="L162" s="25" t="inlineStr">
        <is>
          <t>Apprenticeship (CFA/ITII)</t>
        </is>
      </c>
      <c r="M162" s="25" t="inlineStr">
        <is>
          <t>French</t>
        </is>
      </c>
      <c r="N162" s="25" t="inlineStr">
        <is>
          <t>General</t>
        </is>
      </c>
      <c r="O162" s="25" t="inlineStr">
        <is>
          <t>Bac +3 / Bac +5</t>
        </is>
      </c>
      <c r="P162" s="26" t="inlineStr">
        <is>
          <t>Eligible on level (4-yr BS ≈ Bac+4)</t>
        </is>
      </c>
      <c r="Q162" s="25" t="inlineStr">
        <is>
          <t>1/3</t>
        </is>
      </c>
      <c r="R162" s="25" t="n"/>
      <c r="S162" s="27" t="n">
        <v>0</v>
      </c>
      <c r="T162" s="27" t="n"/>
      <c r="U162" s="25" t="n">
        <v>2</v>
      </c>
      <c r="V162" s="27">
        <f>IF(S162="","",S162*U162)</f>
        <v/>
      </c>
      <c r="W162" s="26" t="inlineStr">
        <is>
          <t>Apprenticeship: tuition paid by employer (€0 to student) BUT requires a French employment contract + residence permit – practically not accessible from abroad.</t>
        </is>
      </c>
      <c r="X162" s="25" t="inlineStr">
        <is>
          <t>High</t>
        </is>
      </c>
      <c r="Y162" s="25" t="n"/>
      <c r="Z162" s="26" t="n"/>
      <c r="AA162" s="26" t="inlineStr">
        <is>
          <t>UGA (incl. Grenoble INP masters): 2026-27 broad exemptions on request (pay national €254). From 2027-28 the decree caps apply; exemptions based on resources.</t>
        </is>
      </c>
      <c r="AB162" s="28" t="inlineStr">
        <is>
          <t>https://www.univ-grenoble-alpes.fr/actualites/a-la-une/actualites-universite/etudiants-internationaux-ce-que-change-le-nouveau-decret-sur-les-droits-d-inscription-a-l-uga-1775870.kjsp</t>
        </is>
      </c>
      <c r="AC162" s="25" t="inlineStr">
        <is>
          <t>Closed</t>
        </is>
      </c>
      <c r="AD162" s="25" t="n"/>
      <c r="AE162" s="25" t="n"/>
      <c r="AF162" s="25" t="inlineStr">
        <is>
          <t>No</t>
        </is>
      </c>
      <c r="AG162" s="28" t="inlineStr">
        <is>
          <t>http://www.grenoble-inp.fr</t>
        </is>
      </c>
      <c r="AH162" s="26" t="n"/>
      <c r="AI162" s="28" t="inlineStr">
        <is>
          <t>Open in EEF</t>
        </is>
      </c>
    </row>
    <row r="163" ht="32.8" customHeight="1" s="19">
      <c r="A163" s="25" t="n">
        <v>162</v>
      </c>
      <c r="B163" s="25" t="inlineStr">
        <is>
          <t>★★★★☆</t>
        </is>
      </c>
      <c r="C163" s="25" t="inlineStr">
        <is>
          <t>4 – Strong fit (electronics/signal/robotics/IoT/sensors)</t>
        </is>
      </c>
      <c r="D163" s="25" t="inlineStr">
        <is>
          <t>Electrical energy</t>
        </is>
      </c>
      <c r="E163" s="26" t="inlineStr">
        <is>
          <t>diplôme d'ingénieur de l'université de technologie de Belfort-Montbéliard spécialité génie électrique en partenariat avec l'ITII Franche-Comté</t>
        </is>
      </c>
      <c r="F163" s="26" t="inlineStr">
        <is>
          <t>Engineering diploma of University of Technology of Belfort-Montbéliard – specialisation: Electrical Engineering in partnership with l'ITII Franche-Comté</t>
        </is>
      </c>
      <c r="G163" s="25" t="inlineStr">
        <is>
          <t>Diplôme d'ingénieur</t>
        </is>
      </c>
      <c r="H163" s="25" t="inlineStr">
        <is>
          <t>Institut des techniques d'ingénieur de l'industrie de Franche-Comté</t>
        </is>
      </c>
      <c r="I163" s="25" t="n"/>
      <c r="J163" s="25" t="inlineStr">
        <is>
          <t>Site de Besançon</t>
        </is>
      </c>
      <c r="K163" s="25" t="n"/>
      <c r="L163" s="25" t="inlineStr">
        <is>
          <t>Apprenticeship (CFA/ITII)</t>
        </is>
      </c>
      <c r="M163" s="25" t="inlineStr">
        <is>
          <t>French</t>
        </is>
      </c>
      <c r="N163" s="25" t="inlineStr">
        <is>
          <t>General</t>
        </is>
      </c>
      <c r="O163" s="25" t="inlineStr">
        <is>
          <t>Bac +3 / Bac +4 / Bac +5</t>
        </is>
      </c>
      <c r="P163" s="26" t="inlineStr">
        <is>
          <t>Eligible on level (4-yr BS ≈ Bac+4)</t>
        </is>
      </c>
      <c r="Q163" s="25" t="inlineStr">
        <is>
          <t>1/2/3</t>
        </is>
      </c>
      <c r="R163" s="25" t="n"/>
      <c r="S163" s="27" t="n">
        <v>0</v>
      </c>
      <c r="T163" s="27" t="n"/>
      <c r="U163" s="25" t="n">
        <v>2</v>
      </c>
      <c r="V163" s="27">
        <f>IF(S163="","",S163*U163)</f>
        <v/>
      </c>
      <c r="W163" s="26" t="inlineStr">
        <is>
          <t>Apprenticeship: tuition paid by employer (€0 to student) BUT requires a French employment contract + residence permit – practically not accessible from abroad.</t>
        </is>
      </c>
      <c r="X163" s="25" t="inlineStr">
        <is>
          <t>High</t>
        </is>
      </c>
      <c r="Y163" s="25" t="n"/>
      <c r="Z163" s="26" t="n"/>
      <c r="AA163" s="26" t="n"/>
      <c r="AB163" s="25" t="n"/>
      <c r="AC163" s="25" t="inlineStr">
        <is>
          <t>Closed</t>
        </is>
      </c>
      <c r="AD163" s="25" t="n"/>
      <c r="AE163" s="25" t="n"/>
      <c r="AF163" s="25" t="inlineStr">
        <is>
          <t>No</t>
        </is>
      </c>
      <c r="AG163" s="28" t="inlineStr">
        <is>
          <t>http://www.itii-franche-comte.org</t>
        </is>
      </c>
      <c r="AH163" s="26" t="n"/>
      <c r="AI163" s="28" t="inlineStr">
        <is>
          <t>Open in EEF</t>
        </is>
      </c>
    </row>
    <row r="164" ht="43.25" customHeight="1" s="19">
      <c r="A164" s="25" t="n">
        <v>163</v>
      </c>
      <c r="B164" s="25" t="inlineStr">
        <is>
          <t>★★★★☆</t>
        </is>
      </c>
      <c r="C164" s="25" t="inlineStr">
        <is>
          <t>4 – Strong fit (electronics/signal/robotics/IoT/sensors)</t>
        </is>
      </c>
      <c r="D164" s="25" t="inlineStr">
        <is>
          <t>IoT / Telecom / Networks</t>
        </is>
      </c>
      <c r="E164" s="26" t="inlineStr">
        <is>
          <t>diplôme d'ingénieur de Télécom Bretagne de l'Institut Mines-Télécom spécialité réseaux et télécommunications en partenariat avec l'ITII Bretagne</t>
        </is>
      </c>
      <c r="F164" s="26" t="inlineStr">
        <is>
          <t>Engineering diploma of Télécom Bretagne of Institute Mines-Télécom – specialisation: Networks &amp; Telecommunications in partnership with l'ITII Bretagne</t>
        </is>
      </c>
      <c r="G164" s="25" t="inlineStr">
        <is>
          <t>Diplôme d'ingénieur</t>
        </is>
      </c>
      <c r="H164" s="25" t="inlineStr">
        <is>
          <t>Institut des techniques d'ingénieur de l'industrie de Bretagne</t>
        </is>
      </c>
      <c r="I164" s="25" t="n"/>
      <c r="J164" s="25" t="inlineStr">
        <is>
          <t>Site de Plérin</t>
        </is>
      </c>
      <c r="K164" s="25" t="n"/>
      <c r="L164" s="25" t="inlineStr">
        <is>
          <t>Apprenticeship (CFA/ITII)</t>
        </is>
      </c>
      <c r="M164" s="25" t="inlineStr">
        <is>
          <t>French</t>
        </is>
      </c>
      <c r="N164" s="25" t="inlineStr">
        <is>
          <t>General</t>
        </is>
      </c>
      <c r="O164" s="25" t="inlineStr">
        <is>
          <t>Bac +3 / Bac +4 / Bac +5</t>
        </is>
      </c>
      <c r="P164" s="26" t="inlineStr">
        <is>
          <t>Eligible on level (4-yr BS ≈ Bac+4)</t>
        </is>
      </c>
      <c r="Q164" s="25" t="inlineStr">
        <is>
          <t>1/2/3</t>
        </is>
      </c>
      <c r="R164" s="25" t="n"/>
      <c r="S164" s="27" t="n">
        <v>0</v>
      </c>
      <c r="T164" s="27" t="n"/>
      <c r="U164" s="25" t="n">
        <v>2</v>
      </c>
      <c r="V164" s="27">
        <f>IF(S164="","",S164*U164)</f>
        <v/>
      </c>
      <c r="W164" s="26" t="inlineStr">
        <is>
          <t>Apprenticeship: tuition paid by employer (€0 to student) BUT requires a French employment contract + residence permit – practically not accessible from abroad.</t>
        </is>
      </c>
      <c r="X164" s="25" t="inlineStr">
        <is>
          <t>High</t>
        </is>
      </c>
      <c r="Y164" s="25" t="n"/>
      <c r="Z164" s="26" t="n"/>
      <c r="AA164" s="26" t="n"/>
      <c r="AB164" s="25" t="n"/>
      <c r="AC164" s="25" t="inlineStr">
        <is>
          <t>Closed</t>
        </is>
      </c>
      <c r="AD164" s="25" t="n"/>
      <c r="AE164" s="25" t="n"/>
      <c r="AF164" s="25" t="inlineStr">
        <is>
          <t>No</t>
        </is>
      </c>
      <c r="AG164" s="28" t="inlineStr">
        <is>
          <t>http://www.itiibretagne.fr</t>
        </is>
      </c>
      <c r="AH164" s="26" t="inlineStr">
        <is>
          <t>voir modalités d'admission sur ce lien : http://www.telecom-bretagne.eu/formations/ingenieur_specialise/ IMPORTANT : Pour les candidats de nationalité étrangère, il est impératif d'obtenir une autorisation provisoire de</t>
        </is>
      </c>
      <c r="AI164" s="28" t="inlineStr">
        <is>
          <t>Open in EEF</t>
        </is>
      </c>
    </row>
    <row r="165" ht="32.8" customHeight="1" s="19">
      <c r="A165" s="25" t="n">
        <v>164</v>
      </c>
      <c r="B165" s="25" t="inlineStr">
        <is>
          <t>★★★★☆</t>
        </is>
      </c>
      <c r="C165" s="25" t="inlineStr">
        <is>
          <t>4 – Strong fit (electronics/signal/robotics/IoT/sensors)</t>
        </is>
      </c>
      <c r="D165" s="25" t="inlineStr">
        <is>
          <t>IoT / Telecom / Networks</t>
        </is>
      </c>
      <c r="E165" s="26" t="inlineStr">
        <is>
          <t>diplôme d'ingénieur de Télécom Nancy spécialité informatique en partenariat avec l'ITII de Lorraine</t>
        </is>
      </c>
      <c r="F165" s="26" t="inlineStr">
        <is>
          <t>Engineering diploma of Télécom Nancy – specialisation: Computer Science in partnership with l'ITII of Lorraine</t>
        </is>
      </c>
      <c r="G165" s="25" t="inlineStr">
        <is>
          <t>Diplôme d'ingénieur</t>
        </is>
      </c>
      <c r="H165" s="25" t="inlineStr">
        <is>
          <t>Institut des techniques d'ingénieur de l'industrie de Lorraine</t>
        </is>
      </c>
      <c r="I165" s="25" t="n"/>
      <c r="J165" s="25" t="inlineStr">
        <is>
          <t>Site de Metz</t>
        </is>
      </c>
      <c r="K165" s="25" t="n"/>
      <c r="L165" s="25" t="inlineStr">
        <is>
          <t>Apprenticeship (CFA/ITII)</t>
        </is>
      </c>
      <c r="M165" s="25" t="inlineStr">
        <is>
          <t>French</t>
        </is>
      </c>
      <c r="N165" s="25" t="inlineStr">
        <is>
          <t>General</t>
        </is>
      </c>
      <c r="O165" s="25" t="inlineStr">
        <is>
          <t>Bac +3 / Bac +5</t>
        </is>
      </c>
      <c r="P165" s="26" t="inlineStr">
        <is>
          <t>Eligible on level (4-yr BS ≈ Bac+4)</t>
        </is>
      </c>
      <c r="Q165" s="25" t="inlineStr">
        <is>
          <t>1/3</t>
        </is>
      </c>
      <c r="R165" s="25" t="n"/>
      <c r="S165" s="27" t="n">
        <v>0</v>
      </c>
      <c r="T165" s="27" t="n"/>
      <c r="U165" s="25" t="n">
        <v>2</v>
      </c>
      <c r="V165" s="27">
        <f>IF(S165="","",S165*U165)</f>
        <v/>
      </c>
      <c r="W165" s="26" t="inlineStr">
        <is>
          <t>Apprenticeship: tuition paid by employer (€0 to student) BUT requires a French employment contract + residence permit – practically not accessible from abroad.</t>
        </is>
      </c>
      <c r="X165" s="25" t="inlineStr">
        <is>
          <t>High</t>
        </is>
      </c>
      <c r="Y165" s="25" t="n"/>
      <c r="Z165" s="26" t="n"/>
      <c r="AA165" s="26" t="n"/>
      <c r="AB165" s="25" t="n"/>
      <c r="AC165" s="25" t="inlineStr">
        <is>
          <t>Closed</t>
        </is>
      </c>
      <c r="AD165" s="25" t="n"/>
      <c r="AE165" s="25" t="n"/>
      <c r="AF165" s="25" t="inlineStr">
        <is>
          <t>No</t>
        </is>
      </c>
      <c r="AG165" s="28" t="inlineStr">
        <is>
          <t>http://www.itii-lorraine.fr</t>
        </is>
      </c>
      <c r="AH165" s="26" t="n"/>
      <c r="AI165" s="28" t="inlineStr">
        <is>
          <t>Open in EEF</t>
        </is>
      </c>
    </row>
    <row r="166" ht="32.8" customHeight="1" s="19">
      <c r="A166" s="25" t="n">
        <v>165</v>
      </c>
      <c r="B166" s="25" t="inlineStr">
        <is>
          <t>★★★★☆</t>
        </is>
      </c>
      <c r="C166" s="25" t="inlineStr">
        <is>
          <t>4 – Strong fit (electronics/signal/robotics/IoT/sensors)</t>
        </is>
      </c>
      <c r="D166" s="25" t="inlineStr">
        <is>
          <t>Embedded systems / Electronics</t>
        </is>
      </c>
      <c r="E166" s="26" t="inlineStr">
        <is>
          <t>diplôme d'ingénieur de Télécom Physique Strasbourg de l'université de Strasbourg spécialité électronique et informatique industrielle en partenariat avec l'ITII Alsace</t>
        </is>
      </c>
      <c r="F166" s="26" t="inlineStr">
        <is>
          <t>Engineering diploma of Télécom Physics Strasbourg of University of Strasbourg – specialisation: Electronics &amp; Industrial Computing in partnership with l'ITII Alsace</t>
        </is>
      </c>
      <c r="G166" s="25" t="inlineStr">
        <is>
          <t>Diplôme d'ingénieur</t>
        </is>
      </c>
      <c r="H166" s="25" t="inlineStr">
        <is>
          <t>Institut des techniques d'ingénieur de l'industrie Alsace</t>
        </is>
      </c>
      <c r="I166" s="25" t="n"/>
      <c r="J166" s="25" t="inlineStr">
        <is>
          <t>Site de Mulhouse</t>
        </is>
      </c>
      <c r="K166" s="25" t="n"/>
      <c r="L166" s="25" t="inlineStr">
        <is>
          <t>Apprenticeship (CFA/ITII)</t>
        </is>
      </c>
      <c r="M166" s="25" t="inlineStr">
        <is>
          <t>French</t>
        </is>
      </c>
      <c r="N166" s="25" t="inlineStr">
        <is>
          <t>General</t>
        </is>
      </c>
      <c r="O166" s="25" t="inlineStr">
        <is>
          <t>Bac +3 / Bac +4</t>
        </is>
      </c>
      <c r="P166" s="26" t="inlineStr">
        <is>
          <t>Eligible on level (4-yr BS ≈ Bac+4)</t>
        </is>
      </c>
      <c r="Q166" s="25" t="inlineStr">
        <is>
          <t>1/2</t>
        </is>
      </c>
      <c r="R166" s="25" t="n"/>
      <c r="S166" s="27" t="n">
        <v>0</v>
      </c>
      <c r="T166" s="27" t="n"/>
      <c r="U166" s="25" t="n">
        <v>2</v>
      </c>
      <c r="V166" s="27">
        <f>IF(S166="","",S166*U166)</f>
        <v/>
      </c>
      <c r="W166" s="26" t="inlineStr">
        <is>
          <t>Apprenticeship: tuition paid by employer (€0 to student) BUT requires a French employment contract + residence permit – practically not accessible from abroad.</t>
        </is>
      </c>
      <c r="X166" s="25" t="inlineStr">
        <is>
          <t>High</t>
        </is>
      </c>
      <c r="Y166" s="25" t="n"/>
      <c r="Z166" s="26" t="n"/>
      <c r="AA166" s="26" t="inlineStr">
        <is>
          <t>Unistra: master entrants who did not do their licence at Unistra pay the differentiated fee (€3,950).</t>
        </is>
      </c>
      <c r="AB166" s="28" t="inlineStr">
        <is>
          <t>https://www.unistra.fr/fr/node/8168</t>
        </is>
      </c>
      <c r="AC166" s="25" t="inlineStr">
        <is>
          <t>Closed</t>
        </is>
      </c>
      <c r="AD166" s="25" t="n"/>
      <c r="AE166" s="25" t="n"/>
      <c r="AF166" s="25" t="inlineStr">
        <is>
          <t>No</t>
        </is>
      </c>
      <c r="AG166" s="28" t="inlineStr">
        <is>
          <t>http://www.itii-alsace.fr</t>
        </is>
      </c>
      <c r="AH166" s="26" t="n"/>
      <c r="AI166" s="28" t="inlineStr">
        <is>
          <t>Open in EEF</t>
        </is>
      </c>
    </row>
    <row r="167" ht="32.8" customHeight="1" s="19">
      <c r="A167" s="25" t="n">
        <v>166</v>
      </c>
      <c r="B167" s="25" t="inlineStr">
        <is>
          <t>★★★★☆</t>
        </is>
      </c>
      <c r="C167" s="25" t="inlineStr">
        <is>
          <t>4 – Strong fit (electronics/signal/robotics/IoT/sensors)</t>
        </is>
      </c>
      <c r="D167" s="25" t="inlineStr">
        <is>
          <t>IoT / Telecom / Networks</t>
        </is>
      </c>
      <c r="E167" s="26" t="inlineStr">
        <is>
          <t>diplôme d'ingénieur de Télécom Physique Strasbourg de l'université de Strasbourg spécialité technologies de l'information et de la communication pour la santé en partenariat avec l'ITII Alsace</t>
        </is>
      </c>
      <c r="F167" s="26" t="inlineStr">
        <is>
          <t>Engineering diploma of Télécom Physics Strasbourg of University of Strasbourg – specialisation: Technologies of Information &amp; of the Communication for the Health in partnership with l'ITII Alsace</t>
        </is>
      </c>
      <c r="G167" s="25" t="inlineStr">
        <is>
          <t>Diplôme d'ingénieur</t>
        </is>
      </c>
      <c r="H167" s="25" t="inlineStr">
        <is>
          <t>Institut des techniques d'ingénieur de l'industrie Alsace</t>
        </is>
      </c>
      <c r="I167" s="25" t="n"/>
      <c r="J167" s="25" t="inlineStr">
        <is>
          <t>Site de Mulhouse</t>
        </is>
      </c>
      <c r="K167" s="25" t="n"/>
      <c r="L167" s="25" t="inlineStr">
        <is>
          <t>Apprenticeship (CFA/ITII)</t>
        </is>
      </c>
      <c r="M167" s="25" t="inlineStr">
        <is>
          <t>French</t>
        </is>
      </c>
      <c r="N167" s="25" t="inlineStr">
        <is>
          <t>General</t>
        </is>
      </c>
      <c r="O167" s="25" t="inlineStr">
        <is>
          <t>Bac +4 / Bac +5</t>
        </is>
      </c>
      <c r="P167" s="26" t="inlineStr">
        <is>
          <t>Eligible on level (4-yr BS ≈ Bac+4)</t>
        </is>
      </c>
      <c r="Q167" s="25" t="inlineStr">
        <is>
          <t>2/3</t>
        </is>
      </c>
      <c r="R167" s="25" t="n"/>
      <c r="S167" s="27" t="n">
        <v>0</v>
      </c>
      <c r="T167" s="27" t="n"/>
      <c r="U167" s="25" t="n">
        <v>2</v>
      </c>
      <c r="V167" s="27">
        <f>IF(S167="","",S167*U167)</f>
        <v/>
      </c>
      <c r="W167" s="26" t="inlineStr">
        <is>
          <t>Apprenticeship: tuition paid by employer (€0 to student) BUT requires a French employment contract + residence permit – practically not accessible from abroad.</t>
        </is>
      </c>
      <c r="X167" s="25" t="inlineStr">
        <is>
          <t>High</t>
        </is>
      </c>
      <c r="Y167" s="25" t="n"/>
      <c r="Z167" s="26" t="n"/>
      <c r="AA167" s="26" t="inlineStr">
        <is>
          <t>Unistra: master entrants who did not do their licence at Unistra pay the differentiated fee (€3,950).</t>
        </is>
      </c>
      <c r="AB167" s="28" t="inlineStr">
        <is>
          <t>https://www.unistra.fr/fr/node/8168</t>
        </is>
      </c>
      <c r="AC167" s="25" t="inlineStr">
        <is>
          <t>Closed</t>
        </is>
      </c>
      <c r="AD167" s="25" t="n"/>
      <c r="AE167" s="25" t="n"/>
      <c r="AF167" s="25" t="inlineStr">
        <is>
          <t>No</t>
        </is>
      </c>
      <c r="AG167" s="28" t="inlineStr">
        <is>
          <t>http://www.itii-alsace.fr</t>
        </is>
      </c>
      <c r="AH167" s="26" t="n"/>
      <c r="AI167" s="28" t="inlineStr">
        <is>
          <t>Open in EEF</t>
        </is>
      </c>
    </row>
    <row r="168" ht="32.8" customHeight="1" s="19">
      <c r="A168" s="25" t="n">
        <v>167</v>
      </c>
      <c r="B168" s="25" t="inlineStr">
        <is>
          <t>★★★★☆</t>
        </is>
      </c>
      <c r="C168" s="25" t="inlineStr">
        <is>
          <t>4 – Strong fit (electronics/signal/robotics/IoT/sensors)</t>
        </is>
      </c>
      <c r="D168" s="25" t="inlineStr">
        <is>
          <t>Signal / Image / Vision</t>
        </is>
      </c>
      <c r="E168" s="26" t="inlineStr">
        <is>
          <t>Master Sciences, technologies, santé, Optique, image, vision, mutlimédia</t>
        </is>
      </c>
      <c r="F168" s="26" t="inlineStr">
        <is>
          <t>Master Science, Technology, Health (STS), Optics, Image, Vision, Multimedia</t>
        </is>
      </c>
      <c r="G168" s="25" t="inlineStr">
        <is>
          <t>Master indifférencié (recherche et professionnel)</t>
        </is>
      </c>
      <c r="H168" s="25" t="inlineStr">
        <is>
          <t>UFR des sciences et technologie</t>
        </is>
      </c>
      <c r="I168" s="25" t="inlineStr">
        <is>
          <t>Université Paris-Est Créteil Val-de-Marne</t>
        </is>
      </c>
      <c r="J168" s="25" t="inlineStr">
        <is>
          <t>Site de Créteil</t>
        </is>
      </c>
      <c r="K168" s="25" t="n"/>
      <c r="L168" s="25" t="inlineStr">
        <is>
          <t>Public university</t>
        </is>
      </c>
      <c r="M168" s="25" t="inlineStr">
        <is>
          <t>French</t>
        </is>
      </c>
      <c r="N168" s="25" t="inlineStr">
        <is>
          <t>General</t>
        </is>
      </c>
      <c r="O168" s="25" t="inlineStr">
        <is>
          <t>Bac +4</t>
        </is>
      </c>
      <c r="P168" s="26" t="inlineStr">
        <is>
          <t>Eligible on level (4-yr BS ≈ Bac+4)</t>
        </is>
      </c>
      <c r="Q168" s="25" t="inlineStr">
        <is>
          <t>1</t>
        </is>
      </c>
      <c r="R168" s="25" t="inlineStr">
        <is>
          <t>11</t>
        </is>
      </c>
      <c r="S168" s="27" t="n">
        <v>254</v>
      </c>
      <c r="T168" s="27" t="n"/>
      <c r="U168" s="25" t="n">
        <v>2</v>
      </c>
      <c r="V168" s="27">
        <f>IF(S168="","",S168*U168)</f>
        <v/>
      </c>
      <c r="W168" s="26" t="inlineStr">
        <is>
          <t>Catalogue lists €254 (EU/national rate). Confirm whether non-EU surcharge applies.</t>
        </is>
      </c>
      <c r="X168" s="25" t="inlineStr">
        <is>
          <t>Medium</t>
        </is>
      </c>
      <c r="Y168" s="25" t="inlineStr">
        <is>
          <t>254</t>
        </is>
      </c>
      <c r="Z168" s="26" t="n"/>
      <c r="AA168" s="26" t="n"/>
      <c r="AB168" s="25" t="n"/>
      <c r="AC168" s="25" t="inlineStr">
        <is>
          <t>Open</t>
        </is>
      </c>
      <c r="AD168" s="25" t="inlineStr">
        <is>
          <t>2026-10-01</t>
        </is>
      </c>
      <c r="AE168" s="25" t="inlineStr">
        <is>
          <t>2027-03-15</t>
        </is>
      </c>
      <c r="AF168" s="25" t="inlineStr">
        <is>
          <t>No</t>
        </is>
      </c>
      <c r="AG168" s="28" t="inlineStr">
        <is>
          <t>http://sciences-tech.u-pec.fr</t>
        </is>
      </c>
      <c r="AH168" s="26" t="inlineStr">
        <is>
          <t>C2 ( C1 si anglophone) Etre titulaire d'une licence en Sciences pour l'Ingénieur avec de bons résultats en Mathématiques, Programmation et Data Science Bonjour Tout recours doit se faire par mail à l’adresse suivante : R</t>
        </is>
      </c>
      <c r="AI168" s="28" t="inlineStr">
        <is>
          <t>Open in EEF</t>
        </is>
      </c>
    </row>
    <row r="169" ht="32.8" customHeight="1" s="19">
      <c r="A169" s="25" t="n">
        <v>168</v>
      </c>
      <c r="B169" s="25" t="inlineStr">
        <is>
          <t>★★★★☆</t>
        </is>
      </c>
      <c r="C169" s="25" t="inlineStr">
        <is>
          <t>4 – Strong fit (electronics/signal/robotics/IoT/sensors)</t>
        </is>
      </c>
      <c r="D169" s="25" t="inlineStr">
        <is>
          <t>Robotics / Automation / Mechatronics</t>
        </is>
      </c>
      <c r="E169" s="26" t="inlineStr">
        <is>
          <t>Master indifférencié (recherche et professionnel) mention Automatique et Systèmes Électriques1 parcours Energie électrique et développement durable / electrical engineering for sustainable development.</t>
        </is>
      </c>
      <c r="F169" s="26" t="inlineStr">
        <is>
          <t>major: Automation &amp; Systems Electrical1 – track: Energy Electrical &amp; Development Sustainable / electrical engineering for sustainable development.</t>
        </is>
      </c>
      <c r="G169" s="25" t="inlineStr">
        <is>
          <t>Master indifférencié (recherche et professionnel)</t>
        </is>
      </c>
      <c r="H169" s="25" t="inlineStr">
        <is>
          <t>Faculté des sciences et technologies</t>
        </is>
      </c>
      <c r="I169" s="25" t="inlineStr">
        <is>
          <t>Université de Lille</t>
        </is>
      </c>
      <c r="J169" s="25" t="inlineStr">
        <is>
          <t>Département Electronique, électrotechnique et automatique</t>
        </is>
      </c>
      <c r="K169" s="25" t="n"/>
      <c r="L169" s="25" t="inlineStr">
        <is>
          <t>Public university</t>
        </is>
      </c>
      <c r="M169" s="25" t="inlineStr">
        <is>
          <t>English</t>
        </is>
      </c>
      <c r="N169" s="25" t="inlineStr">
        <is>
          <t>Taught in English</t>
        </is>
      </c>
      <c r="O169" s="25" t="inlineStr">
        <is>
          <t>Bac +4 / Bac +5</t>
        </is>
      </c>
      <c r="P169" s="26" t="inlineStr">
        <is>
          <t>Eligible on level (4-yr BS ≈ Bac+4)</t>
        </is>
      </c>
      <c r="Q169" s="25" t="inlineStr">
        <is>
          <t>1/2</t>
        </is>
      </c>
      <c r="R169" s="25" t="inlineStr">
        <is>
          <t>12</t>
        </is>
      </c>
      <c r="S169" s="27" t="n">
        <v>255</v>
      </c>
      <c r="T169" s="27" t="n"/>
      <c r="U169" s="25" t="n">
        <v>2</v>
      </c>
      <c r="V169" s="27">
        <f>IF(S169="","",S169*U169)</f>
        <v/>
      </c>
      <c r="W169" s="26" t="inlineStr">
        <is>
          <t>Catalogue lists €255 (EU/national rate). Confirm whether non-EU surcharge applies.</t>
        </is>
      </c>
      <c r="X169" s="25" t="inlineStr">
        <is>
          <t>Medium</t>
        </is>
      </c>
      <c r="Y169" s="25" t="inlineStr">
        <is>
          <t>255/3950</t>
        </is>
      </c>
      <c r="Z169" s="26" t="n"/>
      <c r="AA169" s="26" t="inlineStr">
        <is>
          <t>Lille opposed the decree; continues exemptions for part of non-EU students (master €254 if exempted). Apply for exemption early.</t>
        </is>
      </c>
      <c r="AB169" s="28" t="inlineStr">
        <is>
          <t>https://observalgerie.com/2026/06/13/misc/frais-dinscription-en-france-lille-maintient-un-avantage-pour-les-etudiants-etrangers/</t>
        </is>
      </c>
      <c r="AC169" s="25" t="inlineStr">
        <is>
          <t>Open</t>
        </is>
      </c>
      <c r="AD169" s="25" t="inlineStr">
        <is>
          <t>2026-10-01</t>
        </is>
      </c>
      <c r="AE169" s="25" t="inlineStr">
        <is>
          <t>2027-03-15</t>
        </is>
      </c>
      <c r="AF169" s="25" t="inlineStr">
        <is>
          <t>No</t>
        </is>
      </c>
      <c r="AG169" s="28" t="inlineStr">
        <is>
          <t>https://formation.univ-lille.fr/fr/offre-de-formation/master-lmd-XB/master-automatique-et-systemes-electriques-MG001978/energie-electrique-et-developpement-durable-electrical-engineering-for-sustainable-development-m2-MX002024.html</t>
        </is>
      </c>
      <c r="AH169" s="26" t="inlineStr">
        <is>
          <t>Le candidat doit avoir un niveau M1 ou équivalent en EEA (Electronique, Electrotechique et Automatique). Niveau d'anglais C1 exigé.</t>
        </is>
      </c>
      <c r="AI169" s="28" t="inlineStr">
        <is>
          <t>Open in EEF</t>
        </is>
      </c>
    </row>
    <row r="170" ht="32.8" customHeight="1" s="19">
      <c r="A170" s="25" t="n">
        <v>169</v>
      </c>
      <c r="B170" s="25" t="inlineStr">
        <is>
          <t>★★★★☆</t>
        </is>
      </c>
      <c r="C170" s="25" t="inlineStr">
        <is>
          <t>4 – Strong fit (electronics/signal/robotics/IoT/sensors)</t>
        </is>
      </c>
      <c r="D170" s="25" t="inlineStr">
        <is>
          <t>Neuroscience / Neuro-engineering</t>
        </is>
      </c>
      <c r="E170" s="26" t="inlineStr">
        <is>
          <t>Euro-mediterranean Master in Neurosciences Online -</t>
        </is>
      </c>
      <c r="F170" s="26" t="inlineStr">
        <is>
          <t>Euro-mediterranean Master in Neuroscience Online</t>
        </is>
      </c>
      <c r="G170" s="25" t="inlineStr">
        <is>
          <t>Master indifférencié (recherche et professionnel)</t>
        </is>
      </c>
      <c r="H170" s="25" t="inlineStr">
        <is>
          <t>Faculté des sciences de la vie</t>
        </is>
      </c>
      <c r="I170" s="25" t="inlineStr">
        <is>
          <t>Université de Strasbourg</t>
        </is>
      </c>
      <c r="J170" s="25" t="inlineStr">
        <is>
          <t>Site de Strasbourg</t>
        </is>
      </c>
      <c r="K170" s="25" t="inlineStr">
        <is>
          <t>67000 Strasbourg</t>
        </is>
      </c>
      <c r="L170" s="25" t="inlineStr">
        <is>
          <t>Public university</t>
        </is>
      </c>
      <c r="M170" s="25" t="inlineStr">
        <is>
          <t>English</t>
        </is>
      </c>
      <c r="N170" s="25" t="inlineStr">
        <is>
          <t>General</t>
        </is>
      </c>
      <c r="O170" s="25" t="inlineStr">
        <is>
          <t>Bac +4</t>
        </is>
      </c>
      <c r="P170" s="26" t="inlineStr">
        <is>
          <t>Eligible on level (4-yr BS ≈ Bac+4)</t>
        </is>
      </c>
      <c r="Q170" s="25" t="inlineStr">
        <is>
          <t>1</t>
        </is>
      </c>
      <c r="R170" s="25" t="n"/>
      <c r="S170" s="27" t="n">
        <v>3950</v>
      </c>
      <c r="T170" s="27" t="n">
        <v>255</v>
      </c>
      <c r="U170" s="25" t="n">
        <v>2</v>
      </c>
      <c r="V170" s="27">
        <f>IF(S170="","",S170*U170)</f>
        <v/>
      </c>
      <c r="W170" s="26" t="inlineStr">
        <is>
          <t>Catalogue: €3,950. = national differentiated master fee (2026-27: €3,950). Exemption to ~€255 possible (university quota).</t>
        </is>
      </c>
      <c r="X170" s="25" t="inlineStr">
        <is>
          <t>High</t>
        </is>
      </c>
      <c r="Y170" s="25" t="inlineStr">
        <is>
          <t>3950</t>
        </is>
      </c>
      <c r="Z170" s="26" t="n"/>
      <c r="AA170" s="26" t="inlineStr">
        <is>
          <t>Unistra: master entrants who did not do their licence at Unistra pay the differentiated fee (€3,950).</t>
        </is>
      </c>
      <c r="AB170" s="28" t="inlineStr">
        <is>
          <t>https://www.unistra.fr/fr/node/8168</t>
        </is>
      </c>
      <c r="AC170" s="25" t="inlineStr">
        <is>
          <t>Open</t>
        </is>
      </c>
      <c r="AD170" s="25" t="inlineStr">
        <is>
          <t>2026-10-01</t>
        </is>
      </c>
      <c r="AE170" s="25" t="inlineStr">
        <is>
          <t>2027-03-15</t>
        </is>
      </c>
      <c r="AF170" s="25" t="inlineStr">
        <is>
          <t>No</t>
        </is>
      </c>
      <c r="AG170" s="28" t="inlineStr">
        <is>
          <t>http://sciencesvie.unistra.fr/</t>
        </is>
      </c>
      <c r="AH170" s="26" t="inlineStr">
        <is>
          <t>Le programme propose un cursus international en neuroscience, avec des cours et des évaluations identiques dispensés par chacune des 4 Universités Françaises ainsi que 14 partenaires issus d’Europe et de la zone méditerr</t>
        </is>
      </c>
      <c r="AI170" s="28" t="inlineStr">
        <is>
          <t>Open in EEF</t>
        </is>
      </c>
    </row>
    <row r="171" ht="32.8" customHeight="1" s="19">
      <c r="A171" s="25" t="n">
        <v>170</v>
      </c>
      <c r="B171" s="25" t="inlineStr">
        <is>
          <t>★★★★☆</t>
        </is>
      </c>
      <c r="C171" s="25" t="inlineStr">
        <is>
          <t>4 – Strong fit (electronics/signal/robotics/IoT/sensors)</t>
        </is>
      </c>
      <c r="D171" s="25" t="inlineStr">
        <is>
          <t>Neuroscience / Neuro-engineering</t>
        </is>
      </c>
      <c r="E171" s="26" t="inlineStr">
        <is>
          <t>Interdisciplinary trainining in Neuroscience and Pain</t>
        </is>
      </c>
      <c r="F171" s="26" t="inlineStr">
        <is>
          <t>Interdisciplinary trainining in Neuroscience and Pain</t>
        </is>
      </c>
      <c r="G171" s="25" t="inlineStr">
        <is>
          <t>Master indifférencié (recherche et professionnel)</t>
        </is>
      </c>
      <c r="H171" s="25" t="inlineStr">
        <is>
          <t>Faculté des sciences de la vie</t>
        </is>
      </c>
      <c r="I171" s="25" t="inlineStr">
        <is>
          <t>Université de Strasbourg</t>
        </is>
      </c>
      <c r="J171" s="25" t="inlineStr">
        <is>
          <t>Site de Strasbourg</t>
        </is>
      </c>
      <c r="K171" s="25" t="inlineStr">
        <is>
          <t>67000 Strasbourg</t>
        </is>
      </c>
      <c r="L171" s="25" t="inlineStr">
        <is>
          <t>Public university</t>
        </is>
      </c>
      <c r="M171" s="25" t="inlineStr">
        <is>
          <t>English</t>
        </is>
      </c>
      <c r="N171" s="25" t="inlineStr">
        <is>
          <t>General</t>
        </is>
      </c>
      <c r="O171" s="25" t="inlineStr">
        <is>
          <t>Bac +4 / Bac +5</t>
        </is>
      </c>
      <c r="P171" s="26" t="inlineStr">
        <is>
          <t>Eligible on level (4-yr BS ≈ Bac+4)</t>
        </is>
      </c>
      <c r="Q171" s="25" t="inlineStr">
        <is>
          <t>1/2</t>
        </is>
      </c>
      <c r="R171" s="25" t="n"/>
      <c r="S171" s="27" t="n">
        <v>3950</v>
      </c>
      <c r="T171" s="27" t="n">
        <v>255</v>
      </c>
      <c r="U171" s="25" t="n">
        <v>2</v>
      </c>
      <c r="V171" s="27">
        <f>IF(S171="","",S171*U171)</f>
        <v/>
      </c>
      <c r="W171" s="26" t="inlineStr">
        <is>
          <t>Catalogue: €3,950. = national differentiated master fee (2026-27: €3,950). Exemption to ~€255 possible (university quota).</t>
        </is>
      </c>
      <c r="X171" s="25" t="inlineStr">
        <is>
          <t>High</t>
        </is>
      </c>
      <c r="Y171" s="25" t="inlineStr">
        <is>
          <t>3950</t>
        </is>
      </c>
      <c r="Z171" s="26" t="n"/>
      <c r="AA171" s="26" t="inlineStr">
        <is>
          <t>Unistra: master entrants who did not do their licence at Unistra pay the differentiated fee (€3,950).</t>
        </is>
      </c>
      <c r="AB171" s="28" t="inlineStr">
        <is>
          <t>https://www.unistra.fr/fr/node/8168</t>
        </is>
      </c>
      <c r="AC171" s="25" t="inlineStr">
        <is>
          <t>Open</t>
        </is>
      </c>
      <c r="AD171" s="25" t="inlineStr">
        <is>
          <t>2026-10-01</t>
        </is>
      </c>
      <c r="AE171" s="25" t="inlineStr">
        <is>
          <t>2027-03-15</t>
        </is>
      </c>
      <c r="AF171" s="25" t="inlineStr">
        <is>
          <t>No</t>
        </is>
      </c>
      <c r="AG171" s="28" t="inlineStr">
        <is>
          <t>http://sciencesvie.unistra.fr/</t>
        </is>
      </c>
      <c r="AH171" s="26" t="inlineStr">
        <is>
          <t>M1 : La sélection et le classement des dossiers de candidature reposeront sur l'examen des résultats académiques de l'ensemble de la licence, permettant de justifier d'un niveau suffisant pour une poursuite en master dan</t>
        </is>
      </c>
      <c r="AI171" s="28" t="inlineStr">
        <is>
          <t>Open in EEF</t>
        </is>
      </c>
    </row>
    <row r="172" ht="32.8" customHeight="1" s="19">
      <c r="A172" s="25" t="n">
        <v>171</v>
      </c>
      <c r="B172" s="25" t="inlineStr">
        <is>
          <t>★★★★☆</t>
        </is>
      </c>
      <c r="C172" s="25" t="inlineStr">
        <is>
          <t>4 – Strong fit (electronics/signal/robotics/IoT/sensors)</t>
        </is>
      </c>
      <c r="D172" s="25" t="inlineStr">
        <is>
          <t>Signal / Image / Vision</t>
        </is>
      </c>
      <c r="E172" s="26" t="inlineStr">
        <is>
          <t>Master indifférencié (recherche et professionnel) Sciences, technologies, santé mention Optique, image, vision, mutlimédia parcours international biométrie et vision intelligente (I-BVI)</t>
        </is>
      </c>
      <c r="F172" s="26" t="inlineStr">
        <is>
          <t>Science, Technology, Health (STS) – major: Optics, Image, Vision, Multimedia – track: international biométrie &amp; Vision intelligente (I-BVI)</t>
        </is>
      </c>
      <c r="G172" s="25" t="inlineStr">
        <is>
          <t>Master indifférencié (recherche et professionnel)</t>
        </is>
      </c>
      <c r="H172" s="25" t="inlineStr">
        <is>
          <t>UFR des sciences et technologie</t>
        </is>
      </c>
      <c r="I172" s="25" t="inlineStr">
        <is>
          <t>Université Paris-Est Créteil Val-de-Marne</t>
        </is>
      </c>
      <c r="J172" s="25" t="inlineStr">
        <is>
          <t>Site de Créteil</t>
        </is>
      </c>
      <c r="K172" s="25" t="n"/>
      <c r="L172" s="25" t="inlineStr">
        <is>
          <t>Public university</t>
        </is>
      </c>
      <c r="M172" s="25" t="inlineStr">
        <is>
          <t>English</t>
        </is>
      </c>
      <c r="N172" s="25" t="inlineStr">
        <is>
          <t>General</t>
        </is>
      </c>
      <c r="O172" s="25" t="inlineStr">
        <is>
          <t>Bac +4 / Bac +5</t>
        </is>
      </c>
      <c r="P172" s="26" t="inlineStr">
        <is>
          <t>Eligible on level (4-yr BS ≈ Bac+4)</t>
        </is>
      </c>
      <c r="Q172" s="25" t="inlineStr">
        <is>
          <t>1/2</t>
        </is>
      </c>
      <c r="R172" s="25" t="inlineStr">
        <is>
          <t>10</t>
        </is>
      </c>
      <c r="S172" s="27" t="n">
        <v>3950</v>
      </c>
      <c r="T172" s="27" t="n">
        <v>255</v>
      </c>
      <c r="U172" s="25" t="n">
        <v>2</v>
      </c>
      <c r="V172" s="27">
        <f>IF(S172="","",S172*U172)</f>
        <v/>
      </c>
      <c r="W172" s="26" t="inlineStr">
        <is>
          <t>Catalogue: €3,950. = national differentiated master fee (2026-27: €3,950). Exemption to ~€255 possible (university quota).</t>
        </is>
      </c>
      <c r="X172" s="25" t="inlineStr">
        <is>
          <t>High</t>
        </is>
      </c>
      <c r="Y172" s="25" t="inlineStr">
        <is>
          <t>3950</t>
        </is>
      </c>
      <c r="Z172" s="26" t="n"/>
      <c r="AA172" s="26" t="n"/>
      <c r="AB172" s="25" t="n"/>
      <c r="AC172" s="25" t="inlineStr">
        <is>
          <t>Open</t>
        </is>
      </c>
      <c r="AD172" s="25" t="inlineStr">
        <is>
          <t>2026-10-01</t>
        </is>
      </c>
      <c r="AE172" s="25" t="inlineStr">
        <is>
          <t>2027-03-15</t>
        </is>
      </c>
      <c r="AF172" s="25" t="inlineStr">
        <is>
          <t>No</t>
        </is>
      </c>
      <c r="AG172" s="28" t="inlineStr">
        <is>
          <t>http://sciences-tech.u-pec.fr</t>
        </is>
      </c>
      <c r="AH172" s="26" t="inlineStr">
        <is>
          <t>traitement d'image, programmation Python</t>
        </is>
      </c>
      <c r="AI172" s="28" t="inlineStr">
        <is>
          <t>Open in EEF</t>
        </is>
      </c>
    </row>
    <row r="173" ht="32.8" customHeight="1" s="19">
      <c r="A173" s="25" t="n">
        <v>172</v>
      </c>
      <c r="B173" s="25" t="inlineStr">
        <is>
          <t>★★★★☆</t>
        </is>
      </c>
      <c r="C173" s="25" t="inlineStr">
        <is>
          <t>4 – Strong fit (electronics/signal/robotics/IoT/sensors)</t>
        </is>
      </c>
      <c r="D173" s="25" t="inlineStr">
        <is>
          <t>Neuroscience / Neuro-engineering</t>
        </is>
      </c>
      <c r="E173" s="26" t="inlineStr">
        <is>
          <t>Master indifférencié (recherche et professionnel) Sciences, technologies, santé mention sciences du vivant parcours Dual Master in Neuroscience</t>
        </is>
      </c>
      <c r="F173" s="26" t="inlineStr">
        <is>
          <t>Science, Technology, Health (STS) – major: Sciences of Life – track: Dual Master in Neuroscience</t>
        </is>
      </c>
      <c r="G173" s="25" t="inlineStr">
        <is>
          <t>Master indifférencié (recherche et professionnel)</t>
        </is>
      </c>
      <c r="H173" s="25" t="inlineStr">
        <is>
          <t>Faculté des sciences de la vie</t>
        </is>
      </c>
      <c r="I173" s="25" t="inlineStr">
        <is>
          <t>Université de Strasbourg</t>
        </is>
      </c>
      <c r="J173" s="25" t="inlineStr">
        <is>
          <t>Site de Strasbourg</t>
        </is>
      </c>
      <c r="K173" s="25" t="inlineStr">
        <is>
          <t>67000 Strasbourg</t>
        </is>
      </c>
      <c r="L173" s="25" t="inlineStr">
        <is>
          <t>Public university</t>
        </is>
      </c>
      <c r="M173" s="25" t="inlineStr">
        <is>
          <t>English</t>
        </is>
      </c>
      <c r="N173" s="25" t="inlineStr">
        <is>
          <t>General</t>
        </is>
      </c>
      <c r="O173" s="25" t="inlineStr">
        <is>
          <t>Bac +4</t>
        </is>
      </c>
      <c r="P173" s="26" t="inlineStr">
        <is>
          <t>Eligible on level (4-yr BS ≈ Bac+4)</t>
        </is>
      </c>
      <c r="Q173" s="25" t="inlineStr">
        <is>
          <t>1</t>
        </is>
      </c>
      <c r="R173" s="25" t="n"/>
      <c r="S173" s="27" t="n">
        <v>3950</v>
      </c>
      <c r="T173" s="27" t="n">
        <v>255</v>
      </c>
      <c r="U173" s="25" t="n">
        <v>2</v>
      </c>
      <c r="V173" s="27">
        <f>IF(S173="","",S173*U173)</f>
        <v/>
      </c>
      <c r="W173" s="26" t="inlineStr">
        <is>
          <t>Catalogue: €3,950. = national differentiated master fee (2026-27: €3,950). Exemption to ~€255 possible (university quota).</t>
        </is>
      </c>
      <c r="X173" s="25" t="inlineStr">
        <is>
          <t>High</t>
        </is>
      </c>
      <c r="Y173" s="25" t="inlineStr">
        <is>
          <t>3950</t>
        </is>
      </c>
      <c r="Z173" s="26" t="n"/>
      <c r="AA173" s="26" t="inlineStr">
        <is>
          <t>Unistra: master entrants who did not do their licence at Unistra pay the differentiated fee (€3,950).</t>
        </is>
      </c>
      <c r="AB173" s="28" t="inlineStr">
        <is>
          <t>https://www.unistra.fr/fr/node/8168</t>
        </is>
      </c>
      <c r="AC173" s="25" t="inlineStr">
        <is>
          <t>Open</t>
        </is>
      </c>
      <c r="AD173" s="25" t="inlineStr">
        <is>
          <t>2026-10-01</t>
        </is>
      </c>
      <c r="AE173" s="25" t="inlineStr">
        <is>
          <t>2027-03-15</t>
        </is>
      </c>
      <c r="AF173" s="25" t="inlineStr">
        <is>
          <t>No</t>
        </is>
      </c>
      <c r="AG173" s="28" t="inlineStr">
        <is>
          <t>http://sciencesvie.unistra.fr/</t>
        </is>
      </c>
      <c r="AH173" s="26" t="inlineStr">
        <is>
          <t>Le parcours DMN est un parcours international de formation avancée en neuroscience organise conjointement par l’université du Manitoba (Canada) et celle de Strasbourg (France). Ce programme délivre un double diplôme de n</t>
        </is>
      </c>
      <c r="AI173" s="28" t="inlineStr">
        <is>
          <t>Open in EEF</t>
        </is>
      </c>
    </row>
    <row r="174" ht="32.8" customHeight="1" s="19">
      <c r="A174" s="25" t="n">
        <v>173</v>
      </c>
      <c r="B174" s="25" t="inlineStr">
        <is>
          <t>★★★★☆</t>
        </is>
      </c>
      <c r="C174" s="25" t="inlineStr">
        <is>
          <t>4 – Strong fit (electronics/signal/robotics/IoT/sensors)</t>
        </is>
      </c>
      <c r="D174" s="25" t="inlineStr">
        <is>
          <t>Robotics / Automation / Mechatronics</t>
        </is>
      </c>
      <c r="E174" s="26" t="inlineStr">
        <is>
          <t>Master indifférencié (recherche et professionnel) Sciences, technologies, santé mention Traitement Automatique des Langues (TAL)</t>
        </is>
      </c>
      <c r="F174" s="26" t="inlineStr">
        <is>
          <t>Science, Technology, Health (STS) – major: Processing Automation of Languages (TAL)</t>
        </is>
      </c>
      <c r="G174" s="25" t="inlineStr">
        <is>
          <t>Master indifférencié (recherche et professionnel)</t>
        </is>
      </c>
      <c r="H174" s="25" t="inlineStr">
        <is>
          <t>Institut des Sciences du Digital, Management et Cognition</t>
        </is>
      </c>
      <c r="I174" s="25" t="inlineStr">
        <is>
          <t>Université de Lorraine</t>
        </is>
      </c>
      <c r="J174" s="25" t="inlineStr">
        <is>
          <t>Site de Nancy</t>
        </is>
      </c>
      <c r="K174" s="25" t="n"/>
      <c r="L174" s="25" t="inlineStr">
        <is>
          <t>Public school / institute</t>
        </is>
      </c>
      <c r="M174" s="25" t="inlineStr">
        <is>
          <t>English</t>
        </is>
      </c>
      <c r="N174" s="25" t="inlineStr">
        <is>
          <t>Taught in English</t>
        </is>
      </c>
      <c r="O174" s="25" t="inlineStr">
        <is>
          <t>Bac +4</t>
        </is>
      </c>
      <c r="P174" s="26" t="inlineStr">
        <is>
          <t>Eligible on level (4-yr BS ≈ Bac+4)</t>
        </is>
      </c>
      <c r="Q174" s="25" t="inlineStr">
        <is>
          <t>1</t>
        </is>
      </c>
      <c r="R174" s="25" t="n"/>
      <c r="S174" s="27" t="n">
        <v>3950</v>
      </c>
      <c r="T174" s="27" t="n">
        <v>255</v>
      </c>
      <c r="U174" s="25" t="n">
        <v>2</v>
      </c>
      <c r="V174" s="27">
        <f>IF(S174="","",S174*U174)</f>
        <v/>
      </c>
      <c r="W174" s="26" t="inlineStr">
        <is>
          <t>Catalogue: €3,950. = national differentiated master fee (2026-27: €3,950). Exemption to ~€255 possible (university quota).</t>
        </is>
      </c>
      <c r="X174" s="25" t="inlineStr">
        <is>
          <t>High</t>
        </is>
      </c>
      <c r="Y174" s="25" t="inlineStr">
        <is>
          <t>3950</t>
        </is>
      </c>
      <c r="Z174" s="26" t="inlineStr">
        <is>
          <t>• Application fees for Msc 1 = 3950€ + Student Life and Campus Contribution (CVEC) whi … ch came to 105€ in 2026/2027</t>
        </is>
      </c>
      <c r="AA174" s="26" t="n"/>
      <c r="AB174" s="25" t="n"/>
      <c r="AC174" s="25" t="inlineStr">
        <is>
          <t>Open</t>
        </is>
      </c>
      <c r="AD174" s="25" t="inlineStr">
        <is>
          <t>2026-10-01</t>
        </is>
      </c>
      <c r="AE174" s="25" t="inlineStr">
        <is>
          <t>2027-03-15</t>
        </is>
      </c>
      <c r="AF174" s="25" t="inlineStr">
        <is>
          <t>No</t>
        </is>
      </c>
      <c r="AG174" s="28" t="inlineStr">
        <is>
          <t>https://idmc.univ-lorraine.fr/idmc-master-degree-in-natural-language-processing/</t>
        </is>
      </c>
      <c r="AH174" s="26" t="inlineStr">
        <is>
          <t>Deadline for transmitting the application form: ( date to be confirmed by the ambassy) Deadline for attending courses: September 01st 2027 Fluency in English required : C1 Academic qualifications : You must hold a « Bac+</t>
        </is>
      </c>
      <c r="AI174" s="28" t="inlineStr">
        <is>
          <t>Open in EEF</t>
        </is>
      </c>
    </row>
    <row r="175" ht="32.8" customHeight="1" s="19">
      <c r="A175" s="25" t="n">
        <v>174</v>
      </c>
      <c r="B175" s="25" t="inlineStr">
        <is>
          <t>★★★★☆</t>
        </is>
      </c>
      <c r="C175" s="25" t="inlineStr">
        <is>
          <t>4 – Strong fit (electronics/signal/robotics/IoT/sensors)</t>
        </is>
      </c>
      <c r="D175" s="25" t="inlineStr">
        <is>
          <t>Sensors / Instrumentation / Micro-Nano / Photonics</t>
        </is>
      </c>
      <c r="E175" s="26" t="inlineStr">
        <is>
          <t>Master indifférencié (recherche et professionnel) spécialité Physique fondamentale et applications parcours Quantum and Photonic Technologies</t>
        </is>
      </c>
      <c r="F175" s="26" t="inlineStr">
        <is>
          <t>specialisation: Physics Fundamental &amp; Applications – track: Quantum and Photonic Technologies</t>
        </is>
      </c>
      <c r="G175" s="25" t="inlineStr">
        <is>
          <t>Master indifférencié (recherche et professionnel)</t>
        </is>
      </c>
      <c r="H175" s="25" t="inlineStr">
        <is>
          <t>Faculté des sciences et technologies</t>
        </is>
      </c>
      <c r="I175" s="25" t="inlineStr">
        <is>
          <t>Université de Lille</t>
        </is>
      </c>
      <c r="J175" s="25" t="inlineStr">
        <is>
          <t>Département Physique</t>
        </is>
      </c>
      <c r="K175" s="25" t="n"/>
      <c r="L175" s="25" t="inlineStr">
        <is>
          <t>Public university</t>
        </is>
      </c>
      <c r="M175" s="25" t="inlineStr">
        <is>
          <t>English</t>
        </is>
      </c>
      <c r="N175" s="25" t="inlineStr">
        <is>
          <t>Taught in English</t>
        </is>
      </c>
      <c r="O175" s="25" t="inlineStr">
        <is>
          <t>Bac +4 / Bac +5</t>
        </is>
      </c>
      <c r="P175" s="26" t="inlineStr">
        <is>
          <t>Eligible on level (4-yr BS ≈ Bac+4)</t>
        </is>
      </c>
      <c r="Q175" s="25" t="inlineStr">
        <is>
          <t>1/2</t>
        </is>
      </c>
      <c r="R175" s="25" t="inlineStr">
        <is>
          <t>12</t>
        </is>
      </c>
      <c r="S175" s="27" t="n">
        <v>3950</v>
      </c>
      <c r="T175" s="27" t="n">
        <v>255</v>
      </c>
      <c r="U175" s="25" t="n">
        <v>2</v>
      </c>
      <c r="V175" s="27">
        <f>IF(S175="","",S175*U175)</f>
        <v/>
      </c>
      <c r="W175" s="26" t="inlineStr">
        <is>
          <t>Catalogue: €3,950. = national differentiated master fee (2026-27: €3,950). Exemption to ~€255 possible (university quota).</t>
        </is>
      </c>
      <c r="X175" s="25" t="inlineStr">
        <is>
          <t>High</t>
        </is>
      </c>
      <c r="Y175" s="25" t="inlineStr">
        <is>
          <t>3950</t>
        </is>
      </c>
      <c r="Z175" s="26" t="n"/>
      <c r="AA175" s="26" t="inlineStr">
        <is>
          <t>Lille opposed the decree; continues exemptions for part of non-EU students (master €254 if exempted). Apply for exemption early.</t>
        </is>
      </c>
      <c r="AB175" s="28" t="inlineStr">
        <is>
          <t>https://observalgerie.com/2026/06/13/misc/frais-dinscription-en-france-lille-maintient-un-avantage-pour-les-etudiants-etrangers/</t>
        </is>
      </c>
      <c r="AC175" s="25" t="inlineStr">
        <is>
          <t>Open</t>
        </is>
      </c>
      <c r="AD175" s="25" t="inlineStr">
        <is>
          <t>2026-10-01</t>
        </is>
      </c>
      <c r="AE175" s="25" t="inlineStr">
        <is>
          <t>2027-03-15</t>
        </is>
      </c>
      <c r="AF175" s="25" t="inlineStr">
        <is>
          <t>No</t>
        </is>
      </c>
      <c r="AG175" s="28" t="inlineStr">
        <is>
          <t>https://formation.univ-lille.fr/fr/offre-de-formation/master-lmd-XB/master-physique-fondamentale-et-applications-MG001988/quantum-and-photonic-technologies-m1-m2-MX195427.html</t>
        </is>
      </c>
      <c r="AH175" s="26" t="inlineStr">
        <is>
          <t>M1 : Bachelor degree in physics with courses on quantum theory, statistical physics, electromagnetism, optics, waves, thermodynamics, mechanics and mathematical tools for physics M2 : Equivalent to a first year graduate</t>
        </is>
      </c>
      <c r="AI175" s="28" t="inlineStr">
        <is>
          <t>Open in EEF</t>
        </is>
      </c>
    </row>
    <row r="176" ht="32.8" customHeight="1" s="19">
      <c r="A176" s="25" t="n">
        <v>175</v>
      </c>
      <c r="B176" s="25" t="inlineStr">
        <is>
          <t>★★★★☆</t>
        </is>
      </c>
      <c r="C176" s="25" t="inlineStr">
        <is>
          <t>4 – Strong fit (electronics/signal/robotics/IoT/sensors)</t>
        </is>
      </c>
      <c r="D176" s="25" t="inlineStr">
        <is>
          <t>Neuroscience / Neuro-engineering</t>
        </is>
      </c>
      <c r="E176" s="26" t="inlineStr">
        <is>
          <t>Master Sciences, technologies, santé, mention Neurosciences</t>
        </is>
      </c>
      <c r="F176" s="26" t="inlineStr">
        <is>
          <t>Master Science, Technology, Health (STS), – major: Neuroscience</t>
        </is>
      </c>
      <c r="G176" s="25" t="inlineStr">
        <is>
          <t>Master indifférencié (recherche et professionnel)</t>
        </is>
      </c>
      <c r="H176" s="25" t="inlineStr">
        <is>
          <t>UFR Biosciences (Biologie, Biochimie)</t>
        </is>
      </c>
      <c r="I176" s="25" t="inlineStr">
        <is>
          <t>Université Claude Bernard - Lyon 1</t>
        </is>
      </c>
      <c r="J176" s="25" t="inlineStr">
        <is>
          <t>Site de Villeurbanne</t>
        </is>
      </c>
      <c r="K176" s="25" t="n"/>
      <c r="L176" s="25" t="inlineStr">
        <is>
          <t>Public university</t>
        </is>
      </c>
      <c r="M176" s="25" t="inlineStr">
        <is>
          <t>English</t>
        </is>
      </c>
      <c r="N176" s="25" t="inlineStr">
        <is>
          <t>General</t>
        </is>
      </c>
      <c r="O176" s="25" t="inlineStr">
        <is>
          <t>Bac +4</t>
        </is>
      </c>
      <c r="P176" s="26" t="inlineStr">
        <is>
          <t>Eligible on level (4-yr BS ≈ Bac+4)</t>
        </is>
      </c>
      <c r="Q176" s="25" t="inlineStr">
        <is>
          <t>1</t>
        </is>
      </c>
      <c r="R176" s="25" t="n"/>
      <c r="S176" s="27" t="n">
        <v>3950</v>
      </c>
      <c r="T176" s="27" t="n">
        <v>255</v>
      </c>
      <c r="U176" s="25" t="n">
        <v>2</v>
      </c>
      <c r="V176" s="27">
        <f>IF(S176="","",S176*U176)</f>
        <v/>
      </c>
      <c r="W176" s="26" t="inlineStr">
        <is>
          <t>Catalogue: €3,950. = national differentiated master fee (2026-27: €3,950). Exemption to ~€255 possible (university quota).</t>
        </is>
      </c>
      <c r="X176" s="25" t="inlineStr">
        <is>
          <t>High</t>
        </is>
      </c>
      <c r="Y176" s="25" t="inlineStr">
        <is>
          <t>3950</t>
        </is>
      </c>
      <c r="Z176" s="26" t="inlineStr">
        <is>
          <t>Pour les pré-requis, consulter le site web https://masterneuro</t>
        </is>
      </c>
      <c r="AA176" s="26" t="inlineStr">
        <is>
          <t>Lyon 1: individual exemptions within the 30% quota (2026-27), apply via eCandidat.</t>
        </is>
      </c>
      <c r="AB176" s="28" t="inlineStr">
        <is>
          <t>https://www.univ-lyon1.fr/formation/inscription-et-scolarite/etudiantes-et-etudiants-internationaux-droits-dinscription-differencies-et-exonerations</t>
        </is>
      </c>
      <c r="AC176" s="25" t="inlineStr">
        <is>
          <t>Open</t>
        </is>
      </c>
      <c r="AD176" s="25" t="inlineStr">
        <is>
          <t>2026-10-01</t>
        </is>
      </c>
      <c r="AE176" s="25" t="inlineStr">
        <is>
          <t>2027-03-15</t>
        </is>
      </c>
      <c r="AF176" s="25" t="inlineStr">
        <is>
          <t>No</t>
        </is>
      </c>
      <c r="AG176" s="28" t="inlineStr">
        <is>
          <t>https://ufr-biosciences.univ-lyon1.fr</t>
        </is>
      </c>
      <c r="AH176" s="26" t="inlineStr">
        <is>
          <t>La formation est intégralement en anglais et nécessite donc la justification d'un niveau B2 en Anglais. Pour les pré-requis, consulter le site web: https://masterneuro.univ-lyon1.fr/paths/m1-main/m1-admission/ Il est ess</t>
        </is>
      </c>
      <c r="AI176" s="28" t="inlineStr">
        <is>
          <t>Open in EEF</t>
        </is>
      </c>
    </row>
    <row r="177" ht="32.8" customHeight="1" s="19">
      <c r="A177" s="25" t="n">
        <v>176</v>
      </c>
      <c r="B177" s="25" t="inlineStr">
        <is>
          <t>★★★★☆</t>
        </is>
      </c>
      <c r="C177" s="25" t="inlineStr">
        <is>
          <t>4 – Strong fit (electronics/signal/robotics/IoT/sensors)</t>
        </is>
      </c>
      <c r="D177" s="25" t="inlineStr">
        <is>
          <t>IoT / Telecom / Networks</t>
        </is>
      </c>
      <c r="E177" s="26" t="inlineStr">
        <is>
          <t>Master's degree in Telecommunications and Networks</t>
        </is>
      </c>
      <c r="F177" s="26" t="inlineStr">
        <is>
          <t>Master's degree in Telecommunications and Networks</t>
        </is>
      </c>
      <c r="G177" s="25" t="inlineStr">
        <is>
          <t>Master indifférencié (recherche et professionnel)</t>
        </is>
      </c>
      <c r="H177" s="25" t="inlineStr">
        <is>
          <t>Conservatoire national des arts et métiers - CNAM</t>
        </is>
      </c>
      <c r="I177" s="25" t="n"/>
      <c r="J177" s="25" t="inlineStr">
        <is>
          <t>Cnam Etablissement Public - EPN3 Electronics, Electrical engineering, Applied physics</t>
        </is>
      </c>
      <c r="K177" s="25" t="n"/>
      <c r="L177" s="25" t="inlineStr">
        <is>
          <t>Public school / institute</t>
        </is>
      </c>
      <c r="M177" s="25" t="inlineStr">
        <is>
          <t>English</t>
        </is>
      </c>
      <c r="N177" s="25" t="inlineStr">
        <is>
          <t>Taught in English</t>
        </is>
      </c>
      <c r="O177" s="25" t="inlineStr">
        <is>
          <t>Bac +4 / Bac +5</t>
        </is>
      </c>
      <c r="P177" s="26" t="inlineStr">
        <is>
          <t>Eligible on level (4-yr BS ≈ Bac+4)</t>
        </is>
      </c>
      <c r="Q177" s="25" t="inlineStr">
        <is>
          <t>1/2</t>
        </is>
      </c>
      <c r="R177" s="25" t="inlineStr">
        <is>
          <t>12</t>
        </is>
      </c>
      <c r="S177" s="27" t="n">
        <v>3950</v>
      </c>
      <c r="T177" s="27" t="n">
        <v>255</v>
      </c>
      <c r="U177" s="25" t="n">
        <v>2</v>
      </c>
      <c r="V177" s="27">
        <f>IF(S177="","",S177*U177)</f>
        <v/>
      </c>
      <c r="W177" s="26" t="inlineStr">
        <is>
          <t>Catalogue: €3,950. = national differentiated master fee (2026-27: €3,950). Exemption to ~€255 possible (university quota).</t>
        </is>
      </c>
      <c r="X177" s="25" t="inlineStr">
        <is>
          <t>High</t>
        </is>
      </c>
      <c r="Y177" s="25" t="inlineStr">
        <is>
          <t>3950</t>
        </is>
      </c>
      <c r="Z177" s="26" t="n"/>
      <c r="AA177" s="26" t="n"/>
      <c r="AB177" s="25" t="n"/>
      <c r="AC177" s="25" t="inlineStr">
        <is>
          <t>Open</t>
        </is>
      </c>
      <c r="AD177" s="25" t="inlineStr">
        <is>
          <t>2026-10-01</t>
        </is>
      </c>
      <c r="AE177" s="25" t="inlineStr">
        <is>
          <t>2027-03-15</t>
        </is>
      </c>
      <c r="AF177" s="25" t="inlineStr">
        <is>
          <t>Yes</t>
        </is>
      </c>
      <c r="AG177" s="28" t="inlineStr">
        <is>
          <t>https://eeap.cnam.fr</t>
        </is>
      </c>
      <c r="AH177" s="26" t="inlineStr">
        <is>
          <t>This program is aimed at graduates with a Bachelor of Science or equivalent degree obtained after 4 years' higher education in Telecommunications and Networks. Application procedure opens from early April to late June. A</t>
        </is>
      </c>
      <c r="AI177" s="28" t="inlineStr">
        <is>
          <t>Open in EEF</t>
        </is>
      </c>
    </row>
    <row r="178" ht="32.8" customHeight="1" s="19">
      <c r="A178" s="25" t="n">
        <v>177</v>
      </c>
      <c r="B178" s="25" t="inlineStr">
        <is>
          <t>★★★★☆</t>
        </is>
      </c>
      <c r="C178" s="25" t="inlineStr">
        <is>
          <t>4 – Strong fit (electronics/signal/robotics/IoT/sensors)</t>
        </is>
      </c>
      <c r="D178" s="25" t="inlineStr">
        <is>
          <t>Embedded systems / Electronics</t>
        </is>
      </c>
      <c r="E178" s="26" t="inlineStr">
        <is>
          <t>mention Nanosciences and Nanotechnologies parcours Electronic technologies for smart communicating systems</t>
        </is>
      </c>
      <c r="F178" s="26" t="inlineStr">
        <is>
          <t>major: Nanosciences and Nanotechnologies – track: Electronic Technologies for smart communicating systems</t>
        </is>
      </c>
      <c r="G178" s="25" t="inlineStr">
        <is>
          <t>Master indifférencié (recherche et professionnel)</t>
        </is>
      </c>
      <c r="H178" s="25" t="inlineStr">
        <is>
          <t>Faculté des sciences et technologies</t>
        </is>
      </c>
      <c r="I178" s="25" t="inlineStr">
        <is>
          <t>Université de Lille</t>
        </is>
      </c>
      <c r="J178" s="25" t="inlineStr">
        <is>
          <t>Département Electronique, électrotechnique et automatique</t>
        </is>
      </c>
      <c r="K178" s="25" t="n"/>
      <c r="L178" s="25" t="inlineStr">
        <is>
          <t>Public university</t>
        </is>
      </c>
      <c r="M178" s="25" t="inlineStr">
        <is>
          <t>English</t>
        </is>
      </c>
      <c r="N178" s="25" t="inlineStr">
        <is>
          <t>Taught in English</t>
        </is>
      </c>
      <c r="O178" s="25" t="inlineStr">
        <is>
          <t>Bac +4 / Bac +5</t>
        </is>
      </c>
      <c r="P178" s="26" t="inlineStr">
        <is>
          <t>Eligible on level (4-yr BS ≈ Bac+4)</t>
        </is>
      </c>
      <c r="Q178" s="25" t="inlineStr">
        <is>
          <t>1/2</t>
        </is>
      </c>
      <c r="R178" s="25" t="inlineStr">
        <is>
          <t>12</t>
        </is>
      </c>
      <c r="S178" s="27" t="n">
        <v>3950</v>
      </c>
      <c r="T178" s="27" t="n">
        <v>255</v>
      </c>
      <c r="U178" s="25" t="n">
        <v>2</v>
      </c>
      <c r="V178" s="27">
        <f>IF(S178="","",S178*U178)</f>
        <v/>
      </c>
      <c r="W178" s="26" t="inlineStr">
        <is>
          <t>Catalogue: €3,950. = national differentiated master fee (2026-27: €3,950). Exemption to ~€255 possible (university quota).</t>
        </is>
      </c>
      <c r="X178" s="25" t="inlineStr">
        <is>
          <t>High</t>
        </is>
      </c>
      <c r="Y178" s="25" t="inlineStr">
        <is>
          <t>3950</t>
        </is>
      </c>
      <c r="Z178" s="26" t="n"/>
      <c r="AA178" s="26" t="inlineStr">
        <is>
          <t>Lille opposed the decree; continues exemptions for part of non-EU students (master €254 if exempted). Apply for exemption early.</t>
        </is>
      </c>
      <c r="AB178" s="28" t="inlineStr">
        <is>
          <t>https://observalgerie.com/2026/06/13/misc/frais-dinscription-en-france-lille-maintient-un-avantage-pour-les-etudiants-etrangers/</t>
        </is>
      </c>
      <c r="AC178" s="25" t="inlineStr">
        <is>
          <t>Open</t>
        </is>
      </c>
      <c r="AD178" s="25" t="inlineStr">
        <is>
          <t>2026-10-01</t>
        </is>
      </c>
      <c r="AE178" s="25" t="inlineStr">
        <is>
          <t>2027-03-15</t>
        </is>
      </c>
      <c r="AF178" s="25" t="inlineStr">
        <is>
          <t>No</t>
        </is>
      </c>
      <c r="AG178" s="28" t="inlineStr">
        <is>
          <t>https://www.univ-lille.fr/formations/fr-00002031</t>
        </is>
      </c>
      <c r="AH178" s="26" t="inlineStr">
        <is>
          <t>Prérequis affichés aux étudiants : Bachelor in Electronic, Electrical Engineering, applied physics, physics, Engineering school. Physics of semiconductor, microelectronic, nanoelectronic, Electronic devices, circuits, mi</t>
        </is>
      </c>
      <c r="AI178" s="28" t="inlineStr">
        <is>
          <t>Open in EEF</t>
        </is>
      </c>
    </row>
    <row r="179" ht="32.8" customHeight="1" s="19">
      <c r="A179" s="25" t="n">
        <v>178</v>
      </c>
      <c r="B179" s="25" t="inlineStr">
        <is>
          <t>★★★★☆</t>
        </is>
      </c>
      <c r="C179" s="25" t="inlineStr">
        <is>
          <t>4 – Strong fit (electronics/signal/robotics/IoT/sensors)</t>
        </is>
      </c>
      <c r="D179" s="25" t="inlineStr">
        <is>
          <t>Sensors / Instrumentation / Micro-Nano / Photonics</t>
        </is>
      </c>
      <c r="E179" s="26" t="inlineStr">
        <is>
          <t>Master rech. Sciences, technologies, santé mention micro et nanotechnologies</t>
        </is>
      </c>
      <c r="F179" s="26" t="inlineStr">
        <is>
          <t>Research Master Science, Technology, Health (STS) – major: micro &amp; Nanotechnologies</t>
        </is>
      </c>
      <c r="G179" s="25" t="inlineStr">
        <is>
          <t>Master recherche</t>
        </is>
      </c>
      <c r="H179" s="25" t="inlineStr">
        <is>
          <t>Institut national des sciences appliquées de Lyon</t>
        </is>
      </c>
      <c r="I179" s="25" t="n"/>
      <c r="J179" s="25" t="inlineStr">
        <is>
          <t>Site de Villeurbanne</t>
        </is>
      </c>
      <c r="K179" s="25" t="n"/>
      <c r="L179" s="25" t="inlineStr">
        <is>
          <t>Public school / institute</t>
        </is>
      </c>
      <c r="M179" s="25" t="inlineStr">
        <is>
          <t>English</t>
        </is>
      </c>
      <c r="N179" s="25" t="inlineStr">
        <is>
          <t>General</t>
        </is>
      </c>
      <c r="O179" s="25" t="inlineStr">
        <is>
          <t>Bac +4</t>
        </is>
      </c>
      <c r="P179" s="26" t="inlineStr">
        <is>
          <t>Eligible on level (4-yr BS ≈ Bac+4)</t>
        </is>
      </c>
      <c r="Q179" s="25" t="inlineStr">
        <is>
          <t>1</t>
        </is>
      </c>
      <c r="R179" s="25" t="inlineStr">
        <is>
          <t>12</t>
        </is>
      </c>
      <c r="S179" s="27" t="n">
        <v>3950</v>
      </c>
      <c r="T179" s="27" t="n">
        <v>255</v>
      </c>
      <c r="U179" s="25" t="n">
        <v>1</v>
      </c>
      <c r="V179" s="27">
        <f>IF(S179="","",S179*U179)</f>
        <v/>
      </c>
      <c r="W179" s="26" t="inlineStr">
        <is>
          <t>Catalogue: €3,941. = national differentiated master fee (2026-27: €3,950). Exemption to ~€255 possible (university quota).</t>
        </is>
      </c>
      <c r="X179" s="25" t="inlineStr">
        <is>
          <t>High</t>
        </is>
      </c>
      <c r="Y179" s="25" t="inlineStr">
        <is>
          <t>3941</t>
        </is>
      </c>
      <c r="Z179" s="26" t="n"/>
      <c r="AA179" s="26" t="n"/>
      <c r="AB179" s="25" t="n"/>
      <c r="AC179" s="25" t="inlineStr">
        <is>
          <t>Open</t>
        </is>
      </c>
      <c r="AD179" s="25" t="inlineStr">
        <is>
          <t>2026-10-01</t>
        </is>
      </c>
      <c r="AE179" s="25" t="inlineStr">
        <is>
          <t>2027-03-15</t>
        </is>
      </c>
      <c r="AF179" s="25" t="inlineStr">
        <is>
          <t>Yes</t>
        </is>
      </c>
      <c r="AG179" s="28" t="inlineStr">
        <is>
          <t>https://www.ec-lyon.fr/formation/international-master-nanoscale-engineering</t>
        </is>
      </c>
      <c r="AH179" s="26" t="inlineStr">
        <is>
          <t>Le Master est accessible en M1 à tous les étudiants titulaires d’une Licence de Sciences et Technologies (physique, chimie, sciences des matériaux, biologie…) ou directement au niveau M2 aux élèves-ingénieurs/étudiants a</t>
        </is>
      </c>
      <c r="AI179" s="28" t="inlineStr">
        <is>
          <t>Open in EEF</t>
        </is>
      </c>
    </row>
    <row r="180" ht="32.8" customHeight="1" s="19">
      <c r="A180" s="25" t="n">
        <v>179</v>
      </c>
      <c r="B180" s="25" t="inlineStr">
        <is>
          <t>★★★★☆</t>
        </is>
      </c>
      <c r="C180" s="25" t="inlineStr">
        <is>
          <t>4 – Strong fit (electronics/signal/robotics/IoT/sensors)</t>
        </is>
      </c>
      <c r="D180" s="25" t="inlineStr">
        <is>
          <t>Sensors / Instrumentation / Micro-Nano / Photonics</t>
        </is>
      </c>
      <c r="E180" s="26" t="inlineStr">
        <is>
          <t>Master rech. Sciences, technologies, santé, mention Nanosciences Nanotechnologies</t>
        </is>
      </c>
      <c r="F180" s="26" t="inlineStr">
        <is>
          <t>Research Master Science, Technology, Health (STS), – major: Nanosciences Nanotechnologies</t>
        </is>
      </c>
      <c r="G180" s="25" t="inlineStr">
        <is>
          <t>Master recherche</t>
        </is>
      </c>
      <c r="H180" s="25" t="inlineStr">
        <is>
          <t>Institut national des sciences appliquées de Lyon</t>
        </is>
      </c>
      <c r="I180" s="25" t="n"/>
      <c r="J180" s="25" t="inlineStr">
        <is>
          <t>Site de Villeurbanne</t>
        </is>
      </c>
      <c r="K180" s="25" t="n"/>
      <c r="L180" s="25" t="inlineStr">
        <is>
          <t>Public school / institute</t>
        </is>
      </c>
      <c r="M180" s="25" t="inlineStr">
        <is>
          <t>English</t>
        </is>
      </c>
      <c r="N180" s="25" t="inlineStr">
        <is>
          <t>General</t>
        </is>
      </c>
      <c r="O180" s="25" t="inlineStr">
        <is>
          <t>Bac +4</t>
        </is>
      </c>
      <c r="P180" s="26" t="inlineStr">
        <is>
          <t>Eligible on level (4-yr BS ≈ Bac+4)</t>
        </is>
      </c>
      <c r="Q180" s="25" t="inlineStr">
        <is>
          <t>2</t>
        </is>
      </c>
      <c r="R180" s="25" t="inlineStr">
        <is>
          <t>12</t>
        </is>
      </c>
      <c r="S180" s="27" t="n">
        <v>3950</v>
      </c>
      <c r="T180" s="27" t="n">
        <v>255</v>
      </c>
      <c r="U180" s="25" t="n">
        <v>1</v>
      </c>
      <c r="V180" s="27">
        <f>IF(S180="","",S180*U180)</f>
        <v/>
      </c>
      <c r="W180" s="26" t="inlineStr">
        <is>
          <t>Catalogue: €3,941. = national differentiated master fee (2026-27: €3,950). Exemption to ~€255 possible (university quota).</t>
        </is>
      </c>
      <c r="X180" s="25" t="inlineStr">
        <is>
          <t>High</t>
        </is>
      </c>
      <c r="Y180" s="25" t="inlineStr">
        <is>
          <t>3941</t>
        </is>
      </c>
      <c r="Z180" s="26" t="n"/>
      <c r="AA180" s="26" t="n"/>
      <c r="AB180" s="25" t="n"/>
      <c r="AC180" s="25" t="inlineStr">
        <is>
          <t>Open</t>
        </is>
      </c>
      <c r="AD180" s="25" t="inlineStr">
        <is>
          <t>2026-10-01</t>
        </is>
      </c>
      <c r="AE180" s="25" t="inlineStr">
        <is>
          <t>2027-03-15</t>
        </is>
      </c>
      <c r="AF180" s="25" t="inlineStr">
        <is>
          <t>Yes</t>
        </is>
      </c>
      <c r="AG180" s="28" t="inlineStr">
        <is>
          <t>https://www.ec-lyon.fr/formation/international-master-nanoscale-engineering</t>
        </is>
      </c>
      <c r="AH180" s="26" t="inlineStr">
        <is>
          <t>Le Master est accessible en M1 à tous les étudiants titulaires d’une Licence de Sciences et Technologies (physique, chimie, sciences des matériaux, biologie…) ou directement au niveau M2 aux élèves-ingénieurs/étudiants a</t>
        </is>
      </c>
      <c r="AI180" s="28" t="inlineStr">
        <is>
          <t>Open in EEF</t>
        </is>
      </c>
    </row>
    <row r="181" ht="32.8" customHeight="1" s="19">
      <c r="A181" s="25" t="n">
        <v>180</v>
      </c>
      <c r="B181" s="25" t="inlineStr">
        <is>
          <t>★★★★☆</t>
        </is>
      </c>
      <c r="C181" s="25" t="inlineStr">
        <is>
          <t>4 – Strong fit (electronics/signal/robotics/IoT/sensors)</t>
        </is>
      </c>
      <c r="D181" s="25" t="inlineStr">
        <is>
          <t>Electrical energy</t>
        </is>
      </c>
      <c r="E181" s="26" t="inlineStr">
        <is>
          <t>International Master of Science in Electrical Engineering for Smart Grids and Buildings (SGB)</t>
        </is>
      </c>
      <c r="F181" s="26" t="inlineStr">
        <is>
          <t>International Master of Science in Electrical Engineering for Smart Grids and Buildings (SGB)</t>
        </is>
      </c>
      <c r="G181" s="25" t="inlineStr">
        <is>
          <t>Master indifférencié (recherche et professionnel)</t>
        </is>
      </c>
      <c r="H181" s="25" t="inlineStr">
        <is>
          <t>Ecole nationale supérieure de l'énergie, l'eau et l'environnement - Grenoble INP</t>
        </is>
      </c>
      <c r="I181" s="25" t="inlineStr">
        <is>
          <t>Grenoble INP</t>
        </is>
      </c>
      <c r="J181" s="25" t="inlineStr">
        <is>
          <t>Site de Grenoble</t>
        </is>
      </c>
      <c r="K181" s="25" t="n"/>
      <c r="L181" s="25" t="inlineStr">
        <is>
          <t>Public school / institute</t>
        </is>
      </c>
      <c r="M181" s="25" t="inlineStr">
        <is>
          <t>English</t>
        </is>
      </c>
      <c r="N181" s="25" t="inlineStr">
        <is>
          <t>Taught in English</t>
        </is>
      </c>
      <c r="O181" s="25" t="inlineStr">
        <is>
          <t>Bac +4 / Bac +5</t>
        </is>
      </c>
      <c r="P181" s="26" t="inlineStr">
        <is>
          <t>Eligible on level (4-yr BS ≈ Bac+4)</t>
        </is>
      </c>
      <c r="Q181" s="25" t="inlineStr">
        <is>
          <t>1/2</t>
        </is>
      </c>
      <c r="R181" s="25" t="n"/>
      <c r="S181" s="27" t="n">
        <v>3950</v>
      </c>
      <c r="T181" s="27" t="n">
        <v>255</v>
      </c>
      <c r="U181" s="25" t="n">
        <v>2</v>
      </c>
      <c r="V181" s="27">
        <f>IF(S181="","",S181*U181)</f>
        <v/>
      </c>
      <c r="W181" s="26" t="inlineStr">
        <is>
          <t>Not in catalogue. Public national master → 2026-27 differentiated fee €3,950; exemption to ~€254-255 depends on university quota (25% cap in 2027-28).</t>
        </is>
      </c>
      <c r="X181" s="25" t="inlineStr">
        <is>
          <t>Medium</t>
        </is>
      </c>
      <c r="Y181" s="25" t="n"/>
      <c r="Z181" s="26" t="n"/>
      <c r="AA181" s="26" t="inlineStr">
        <is>
          <t>UGA (incl. Grenoble INP masters): 2026-27 broad exemptions on request (pay national €254). From 2027-28 the decree caps apply; exemptions based on resources.</t>
        </is>
      </c>
      <c r="AB181" s="28" t="inlineStr">
        <is>
          <t>https://www.univ-grenoble-alpes.fr/actualites/a-la-une/actualites-universite/etudiants-internationaux-ce-que-change-le-nouveau-decret-sur-les-droits-d-inscription-a-l-uga-1775870.kjsp</t>
        </is>
      </c>
      <c r="AC181" s="25" t="inlineStr">
        <is>
          <t>Open</t>
        </is>
      </c>
      <c r="AD181" s="25" t="inlineStr">
        <is>
          <t>2026-10-01</t>
        </is>
      </c>
      <c r="AE181" s="25" t="inlineStr">
        <is>
          <t>2027-03-15</t>
        </is>
      </c>
      <c r="AF181" s="25" t="inlineStr">
        <is>
          <t>Yes</t>
        </is>
      </c>
      <c r="AG181" s="28" t="inlineStr">
        <is>
          <t>https://ense3.grenoble-inp.fr/en/study-at-ense3/masters-in-english</t>
        </is>
      </c>
      <c r="AH181" s="26" t="inlineStr">
        <is>
          <t>***PAGE CURRENTLY BEING UPDATED FOR THE 2027–2028 ACADEMIC YEAR*** Before applying, it is important to check the cost of the programme as well as the level of financial resources required for your year of study in France</t>
        </is>
      </c>
      <c r="AI181" s="28" t="inlineStr">
        <is>
          <t>Open in EEF</t>
        </is>
      </c>
    </row>
    <row r="182" ht="32.8" customHeight="1" s="19">
      <c r="A182" s="25" t="n">
        <v>181</v>
      </c>
      <c r="B182" s="25" t="inlineStr">
        <is>
          <t>★★★★☆</t>
        </is>
      </c>
      <c r="C182" s="25" t="inlineStr">
        <is>
          <t>4 – Strong fit (electronics/signal/robotics/IoT/sensors)</t>
        </is>
      </c>
      <c r="D182" s="25" t="inlineStr">
        <is>
          <t>Embedded systems / Electronics</t>
        </is>
      </c>
      <c r="E182" s="26" t="inlineStr">
        <is>
          <t>Master indifférencié (recherche et professionnel) mention Master EMIMEP : European Master for Industry in Microwave Electronics and Photonics</t>
        </is>
      </c>
      <c r="F182" s="26" t="inlineStr">
        <is>
          <t>major: Master EMIMEP : European Master for Industry in Microwave Electronics and Photonics</t>
        </is>
      </c>
      <c r="G182" s="25" t="inlineStr">
        <is>
          <t>Master indifférencié (recherche et professionnel)</t>
        </is>
      </c>
      <c r="H182" s="25" t="inlineStr">
        <is>
          <t>Faculté des Sciences et Techniques</t>
        </is>
      </c>
      <c r="I182" s="25" t="inlineStr">
        <is>
          <t>Université de Limoges</t>
        </is>
      </c>
      <c r="J182" s="25" t="inlineStr">
        <is>
          <t>Campus de la Borie Limoges</t>
        </is>
      </c>
      <c r="K182" s="25" t="n"/>
      <c r="L182" s="25" t="inlineStr">
        <is>
          <t>Public university</t>
        </is>
      </c>
      <c r="M182" s="25" t="inlineStr">
        <is>
          <t>English</t>
        </is>
      </c>
      <c r="N182" s="25" t="inlineStr">
        <is>
          <t>Taught in English</t>
        </is>
      </c>
      <c r="O182" s="25" t="inlineStr">
        <is>
          <t>Bac +4 / Bac +5</t>
        </is>
      </c>
      <c r="P182" s="26" t="inlineStr">
        <is>
          <t>Eligible on level (4-yr BS ≈ Bac+4)</t>
        </is>
      </c>
      <c r="Q182" s="25" t="inlineStr">
        <is>
          <t>1/2</t>
        </is>
      </c>
      <c r="R182" s="25" t="inlineStr">
        <is>
          <t>10</t>
        </is>
      </c>
      <c r="S182" s="27" t="n">
        <v>3950</v>
      </c>
      <c r="T182" s="27" t="n">
        <v>255</v>
      </c>
      <c r="U182" s="25" t="n">
        <v>2</v>
      </c>
      <c r="V182" s="27">
        <f>IF(S182="","",S182*U182)</f>
        <v/>
      </c>
      <c r="W182" s="26" t="inlineStr">
        <is>
          <t>Not in catalogue. Public national master → 2026-27 differentiated fee €3,950; exemption to ~€254-255 depends on university quota (25% cap in 2027-28).</t>
        </is>
      </c>
      <c r="X182" s="25" t="inlineStr">
        <is>
          <t>Medium</t>
        </is>
      </c>
      <c r="Y182" s="25" t="n"/>
      <c r="Z182" s="26" t="n"/>
      <c r="AA182" s="26" t="n"/>
      <c r="AB182" s="25" t="n"/>
      <c r="AC182" s="25" t="inlineStr">
        <is>
          <t>Open</t>
        </is>
      </c>
      <c r="AD182" s="25" t="inlineStr">
        <is>
          <t>2026-10-01</t>
        </is>
      </c>
      <c r="AE182" s="25" t="inlineStr">
        <is>
          <t>2027-03-15</t>
        </is>
      </c>
      <c r="AF182" s="25" t="inlineStr">
        <is>
          <t>Yes</t>
        </is>
      </c>
      <c r="AG182" s="28" t="inlineStr">
        <is>
          <t>https://www.erasmus-mundus.emimep.eu/</t>
        </is>
      </c>
      <c r="AH182" s="26" t="inlineStr">
        <is>
          <t>Bachelor diploma in Electronic Engineering, telecommunication engineering, or applied physics with solid bases in signal processing, electromagnetism, telecommunications, embedded systems, analogue and digital electronic</t>
        </is>
      </c>
      <c r="AI182" s="28" t="inlineStr">
        <is>
          <t>Open in EEF</t>
        </is>
      </c>
    </row>
    <row r="183" ht="32.8" customHeight="1" s="19">
      <c r="A183" s="25" t="n">
        <v>182</v>
      </c>
      <c r="B183" s="25" t="inlineStr">
        <is>
          <t>★★★★☆</t>
        </is>
      </c>
      <c r="C183" s="25" t="inlineStr">
        <is>
          <t>4 – Strong fit (electronics/signal/robotics/IoT/sensors)</t>
        </is>
      </c>
      <c r="D183" s="25" t="inlineStr">
        <is>
          <t>Sensors / Instrumentation / Micro-Nano / Photonics</t>
        </is>
      </c>
      <c r="E183" s="26" t="inlineStr">
        <is>
          <t>Master indifférencié (recherche et professionnel) mention Physique fondamentale et applications parcours Engineering Physics &amp; Advanced Photonics Technologies</t>
        </is>
      </c>
      <c r="F183" s="26" t="inlineStr">
        <is>
          <t>major: Physics Fundamental &amp; Applications – track: Engineering Physics &amp; Advanced Photonics Technologies</t>
        </is>
      </c>
      <c r="G183" s="25" t="inlineStr">
        <is>
          <t>Master indifférencié (recherche et professionnel)</t>
        </is>
      </c>
      <c r="H183" s="25" t="inlineStr">
        <is>
          <t>UFR Sciences et Techniques</t>
        </is>
      </c>
      <c r="I183" s="25" t="inlineStr">
        <is>
          <t>Université Marie et Louis Pasteur</t>
        </is>
      </c>
      <c r="J183" s="25" t="inlineStr">
        <is>
          <t>Site de Besançon</t>
        </is>
      </c>
      <c r="K183" s="25" t="inlineStr">
        <is>
          <t>25030 BESANCON CEDEX</t>
        </is>
      </c>
      <c r="L183" s="25" t="inlineStr">
        <is>
          <t>Public university</t>
        </is>
      </c>
      <c r="M183" s="25" t="inlineStr">
        <is>
          <t>English</t>
        </is>
      </c>
      <c r="N183" s="25" t="inlineStr">
        <is>
          <t>Taught in English</t>
        </is>
      </c>
      <c r="O183" s="25" t="inlineStr">
        <is>
          <t>Bac +4</t>
        </is>
      </c>
      <c r="P183" s="26" t="inlineStr">
        <is>
          <t>Eligible on level (4-yr BS ≈ Bac+4)</t>
        </is>
      </c>
      <c r="Q183" s="25" t="inlineStr">
        <is>
          <t>1</t>
        </is>
      </c>
      <c r="R183" s="25" t="inlineStr">
        <is>
          <t>12</t>
        </is>
      </c>
      <c r="S183" s="27" t="n">
        <v>3950</v>
      </c>
      <c r="T183" s="27" t="n">
        <v>255</v>
      </c>
      <c r="U183" s="25" t="n">
        <v>2</v>
      </c>
      <c r="V183" s="27">
        <f>IF(S183="","",S183*U183)</f>
        <v/>
      </c>
      <c r="W183" s="26" t="inlineStr">
        <is>
          <t>Not in catalogue. Public national master → 2026-27 differentiated fee €3,950; exemption to ~€254-255 depends on university quota (25% cap in 2027-28).</t>
        </is>
      </c>
      <c r="X183" s="25" t="inlineStr">
        <is>
          <t>Medium</t>
        </is>
      </c>
      <c r="Y183" s="25" t="n"/>
      <c r="Z183" s="26" t="n"/>
      <c r="AA183" s="26" t="inlineStr">
        <is>
          <t>UMLP: individual exemption requests assessed on personal resources.</t>
        </is>
      </c>
      <c r="AB183" s="28" t="inlineStr">
        <is>
          <t>https://www.umlp.fr/sites/default/files/2026-07-02-page-droits-differencies-vf.pdf</t>
        </is>
      </c>
      <c r="AC183" s="25" t="inlineStr">
        <is>
          <t>Open</t>
        </is>
      </c>
      <c r="AD183" s="25" t="inlineStr">
        <is>
          <t>2026-10-01</t>
        </is>
      </c>
      <c r="AE183" s="25" t="inlineStr">
        <is>
          <t>2027-03-15</t>
        </is>
      </c>
      <c r="AF183" s="25" t="inlineStr">
        <is>
          <t>No</t>
        </is>
      </c>
      <c r="AG183" s="28" t="inlineStr">
        <is>
          <t>https://taughtie.campusfrance.org/tiesearch/#/program/3551</t>
        </is>
      </c>
      <c r="AH183" s="26" t="inlineStr">
        <is>
          <t>Course in English for students holding a degree in Physics or equivalent (License, Bachelor of Sciences, Licenciatura, etc.).English level B2, or equivalent, is required. The prerequisite disciplines are general physics,</t>
        </is>
      </c>
      <c r="AI183" s="28" t="inlineStr">
        <is>
          <t>Open in EEF</t>
        </is>
      </c>
    </row>
    <row r="184" ht="32.8" customHeight="1" s="19">
      <c r="A184" s="25" t="n">
        <v>183</v>
      </c>
      <c r="B184" s="25" t="inlineStr">
        <is>
          <t>★★★★☆</t>
        </is>
      </c>
      <c r="C184" s="25" t="inlineStr">
        <is>
          <t>4 – Strong fit (electronics/signal/robotics/IoT/sensors)</t>
        </is>
      </c>
      <c r="D184" s="25" t="inlineStr">
        <is>
          <t>Sensors / Instrumentation / Micro-Nano / Photonics</t>
        </is>
      </c>
      <c r="E184" s="26" t="inlineStr">
        <is>
          <t>Master indifférencié (recherche et professionnel) Nanosciences and Nanotechnologies parcours Nanoscale and Quantum Engineering</t>
        </is>
      </c>
      <c r="F184" s="26" t="inlineStr">
        <is>
          <t>Nanosciences and Nanotechnologies – track: Nanoscale and Quantum Engineering</t>
        </is>
      </c>
      <c r="G184" s="25" t="inlineStr">
        <is>
          <t>Master indifférencié (recherche et professionnel)</t>
        </is>
      </c>
      <c r="H184" s="25" t="inlineStr">
        <is>
          <t>UFR Sciences</t>
        </is>
      </c>
      <c r="I184" s="25" t="inlineStr">
        <is>
          <t>Université d'Aix-Marseille</t>
        </is>
      </c>
      <c r="J184" s="25" t="inlineStr">
        <is>
          <t>Site de Marseille - St Jérôme</t>
        </is>
      </c>
      <c r="K184" s="25" t="n"/>
      <c r="L184" s="25" t="inlineStr">
        <is>
          <t>Public university</t>
        </is>
      </c>
      <c r="M184" s="25" t="inlineStr">
        <is>
          <t>English</t>
        </is>
      </c>
      <c r="N184" s="25" t="inlineStr">
        <is>
          <t>Taught in English</t>
        </is>
      </c>
      <c r="O184" s="25" t="inlineStr">
        <is>
          <t>Bac +4 / Bac +5</t>
        </is>
      </c>
      <c r="P184" s="26" t="inlineStr">
        <is>
          <t>Eligible on level (4-yr BS ≈ Bac+4)</t>
        </is>
      </c>
      <c r="Q184" s="25" t="inlineStr">
        <is>
          <t>1/2</t>
        </is>
      </c>
      <c r="R184" s="25" t="inlineStr">
        <is>
          <t>12</t>
        </is>
      </c>
      <c r="S184" s="27" t="n">
        <v>3950</v>
      </c>
      <c r="T184" s="27" t="n">
        <v>255</v>
      </c>
      <c r="U184" s="25" t="n">
        <v>2</v>
      </c>
      <c r="V184" s="27">
        <f>IF(S184="","",S184*U184)</f>
        <v/>
      </c>
      <c r="W184" s="26" t="inlineStr">
        <is>
          <t>Not in catalogue. Public national master → 2026-27 differentiated fee €3,950; exemption to ~€254-255 depends on university quota (25% cap in 2027-28).</t>
        </is>
      </c>
      <c r="X184" s="25" t="inlineStr">
        <is>
          <t>Medium</t>
        </is>
      </c>
      <c r="Y184" s="25" t="n"/>
      <c r="Z184" s="26" t="n"/>
      <c r="AA184" s="26" t="inlineStr">
        <is>
          <t>AMU 2026-27: limited exemptions (≈1,800 of 5,500 students) – priority to continuing students, conflict zones, excellence scholarships. New master entrants usually pay €3,950.</t>
        </is>
      </c>
      <c r="AB184" s="28" t="inlineStr">
        <is>
          <t>https://www.univ-amu.fr/fr/actualites/aix-marseille-universite-mobilise-pleinement-capacite-dexoneration-continuer-accueillir</t>
        </is>
      </c>
      <c r="AC184" s="25" t="inlineStr">
        <is>
          <t>Open</t>
        </is>
      </c>
      <c r="AD184" s="25" t="inlineStr">
        <is>
          <t>2026-10-01</t>
        </is>
      </c>
      <c r="AE184" s="25" t="inlineStr">
        <is>
          <t>2027-03-15</t>
        </is>
      </c>
      <c r="AF184" s="25" t="inlineStr">
        <is>
          <t>No</t>
        </is>
      </c>
      <c r="AG184" s="28" t="inlineStr">
        <is>
          <t>https://formations.univ-amu.fr/fr/master/5SNN/PRSNN5C3</t>
        </is>
      </c>
      <c r="AH184" s="26" t="inlineStr">
        <is>
          <t>4 important points for your application : Your application must be complete and validated by the Espace Etudes in France The faculty will review the applications The level of English required is B2 Opportunity to apply f</t>
        </is>
      </c>
      <c r="AI184" s="28" t="inlineStr">
        <is>
          <t>Open in EEF</t>
        </is>
      </c>
    </row>
    <row r="185" ht="32.8" customHeight="1" s="19">
      <c r="A185" s="25" t="n">
        <v>184</v>
      </c>
      <c r="B185" s="25" t="inlineStr">
        <is>
          <t>★★★★☆</t>
        </is>
      </c>
      <c r="C185" s="25" t="inlineStr">
        <is>
          <t>4 – Strong fit (electronics/signal/robotics/IoT/sensors)</t>
        </is>
      </c>
      <c r="D185" s="25" t="inlineStr">
        <is>
          <t>Neuroscience / Neuro-engineering</t>
        </is>
      </c>
      <c r="E185" s="26" t="inlineStr">
        <is>
          <t>Master indifférencié (recherche et professionnel) parcours IDIL - Master Integrative Neuroscience and Omics</t>
        </is>
      </c>
      <c r="F185" s="26" t="inlineStr">
        <is>
          <t>track: IDIL - Master Integrative Neuroscience and Omics</t>
        </is>
      </c>
      <c r="G185" s="25" t="inlineStr">
        <is>
          <t>Master indifférencié (recherche et professionnel)</t>
        </is>
      </c>
      <c r="H185" s="25" t="inlineStr">
        <is>
          <t>UFR des Sciences de Montpellier</t>
        </is>
      </c>
      <c r="I185" s="25" t="inlineStr">
        <is>
          <t>Université de Montpellier</t>
        </is>
      </c>
      <c r="J185" s="25" t="inlineStr">
        <is>
          <t>Site de Montpellier</t>
        </is>
      </c>
      <c r="K185" s="25" t="n"/>
      <c r="L185" s="25" t="inlineStr">
        <is>
          <t>Public university</t>
        </is>
      </c>
      <c r="M185" s="25" t="inlineStr">
        <is>
          <t>English</t>
        </is>
      </c>
      <c r="N185" s="25" t="inlineStr">
        <is>
          <t>Taught in English</t>
        </is>
      </c>
      <c r="O185" s="25" t="inlineStr">
        <is>
          <t>Bac +4 / Bac +5</t>
        </is>
      </c>
      <c r="P185" s="26" t="inlineStr">
        <is>
          <t>Eligible on level (4-yr BS ≈ Bac+4)</t>
        </is>
      </c>
      <c r="Q185" s="25" t="inlineStr">
        <is>
          <t>1/2</t>
        </is>
      </c>
      <c r="R185" s="25" t="inlineStr">
        <is>
          <t>12</t>
        </is>
      </c>
      <c r="S185" s="27" t="n">
        <v>3950</v>
      </c>
      <c r="T185" s="27" t="n">
        <v>255</v>
      </c>
      <c r="U185" s="25" t="n">
        <v>2</v>
      </c>
      <c r="V185" s="27">
        <f>IF(S185="","",S185*U185)</f>
        <v/>
      </c>
      <c r="W185" s="26" t="inlineStr">
        <is>
          <t>Not in catalogue. Public national master → 2026-27 differentiated fee €3,950; exemption to ~€254-255 depends on university quota (25% cap in 2027-28).</t>
        </is>
      </c>
      <c r="X185" s="25" t="inlineStr">
        <is>
          <t>Medium</t>
        </is>
      </c>
      <c r="Y185" s="25" t="n"/>
      <c r="Z185" s="26" t="n"/>
      <c r="AA185" s="26" t="inlineStr">
        <is>
          <t>Montpellier 2026-27: new non-EU entrants pay the differentiated fee unless individual exemption (limited).</t>
        </is>
      </c>
      <c r="AB185" s="28" t="inlineStr">
        <is>
          <t>https://www.umontpellier.fr/en/international/etudier-a-letranger/etudiants-internationaux-annee-universitaire-2026-2027/</t>
        </is>
      </c>
      <c r="AC185" s="25" t="inlineStr">
        <is>
          <t>Open</t>
        </is>
      </c>
      <c r="AD185" s="25" t="inlineStr">
        <is>
          <t>2026-10-01</t>
        </is>
      </c>
      <c r="AE185" s="25" t="inlineStr">
        <is>
          <t>2027-03-15</t>
        </is>
      </c>
      <c r="AF185" s="25" t="inlineStr">
        <is>
          <t>No</t>
        </is>
      </c>
      <c r="AG185" s="28" t="inlineStr">
        <is>
          <t>https://idil.edu.umontpellier.fr/</t>
        </is>
      </c>
      <c r="AH185" s="26" t="inlineStr">
        <is>
          <t>Conditions d’accès Diplôme de licence dans la discipline choisie IDIL Niveau d’anglais B2 minimum CV et lettre de motivation 2 lettres de soutien d’un chercheur et/ou professeur (recommandé, mais non obligatoire) Estimat</t>
        </is>
      </c>
      <c r="AI185" s="28" t="inlineStr">
        <is>
          <t>Open in EEF</t>
        </is>
      </c>
    </row>
    <row r="186" ht="32.8" customHeight="1" s="19">
      <c r="A186" s="25" t="n">
        <v>185</v>
      </c>
      <c r="B186" s="25" t="inlineStr">
        <is>
          <t>★★★★☆</t>
        </is>
      </c>
      <c r="C186" s="25" t="inlineStr">
        <is>
          <t>4 – Strong fit (electronics/signal/robotics/IoT/sensors)</t>
        </is>
      </c>
      <c r="D186" s="25" t="inlineStr">
        <is>
          <t>Biomedical / Health tech</t>
        </is>
      </c>
      <c r="E186" s="26" t="inlineStr">
        <is>
          <t>Master indifférencié (recherche et professionnel) parcours IDIL - Master Photonics &amp; Electronics Sensors for Environment &amp; Health</t>
        </is>
      </c>
      <c r="F186" s="26" t="inlineStr">
        <is>
          <t>track: IDIL - Master Photonics &amp; Electronics Sensors for Environment &amp; Health</t>
        </is>
      </c>
      <c r="G186" s="25" t="inlineStr">
        <is>
          <t>Master indifférencié (recherche et professionnel)</t>
        </is>
      </c>
      <c r="H186" s="25" t="inlineStr">
        <is>
          <t>UFR des Sciences de Montpellier</t>
        </is>
      </c>
      <c r="I186" s="25" t="inlineStr">
        <is>
          <t>Université de Montpellier</t>
        </is>
      </c>
      <c r="J186" s="25" t="inlineStr">
        <is>
          <t>Site de Montpellier</t>
        </is>
      </c>
      <c r="K186" s="25" t="n"/>
      <c r="L186" s="25" t="inlineStr">
        <is>
          <t>Public university</t>
        </is>
      </c>
      <c r="M186" s="25" t="inlineStr">
        <is>
          <t>English</t>
        </is>
      </c>
      <c r="N186" s="25" t="inlineStr">
        <is>
          <t>Taught in English</t>
        </is>
      </c>
      <c r="O186" s="25" t="inlineStr">
        <is>
          <t>Bac +4 / Bac +5</t>
        </is>
      </c>
      <c r="P186" s="26" t="inlineStr">
        <is>
          <t>Eligible on level (4-yr BS ≈ Bac+4)</t>
        </is>
      </c>
      <c r="Q186" s="25" t="inlineStr">
        <is>
          <t>1/2</t>
        </is>
      </c>
      <c r="R186" s="25" t="inlineStr">
        <is>
          <t>12</t>
        </is>
      </c>
      <c r="S186" s="27" t="n">
        <v>3950</v>
      </c>
      <c r="T186" s="27" t="n">
        <v>255</v>
      </c>
      <c r="U186" s="25" t="n">
        <v>2</v>
      </c>
      <c r="V186" s="27">
        <f>IF(S186="","",S186*U186)</f>
        <v/>
      </c>
      <c r="W186" s="26" t="inlineStr">
        <is>
          <t>Not in catalogue. Public national master → 2026-27 differentiated fee €3,950; exemption to ~€254-255 depends on university quota (25% cap in 2027-28).</t>
        </is>
      </c>
      <c r="X186" s="25" t="inlineStr">
        <is>
          <t>Medium</t>
        </is>
      </c>
      <c r="Y186" s="25" t="n"/>
      <c r="Z186" s="26" t="n"/>
      <c r="AA186" s="26" t="inlineStr">
        <is>
          <t>Montpellier 2026-27: new non-EU entrants pay the differentiated fee unless individual exemption (limited).</t>
        </is>
      </c>
      <c r="AB186" s="28" t="inlineStr">
        <is>
          <t>https://www.umontpellier.fr/en/international/etudier-a-letranger/etudiants-internationaux-annee-universitaire-2026-2027/</t>
        </is>
      </c>
      <c r="AC186" s="25" t="inlineStr">
        <is>
          <t>Open</t>
        </is>
      </c>
      <c r="AD186" s="25" t="inlineStr">
        <is>
          <t>2026-10-01</t>
        </is>
      </c>
      <c r="AE186" s="25" t="inlineStr">
        <is>
          <t>2027-03-15</t>
        </is>
      </c>
      <c r="AF186" s="25" t="inlineStr">
        <is>
          <t>No</t>
        </is>
      </c>
      <c r="AG186" s="28" t="inlineStr">
        <is>
          <t>https://idil.edu.umontpellier.fr/</t>
        </is>
      </c>
      <c r="AH186" s="26" t="inlineStr">
        <is>
          <t>Diplôme de licence dans le champ disciplinaire • Niveau d’anglais B2 minimum • CV et lettre de motivation • 2 lettres de soutien d’un chercheur et/ou professeur • Estimation du classement de l’étudiant dans sa promotion</t>
        </is>
      </c>
      <c r="AI186" s="28" t="inlineStr">
        <is>
          <t>Open in EEF</t>
        </is>
      </c>
    </row>
    <row r="187" ht="22.35" customHeight="1" s="19">
      <c r="A187" s="25" t="n">
        <v>186</v>
      </c>
      <c r="B187" s="25" t="inlineStr">
        <is>
          <t>★★★★☆</t>
        </is>
      </c>
      <c r="C187" s="25" t="inlineStr">
        <is>
          <t>4 – Strong fit (electronics/signal/robotics/IoT/sensors)</t>
        </is>
      </c>
      <c r="D187" s="25" t="inlineStr">
        <is>
          <t>Robotics / Automation / Mechatronics</t>
        </is>
      </c>
      <c r="E187" s="26" t="inlineStr">
        <is>
          <t>Master indifférencié (recherche et professionnel) parcours Master in Advanced Mechatronics</t>
        </is>
      </c>
      <c r="F187" s="26" t="inlineStr">
        <is>
          <t>track: Master in Advanced Mechatronics</t>
        </is>
      </c>
      <c r="G187" s="25" t="inlineStr">
        <is>
          <t>Master indifférencié (recherche et professionnel)</t>
        </is>
      </c>
      <c r="H187" s="25" t="inlineStr">
        <is>
          <t>Polytech Annecy-Chambéry</t>
        </is>
      </c>
      <c r="I187" s="25" t="inlineStr">
        <is>
          <t>Groupement Polytech</t>
        </is>
      </c>
      <c r="J187" s="25" t="inlineStr">
        <is>
          <t>Site d'Annecy</t>
        </is>
      </c>
      <c r="K187" s="25" t="n"/>
      <c r="L187" s="25" t="inlineStr">
        <is>
          <t>Public school / institute</t>
        </is>
      </c>
      <c r="M187" s="25" t="inlineStr">
        <is>
          <t>English</t>
        </is>
      </c>
      <c r="N187" s="25" t="inlineStr">
        <is>
          <t>Taught in English</t>
        </is>
      </c>
      <c r="O187" s="25" t="inlineStr">
        <is>
          <t>Bac +4 / Bac +5</t>
        </is>
      </c>
      <c r="P187" s="26" t="inlineStr">
        <is>
          <t>Eligible on level (4-yr BS ≈ Bac+4)</t>
        </is>
      </c>
      <c r="Q187" s="25" t="inlineStr">
        <is>
          <t>1/2</t>
        </is>
      </c>
      <c r="R187" s="25" t="inlineStr">
        <is>
          <t>10/12</t>
        </is>
      </c>
      <c r="S187" s="27" t="n">
        <v>3950</v>
      </c>
      <c r="T187" s="27" t="n">
        <v>255</v>
      </c>
      <c r="U187" s="25" t="n">
        <v>2</v>
      </c>
      <c r="V187" s="27">
        <f>IF(S187="","",S187*U187)</f>
        <v/>
      </c>
      <c r="W187" s="26" t="inlineStr">
        <is>
          <t>Not in catalogue. Public national master → 2026-27 differentiated fee €3,950; exemption to ~€254-255 depends on university quota (25% cap in 2027-28).</t>
        </is>
      </c>
      <c r="X187" s="25" t="inlineStr">
        <is>
          <t>Medium</t>
        </is>
      </c>
      <c r="Y187" s="25" t="n"/>
      <c r="Z187" s="26" t="n"/>
      <c r="AA187" s="26" t="n"/>
      <c r="AB187" s="25" t="n"/>
      <c r="AC187" s="25" t="inlineStr">
        <is>
          <t>Open</t>
        </is>
      </c>
      <c r="AD187" s="25" t="inlineStr">
        <is>
          <t>2026-10-01</t>
        </is>
      </c>
      <c r="AE187" s="25" t="inlineStr">
        <is>
          <t>2027-03-15</t>
        </is>
      </c>
      <c r="AF187" s="25" t="inlineStr">
        <is>
          <t>No</t>
        </is>
      </c>
      <c r="AG187" s="28" t="inlineStr">
        <is>
          <t>http://www.polytech.univ-smb.fr/en/programs/masters/advanced-mechatronics.html</t>
        </is>
      </c>
      <c r="AH187" s="26" t="n"/>
      <c r="AI187" s="28" t="inlineStr">
        <is>
          <t>Open in EEF</t>
        </is>
      </c>
    </row>
    <row r="188" ht="32.8" customHeight="1" s="19">
      <c r="A188" s="25" t="n">
        <v>187</v>
      </c>
      <c r="B188" s="25" t="inlineStr">
        <is>
          <t>★★★★☆</t>
        </is>
      </c>
      <c r="C188" s="25" t="inlineStr">
        <is>
          <t>4 – Strong fit (electronics/signal/robotics/IoT/sensors)</t>
        </is>
      </c>
      <c r="D188" s="25" t="inlineStr">
        <is>
          <t>Sensors / Instrumentation / Micro-Nano / Photonics</t>
        </is>
      </c>
      <c r="E188" s="26" t="inlineStr">
        <is>
          <t>Master indifférencié (recherche et professionnel) Sciences et Techniques mention Physique fondamentale et application parcours Physics, Photonics and Nanotechnology</t>
        </is>
      </c>
      <c r="F188" s="26" t="inlineStr">
        <is>
          <t>Sciences &amp; Techniques – major: Physics Fundamental &amp; Application – track: Physics, Photonics and Nanotechnology</t>
        </is>
      </c>
      <c r="G188" s="25" t="inlineStr">
        <is>
          <t>Master indifférencié (recherche et professionnel)</t>
        </is>
      </c>
      <c r="H188" s="25" t="inlineStr">
        <is>
          <t>Université Bourgogne Franche-Comté - UBFC</t>
        </is>
      </c>
      <c r="I188" s="25" t="n"/>
      <c r="J188" s="25" t="inlineStr">
        <is>
          <t>Site de Dijon</t>
        </is>
      </c>
      <c r="K188" s="25" t="n"/>
      <c r="L188" s="25" t="inlineStr">
        <is>
          <t>Public university</t>
        </is>
      </c>
      <c r="M188" s="25" t="inlineStr">
        <is>
          <t>English</t>
        </is>
      </c>
      <c r="N188" s="25" t="inlineStr">
        <is>
          <t>Taught in English</t>
        </is>
      </c>
      <c r="O188" s="25" t="inlineStr">
        <is>
          <t>Bac +4</t>
        </is>
      </c>
      <c r="P188" s="26" t="inlineStr">
        <is>
          <t>Eligible on level (4-yr BS ≈ Bac+4)</t>
        </is>
      </c>
      <c r="Q188" s="25" t="inlineStr">
        <is>
          <t>1</t>
        </is>
      </c>
      <c r="R188" s="25" t="n"/>
      <c r="S188" s="27" t="n">
        <v>3950</v>
      </c>
      <c r="T188" s="27" t="n">
        <v>255</v>
      </c>
      <c r="U188" s="25" t="n">
        <v>2</v>
      </c>
      <c r="V188" s="27">
        <f>IF(S188="","",S188*U188)</f>
        <v/>
      </c>
      <c r="W188" s="26" t="inlineStr">
        <is>
          <t>Not in catalogue. Public national master → 2026-27 differentiated fee €3,950; exemption to ~€254-255 depends on university quota (25% cap in 2027-28).</t>
        </is>
      </c>
      <c r="X188" s="25" t="inlineStr">
        <is>
          <t>Medium</t>
        </is>
      </c>
      <c r="Y188" s="25" t="n"/>
      <c r="Z188" s="26" t="n"/>
      <c r="AA188" s="26" t="n"/>
      <c r="AB188" s="25" t="n"/>
      <c r="AC188" s="25" t="inlineStr">
        <is>
          <t>Closed</t>
        </is>
      </c>
      <c r="AD188" s="25" t="n"/>
      <c r="AE188" s="25" t="n"/>
      <c r="AF188" s="25" t="inlineStr">
        <is>
          <t>Yes</t>
        </is>
      </c>
      <c r="AG188" s="25" t="n"/>
      <c r="AH188" s="26" t="n"/>
      <c r="AI188" s="28" t="inlineStr">
        <is>
          <t>Open in EEF</t>
        </is>
      </c>
    </row>
    <row r="189" ht="32.8" customHeight="1" s="19">
      <c r="A189" s="25" t="n">
        <v>188</v>
      </c>
      <c r="B189" s="25" t="inlineStr">
        <is>
          <t>★★★★☆</t>
        </is>
      </c>
      <c r="C189" s="25" t="inlineStr">
        <is>
          <t>4 – Strong fit (electronics/signal/robotics/IoT/sensors)</t>
        </is>
      </c>
      <c r="D189" s="25" t="inlineStr">
        <is>
          <t>Robotics / Automation / Mechatronics</t>
        </is>
      </c>
      <c r="E189" s="26" t="inlineStr">
        <is>
          <t>Master indifférencié (recherche et professionnel) Sciences, Technologie, Santé mention Automatique, robotique parcours Advanced robotics mechatronics and automatic control</t>
        </is>
      </c>
      <c r="F189" s="26" t="inlineStr">
        <is>
          <t>Sciences, Technology, Health – major: Automation, Robotics – track: Advanced robotics mechatronics and automatic control</t>
        </is>
      </c>
      <c r="G189" s="25" t="inlineStr">
        <is>
          <t>Master indifférencié (recherche et professionnel)</t>
        </is>
      </c>
      <c r="H189" s="25" t="inlineStr">
        <is>
          <t>UFR Sciences et Techniques</t>
        </is>
      </c>
      <c r="I189" s="25" t="inlineStr">
        <is>
          <t>Université Marie et Louis Pasteur</t>
        </is>
      </c>
      <c r="J189" s="25" t="inlineStr">
        <is>
          <t>Site de Besançon</t>
        </is>
      </c>
      <c r="K189" s="25" t="inlineStr">
        <is>
          <t>25030 BESANCON CEDEX</t>
        </is>
      </c>
      <c r="L189" s="25" t="inlineStr">
        <is>
          <t>Public university</t>
        </is>
      </c>
      <c r="M189" s="25" t="inlineStr">
        <is>
          <t>English</t>
        </is>
      </c>
      <c r="N189" s="25" t="inlineStr">
        <is>
          <t>Taught in English</t>
        </is>
      </c>
      <c r="O189" s="25" t="inlineStr">
        <is>
          <t>Bac +4</t>
        </is>
      </c>
      <c r="P189" s="26" t="inlineStr">
        <is>
          <t>Eligible on level (4-yr BS ≈ Bac+4)</t>
        </is>
      </c>
      <c r="Q189" s="25" t="inlineStr">
        <is>
          <t>1</t>
        </is>
      </c>
      <c r="R189" s="25" t="inlineStr">
        <is>
          <t>12</t>
        </is>
      </c>
      <c r="S189" s="27" t="n">
        <v>3950</v>
      </c>
      <c r="T189" s="27" t="n">
        <v>255</v>
      </c>
      <c r="U189" s="25" t="n">
        <v>2</v>
      </c>
      <c r="V189" s="27">
        <f>IF(S189="","",S189*U189)</f>
        <v/>
      </c>
      <c r="W189" s="26" t="inlineStr">
        <is>
          <t>Not in catalogue. Public national master → 2026-27 differentiated fee €3,950; exemption to ~€254-255 depends on university quota (25% cap in 2027-28).</t>
        </is>
      </c>
      <c r="X189" s="25" t="inlineStr">
        <is>
          <t>Medium</t>
        </is>
      </c>
      <c r="Y189" s="25" t="n"/>
      <c r="Z189" s="26" t="n"/>
      <c r="AA189" s="26" t="inlineStr">
        <is>
          <t>UMLP: individual exemption requests assessed on personal resources.</t>
        </is>
      </c>
      <c r="AB189" s="28" t="inlineStr">
        <is>
          <t>https://www.umlp.fr/sites/default/files/2026-07-02-page-droits-differencies-vf.pdf</t>
        </is>
      </c>
      <c r="AC189" s="25" t="inlineStr">
        <is>
          <t>Open</t>
        </is>
      </c>
      <c r="AD189" s="25" t="inlineStr">
        <is>
          <t>2026-10-01</t>
        </is>
      </c>
      <c r="AE189" s="25" t="inlineStr">
        <is>
          <t>2027-03-15</t>
        </is>
      </c>
      <c r="AF189" s="25" t="inlineStr">
        <is>
          <t>No</t>
        </is>
      </c>
      <c r="AG189" s="28" t="inlineStr">
        <is>
          <t>https://taughtie.campusfrance.org/tiesearch/#/program/3549</t>
        </is>
      </c>
      <c r="AH189" s="26" t="inlineStr">
        <is>
          <t>Bachelor in Electrical, Mechanical, Mechatronics or Control Engineering; English level equivalent to B2</t>
        </is>
      </c>
      <c r="AI189" s="28" t="inlineStr">
        <is>
          <t>Open in EEF</t>
        </is>
      </c>
    </row>
    <row r="190" ht="43.25" customHeight="1" s="19">
      <c r="A190" s="25" t="n">
        <v>189</v>
      </c>
      <c r="B190" s="25" t="inlineStr">
        <is>
          <t>★★★★☆</t>
        </is>
      </c>
      <c r="C190" s="25" t="inlineStr">
        <is>
          <t>4 – Strong fit (electronics/signal/robotics/IoT/sensors)</t>
        </is>
      </c>
      <c r="D190" s="25" t="inlineStr">
        <is>
          <t>Sensors / Instrumentation / Micro-Nano / Photonics</t>
        </is>
      </c>
      <c r="E190" s="26" t="inlineStr">
        <is>
          <t>Master indifférencié (recherche et professionnel) Sciences, Technologie, Santé mention Physique fondamentale et applications parcours Physics, Photonics and Nanotechnology (PPN)</t>
        </is>
      </c>
      <c r="F190" s="26" t="inlineStr">
        <is>
          <t>Sciences, Technology, Health – major: Physics Fundamental &amp; Applications – track: Physics, Photonics and Nanotechnology (PPN)</t>
        </is>
      </c>
      <c r="G190" s="25" t="inlineStr">
        <is>
          <t>Master indifférencié (recherche et professionnel)</t>
        </is>
      </c>
      <c r="H190" s="25" t="inlineStr">
        <is>
          <t>Université Bourgogne Franche-Comté - UBFC</t>
        </is>
      </c>
      <c r="I190" s="25" t="n"/>
      <c r="J190" s="25" t="inlineStr">
        <is>
          <t>Site de Dijon</t>
        </is>
      </c>
      <c r="K190" s="25" t="n"/>
      <c r="L190" s="25" t="inlineStr">
        <is>
          <t>Public university</t>
        </is>
      </c>
      <c r="M190" s="25" t="inlineStr">
        <is>
          <t>English</t>
        </is>
      </c>
      <c r="N190" s="25" t="inlineStr">
        <is>
          <t>Taught in English</t>
        </is>
      </c>
      <c r="O190" s="25" t="inlineStr">
        <is>
          <t>Bac +4 / Bac +5</t>
        </is>
      </c>
      <c r="P190" s="26" t="inlineStr">
        <is>
          <t>Eligible on level (4-yr BS ≈ Bac+4)</t>
        </is>
      </c>
      <c r="Q190" s="25" t="inlineStr">
        <is>
          <t>1/2</t>
        </is>
      </c>
      <c r="R190" s="25" t="n"/>
      <c r="S190" s="27" t="n">
        <v>3950</v>
      </c>
      <c r="T190" s="27" t="n">
        <v>255</v>
      </c>
      <c r="U190" s="25" t="n">
        <v>2</v>
      </c>
      <c r="V190" s="27">
        <f>IF(S190="","",S190*U190)</f>
        <v/>
      </c>
      <c r="W190" s="26" t="inlineStr">
        <is>
          <t>Not in catalogue. Public national master → 2026-27 differentiated fee €3,950; exemption to ~€254-255 depends on university quota (25% cap in 2027-28).</t>
        </is>
      </c>
      <c r="X190" s="25" t="inlineStr">
        <is>
          <t>Medium</t>
        </is>
      </c>
      <c r="Y190" s="25" t="n"/>
      <c r="Z190" s="26" t="inlineStr">
        <is>
          <t>Academic Year 2022-2023: Tuition fees : 243€ Student life contribution fees : 92€ Please follow this link for proceeding the appli … Academic Year 2022-2023: Tuition fees : 243€ Student life contribution fees : 92€</t>
        </is>
      </c>
      <c r="AA190" s="26" t="n"/>
      <c r="AB190" s="25" t="n"/>
      <c r="AC190" s="25" t="inlineStr">
        <is>
          <t>Closed</t>
        </is>
      </c>
      <c r="AD190" s="25" t="n"/>
      <c r="AE190" s="25" t="n"/>
      <c r="AF190" s="25" t="inlineStr">
        <is>
          <t>Yes</t>
        </is>
      </c>
      <c r="AG190" s="28" t="inlineStr">
        <is>
          <t>https://www.ubfc.fr/en/masters/master-ppn/</t>
        </is>
      </c>
      <c r="AH190" s="26" t="n"/>
      <c r="AI190" s="28" t="inlineStr">
        <is>
          <t>Open in EEF</t>
        </is>
      </c>
    </row>
    <row r="191" ht="32.8" customHeight="1" s="19">
      <c r="A191" s="25" t="n">
        <v>190</v>
      </c>
      <c r="B191" s="25" t="inlineStr">
        <is>
          <t>★★★★☆</t>
        </is>
      </c>
      <c r="C191" s="25" t="inlineStr">
        <is>
          <t>4 – Strong fit (electronics/signal/robotics/IoT/sensors)</t>
        </is>
      </c>
      <c r="D191" s="25" t="inlineStr">
        <is>
          <t>Embedded systems / Electronics</t>
        </is>
      </c>
      <c r="E191" s="26" t="inlineStr">
        <is>
          <t>Master indifférencié (recherche et professionnel) Sciences, Technologies, Santé mention Electronique, énergie électrique, automatique parcours Electrical Engineering and Control Systems Parcours International</t>
        </is>
      </c>
      <c r="F191" s="26" t="inlineStr">
        <is>
          <t>Science, Technology, Health (STS) – major: Electronics, Electrical Energy &amp; Automation (EEA) – track: Electrical Engineering and Control Systems – track: International</t>
        </is>
      </c>
      <c r="G191" s="25" t="inlineStr">
        <is>
          <t>Master indifférencié (recherche et professionnel)</t>
        </is>
      </c>
      <c r="H191" s="25" t="inlineStr">
        <is>
          <t>UFR de Physique, ingénierie, terre, environnement, mécanique</t>
        </is>
      </c>
      <c r="I191" s="25" t="inlineStr">
        <is>
          <t>Université de Grenoble Alpes</t>
        </is>
      </c>
      <c r="J191" s="25" t="inlineStr">
        <is>
          <t>Site de Grenoble - Polygone scientifique - GreEn-ER</t>
        </is>
      </c>
      <c r="K191" s="25" t="n"/>
      <c r="L191" s="25" t="inlineStr">
        <is>
          <t>Public university</t>
        </is>
      </c>
      <c r="M191" s="25" t="inlineStr">
        <is>
          <t>English</t>
        </is>
      </c>
      <c r="N191" s="25" t="inlineStr">
        <is>
          <t>Taught in English</t>
        </is>
      </c>
      <c r="O191" s="25" t="inlineStr">
        <is>
          <t>Bac +4</t>
        </is>
      </c>
      <c r="P191" s="26" t="inlineStr">
        <is>
          <t>Eligible on level (4-yr BS ≈ Bac+4)</t>
        </is>
      </c>
      <c r="Q191" s="25" t="inlineStr">
        <is>
          <t>1</t>
        </is>
      </c>
      <c r="R191" s="25" t="n"/>
      <c r="S191" s="27" t="n">
        <v>3950</v>
      </c>
      <c r="T191" s="27" t="n">
        <v>255</v>
      </c>
      <c r="U191" s="25" t="n">
        <v>2</v>
      </c>
      <c r="V191" s="27">
        <f>IF(S191="","",S191*U191)</f>
        <v/>
      </c>
      <c r="W191" s="26" t="inlineStr">
        <is>
          <t>Not in catalogue. Public national master → 2026-27 differentiated fee €3,950; exemption to ~€254-255 depends on university quota (25% cap in 2027-28).</t>
        </is>
      </c>
      <c r="X191" s="25" t="inlineStr">
        <is>
          <t>Medium</t>
        </is>
      </c>
      <c r="Y191" s="25" t="n"/>
      <c r="Z191" s="26" t="n"/>
      <c r="AA191" s="26" t="inlineStr">
        <is>
          <t>UGA (incl. Grenoble INP masters): 2026-27 broad exemptions on request (pay national €254). From 2027-28 the decree caps apply; exemptions based on resources.</t>
        </is>
      </c>
      <c r="AB191" s="28" t="inlineStr">
        <is>
          <t>https://www.univ-grenoble-alpes.fr/actualites/a-la-une/actualites-universite/etudiants-internationaux-ce-que-change-le-nouveau-decret-sur-les-droits-d-inscription-a-l-uga-1775870.kjsp</t>
        </is>
      </c>
      <c r="AC191" s="25" t="inlineStr">
        <is>
          <t>Open</t>
        </is>
      </c>
      <c r="AD191" s="25" t="inlineStr">
        <is>
          <t>2026-10-01</t>
        </is>
      </c>
      <c r="AE191" s="25" t="inlineStr">
        <is>
          <t>2027-03-15</t>
        </is>
      </c>
      <c r="AF191" s="25" t="inlineStr">
        <is>
          <t>No</t>
        </is>
      </c>
      <c r="AG191" s="28" t="inlineStr">
        <is>
          <t>https://formations.univ-grenoble-alpes.fr/fr/catalogue-2021/master-XB/master-electronique-energie-electrique-automatique-IFZ3DRB9/parcours-electrical-engineering-and-control-systems-1ere-annee-KVQSSM5S.html</t>
        </is>
      </c>
      <c r="AH191" s="26" t="inlineStr">
        <is>
          <t>"General requirements: - hold a M1, bachelor or equivalent degree completed after four full years of University studies; - prove an English proficiency with CEFR (B2), TOEFL (IBT 87-109), IELTS (5.5-6.5), TOEIC (785-945)</t>
        </is>
      </c>
      <c r="AI191" s="28" t="inlineStr">
        <is>
          <t>Open in EEF</t>
        </is>
      </c>
    </row>
    <row r="192" ht="43.25" customHeight="1" s="19">
      <c r="A192" s="25" t="n">
        <v>191</v>
      </c>
      <c r="B192" s="25" t="inlineStr">
        <is>
          <t>★★★★☆</t>
        </is>
      </c>
      <c r="C192" s="25" t="inlineStr">
        <is>
          <t>4 – Strong fit (electronics/signal/robotics/IoT/sensors)</t>
        </is>
      </c>
      <c r="D192" s="25" t="inlineStr">
        <is>
          <t>Embedded systems / Electronics</t>
        </is>
      </c>
      <c r="E192" s="26" t="inlineStr">
        <is>
          <t>Master indifférencié (recherche et professionnel) Sciences, technologies, santé mention Electronique, énergie électrique, automatique parcours Master of Science in Electrical Engineering for Smart Grids and Buildings (SGB)</t>
        </is>
      </c>
      <c r="F192" s="26" t="inlineStr">
        <is>
          <t>Science, Technology, Health (STS) – major: Electronics, Electrical Energy &amp; Automation (EEA) – track: Master of Science in Electrical Engineering for Smart Grids and Buildings (SGB)</t>
        </is>
      </c>
      <c r="G192" s="25" t="inlineStr">
        <is>
          <t>Master indifférencié (recherche et professionnel)</t>
        </is>
      </c>
      <c r="H192" s="25" t="inlineStr">
        <is>
          <t>Ecole nationale supérieure de l'énergie, l'eau et l'environnement - Grenoble INP</t>
        </is>
      </c>
      <c r="I192" s="25" t="inlineStr">
        <is>
          <t>Grenoble INP</t>
        </is>
      </c>
      <c r="J192" s="25" t="inlineStr">
        <is>
          <t>Site de Grenoble</t>
        </is>
      </c>
      <c r="K192" s="25" t="n"/>
      <c r="L192" s="25" t="inlineStr">
        <is>
          <t>Public school / institute</t>
        </is>
      </c>
      <c r="M192" s="25" t="inlineStr">
        <is>
          <t>English</t>
        </is>
      </c>
      <c r="N192" s="25" t="inlineStr">
        <is>
          <t>General</t>
        </is>
      </c>
      <c r="O192" s="25" t="inlineStr">
        <is>
          <t>Bac +4 / Bac +5</t>
        </is>
      </c>
      <c r="P192" s="26" t="inlineStr">
        <is>
          <t>Eligible on level (4-yr BS ≈ Bac+4)</t>
        </is>
      </c>
      <c r="Q192" s="25" t="inlineStr">
        <is>
          <t>1/2</t>
        </is>
      </c>
      <c r="R192" s="25" t="n"/>
      <c r="S192" s="27" t="n">
        <v>3950</v>
      </c>
      <c r="T192" s="27" t="n">
        <v>255</v>
      </c>
      <c r="U192" s="25" t="n">
        <v>2</v>
      </c>
      <c r="V192" s="27">
        <f>IF(S192="","",S192*U192)</f>
        <v/>
      </c>
      <c r="W192" s="26" t="inlineStr">
        <is>
          <t>Not in catalogue. Public national master → 2026-27 differentiated fee €3,950; exemption to ~€254-255 depends on university quota (25% cap in 2027-28).</t>
        </is>
      </c>
      <c r="X192" s="25" t="inlineStr">
        <is>
          <t>Medium</t>
        </is>
      </c>
      <c r="Y192" s="25" t="n"/>
      <c r="Z192" s="26" t="inlineStr">
        <is>
          <t>ropean Economic Area, Andorra or Switzerland) and for students from Quebec fees will be : €1485 per year , plus campus tax* For non EU-studen … ts fees will be : €5180 per year , plus campus tax* * Fees are indica</t>
        </is>
      </c>
      <c r="AA192" s="26" t="inlineStr">
        <is>
          <t>UGA (incl. Grenoble INP masters): 2026-27 broad exemptions on request (pay national €254). From 2027-28 the decree caps apply; exemptions based on resources.</t>
        </is>
      </c>
      <c r="AB192" s="28" t="inlineStr">
        <is>
          <t>https://www.univ-grenoble-alpes.fr/actualites/a-la-une/actualites-universite/etudiants-internationaux-ce-que-change-le-nouveau-decret-sur-les-droits-d-inscription-a-l-uga-1775870.kjsp</t>
        </is>
      </c>
      <c r="AC192" s="25" t="inlineStr">
        <is>
          <t>Open</t>
        </is>
      </c>
      <c r="AD192" s="25" t="inlineStr">
        <is>
          <t>2026-10-01</t>
        </is>
      </c>
      <c r="AE192" s="25" t="inlineStr">
        <is>
          <t>2027-03-15</t>
        </is>
      </c>
      <c r="AF192" s="25" t="inlineStr">
        <is>
          <t>Yes</t>
        </is>
      </c>
      <c r="AG192" s="28" t="inlineStr">
        <is>
          <t>https://ense3.grenoble-inp.fr/en/study-at-ense3/masters-in-english</t>
        </is>
      </c>
      <c r="AH192" s="26" t="inlineStr">
        <is>
          <t>***PAGE CURRENTLY BEING UPDATED FOR THE 2027–2028 ACADEMIC YEAR*** Before applying, it is important to check the cost of the programme as well as the level of financial resources required for your year of study in France</t>
        </is>
      </c>
      <c r="AI192" s="28" t="inlineStr">
        <is>
          <t>Open in EEF</t>
        </is>
      </c>
    </row>
    <row r="193" ht="32.8" customHeight="1" s="19">
      <c r="A193" s="25" t="n">
        <v>192</v>
      </c>
      <c r="B193" s="25" t="inlineStr">
        <is>
          <t>★★★★☆</t>
        </is>
      </c>
      <c r="C193" s="25" t="inlineStr">
        <is>
          <t>4 – Strong fit (electronics/signal/robotics/IoT/sensors)</t>
        </is>
      </c>
      <c r="D193" s="25" t="inlineStr">
        <is>
          <t>Embedded systems / Electronics</t>
        </is>
      </c>
      <c r="E193" s="26" t="inlineStr">
        <is>
          <t>Master indifférencié (recherche et professionnel) Sciences, technologies, santé mention Electronique, Energie électrique, Automatique parcours Robotique</t>
        </is>
      </c>
      <c r="F193" s="26" t="inlineStr">
        <is>
          <t>Science, Technology, Health (STS) – major: Electronics, Electrical Energy &amp; Automation (EEA) – track: Robotics</t>
        </is>
      </c>
      <c r="G193" s="25" t="inlineStr">
        <is>
          <t>Master indifférencié (recherche et professionnel)</t>
        </is>
      </c>
      <c r="H193" s="25" t="inlineStr">
        <is>
          <t>UFR des Sciences de Montpellier</t>
        </is>
      </c>
      <c r="I193" s="25" t="inlineStr">
        <is>
          <t>Université de Montpellier</t>
        </is>
      </c>
      <c r="J193" s="25" t="inlineStr">
        <is>
          <t>Site de Montpellier</t>
        </is>
      </c>
      <c r="K193" s="25" t="n"/>
      <c r="L193" s="25" t="inlineStr">
        <is>
          <t>Public university</t>
        </is>
      </c>
      <c r="M193" s="25" t="inlineStr">
        <is>
          <t>English</t>
        </is>
      </c>
      <c r="N193" s="25" t="inlineStr">
        <is>
          <t>General</t>
        </is>
      </c>
      <c r="O193" s="25" t="inlineStr">
        <is>
          <t>Bac +4 / Bac +5</t>
        </is>
      </c>
      <c r="P193" s="26" t="inlineStr">
        <is>
          <t>Eligible on level (4-yr BS ≈ Bac+4)</t>
        </is>
      </c>
      <c r="Q193" s="25" t="inlineStr">
        <is>
          <t>1/2</t>
        </is>
      </c>
      <c r="R193" s="25" t="n"/>
      <c r="S193" s="27" t="n">
        <v>3950</v>
      </c>
      <c r="T193" s="27" t="n">
        <v>255</v>
      </c>
      <c r="U193" s="25" t="n">
        <v>2</v>
      </c>
      <c r="V193" s="27">
        <f>IF(S193="","",S193*U193)</f>
        <v/>
      </c>
      <c r="W193" s="26" t="inlineStr">
        <is>
          <t>Not in catalogue. Public national master → 2026-27 differentiated fee €3,950; exemption to ~€254-255 depends on university quota (25% cap in 2027-28).</t>
        </is>
      </c>
      <c r="X193" s="25" t="inlineStr">
        <is>
          <t>Medium</t>
        </is>
      </c>
      <c r="Y193" s="25" t="n"/>
      <c r="Z193" s="26" t="n"/>
      <c r="AA193" s="26" t="inlineStr">
        <is>
          <t>Montpellier 2026-27: new non-EU entrants pay the differentiated fee unless individual exemption (limited).</t>
        </is>
      </c>
      <c r="AB193" s="28" t="inlineStr">
        <is>
          <t>https://www.umontpellier.fr/en/international/etudier-a-letranger/etudiants-internationaux-annee-universitaire-2026-2027/</t>
        </is>
      </c>
      <c r="AC193" s="25" t="inlineStr">
        <is>
          <t>Open</t>
        </is>
      </c>
      <c r="AD193" s="25" t="inlineStr">
        <is>
          <t>2026-10-01</t>
        </is>
      </c>
      <c r="AE193" s="25" t="inlineStr">
        <is>
          <t>2027-03-15</t>
        </is>
      </c>
      <c r="AF193" s="25" t="inlineStr">
        <is>
          <t>No</t>
        </is>
      </c>
      <c r="AG193" s="28" t="inlineStr">
        <is>
          <t>http://www.eea.univ-montp2.fr/?-Robotique-Automatique-</t>
        </is>
      </c>
      <c r="AH193" s="26" t="inlineStr">
        <is>
          <t>Description: second year master in Robotics - one year course taught in English Requirements: At least four years of university studies (equivalent of 240 ECTS), in a field related to Robotics, such as: • Mechatronics •</t>
        </is>
      </c>
      <c r="AI193" s="28" t="inlineStr">
        <is>
          <t>Open in EEF</t>
        </is>
      </c>
    </row>
    <row r="194" ht="32.8" customHeight="1" s="19">
      <c r="A194" s="25" t="n">
        <v>193</v>
      </c>
      <c r="B194" s="25" t="inlineStr">
        <is>
          <t>★★★★☆</t>
        </is>
      </c>
      <c r="C194" s="25" t="inlineStr">
        <is>
          <t>4 – Strong fit (electronics/signal/robotics/IoT/sensors)</t>
        </is>
      </c>
      <c r="D194" s="25" t="inlineStr">
        <is>
          <t>Sensors / Instrumentation / Micro-Nano / Photonics</t>
        </is>
      </c>
      <c r="E194" s="26" t="inlineStr">
        <is>
          <t>Master indifférencié (recherche et professionnel) Sciences, Technologies, Santé mention Nanosciences et nanotechnologies parcours Nanophysics - Quantum Physics Parcours International</t>
        </is>
      </c>
      <c r="F194" s="26" t="inlineStr">
        <is>
          <t>Science, Technology, Health (STS) – major: Nanosciences &amp; Nanotechnologies – track: Nanophysics - Quantum Physics – track: International</t>
        </is>
      </c>
      <c r="G194" s="25" t="inlineStr">
        <is>
          <t>Master indifférencié (recherche et professionnel)</t>
        </is>
      </c>
      <c r="H194" s="25" t="inlineStr">
        <is>
          <t>UFR de Physique, ingénierie, terre, environnement, mécanique</t>
        </is>
      </c>
      <c r="I194" s="25" t="inlineStr">
        <is>
          <t>Université de Grenoble Alpes</t>
        </is>
      </c>
      <c r="J194" s="25" t="inlineStr">
        <is>
          <t>Site de Grenoble - Campus de Saint Martin d'Hères</t>
        </is>
      </c>
      <c r="K194" s="25" t="n"/>
      <c r="L194" s="25" t="inlineStr">
        <is>
          <t>Public university</t>
        </is>
      </c>
      <c r="M194" s="25" t="inlineStr">
        <is>
          <t>English</t>
        </is>
      </c>
      <c r="N194" s="25" t="inlineStr">
        <is>
          <t>Taught in English</t>
        </is>
      </c>
      <c r="O194" s="25" t="inlineStr">
        <is>
          <t>Bac +4 / Bac +5</t>
        </is>
      </c>
      <c r="P194" s="26" t="inlineStr">
        <is>
          <t>Eligible on level (4-yr BS ≈ Bac+4)</t>
        </is>
      </c>
      <c r="Q194" s="25" t="inlineStr">
        <is>
          <t>1/2</t>
        </is>
      </c>
      <c r="R194" s="25" t="n"/>
      <c r="S194" s="27" t="n">
        <v>3950</v>
      </c>
      <c r="T194" s="27" t="n">
        <v>255</v>
      </c>
      <c r="U194" s="25" t="n">
        <v>2</v>
      </c>
      <c r="V194" s="27">
        <f>IF(S194="","",S194*U194)</f>
        <v/>
      </c>
      <c r="W194" s="26" t="inlineStr">
        <is>
          <t>Not in catalogue. Public national master → 2026-27 differentiated fee €3,950; exemption to ~€254-255 depends on university quota (25% cap in 2027-28).</t>
        </is>
      </c>
      <c r="X194" s="25" t="inlineStr">
        <is>
          <t>Medium</t>
        </is>
      </c>
      <c r="Y194" s="25" t="n"/>
      <c r="Z194" s="26" t="n"/>
      <c r="AA194" s="26" t="inlineStr">
        <is>
          <t>UGA (incl. Grenoble INP masters): 2026-27 broad exemptions on request (pay national €254). From 2027-28 the decree caps apply; exemptions based on resources.</t>
        </is>
      </c>
      <c r="AB194" s="28" t="inlineStr">
        <is>
          <t>https://www.univ-grenoble-alpes.fr/actualites/a-la-une/actualites-universite/etudiants-internationaux-ce-que-change-le-nouveau-decret-sur-les-droits-d-inscription-a-l-uga-1775870.kjsp</t>
        </is>
      </c>
      <c r="AC194" s="25" t="inlineStr">
        <is>
          <t>Open</t>
        </is>
      </c>
      <c r="AD194" s="25" t="inlineStr">
        <is>
          <t>2026-10-01</t>
        </is>
      </c>
      <c r="AE194" s="25" t="inlineStr">
        <is>
          <t>2027-03-15</t>
        </is>
      </c>
      <c r="AF194" s="25" t="inlineStr">
        <is>
          <t>No</t>
        </is>
      </c>
      <c r="AG194" s="28" t="inlineStr">
        <is>
          <t>https://formations.univ-grenoble-alpes.fr/fr/catalogue-2021/master-XB/master-nanosciences-et-nanotechnologies-IAQK78RT/parcours-nanophysics-quantum-physics-1re-annee-KLQGAWF7.html</t>
        </is>
      </c>
      <c r="AH194" s="26" t="inlineStr">
        <is>
          <t>"The program is open to students who will have completed a Bachelor in physics, nanoscience, or physical-chemistry (with at least 180 ECTS) and containing general courses in physics, but also dedicated courses in quantum</t>
        </is>
      </c>
      <c r="AI194" s="28" t="inlineStr">
        <is>
          <t>Open in EEF</t>
        </is>
      </c>
    </row>
    <row r="195" ht="32.8" customHeight="1" s="19">
      <c r="A195" s="25" t="n">
        <v>194</v>
      </c>
      <c r="B195" s="25" t="inlineStr">
        <is>
          <t>★★★★☆</t>
        </is>
      </c>
      <c r="C195" s="25" t="inlineStr">
        <is>
          <t>4 – Strong fit (electronics/signal/robotics/IoT/sensors)</t>
        </is>
      </c>
      <c r="D195" s="25" t="inlineStr">
        <is>
          <t>Sensors / Instrumentation / Micro-Nano / Photonics</t>
        </is>
      </c>
      <c r="E195" s="26" t="inlineStr">
        <is>
          <t>Master indifférencié (recherche et professionnel) Sciences, Technologies, Santé mention Nanosciences et nanotechnologies parcours Physics of Complex Matter Parcours International</t>
        </is>
      </c>
      <c r="F195" s="26" t="inlineStr">
        <is>
          <t>Science, Technology, Health (STS) – major: Nanosciences &amp; Nanotechnologies – track: Physics of Complex Matter – track: International</t>
        </is>
      </c>
      <c r="G195" s="25" t="inlineStr">
        <is>
          <t>Master indifférencié (recherche et professionnel)</t>
        </is>
      </c>
      <c r="H195" s="25" t="inlineStr">
        <is>
          <t>UFR de Physique, ingénierie, terre, environnement, mécanique</t>
        </is>
      </c>
      <c r="I195" s="25" t="inlineStr">
        <is>
          <t>Université de Grenoble Alpes</t>
        </is>
      </c>
      <c r="J195" s="25" t="inlineStr">
        <is>
          <t>Site de Grenoble - Campus de Saint Martin d'Hères</t>
        </is>
      </c>
      <c r="K195" s="25" t="n"/>
      <c r="L195" s="25" t="inlineStr">
        <is>
          <t>Public university</t>
        </is>
      </c>
      <c r="M195" s="25" t="inlineStr">
        <is>
          <t>English</t>
        </is>
      </c>
      <c r="N195" s="25" t="inlineStr">
        <is>
          <t>Taught in English</t>
        </is>
      </c>
      <c r="O195" s="25" t="inlineStr">
        <is>
          <t>Bac +4 / Bac +5</t>
        </is>
      </c>
      <c r="P195" s="26" t="inlineStr">
        <is>
          <t>Eligible on level (4-yr BS ≈ Bac+4)</t>
        </is>
      </c>
      <c r="Q195" s="25" t="inlineStr">
        <is>
          <t>1/2</t>
        </is>
      </c>
      <c r="R195" s="25" t="n"/>
      <c r="S195" s="27" t="n">
        <v>3950</v>
      </c>
      <c r="T195" s="27" t="n">
        <v>255</v>
      </c>
      <c r="U195" s="25" t="n">
        <v>2</v>
      </c>
      <c r="V195" s="27">
        <f>IF(S195="","",S195*U195)</f>
        <v/>
      </c>
      <c r="W195" s="26" t="inlineStr">
        <is>
          <t>Not in catalogue. Public national master → 2026-27 differentiated fee €3,950; exemption to ~€254-255 depends on university quota (25% cap in 2027-28).</t>
        </is>
      </c>
      <c r="X195" s="25" t="inlineStr">
        <is>
          <t>Medium</t>
        </is>
      </c>
      <c r="Y195" s="25" t="n"/>
      <c r="Z195" s="26" t="n"/>
      <c r="AA195" s="26" t="inlineStr">
        <is>
          <t>UGA (incl. Grenoble INP masters): 2026-27 broad exemptions on request (pay national €254). From 2027-28 the decree caps apply; exemptions based on resources.</t>
        </is>
      </c>
      <c r="AB195" s="28" t="inlineStr">
        <is>
          <t>https://www.univ-grenoble-alpes.fr/actualites/a-la-une/actualites-universite/etudiants-internationaux-ce-que-change-le-nouveau-decret-sur-les-droits-d-inscription-a-l-uga-1775870.kjsp</t>
        </is>
      </c>
      <c r="AC195" s="25" t="inlineStr">
        <is>
          <t>Open</t>
        </is>
      </c>
      <c r="AD195" s="25" t="inlineStr">
        <is>
          <t>2026-10-01</t>
        </is>
      </c>
      <c r="AE195" s="25" t="inlineStr">
        <is>
          <t>2027-03-15</t>
        </is>
      </c>
      <c r="AF195" s="25" t="inlineStr">
        <is>
          <t>No</t>
        </is>
      </c>
      <c r="AG195" s="28" t="inlineStr">
        <is>
          <t>https://formations.univ-grenoble-alpes.fr/fr/catalogue-2021/master-XB/master-nanosciences-et-nanotechnologies-IAQK78RT/parcours-physics-of-complex-matter-parcours-international-1re-annee-IATOD7FB.html</t>
        </is>
      </c>
      <c r="AH195" s="26" t="inlineStr">
        <is>
          <t>M1 : Students who will have completed at a good level by the end of the current academic year a bachelor program (e.g. at least 180 ECTS) in Physics, Physical chemistry, Engineering (Chemical, mechanical, or nanotechnolo</t>
        </is>
      </c>
      <c r="AI195" s="28" t="inlineStr">
        <is>
          <t>Open in EEF</t>
        </is>
      </c>
    </row>
    <row r="196" ht="43.25" customHeight="1" s="19">
      <c r="A196" s="25" t="n">
        <v>195</v>
      </c>
      <c r="B196" s="25" t="inlineStr">
        <is>
          <t>★★★★☆</t>
        </is>
      </c>
      <c r="C196" s="25" t="inlineStr">
        <is>
          <t>4 – Strong fit (electronics/signal/robotics/IoT/sensors)</t>
        </is>
      </c>
      <c r="D196" s="25" t="inlineStr">
        <is>
          <t>Sensors / Instrumentation / Micro-Nano / Photonics</t>
        </is>
      </c>
      <c r="E196" s="26" t="inlineStr">
        <is>
          <t>Master indifférencié (recherche et professionnel) Sciences, technologies, santé mention nanosciences, nanotechnologies parcours NanoMédecine Biologie Structurale</t>
        </is>
      </c>
      <c r="F196" s="26" t="inlineStr">
        <is>
          <t>Science, Technology, Health (STS) – major: Nanosciences, Nanotechnologies – track: NanoMédecine Biology Structural</t>
        </is>
      </c>
      <c r="G196" s="25" t="inlineStr">
        <is>
          <t>Master indifférencié (recherche et professionnel)</t>
        </is>
      </c>
      <c r="H196" s="25" t="inlineStr">
        <is>
          <t>Ecole nationale supérieure de physique, électronique, matériaux - Grenoble INP</t>
        </is>
      </c>
      <c r="I196" s="25" t="inlineStr">
        <is>
          <t>Grenoble INP</t>
        </is>
      </c>
      <c r="J196" s="25" t="inlineStr">
        <is>
          <t>Site de Grenoble</t>
        </is>
      </c>
      <c r="K196" s="25" t="n"/>
      <c r="L196" s="25" t="inlineStr">
        <is>
          <t>Public school / institute</t>
        </is>
      </c>
      <c r="M196" s="25" t="inlineStr">
        <is>
          <t>English</t>
        </is>
      </c>
      <c r="N196" s="25" t="inlineStr">
        <is>
          <t>General</t>
        </is>
      </c>
      <c r="O196" s="25" t="inlineStr">
        <is>
          <t>Bac +4 / Bac +5</t>
        </is>
      </c>
      <c r="P196" s="26" t="inlineStr">
        <is>
          <t>Eligible on level (4-yr BS ≈ Bac+4)</t>
        </is>
      </c>
      <c r="Q196" s="25" t="inlineStr">
        <is>
          <t>1/2</t>
        </is>
      </c>
      <c r="R196" s="25" t="n"/>
      <c r="S196" s="27" t="n">
        <v>3950</v>
      </c>
      <c r="T196" s="27" t="n">
        <v>255</v>
      </c>
      <c r="U196" s="25" t="n">
        <v>2</v>
      </c>
      <c r="V196" s="27">
        <f>IF(S196="","",S196*U196)</f>
        <v/>
      </c>
      <c r="W196" s="26" t="inlineStr">
        <is>
          <t>Not in catalogue. Public national master → 2026-27 differentiated fee €3,950; exemption to ~€254-255 depends on university quota (25% cap in 2027-28).</t>
        </is>
      </c>
      <c r="X196" s="25" t="inlineStr">
        <is>
          <t>Medium</t>
        </is>
      </c>
      <c r="Y196" s="25" t="n"/>
      <c r="Z196" s="26" t="inlineStr">
        <is>
          <t>As a reference, for the 2026–2027 academic year, these fees amounted to €3,950 per year, subject to change based on the pol … To cover living expenses (housing, food, other essentials), a minimum monthly budget of €650</t>
        </is>
      </c>
      <c r="AA196" s="26" t="inlineStr">
        <is>
          <t>UGA (incl. Grenoble INP masters): 2026-27 broad exemptions on request (pay national €254). From 2027-28 the decree caps apply; exemptions based on resources.</t>
        </is>
      </c>
      <c r="AB196" s="28" t="inlineStr">
        <is>
          <t>https://www.univ-grenoble-alpes.fr/actualites/a-la-une/actualites-universite/etudiants-internationaux-ce-que-change-le-nouveau-decret-sur-les-droits-d-inscription-a-l-uga-1775870.kjsp</t>
        </is>
      </c>
      <c r="AC196" s="25" t="inlineStr">
        <is>
          <t>Open</t>
        </is>
      </c>
      <c r="AD196" s="25" t="inlineStr">
        <is>
          <t>2026-10-01</t>
        </is>
      </c>
      <c r="AE196" s="25" t="inlineStr">
        <is>
          <t>2027-03-15</t>
        </is>
      </c>
      <c r="AF196" s="25" t="inlineStr">
        <is>
          <t>Yes</t>
        </is>
      </c>
      <c r="AG196" s="28" t="inlineStr">
        <is>
          <t>https://phelma.grenoble-inp.fr/fr/formation/master-nanosciences-and-nanotechnologies-parcours-nanomedicine-and-structural-biology#page-presentation</t>
        </is>
      </c>
      <c r="AH196" s="26" t="inlineStr">
        <is>
          <t>***PAGE EN COURS D'ACTUALISATION POUR LA RENTREE UNIVERSITAIRE 2027- 2028 **** (PAGE CURRENTLY BEING UPDATED FOR THE 2027–2028 ACADEMIC YEAR) Avant de candidater, il est important de vérifier le coût de la formation et l</t>
        </is>
      </c>
      <c r="AI196" s="28" t="inlineStr">
        <is>
          <t>Open in EEF</t>
        </is>
      </c>
    </row>
    <row r="197" ht="32.8" customHeight="1" s="19">
      <c r="A197" s="25" t="n">
        <v>196</v>
      </c>
      <c r="B197" s="25" t="inlineStr">
        <is>
          <t>★★★★☆</t>
        </is>
      </c>
      <c r="C197" s="25" t="inlineStr">
        <is>
          <t>4 – Strong fit (electronics/signal/robotics/IoT/sensors)</t>
        </is>
      </c>
      <c r="D197" s="25" t="inlineStr">
        <is>
          <t>Neuroscience / Neuro-engineering</t>
        </is>
      </c>
      <c r="E197" s="26" t="inlineStr">
        <is>
          <t>Master indifférencié (recherche et professionnel) Sciences, technologies, santé mention Neurosciences parcours EMN-Online (euro-mediterranean master in neurosciences and biotechnology)</t>
        </is>
      </c>
      <c r="F197" s="26" t="inlineStr">
        <is>
          <t>Science, Technology, Health (STS) – major: Neuroscience – track: EMN-Online (euro-mediterranean master in Neuroscience and biotechnology)</t>
        </is>
      </c>
      <c r="G197" s="25" t="inlineStr">
        <is>
          <t>Master indifférencié (recherche et professionnel)</t>
        </is>
      </c>
      <c r="H197" s="25" t="inlineStr">
        <is>
          <t>Unité de formation de biologie</t>
        </is>
      </c>
      <c r="I197" s="25" t="inlineStr">
        <is>
          <t>Université de Bordeaux</t>
        </is>
      </c>
      <c r="J197" s="25" t="inlineStr">
        <is>
          <t>Site de Talence</t>
        </is>
      </c>
      <c r="K197" s="25" t="n"/>
      <c r="L197" s="25" t="inlineStr">
        <is>
          <t>Public university</t>
        </is>
      </c>
      <c r="M197" s="25" t="inlineStr">
        <is>
          <t>English</t>
        </is>
      </c>
      <c r="N197" s="25" t="inlineStr">
        <is>
          <t>General</t>
        </is>
      </c>
      <c r="O197" s="25" t="inlineStr">
        <is>
          <t>Bac +4 / Bac +5</t>
        </is>
      </c>
      <c r="P197" s="26" t="inlineStr">
        <is>
          <t>Eligible on level (4-yr BS ≈ Bac+4)</t>
        </is>
      </c>
      <c r="Q197" s="25" t="inlineStr">
        <is>
          <t>1/2</t>
        </is>
      </c>
      <c r="R197" s="25" t="n"/>
      <c r="S197" s="27" t="n">
        <v>3950</v>
      </c>
      <c r="T197" s="27" t="n">
        <v>255</v>
      </c>
      <c r="U197" s="25" t="n">
        <v>2</v>
      </c>
      <c r="V197" s="27">
        <f>IF(S197="","",S197*U197)</f>
        <v/>
      </c>
      <c r="W197" s="26" t="inlineStr">
        <is>
          <t>Not in catalogue. Public national master → 2026-27 differentiated fee €3,950; exemption to ~€254-255 depends on university quota (25% cap in 2027-28).</t>
        </is>
      </c>
      <c r="X197" s="25" t="inlineStr">
        <is>
          <t>Medium</t>
        </is>
      </c>
      <c r="Y197" s="25" t="n"/>
      <c r="Z197" s="26" t="n"/>
      <c r="AA197" s="26" t="n"/>
      <c r="AB197" s="25" t="n"/>
      <c r="AC197" s="25" t="inlineStr">
        <is>
          <t>Open</t>
        </is>
      </c>
      <c r="AD197" s="25" t="inlineStr">
        <is>
          <t>2026-10-01</t>
        </is>
      </c>
      <c r="AE197" s="25" t="inlineStr">
        <is>
          <t>2027-03-15</t>
        </is>
      </c>
      <c r="AF197" s="25" t="inlineStr">
        <is>
          <t>No</t>
        </is>
      </c>
      <c r="AG197" s="28" t="inlineStr">
        <is>
          <t>https://formations.u-bordeaux.fr/#/details-formation?type=formation&amp;id=131</t>
        </is>
      </c>
      <c r="AH197" s="26" t="n"/>
      <c r="AI197" s="28" t="inlineStr">
        <is>
          <t>Open in EEF</t>
        </is>
      </c>
    </row>
    <row r="198" ht="32.8" customHeight="1" s="19">
      <c r="A198" s="25" t="n">
        <v>197</v>
      </c>
      <c r="B198" s="25" t="inlineStr">
        <is>
          <t>★★★★☆</t>
        </is>
      </c>
      <c r="C198" s="25" t="inlineStr">
        <is>
          <t>4 – Strong fit (electronics/signal/robotics/IoT/sensors)</t>
        </is>
      </c>
      <c r="D198" s="25" t="inlineStr">
        <is>
          <t>Neuroscience / Neuro-engineering</t>
        </is>
      </c>
      <c r="E198" s="26" t="inlineStr">
        <is>
          <t>Master indifférencié (recherche et professionnel) Sciences, technologies, santé mention sciences du vivant parcours MemBioMed - From Membrane Biology to Neuroscience and Experimental Medicine</t>
        </is>
      </c>
      <c r="F198" s="26" t="inlineStr">
        <is>
          <t>Science, Technology, Health (STS) – major: Sciences of Life – track: MemBioMed - From Membrane Biology to Neuroscience and Experimental Medicine</t>
        </is>
      </c>
      <c r="G198" s="25" t="inlineStr">
        <is>
          <t>Master indifférencié (recherche et professionnel)</t>
        </is>
      </c>
      <c r="H198" s="25" t="inlineStr">
        <is>
          <t>Sciences</t>
        </is>
      </c>
      <c r="I198" s="25" t="inlineStr">
        <is>
          <t>Université Côte d'Azur</t>
        </is>
      </c>
      <c r="J198" s="25" t="inlineStr">
        <is>
          <t>Site de Nice</t>
        </is>
      </c>
      <c r="K198" s="25" t="n"/>
      <c r="L198" s="25" t="inlineStr">
        <is>
          <t>Public university</t>
        </is>
      </c>
      <c r="M198" s="25" t="inlineStr">
        <is>
          <t>English</t>
        </is>
      </c>
      <c r="N198" s="25" t="inlineStr">
        <is>
          <t>General</t>
        </is>
      </c>
      <c r="O198" s="25" t="inlineStr">
        <is>
          <t>Bac +3</t>
        </is>
      </c>
      <c r="P198" s="26" t="inlineStr">
        <is>
          <t>Eligible on level (4-yr BS ≈ Bac+4)</t>
        </is>
      </c>
      <c r="Q198" s="25" t="inlineStr">
        <is>
          <t>1</t>
        </is>
      </c>
      <c r="R198" s="25" t="n"/>
      <c r="S198" s="27" t="n">
        <v>3950</v>
      </c>
      <c r="T198" s="27" t="n">
        <v>255</v>
      </c>
      <c r="U198" s="25" t="n">
        <v>2</v>
      </c>
      <c r="V198" s="27">
        <f>IF(S198="","",S198*U198)</f>
        <v/>
      </c>
      <c r="W198" s="26" t="inlineStr">
        <is>
          <t>Not in catalogue. Public national master → 2026-27 differentiated fee €3,950; exemption to ~€254-255 depends on university quota (25% cap in 2027-28).</t>
        </is>
      </c>
      <c r="X198" s="25" t="inlineStr">
        <is>
          <t>Medium</t>
        </is>
      </c>
      <c r="Y198" s="25" t="n"/>
      <c r="Z198" s="26" t="n"/>
      <c r="AA198" s="26" t="n"/>
      <c r="AB198" s="25" t="n"/>
      <c r="AC198" s="25" t="inlineStr">
        <is>
          <t>Open</t>
        </is>
      </c>
      <c r="AD198" s="25" t="inlineStr">
        <is>
          <t>2026-10-01</t>
        </is>
      </c>
      <c r="AE198" s="25" t="inlineStr">
        <is>
          <t>2027-03-15</t>
        </is>
      </c>
      <c r="AF198" s="25" t="inlineStr">
        <is>
          <t>Yes</t>
        </is>
      </c>
      <c r="AG198" s="28" t="inlineStr">
        <is>
          <t>https://life.univ-cotedazur.fr/international/erasmus-mundus-joint-master-membiomed</t>
        </is>
      </c>
      <c r="AH198" s="26" t="inlineStr">
        <is>
          <t>Consulter le site web pour prérequis</t>
        </is>
      </c>
      <c r="AI198" s="28" t="inlineStr">
        <is>
          <t>Open in EEF</t>
        </is>
      </c>
    </row>
    <row r="199" ht="32.8" customHeight="1" s="19">
      <c r="A199" s="25" t="n">
        <v>198</v>
      </c>
      <c r="B199" s="25" t="inlineStr">
        <is>
          <t>★★★★☆</t>
        </is>
      </c>
      <c r="C199" s="25" t="inlineStr">
        <is>
          <t>4 – Strong fit (electronics/signal/robotics/IoT/sensors)</t>
        </is>
      </c>
      <c r="D199" s="25" t="inlineStr">
        <is>
          <t>Sensors / Instrumentation / Micro-Nano / Photonics</t>
        </is>
      </c>
      <c r="E199" s="26" t="inlineStr">
        <is>
          <t>Master Sciences et technologies mention Nanosciences et nanotechnologies parcours Nanoscale and Quantum Engineering</t>
        </is>
      </c>
      <c r="F199" s="26" t="inlineStr">
        <is>
          <t>Master Science &amp; Technology – major: Nanosciences &amp; Nanotechnologies – track: Nanoscale and Quantum Engineering</t>
        </is>
      </c>
      <c r="G199" s="25" t="inlineStr">
        <is>
          <t>Master indifférencié (recherche et professionnel)</t>
        </is>
      </c>
      <c r="H199" s="25" t="inlineStr">
        <is>
          <t>UFR Sciences</t>
        </is>
      </c>
      <c r="I199" s="25" t="inlineStr">
        <is>
          <t>Université d'Aix-Marseille</t>
        </is>
      </c>
      <c r="J199" s="25" t="inlineStr">
        <is>
          <t>Site de Marseille - St Jérôme</t>
        </is>
      </c>
      <c r="K199" s="25" t="n"/>
      <c r="L199" s="25" t="inlineStr">
        <is>
          <t>Public university</t>
        </is>
      </c>
      <c r="M199" s="25" t="inlineStr">
        <is>
          <t>English</t>
        </is>
      </c>
      <c r="N199" s="25" t="inlineStr">
        <is>
          <t>General</t>
        </is>
      </c>
      <c r="O199" s="25" t="inlineStr">
        <is>
          <t>Bac +4 / Bac +5</t>
        </is>
      </c>
      <c r="P199" s="26" t="inlineStr">
        <is>
          <t>Eligible on level (4-yr BS ≈ Bac+4)</t>
        </is>
      </c>
      <c r="Q199" s="25" t="inlineStr">
        <is>
          <t>1/2</t>
        </is>
      </c>
      <c r="R199" s="25" t="inlineStr">
        <is>
          <t>12</t>
        </is>
      </c>
      <c r="S199" s="27" t="n">
        <v>3950</v>
      </c>
      <c r="T199" s="27" t="n">
        <v>255</v>
      </c>
      <c r="U199" s="25" t="n">
        <v>2</v>
      </c>
      <c r="V199" s="27">
        <f>IF(S199="","",S199*U199)</f>
        <v/>
      </c>
      <c r="W199" s="26" t="inlineStr">
        <is>
          <t>Not in catalogue. Public national master → 2026-27 differentiated fee €3,950; exemption to ~€254-255 depends on university quota (25% cap in 2027-28).</t>
        </is>
      </c>
      <c r="X199" s="25" t="inlineStr">
        <is>
          <t>Medium</t>
        </is>
      </c>
      <c r="Y199" s="25" t="n"/>
      <c r="Z199" s="26" t="n"/>
      <c r="AA199" s="26" t="inlineStr">
        <is>
          <t>AMU 2026-27: limited exemptions (≈1,800 of 5,500 students) – priority to continuing students, conflict zones, excellence scholarships. New master entrants usually pay €3,950.</t>
        </is>
      </c>
      <c r="AB199" s="28" t="inlineStr">
        <is>
          <t>https://www.univ-amu.fr/fr/actualites/aix-marseille-universite-mobilise-pleinement-capacite-dexoneration-continuer-accueillir</t>
        </is>
      </c>
      <c r="AC199" s="25" t="inlineStr">
        <is>
          <t>Open</t>
        </is>
      </c>
      <c r="AD199" s="25" t="inlineStr">
        <is>
          <t>2026-10-01</t>
        </is>
      </c>
      <c r="AE199" s="25" t="inlineStr">
        <is>
          <t>2027-03-15</t>
        </is>
      </c>
      <c r="AF199" s="25" t="inlineStr">
        <is>
          <t>No</t>
        </is>
      </c>
      <c r="AG199" s="28" t="inlineStr">
        <is>
          <t>https://formations.univ-amu.fr/fr/master/5SNN/PRSNN5C3</t>
        </is>
      </c>
      <c r="AH199" s="26" t="inlineStr">
        <is>
          <t>4 important points for your application : Your application must be complete and validated by the Espace Etudes in France The faculty will review the applications The level of English required is B2 Opportunity to apply f</t>
        </is>
      </c>
      <c r="AI199" s="28" t="inlineStr">
        <is>
          <t>Open in EEF</t>
        </is>
      </c>
    </row>
    <row r="200" ht="32.8" customHeight="1" s="19">
      <c r="A200" s="25" t="n">
        <v>199</v>
      </c>
      <c r="B200" s="25" t="inlineStr">
        <is>
          <t>★★★★☆</t>
        </is>
      </c>
      <c r="C200" s="25" t="inlineStr">
        <is>
          <t>4 – Strong fit (electronics/signal/robotics/IoT/sensors)</t>
        </is>
      </c>
      <c r="D200" s="25" t="inlineStr">
        <is>
          <t>Neuroscience / Neuro-engineering</t>
        </is>
      </c>
      <c r="E200" s="26" t="inlineStr">
        <is>
          <t>Master Sciences et technologies mention Neurosciences</t>
        </is>
      </c>
      <c r="F200" s="26" t="inlineStr">
        <is>
          <t>Master Science &amp; Technology – major: Neuroscience</t>
        </is>
      </c>
      <c r="G200" s="25" t="inlineStr">
        <is>
          <t>Master indifférencié (recherche et professionnel)</t>
        </is>
      </c>
      <c r="H200" s="25" t="inlineStr">
        <is>
          <t>UFR Sciences</t>
        </is>
      </c>
      <c r="I200" s="25" t="inlineStr">
        <is>
          <t>Université d'Aix-Marseille</t>
        </is>
      </c>
      <c r="J200" s="25" t="inlineStr">
        <is>
          <t>Site de Marseille - St Charles</t>
        </is>
      </c>
      <c r="K200" s="25" t="n"/>
      <c r="L200" s="25" t="inlineStr">
        <is>
          <t>Public university</t>
        </is>
      </c>
      <c r="M200" s="25" t="inlineStr">
        <is>
          <t>English</t>
        </is>
      </c>
      <c r="N200" s="25" t="inlineStr">
        <is>
          <t>General</t>
        </is>
      </c>
      <c r="O200" s="25" t="inlineStr">
        <is>
          <t>Bac +4</t>
        </is>
      </c>
      <c r="P200" s="26" t="inlineStr">
        <is>
          <t>Eligible on level (4-yr BS ≈ Bac+4)</t>
        </is>
      </c>
      <c r="Q200" s="25" t="inlineStr">
        <is>
          <t>1</t>
        </is>
      </c>
      <c r="R200" s="25" t="inlineStr">
        <is>
          <t>12</t>
        </is>
      </c>
      <c r="S200" s="27" t="n">
        <v>3950</v>
      </c>
      <c r="T200" s="27" t="n">
        <v>255</v>
      </c>
      <c r="U200" s="25" t="n">
        <v>2</v>
      </c>
      <c r="V200" s="27">
        <f>IF(S200="","",S200*U200)</f>
        <v/>
      </c>
      <c r="W200" s="26" t="inlineStr">
        <is>
          <t>Not in catalogue. Public national master → 2026-27 differentiated fee €3,950; exemption to ~€254-255 depends on university quota (25% cap in 2027-28).</t>
        </is>
      </c>
      <c r="X200" s="25" t="inlineStr">
        <is>
          <t>Medium</t>
        </is>
      </c>
      <c r="Y200" s="25" t="n"/>
      <c r="Z200" s="26" t="n"/>
      <c r="AA200" s="26" t="inlineStr">
        <is>
          <t>AMU 2026-27: limited exemptions (≈1,800 of 5,500 students) – priority to continuing students, conflict zones, excellence scholarships. New master entrants usually pay €3,950.</t>
        </is>
      </c>
      <c r="AB200" s="28" t="inlineStr">
        <is>
          <t>https://www.univ-amu.fr/fr/actualites/aix-marseille-universite-mobilise-pleinement-capacite-dexoneration-continuer-accueillir</t>
        </is>
      </c>
      <c r="AC200" s="25" t="inlineStr">
        <is>
          <t>Open</t>
        </is>
      </c>
      <c r="AD200" s="25" t="inlineStr">
        <is>
          <t>2026-10-01</t>
        </is>
      </c>
      <c r="AE200" s="25" t="inlineStr">
        <is>
          <t>2027-03-15</t>
        </is>
      </c>
      <c r="AF200" s="25" t="inlineStr">
        <is>
          <t>No</t>
        </is>
      </c>
      <c r="AG200" s="28" t="inlineStr">
        <is>
          <t>https://formations.univ-amu.fr/fr/master/5SNE</t>
        </is>
      </c>
      <c r="AH200" s="26" t="inlineStr">
        <is>
          <t>Nous attirons votre attention sur 2 points importants pour votre candidature : Votre dossier doit être complet et validé par l’Espace Etudes en France La faculté des sciences examinera les dossiers de candidature en cohé</t>
        </is>
      </c>
      <c r="AI200" s="28" t="inlineStr">
        <is>
          <t>Open in EEF</t>
        </is>
      </c>
    </row>
    <row r="201" ht="32.8" customHeight="1" s="19">
      <c r="A201" s="25" t="n">
        <v>200</v>
      </c>
      <c r="B201" s="25" t="inlineStr">
        <is>
          <t>★★★★☆</t>
        </is>
      </c>
      <c r="C201" s="25" t="inlineStr">
        <is>
          <t>4 – Strong fit (electronics/signal/robotics/IoT/sensors)</t>
        </is>
      </c>
      <c r="D201" s="25" t="inlineStr">
        <is>
          <t>Sensors / Instrumentation / Micro-Nano / Photonics</t>
        </is>
      </c>
      <c r="E201" s="26" t="inlineStr">
        <is>
          <t>Master Sciences et technologies mention physique parcours Optics &amp; photonics (Europh</t>
        </is>
      </c>
      <c r="F201" s="26" t="inlineStr">
        <is>
          <t>Master Science &amp; Technology – major: Physics – track: Optics &amp; photonics (Europh</t>
        </is>
      </c>
      <c r="G201" s="25" t="inlineStr">
        <is>
          <t>Master indifférencié (recherche et professionnel)</t>
        </is>
      </c>
      <c r="H201" s="25" t="inlineStr">
        <is>
          <t>UFR Sciences</t>
        </is>
      </c>
      <c r="I201" s="25" t="inlineStr">
        <is>
          <t>Université d'Aix-Marseille</t>
        </is>
      </c>
      <c r="J201" s="25" t="inlineStr">
        <is>
          <t>Site de Marseille - St Jérôme</t>
        </is>
      </c>
      <c r="K201" s="25" t="n"/>
      <c r="L201" s="25" t="inlineStr">
        <is>
          <t>Public university</t>
        </is>
      </c>
      <c r="M201" s="25" t="inlineStr">
        <is>
          <t>English</t>
        </is>
      </c>
      <c r="N201" s="25" t="inlineStr">
        <is>
          <t>General</t>
        </is>
      </c>
      <c r="O201" s="25" t="inlineStr">
        <is>
          <t>Bac +4 / Bac +5</t>
        </is>
      </c>
      <c r="P201" s="26" t="inlineStr">
        <is>
          <t>Eligible on level (4-yr BS ≈ Bac+4)</t>
        </is>
      </c>
      <c r="Q201" s="25" t="inlineStr">
        <is>
          <t>1/2</t>
        </is>
      </c>
      <c r="R201" s="25" t="inlineStr">
        <is>
          <t>12</t>
        </is>
      </c>
      <c r="S201" s="27" t="n">
        <v>3950</v>
      </c>
      <c r="T201" s="27" t="n">
        <v>255</v>
      </c>
      <c r="U201" s="25" t="n">
        <v>2</v>
      </c>
      <c r="V201" s="27">
        <f>IF(S201="","",S201*U201)</f>
        <v/>
      </c>
      <c r="W201" s="26" t="inlineStr">
        <is>
          <t>Not in catalogue. Public national master → 2026-27 differentiated fee €3,950; exemption to ~€254-255 depends on university quota (25% cap in 2027-28).</t>
        </is>
      </c>
      <c r="X201" s="25" t="inlineStr">
        <is>
          <t>Medium</t>
        </is>
      </c>
      <c r="Y201" s="25" t="n"/>
      <c r="Z201" s="26" t="n"/>
      <c r="AA201" s="26" t="inlineStr">
        <is>
          <t>AMU 2026-27: limited exemptions (≈1,800 of 5,500 students) – priority to continuing students, conflict zones, excellence scholarships. New master entrants usually pay €3,950.</t>
        </is>
      </c>
      <c r="AB201" s="28" t="inlineStr">
        <is>
          <t>https://www.univ-amu.fr/fr/actualites/aix-marseille-universite-mobilise-pleinement-capacite-dexoneration-continuer-accueillir</t>
        </is>
      </c>
      <c r="AC201" s="25" t="inlineStr">
        <is>
          <t>Open</t>
        </is>
      </c>
      <c r="AD201" s="25" t="inlineStr">
        <is>
          <t>2026-10-01</t>
        </is>
      </c>
      <c r="AE201" s="25" t="inlineStr">
        <is>
          <t>2027-03-15</t>
        </is>
      </c>
      <c r="AF201" s="25" t="inlineStr">
        <is>
          <t>No</t>
        </is>
      </c>
      <c r="AG201" s="28" t="inlineStr">
        <is>
          <t>https://formations.univ-amu.fr/fr/master/5SPF/PRSPF5C4</t>
        </is>
      </c>
      <c r="AH201" s="26" t="inlineStr">
        <is>
          <t>2 important points for your application : - Your application must be complete and validated by the Espace Etudes in France - The faculty will review the applications The level of English required is B2. Access to Master</t>
        </is>
      </c>
      <c r="AI201" s="28" t="inlineStr">
        <is>
          <t>Open in EEF</t>
        </is>
      </c>
    </row>
    <row r="202" ht="32.8" customHeight="1" s="19">
      <c r="A202" s="25" t="n">
        <v>201</v>
      </c>
      <c r="B202" s="25" t="inlineStr">
        <is>
          <t>★★★★☆</t>
        </is>
      </c>
      <c r="C202" s="25" t="inlineStr">
        <is>
          <t>4 – Strong fit (electronics/signal/robotics/IoT/sensors)</t>
        </is>
      </c>
      <c r="D202" s="25" t="inlineStr">
        <is>
          <t>Neuroscience / Neuro-engineering</t>
        </is>
      </c>
      <c r="E202" s="26" t="inlineStr">
        <is>
          <t>Master Sciences, technologies, santé mention biologie, santé mention Master Integrative Neuroscience and Omics</t>
        </is>
      </c>
      <c r="F202" s="26" t="inlineStr">
        <is>
          <t>Master Science, Technology, Health (STS) – major: Biology-Health – major: Master Integrative Neuroscience and Omics</t>
        </is>
      </c>
      <c r="G202" s="25" t="inlineStr">
        <is>
          <t>Master indifférencié (recherche et professionnel)</t>
        </is>
      </c>
      <c r="H202" s="25" t="inlineStr">
        <is>
          <t>UFR des Sciences de Montpellier</t>
        </is>
      </c>
      <c r="I202" s="25" t="inlineStr">
        <is>
          <t>Université de Montpellier</t>
        </is>
      </c>
      <c r="J202" s="25" t="inlineStr">
        <is>
          <t>Site de Montpellier</t>
        </is>
      </c>
      <c r="K202" s="25" t="n"/>
      <c r="L202" s="25" t="inlineStr">
        <is>
          <t>Public university</t>
        </is>
      </c>
      <c r="M202" s="25" t="inlineStr">
        <is>
          <t>English</t>
        </is>
      </c>
      <c r="N202" s="25" t="inlineStr">
        <is>
          <t>General</t>
        </is>
      </c>
      <c r="O202" s="25" t="inlineStr">
        <is>
          <t>Bac +4 / Bac +5</t>
        </is>
      </c>
      <c r="P202" s="26" t="inlineStr">
        <is>
          <t>Eligible on level (4-yr BS ≈ Bac+4)</t>
        </is>
      </c>
      <c r="Q202" s="25" t="inlineStr">
        <is>
          <t>1/2</t>
        </is>
      </c>
      <c r="R202" s="25" t="inlineStr">
        <is>
          <t>12</t>
        </is>
      </c>
      <c r="S202" s="27" t="n">
        <v>3950</v>
      </c>
      <c r="T202" s="27" t="n">
        <v>255</v>
      </c>
      <c r="U202" s="25" t="n">
        <v>2</v>
      </c>
      <c r="V202" s="27">
        <f>IF(S202="","",S202*U202)</f>
        <v/>
      </c>
      <c r="W202" s="26" t="inlineStr">
        <is>
          <t>Not in catalogue. Public national master → 2026-27 differentiated fee €3,950; exemption to ~€254-255 depends on university quota (25% cap in 2027-28).</t>
        </is>
      </c>
      <c r="X202" s="25" t="inlineStr">
        <is>
          <t>Medium</t>
        </is>
      </c>
      <c r="Y202" s="25" t="n"/>
      <c r="Z202" s="26" t="n"/>
      <c r="AA202" s="26" t="inlineStr">
        <is>
          <t>Montpellier 2026-27: new non-EU entrants pay the differentiated fee unless individual exemption (limited).</t>
        </is>
      </c>
      <c r="AB202" s="28" t="inlineStr">
        <is>
          <t>https://www.umontpellier.fr/en/international/etudier-a-letranger/etudiants-internationaux-annee-universitaire-2026-2027/</t>
        </is>
      </c>
      <c r="AC202" s="25" t="inlineStr">
        <is>
          <t>Open</t>
        </is>
      </c>
      <c r="AD202" s="25" t="inlineStr">
        <is>
          <t>2026-10-01</t>
        </is>
      </c>
      <c r="AE202" s="25" t="inlineStr">
        <is>
          <t>2027-03-15</t>
        </is>
      </c>
      <c r="AF202" s="25" t="inlineStr">
        <is>
          <t>No</t>
        </is>
      </c>
      <c r="AG202" s="28" t="inlineStr">
        <is>
          <t>https://idil.edu.umontpellier.fr/</t>
        </is>
      </c>
      <c r="AH202" s="26" t="inlineStr">
        <is>
          <t>Conditions d’accès Diplôme de licence dans la discipline choisie IDIL Niveau d’anglais B2 minimum CV et lettre de motivation 2 lettres de soutien d’un chercheur et/ou professeur (recommandé, mais non obligatoire) Estimat</t>
        </is>
      </c>
      <c r="AI202" s="28" t="inlineStr">
        <is>
          <t>Open in EEF</t>
        </is>
      </c>
    </row>
    <row r="203" ht="32.8" customHeight="1" s="19">
      <c r="A203" s="25" t="n">
        <v>202</v>
      </c>
      <c r="B203" s="25" t="inlineStr">
        <is>
          <t>★★★★☆</t>
        </is>
      </c>
      <c r="C203" s="25" t="inlineStr">
        <is>
          <t>4 – Strong fit (electronics/signal/robotics/IoT/sensors)</t>
        </is>
      </c>
      <c r="D203" s="25" t="inlineStr">
        <is>
          <t>Biomedical / Health tech</t>
        </is>
      </c>
      <c r="E203" s="26" t="inlineStr">
        <is>
          <t>Master Sciences, technologies, santé, mention Electronique, Energie électrique, Automatique parcours Master Photonics &amp; Electronics Sensors for Environment &amp; Health - IDIL</t>
        </is>
      </c>
      <c r="F203" s="26" t="inlineStr">
        <is>
          <t>Master Science, Technology, Health (STS), – major: Electronics, Electrical Energy &amp; Automation (EEA) – track: Master Photonics &amp; Electronics Sensors for Environment &amp; Health - IDIL</t>
        </is>
      </c>
      <c r="G203" s="25" t="inlineStr">
        <is>
          <t>Master indifférencié (recherche et professionnel)</t>
        </is>
      </c>
      <c r="H203" s="25" t="inlineStr">
        <is>
          <t>UFR des Sciences de Montpellier</t>
        </is>
      </c>
      <c r="I203" s="25" t="inlineStr">
        <is>
          <t>Université de Montpellier</t>
        </is>
      </c>
      <c r="J203" s="25" t="inlineStr">
        <is>
          <t>Site de Montpellier</t>
        </is>
      </c>
      <c r="K203" s="25" t="n"/>
      <c r="L203" s="25" t="inlineStr">
        <is>
          <t>Public university</t>
        </is>
      </c>
      <c r="M203" s="25" t="inlineStr">
        <is>
          <t>English</t>
        </is>
      </c>
      <c r="N203" s="25" t="inlineStr">
        <is>
          <t>General</t>
        </is>
      </c>
      <c r="O203" s="25" t="inlineStr">
        <is>
          <t>Bac +4</t>
        </is>
      </c>
      <c r="P203" s="26" t="inlineStr">
        <is>
          <t>Eligible on level (4-yr BS ≈ Bac+4)</t>
        </is>
      </c>
      <c r="Q203" s="25" t="inlineStr">
        <is>
          <t>1</t>
        </is>
      </c>
      <c r="R203" s="25" t="inlineStr">
        <is>
          <t>12</t>
        </is>
      </c>
      <c r="S203" s="27" t="n">
        <v>3950</v>
      </c>
      <c r="T203" s="27" t="n">
        <v>255</v>
      </c>
      <c r="U203" s="25" t="n">
        <v>2</v>
      </c>
      <c r="V203" s="27">
        <f>IF(S203="","",S203*U203)</f>
        <v/>
      </c>
      <c r="W203" s="26" t="inlineStr">
        <is>
          <t>Not in catalogue. Public national master → 2026-27 differentiated fee €3,950; exemption to ~€254-255 depends on university quota (25% cap in 2027-28).</t>
        </is>
      </c>
      <c r="X203" s="25" t="inlineStr">
        <is>
          <t>Medium</t>
        </is>
      </c>
      <c r="Y203" s="25" t="n"/>
      <c r="Z203" s="26" t="n"/>
      <c r="AA203" s="26" t="inlineStr">
        <is>
          <t>Montpellier 2026-27: new non-EU entrants pay the differentiated fee unless individual exemption (limited).</t>
        </is>
      </c>
      <c r="AB203" s="28" t="inlineStr">
        <is>
          <t>https://www.umontpellier.fr/en/international/etudier-a-letranger/etudiants-internationaux-annee-universitaire-2026-2027/</t>
        </is>
      </c>
      <c r="AC203" s="25" t="inlineStr">
        <is>
          <t>Open</t>
        </is>
      </c>
      <c r="AD203" s="25" t="inlineStr">
        <is>
          <t>2026-10-01</t>
        </is>
      </c>
      <c r="AE203" s="25" t="inlineStr">
        <is>
          <t>2027-03-15</t>
        </is>
      </c>
      <c r="AF203" s="25" t="inlineStr">
        <is>
          <t>No</t>
        </is>
      </c>
      <c r="AG203" s="28" t="inlineStr">
        <is>
          <t>https://idil.edu.umontpellier.fr/</t>
        </is>
      </c>
      <c r="AH203" s="26" t="inlineStr">
        <is>
          <t>Conditions d’accès Diplôme de licence dans la discipline choisie IDIL Niveau d’anglais B2 minimum CV et lettre de motivation 2 lettres de soutien d’un chercheur et/ou professeur (recommandé, mais non obligatoire) Estimat</t>
        </is>
      </c>
      <c r="AI203" s="28" t="inlineStr">
        <is>
          <t>Open in EEF</t>
        </is>
      </c>
    </row>
    <row r="204" ht="32.8" customHeight="1" s="19">
      <c r="A204" s="25" t="n">
        <v>203</v>
      </c>
      <c r="B204" s="25" t="inlineStr">
        <is>
          <t>★★★★☆</t>
        </is>
      </c>
      <c r="C204" s="25" t="inlineStr">
        <is>
          <t>4 – Strong fit (electronics/signal/robotics/IoT/sensors)</t>
        </is>
      </c>
      <c r="D204" s="25" t="inlineStr">
        <is>
          <t>Neuroscience / Neuro-engineering</t>
        </is>
      </c>
      <c r="E204" s="26" t="inlineStr">
        <is>
          <t>Master Sciences, technologies, santé mention Sciences Cognitives (cog-SUP) parcours - Neurosciences cognitives</t>
        </is>
      </c>
      <c r="F204" s="26" t="inlineStr">
        <is>
          <t>Master Science, Technology, Health (STS) – major: Cognitive Science (cog-SUP) – track: - NeuroCognitive Science</t>
        </is>
      </c>
      <c r="G204" s="25" t="inlineStr">
        <is>
          <t>Master indifférencié (recherche et professionnel)</t>
        </is>
      </c>
      <c r="H204" s="25" t="inlineStr">
        <is>
          <t>UFR des Sciences Fondamentales et Biomédicales</t>
        </is>
      </c>
      <c r="I204" s="25" t="inlineStr">
        <is>
          <t>Université Paris Cité</t>
        </is>
      </c>
      <c r="J204" s="25" t="inlineStr">
        <is>
          <t>Site de Paris</t>
        </is>
      </c>
      <c r="K204" s="25" t="inlineStr">
        <is>
          <t>75006 Paris</t>
        </is>
      </c>
      <c r="L204" s="25" t="inlineStr">
        <is>
          <t>Public university</t>
        </is>
      </c>
      <c r="M204" s="25" t="inlineStr">
        <is>
          <t>English</t>
        </is>
      </c>
      <c r="N204" s="25" t="inlineStr">
        <is>
          <t>General</t>
        </is>
      </c>
      <c r="O204" s="25" t="inlineStr">
        <is>
          <t>Bac +4 / Bac +5</t>
        </is>
      </c>
      <c r="P204" s="26" t="inlineStr">
        <is>
          <t>Eligible on level (4-yr BS ≈ Bac+4)</t>
        </is>
      </c>
      <c r="Q204" s="25" t="inlineStr">
        <is>
          <t>1/2</t>
        </is>
      </c>
      <c r="R204" s="25" t="n"/>
      <c r="S204" s="27" t="n">
        <v>3950</v>
      </c>
      <c r="T204" s="27" t="n">
        <v>255</v>
      </c>
      <c r="U204" s="25" t="n">
        <v>2</v>
      </c>
      <c r="V204" s="27">
        <f>IF(S204="","",S204*U204)</f>
        <v/>
      </c>
      <c r="W204" s="26" t="inlineStr">
        <is>
          <t>Not in catalogue. Public national master → 2026-27 differentiated fee €3,950; exemption to ~€254-255 depends on university quota (25% cap in 2027-28).</t>
        </is>
      </c>
      <c r="X204" s="25" t="inlineStr">
        <is>
          <t>Medium</t>
        </is>
      </c>
      <c r="Y204" s="25" t="n"/>
      <c r="Z204" s="26" t="n"/>
      <c r="AA204" s="26" t="inlineStr">
        <is>
          <t>Paris Cité historically exempted non-EU master students (paid EU rate). 2026-27/2027-28 policy not yet published – confirm.</t>
        </is>
      </c>
      <c r="AB204" s="28" t="inlineStr">
        <is>
          <t>https://u-paris.fr/droits-dinscription-tarifs-exonerations/</t>
        </is>
      </c>
      <c r="AC204" s="25" t="inlineStr">
        <is>
          <t>Open</t>
        </is>
      </c>
      <c r="AD204" s="25" t="inlineStr">
        <is>
          <t>2026-10-01</t>
        </is>
      </c>
      <c r="AE204" s="25" t="inlineStr">
        <is>
          <t>2027-03-15</t>
        </is>
      </c>
      <c r="AF204" s="25" t="inlineStr">
        <is>
          <t>Yes</t>
        </is>
      </c>
      <c r="AG204" s="28" t="inlineStr">
        <is>
          <t>https://odf.u-paris.fr/fr/offre-de-formation/master-XB/sciences-technologies-sante-STS/sciences-cognitives-K5CBPO1E.html</t>
        </is>
      </c>
      <c r="AH204" s="26" t="inlineStr">
        <is>
          <t>Attendus : Adéquation de la formation initiale, résultats académiques (mention bien ou plus), culture en sciences cognitives, motivation pour cette discipline. Critères d'examen des candidatures : Adéquation de la format</t>
        </is>
      </c>
      <c r="AI204" s="28" t="inlineStr">
        <is>
          <t>Open in EEF</t>
        </is>
      </c>
    </row>
    <row r="205" ht="22.35" customHeight="1" s="19">
      <c r="A205" s="25" t="n">
        <v>204</v>
      </c>
      <c r="B205" s="25" t="inlineStr">
        <is>
          <t>★★★★☆</t>
        </is>
      </c>
      <c r="C205" s="25" t="inlineStr">
        <is>
          <t>4 – Strong fit (electronics/signal/robotics/IoT/sensors)</t>
        </is>
      </c>
      <c r="D205" s="25" t="inlineStr">
        <is>
          <t>Neuroscience / Neuro-engineering</t>
        </is>
      </c>
      <c r="E205" s="26" t="inlineStr">
        <is>
          <t>Master Sciences, technologies, santé mention Sciences Cognitives (cog-SUP) parcours - Neurosciences cognitives</t>
        </is>
      </c>
      <c r="F205" s="26" t="inlineStr">
        <is>
          <t>Master Science, Technology, Health (STS) – major: Cognitive Science (cog-SUP) – track: - NeuroCognitive Science</t>
        </is>
      </c>
      <c r="G205" s="25" t="inlineStr">
        <is>
          <t>Master indifférencié (recherche et professionnel)</t>
        </is>
      </c>
      <c r="H205" s="25" t="inlineStr">
        <is>
          <t>Sciences et Ingénierie</t>
        </is>
      </c>
      <c r="I205" s="25" t="inlineStr">
        <is>
          <t>Sorbonne Université</t>
        </is>
      </c>
      <c r="J205" s="25" t="inlineStr">
        <is>
          <t>Site de Paris</t>
        </is>
      </c>
      <c r="K205" s="25" t="n"/>
      <c r="L205" s="25" t="inlineStr">
        <is>
          <t>Public university</t>
        </is>
      </c>
      <c r="M205" s="25" t="inlineStr">
        <is>
          <t>English</t>
        </is>
      </c>
      <c r="N205" s="25" t="inlineStr">
        <is>
          <t>General</t>
        </is>
      </c>
      <c r="O205" s="25" t="inlineStr">
        <is>
          <t>Bac +4 / Bac +5</t>
        </is>
      </c>
      <c r="P205" s="26" t="inlineStr">
        <is>
          <t>Eligible on level (4-yr BS ≈ Bac+4)</t>
        </is>
      </c>
      <c r="Q205" s="25" t="inlineStr">
        <is>
          <t>1/2</t>
        </is>
      </c>
      <c r="R205" s="25" t="n"/>
      <c r="S205" s="27" t="n">
        <v>3950</v>
      </c>
      <c r="T205" s="27" t="n">
        <v>255</v>
      </c>
      <c r="U205" s="25" t="n">
        <v>2</v>
      </c>
      <c r="V205" s="27">
        <f>IF(S205="","",S205*U205)</f>
        <v/>
      </c>
      <c r="W205" s="26" t="inlineStr">
        <is>
          <t>Not in catalogue. Public national master → 2026-27 differentiated fee €3,950; exemption to ~€254-255 depends on university quota (25% cap in 2027-28).</t>
        </is>
      </c>
      <c r="X205" s="25" t="inlineStr">
        <is>
          <t>Medium</t>
        </is>
      </c>
      <c r="Y205" s="25" t="n"/>
      <c r="Z205" s="26" t="n"/>
      <c r="AA205" s="26" t="inlineStr">
        <is>
          <t>Board vote 7 Jul 2026: Sorbonne Université says it can exempt all eligible non-EU applicants (pay same as EU, ~€254) for 2026-27.</t>
        </is>
      </c>
      <c r="AB205" s="28" t="inlineStr">
        <is>
          <t>https://www.sorbonne-universite.fr/actualites/le-conseil-dadministration-de-sorbonne-universite-vote-lunanimite-le-7-juillet-2026-sa</t>
        </is>
      </c>
      <c r="AC205" s="25" t="inlineStr">
        <is>
          <t>Open</t>
        </is>
      </c>
      <c r="AD205" s="25" t="inlineStr">
        <is>
          <t>2026-10-01</t>
        </is>
      </c>
      <c r="AE205" s="25" t="inlineStr">
        <is>
          <t>2027-03-15</t>
        </is>
      </c>
      <c r="AF205" s="25" t="inlineStr">
        <is>
          <t>No</t>
        </is>
      </c>
      <c r="AG205" s="28" t="inlineStr">
        <is>
          <t>https://sciences.sorbonne-universite.fr/formation-sciences/offre-de-formation/masters/master-sciences-cognitives</t>
        </is>
      </c>
      <c r="AH205" s="26" t="n"/>
      <c r="AI205" s="28" t="inlineStr">
        <is>
          <t>Open in EEF</t>
        </is>
      </c>
    </row>
    <row r="206" ht="32.8" customHeight="1" s="19">
      <c r="A206" s="25" t="n">
        <v>205</v>
      </c>
      <c r="B206" s="25" t="inlineStr">
        <is>
          <t>★★★★☆</t>
        </is>
      </c>
      <c r="C206" s="25" t="inlineStr">
        <is>
          <t>4 – Strong fit (electronics/signal/robotics/IoT/sensors)</t>
        </is>
      </c>
      <c r="D206" s="25" t="inlineStr">
        <is>
          <t>Neuroscience / Neuro-engineering</t>
        </is>
      </c>
      <c r="E206" s="26" t="inlineStr">
        <is>
          <t>Master Sciences, technologies, santé mention Sciences Cognitives (cog-SUP) parcours - Neurosciences computationnelles et intelligence artificielle</t>
        </is>
      </c>
      <c r="F206" s="26" t="inlineStr">
        <is>
          <t>Master Science, Technology, Health (STS) – major: Cognitive Science (cog-SUP) – track: - Neuroscience Computational &amp; Artificial Intelligence</t>
        </is>
      </c>
      <c r="G206" s="25" t="inlineStr">
        <is>
          <t>Master indifférencié (recherche et professionnel)</t>
        </is>
      </c>
      <c r="H206" s="25" t="inlineStr">
        <is>
          <t>UFR des Sciences Fondamentales et Biomédicales</t>
        </is>
      </c>
      <c r="I206" s="25" t="inlineStr">
        <is>
          <t>Université Paris Cité</t>
        </is>
      </c>
      <c r="J206" s="25" t="inlineStr">
        <is>
          <t>Site de Paris</t>
        </is>
      </c>
      <c r="K206" s="25" t="inlineStr">
        <is>
          <t>75006 Paris</t>
        </is>
      </c>
      <c r="L206" s="25" t="inlineStr">
        <is>
          <t>Public university</t>
        </is>
      </c>
      <c r="M206" s="25" t="inlineStr">
        <is>
          <t>English</t>
        </is>
      </c>
      <c r="N206" s="25" t="inlineStr">
        <is>
          <t>General</t>
        </is>
      </c>
      <c r="O206" s="25" t="inlineStr">
        <is>
          <t>Bac +4 / Bac +5</t>
        </is>
      </c>
      <c r="P206" s="26" t="inlineStr">
        <is>
          <t>Eligible on level (4-yr BS ≈ Bac+4)</t>
        </is>
      </c>
      <c r="Q206" s="25" t="inlineStr">
        <is>
          <t>1/2</t>
        </is>
      </c>
      <c r="R206" s="25" t="n"/>
      <c r="S206" s="27" t="n">
        <v>3950</v>
      </c>
      <c r="T206" s="27" t="n">
        <v>255</v>
      </c>
      <c r="U206" s="25" t="n">
        <v>2</v>
      </c>
      <c r="V206" s="27">
        <f>IF(S206="","",S206*U206)</f>
        <v/>
      </c>
      <c r="W206" s="26" t="inlineStr">
        <is>
          <t>Not in catalogue. Public national master → 2026-27 differentiated fee €3,950; exemption to ~€254-255 depends on university quota (25% cap in 2027-28).</t>
        </is>
      </c>
      <c r="X206" s="25" t="inlineStr">
        <is>
          <t>Medium</t>
        </is>
      </c>
      <c r="Y206" s="25" t="n"/>
      <c r="Z206" s="26" t="n"/>
      <c r="AA206" s="26" t="inlineStr">
        <is>
          <t>Paris Cité historically exempted non-EU master students (paid EU rate). 2026-27/2027-28 policy not yet published – confirm.</t>
        </is>
      </c>
      <c r="AB206" s="28" t="inlineStr">
        <is>
          <t>https://u-paris.fr/droits-dinscription-tarifs-exonerations/</t>
        </is>
      </c>
      <c r="AC206" s="25" t="inlineStr">
        <is>
          <t>Open</t>
        </is>
      </c>
      <c r="AD206" s="25" t="inlineStr">
        <is>
          <t>2026-10-01</t>
        </is>
      </c>
      <c r="AE206" s="25" t="inlineStr">
        <is>
          <t>2027-03-15</t>
        </is>
      </c>
      <c r="AF206" s="25" t="inlineStr">
        <is>
          <t>Yes</t>
        </is>
      </c>
      <c r="AG206" s="28" t="inlineStr">
        <is>
          <t>https://odf.u-paris.fr/fr/offre-de-formation/master-XB/sciences-technologies-sante-STS/sciences-cognitives-K5CBPO1E.html</t>
        </is>
      </c>
      <c r="AH206" s="26" t="inlineStr">
        <is>
          <t>Attendus : Adéquation de la formation initiale, résultats académiques (mention bien ou plus), culture en sciences cognitives, motivation pour cette discipline. Critères d'examen des candidatures : Adéquation de la format</t>
        </is>
      </c>
      <c r="AI206" s="28" t="inlineStr">
        <is>
          <t>Open in EEF</t>
        </is>
      </c>
    </row>
    <row r="207" ht="22.35" customHeight="1" s="19">
      <c r="A207" s="25" t="n">
        <v>206</v>
      </c>
      <c r="B207" s="25" t="inlineStr">
        <is>
          <t>★★★★☆</t>
        </is>
      </c>
      <c r="C207" s="25" t="inlineStr">
        <is>
          <t>4 – Strong fit (electronics/signal/robotics/IoT/sensors)</t>
        </is>
      </c>
      <c r="D207" s="25" t="inlineStr">
        <is>
          <t>Neuroscience / Neuro-engineering</t>
        </is>
      </c>
      <c r="E207" s="26" t="inlineStr">
        <is>
          <t>Master Sciences, technologies, santé mention Sciences Cognitives (cog-SUP) parcours - Neurosciences computationnelles et intelligence artificielle</t>
        </is>
      </c>
      <c r="F207" s="26" t="inlineStr">
        <is>
          <t>Master Science, Technology, Health (STS) – major: Cognitive Science (cog-SUP) – track: - Neuroscience Computational &amp; Artificial Intelligence</t>
        </is>
      </c>
      <c r="G207" s="25" t="inlineStr">
        <is>
          <t>Master indifférencié (recherche et professionnel)</t>
        </is>
      </c>
      <c r="H207" s="25" t="inlineStr">
        <is>
          <t>Sciences et Ingénierie</t>
        </is>
      </c>
      <c r="I207" s="25" t="inlineStr">
        <is>
          <t>Sorbonne Université</t>
        </is>
      </c>
      <c r="J207" s="25" t="inlineStr">
        <is>
          <t>Site de Paris</t>
        </is>
      </c>
      <c r="K207" s="25" t="n"/>
      <c r="L207" s="25" t="inlineStr">
        <is>
          <t>Public university</t>
        </is>
      </c>
      <c r="M207" s="25" t="inlineStr">
        <is>
          <t>English</t>
        </is>
      </c>
      <c r="N207" s="25" t="inlineStr">
        <is>
          <t>General</t>
        </is>
      </c>
      <c r="O207" s="25" t="inlineStr">
        <is>
          <t>Bac +4 / Bac +5</t>
        </is>
      </c>
      <c r="P207" s="26" t="inlineStr">
        <is>
          <t>Eligible on level (4-yr BS ≈ Bac+4)</t>
        </is>
      </c>
      <c r="Q207" s="25" t="inlineStr">
        <is>
          <t>1/2</t>
        </is>
      </c>
      <c r="R207" s="25" t="n"/>
      <c r="S207" s="27" t="n">
        <v>3950</v>
      </c>
      <c r="T207" s="27" t="n">
        <v>255</v>
      </c>
      <c r="U207" s="25" t="n">
        <v>2</v>
      </c>
      <c r="V207" s="27">
        <f>IF(S207="","",S207*U207)</f>
        <v/>
      </c>
      <c r="W207" s="26" t="inlineStr">
        <is>
          <t>Not in catalogue. Public national master → 2026-27 differentiated fee €3,950; exemption to ~€254-255 depends on university quota (25% cap in 2027-28).</t>
        </is>
      </c>
      <c r="X207" s="25" t="inlineStr">
        <is>
          <t>Medium</t>
        </is>
      </c>
      <c r="Y207" s="25" t="n"/>
      <c r="Z207" s="26" t="n"/>
      <c r="AA207" s="26" t="inlineStr">
        <is>
          <t>Board vote 7 Jul 2026: Sorbonne Université says it can exempt all eligible non-EU applicants (pay same as EU, ~€254) for 2026-27.</t>
        </is>
      </c>
      <c r="AB207" s="28" t="inlineStr">
        <is>
          <t>https://www.sorbonne-universite.fr/actualites/le-conseil-dadministration-de-sorbonne-universite-vote-lunanimite-le-7-juillet-2026-sa</t>
        </is>
      </c>
      <c r="AC207" s="25" t="inlineStr">
        <is>
          <t>Open</t>
        </is>
      </c>
      <c r="AD207" s="25" t="inlineStr">
        <is>
          <t>2026-10-01</t>
        </is>
      </c>
      <c r="AE207" s="25" t="inlineStr">
        <is>
          <t>2027-03-15</t>
        </is>
      </c>
      <c r="AF207" s="25" t="inlineStr">
        <is>
          <t>No</t>
        </is>
      </c>
      <c r="AG207" s="28" t="inlineStr">
        <is>
          <t>https://sciences.sorbonne-universite.fr/formation-sciences/offre-de-formation/masters/master-sciences-cognitives</t>
        </is>
      </c>
      <c r="AH207" s="26" t="n"/>
      <c r="AI207" s="28" t="inlineStr">
        <is>
          <t>Open in EEF</t>
        </is>
      </c>
    </row>
    <row r="208" ht="32.8" customHeight="1" s="19">
      <c r="A208" s="25" t="n">
        <v>207</v>
      </c>
      <c r="B208" s="25" t="inlineStr">
        <is>
          <t>★★★★☆</t>
        </is>
      </c>
      <c r="C208" s="25" t="inlineStr">
        <is>
          <t>4 – Strong fit (electronics/signal/robotics/IoT/sensors)</t>
        </is>
      </c>
      <c r="D208" s="25" t="inlineStr">
        <is>
          <t>Sensors / Instrumentation / Micro-Nano / Photonics</t>
        </is>
      </c>
      <c r="E208" s="26" t="inlineStr">
        <is>
          <t>mention Physique parcours Optics &amp; photonics (Europhotonics)</t>
        </is>
      </c>
      <c r="F208" s="26" t="inlineStr">
        <is>
          <t>major: Physics – track: Optics &amp; photonics (Europhotonics)</t>
        </is>
      </c>
      <c r="G208" s="25" t="inlineStr">
        <is>
          <t>Master indifférencié (recherche et professionnel)</t>
        </is>
      </c>
      <c r="H208" s="25" t="inlineStr">
        <is>
          <t>UFR Sciences</t>
        </is>
      </c>
      <c r="I208" s="25" t="inlineStr">
        <is>
          <t>Université d'Aix-Marseille</t>
        </is>
      </c>
      <c r="J208" s="25" t="inlineStr">
        <is>
          <t>Site de Marseille - St Jérôme</t>
        </is>
      </c>
      <c r="K208" s="25" t="n"/>
      <c r="L208" s="25" t="inlineStr">
        <is>
          <t>Public university</t>
        </is>
      </c>
      <c r="M208" s="25" t="inlineStr">
        <is>
          <t>English</t>
        </is>
      </c>
      <c r="N208" s="25" t="inlineStr">
        <is>
          <t>Taught in English</t>
        </is>
      </c>
      <c r="O208" s="25" t="inlineStr">
        <is>
          <t>Bac +4 / Bac +5</t>
        </is>
      </c>
      <c r="P208" s="26" t="inlineStr">
        <is>
          <t>Eligible on level (4-yr BS ≈ Bac+4)</t>
        </is>
      </c>
      <c r="Q208" s="25" t="inlineStr">
        <is>
          <t>1/2</t>
        </is>
      </c>
      <c r="R208" s="25" t="inlineStr">
        <is>
          <t>12</t>
        </is>
      </c>
      <c r="S208" s="27" t="n">
        <v>3950</v>
      </c>
      <c r="T208" s="27" t="n">
        <v>255</v>
      </c>
      <c r="U208" s="25" t="n">
        <v>2</v>
      </c>
      <c r="V208" s="27">
        <f>IF(S208="","",S208*U208)</f>
        <v/>
      </c>
      <c r="W208" s="26" t="inlineStr">
        <is>
          <t>Not in catalogue. Public national master → 2026-27 differentiated fee €3,950; exemption to ~€254-255 depends on university quota (25% cap in 2027-28).</t>
        </is>
      </c>
      <c r="X208" s="25" t="inlineStr">
        <is>
          <t>Medium</t>
        </is>
      </c>
      <c r="Y208" s="25" t="n"/>
      <c r="Z208" s="26" t="n"/>
      <c r="AA208" s="26" t="inlineStr">
        <is>
          <t>AMU 2026-27: limited exemptions (≈1,800 of 5,500 students) – priority to continuing students, conflict zones, excellence scholarships. New master entrants usually pay €3,950.</t>
        </is>
      </c>
      <c r="AB208" s="28" t="inlineStr">
        <is>
          <t>https://www.univ-amu.fr/fr/actualites/aix-marseille-universite-mobilise-pleinement-capacite-dexoneration-continuer-accueillir</t>
        </is>
      </c>
      <c r="AC208" s="25" t="inlineStr">
        <is>
          <t>Open</t>
        </is>
      </c>
      <c r="AD208" s="25" t="inlineStr">
        <is>
          <t>2026-10-01</t>
        </is>
      </c>
      <c r="AE208" s="25" t="inlineStr">
        <is>
          <t>2027-03-15</t>
        </is>
      </c>
      <c r="AF208" s="25" t="inlineStr">
        <is>
          <t>No</t>
        </is>
      </c>
      <c r="AG208" s="28" t="inlineStr">
        <is>
          <t>https://formations.univ-amu.fr/fr/master/5SPF/PRSPF5C4</t>
        </is>
      </c>
      <c r="AH208" s="26" t="inlineStr">
        <is>
          <t>2 important points for your application : - Your application must be complete and validated by the Espace Etudes in France - The faculty will review the applications The level of English required is B2. Access to Master</t>
        </is>
      </c>
      <c r="AI208" s="28" t="inlineStr">
        <is>
          <t>Open in EEF</t>
        </is>
      </c>
    </row>
    <row r="209" ht="32.8" customHeight="1" s="19">
      <c r="A209" s="25" t="n">
        <v>208</v>
      </c>
      <c r="B209" s="25" t="inlineStr">
        <is>
          <t>★★★★☆</t>
        </is>
      </c>
      <c r="C209" s="25" t="inlineStr">
        <is>
          <t>4 – Strong fit (electronics/signal/robotics/IoT/sensors)</t>
        </is>
      </c>
      <c r="D209" s="25" t="inlineStr">
        <is>
          <t>Sensors / Instrumentation / Micro-Nano / Photonics</t>
        </is>
      </c>
      <c r="E209" s="26" t="inlineStr">
        <is>
          <t>Master indifférencié (recherche et professionnel) Sciences, technologies, santé mention Biologie, santé parcours Thérapies et Technologies du vivant (T2V) : Parcours Technologies et instrumentation pour le vivant</t>
        </is>
      </c>
      <c r="F209" s="26" t="inlineStr">
        <is>
          <t>Science, Technology, Health (STS) – major: Biology-Health – track: Thérapies &amp; Technologies of Life (T2V) : – track: Technologies &amp; Instrumentation for the Life</t>
        </is>
      </c>
      <c r="G209" s="25" t="inlineStr">
        <is>
          <t>Master indifférencié (recherche et professionnel)</t>
        </is>
      </c>
      <c r="H209" s="25" t="inlineStr">
        <is>
          <t>UFR de santé médecine biologie humaine - Léonard de Vinci</t>
        </is>
      </c>
      <c r="I209" s="25" t="inlineStr">
        <is>
          <t>Université Sorbonne Paris Nord</t>
        </is>
      </c>
      <c r="J209" s="25" t="inlineStr">
        <is>
          <t>Site de Bobigny</t>
        </is>
      </c>
      <c r="K209" s="25" t="n"/>
      <c r="L209" s="25" t="inlineStr">
        <is>
          <t>Public university</t>
        </is>
      </c>
      <c r="M209" s="25" t="inlineStr">
        <is>
          <t>French &amp; English</t>
        </is>
      </c>
      <c r="N209" s="25" t="inlineStr">
        <is>
          <t>General</t>
        </is>
      </c>
      <c r="O209" s="25" t="inlineStr">
        <is>
          <t>Bac +4 / Bac +5</t>
        </is>
      </c>
      <c r="P209" s="26" t="inlineStr">
        <is>
          <t>Eligible on level (4-yr BS ≈ Bac+4)</t>
        </is>
      </c>
      <c r="Q209" s="25" t="inlineStr">
        <is>
          <t>1/2</t>
        </is>
      </c>
      <c r="R209" s="25" t="n"/>
      <c r="S209" s="27" t="n">
        <v>3950</v>
      </c>
      <c r="T209" s="27" t="n">
        <v>255</v>
      </c>
      <c r="U209" s="25" t="n">
        <v>2</v>
      </c>
      <c r="V209" s="27">
        <f>IF(S209="","",S209*U209)</f>
        <v/>
      </c>
      <c r="W209" s="26" t="inlineStr">
        <is>
          <t>Catalogue: €3,950. = national differentiated master fee (2026-27: €3,950). Exemption to ~€255 possible (university quota).</t>
        </is>
      </c>
      <c r="X209" s="25" t="inlineStr">
        <is>
          <t>High</t>
        </is>
      </c>
      <c r="Y209" s="25" t="inlineStr">
        <is>
          <t>3950</t>
        </is>
      </c>
      <c r="Z209" s="26" t="n"/>
      <c r="AA209" s="26" t="n"/>
      <c r="AB209" s="25" t="n"/>
      <c r="AC209" s="25" t="inlineStr">
        <is>
          <t>Open</t>
        </is>
      </c>
      <c r="AD209" s="25" t="inlineStr">
        <is>
          <t>2026-10-01</t>
        </is>
      </c>
      <c r="AE209" s="25" t="inlineStr">
        <is>
          <t>2027-03-15</t>
        </is>
      </c>
      <c r="AF209" s="25" t="inlineStr">
        <is>
          <t>No</t>
        </is>
      </c>
      <c r="AG209" s="28" t="inlineStr">
        <is>
          <t>https://odf.univ-spn.fr/fr/offre-de-formation/master-lmd-XB/master-mention-biologie-sante-parcours-therapies-et-technologie-du-vivant-BI4TPH_117.html</t>
        </is>
      </c>
      <c r="AH209" s="26" t="inlineStr">
        <is>
          <t>Responsable du Master 1 et 2 : Mme Julie MARIN et Mr Tony PALAMA Master 1 : Année 1 Bac + 4 L’admission se fait sur dossier et après audition par visioconférence. Le M1 est accessible aux t itulaires d'une Licence obtenu</t>
        </is>
      </c>
      <c r="AI209" s="28" t="inlineStr">
        <is>
          <t>Open in EEF</t>
        </is>
      </c>
    </row>
    <row r="210" ht="32.8" customHeight="1" s="19">
      <c r="A210" s="25" t="n">
        <v>209</v>
      </c>
      <c r="B210" s="25" t="inlineStr">
        <is>
          <t>★★★★☆</t>
        </is>
      </c>
      <c r="C210" s="25" t="inlineStr">
        <is>
          <t>4 – Strong fit (electronics/signal/robotics/IoT/sensors)</t>
        </is>
      </c>
      <c r="D210" s="25" t="inlineStr">
        <is>
          <t>Signal / Image / Vision</t>
        </is>
      </c>
      <c r="E210" s="26" t="inlineStr">
        <is>
          <t>Master indifférencié (recherche et professionnel) Sciences, technologies, santé mention Informatique parcours Parcours ISICG Synthèse d'images et conception graphique- Parcours Graduate School “Computer Graphics”</t>
        </is>
      </c>
      <c r="F210" s="26" t="inlineStr">
        <is>
          <t>Science, Technology, Health (STS) – major: Computer Science – track: track: ISICG Synthesis of Images &amp; Design graphique- – track: Graduate School “Computer Graphics”</t>
        </is>
      </c>
      <c r="G210" s="25" t="inlineStr">
        <is>
          <t>Master indifférencié (recherche et professionnel)</t>
        </is>
      </c>
      <c r="H210" s="25" t="inlineStr">
        <is>
          <t>Faculté des Sciences et Techniques</t>
        </is>
      </c>
      <c r="I210" s="25" t="inlineStr">
        <is>
          <t>Université de Limoges</t>
        </is>
      </c>
      <c r="J210" s="25" t="inlineStr">
        <is>
          <t>Campus de la Borie Limoges</t>
        </is>
      </c>
      <c r="K210" s="25" t="n"/>
      <c r="L210" s="25" t="inlineStr">
        <is>
          <t>Public university</t>
        </is>
      </c>
      <c r="M210" s="25" t="inlineStr">
        <is>
          <t>French &amp; English</t>
        </is>
      </c>
      <c r="N210" s="25" t="inlineStr">
        <is>
          <t>General</t>
        </is>
      </c>
      <c r="O210" s="25" t="inlineStr">
        <is>
          <t>Bac +4 / Bac +5</t>
        </is>
      </c>
      <c r="P210" s="26" t="inlineStr">
        <is>
          <t>Eligible on level (4-yr BS ≈ Bac+4)</t>
        </is>
      </c>
      <c r="Q210" s="25" t="inlineStr">
        <is>
          <t>1/2</t>
        </is>
      </c>
      <c r="R210" s="25" t="n"/>
      <c r="S210" s="27" t="n">
        <v>3950</v>
      </c>
      <c r="T210" s="27" t="n">
        <v>255</v>
      </c>
      <c r="U210" s="25" t="n">
        <v>2</v>
      </c>
      <c r="V210" s="27">
        <f>IF(S210="","",S210*U210)</f>
        <v/>
      </c>
      <c r="W210" s="26" t="inlineStr">
        <is>
          <t>Catalogue: €3,950. = national differentiated master fee (2026-27: €3,950). Exemption to ~€255 possible (university quota).</t>
        </is>
      </c>
      <c r="X210" s="25" t="inlineStr">
        <is>
          <t>High</t>
        </is>
      </c>
      <c r="Y210" s="25" t="inlineStr">
        <is>
          <t>3950</t>
        </is>
      </c>
      <c r="Z210" s="26" t="n"/>
      <c r="AA210" s="26" t="n"/>
      <c r="AB210" s="25" t="n"/>
      <c r="AC210" s="25" t="inlineStr">
        <is>
          <t>Open</t>
        </is>
      </c>
      <c r="AD210" s="25" t="inlineStr">
        <is>
          <t>2026-10-01</t>
        </is>
      </c>
      <c r="AE210" s="25" t="inlineStr">
        <is>
          <t>2027-03-15</t>
        </is>
      </c>
      <c r="AF210" s="25" t="inlineStr">
        <is>
          <t>No</t>
        </is>
      </c>
      <c r="AG210" s="28" t="inlineStr">
        <is>
          <t>https://www.unilim.fr/gradschool-ceramics-ict/</t>
        </is>
      </c>
      <c r="AH210" s="26" t="inlineStr">
        <is>
          <t>This is the graduate school side of the ISICG Master. Applicants wanting to later continue with a PhD are encouraged to (also) apply here. 1st year : Applicants need to have a computer science bachelor (or equivalent). T</t>
        </is>
      </c>
      <c r="AI210" s="28" t="inlineStr">
        <is>
          <t>Open in EEF</t>
        </is>
      </c>
    </row>
    <row r="211" ht="43.25" customHeight="1" s="19">
      <c r="A211" s="25" t="n">
        <v>210</v>
      </c>
      <c r="B211" s="25" t="inlineStr">
        <is>
          <t>★★★★☆</t>
        </is>
      </c>
      <c r="C211" s="25" t="inlineStr">
        <is>
          <t>4 – Strong fit (electronics/signal/robotics/IoT/sensors)</t>
        </is>
      </c>
      <c r="D211" s="25" t="inlineStr">
        <is>
          <t>Embedded systems / Electronics</t>
        </is>
      </c>
      <c r="E211" s="26" t="inlineStr">
        <is>
          <t>Master indifférencié (recherche et professionnel) Sciences, technologies, santé mention Physique appliquée et Ingénierie physique parcours Parcours IXEO Hautes technologies électronique et photonique-Parcours Graduate School "High frequency electronics &amp; photonics"</t>
        </is>
      </c>
      <c r="F211" s="26" t="inlineStr">
        <is>
          <t>Science, Technology, Health (STS) – major: Applied Physics &amp; Engineering Physics – track: track: IXEO Hautes Technologies Electronics &amp; photonique-Parcours Graduate School "High frequency electronics &amp; photonics"</t>
        </is>
      </c>
      <c r="G211" s="25" t="inlineStr">
        <is>
          <t>Master indifférencié (recherche et professionnel)</t>
        </is>
      </c>
      <c r="H211" s="25" t="inlineStr">
        <is>
          <t>Faculté des Sciences et Techniques</t>
        </is>
      </c>
      <c r="I211" s="25" t="inlineStr">
        <is>
          <t>Université de Limoges</t>
        </is>
      </c>
      <c r="J211" s="25" t="inlineStr">
        <is>
          <t>Campus de la Borie Limoges</t>
        </is>
      </c>
      <c r="K211" s="25" t="n"/>
      <c r="L211" s="25" t="inlineStr">
        <is>
          <t>Public university</t>
        </is>
      </c>
      <c r="M211" s="25" t="inlineStr">
        <is>
          <t>French &amp; English</t>
        </is>
      </c>
      <c r="N211" s="25" t="inlineStr">
        <is>
          <t>General</t>
        </is>
      </c>
      <c r="O211" s="25" t="inlineStr">
        <is>
          <t>Bac +4 / Bac +5</t>
        </is>
      </c>
      <c r="P211" s="26" t="inlineStr">
        <is>
          <t>Eligible on level (4-yr BS ≈ Bac+4)</t>
        </is>
      </c>
      <c r="Q211" s="25" t="inlineStr">
        <is>
          <t>1/2</t>
        </is>
      </c>
      <c r="R211" s="25" t="inlineStr">
        <is>
          <t>12</t>
        </is>
      </c>
      <c r="S211" s="27" t="n">
        <v>3950</v>
      </c>
      <c r="T211" s="27" t="n">
        <v>255</v>
      </c>
      <c r="U211" s="25" t="n">
        <v>2</v>
      </c>
      <c r="V211" s="27">
        <f>IF(S211="","",S211*U211)</f>
        <v/>
      </c>
      <c r="W211" s="26" t="inlineStr">
        <is>
          <t>Catalogue: €3,950. = national differentiated master fee (2026-27: €3,950). Exemption to ~€255 possible (university quota).</t>
        </is>
      </c>
      <c r="X211" s="25" t="inlineStr">
        <is>
          <t>High</t>
        </is>
      </c>
      <c r="Y211" s="25" t="inlineStr">
        <is>
          <t>3950</t>
        </is>
      </c>
      <c r="Z211" s="26" t="n"/>
      <c r="AA211" s="26" t="n"/>
      <c r="AB211" s="25" t="n"/>
      <c r="AC211" s="25" t="inlineStr">
        <is>
          <t>Open</t>
        </is>
      </c>
      <c r="AD211" s="25" t="inlineStr">
        <is>
          <t>2026-10-01</t>
        </is>
      </c>
      <c r="AE211" s="25" t="inlineStr">
        <is>
          <t>2027-03-15</t>
        </is>
      </c>
      <c r="AF211" s="25" t="inlineStr">
        <is>
          <t>No</t>
        </is>
      </c>
      <c r="AG211" s="28" t="inlineStr">
        <is>
          <t>https://www.unilim.fr/gradschool-ceramics-ict/</t>
        </is>
      </c>
      <c r="AH211" s="26" t="inlineStr">
        <is>
          <t>This is the graduate school side of the IXEO Master. Applicants wanting to later continue with an applied PhD are encouraged to (also) apply here. Lectures are in English and also in French so a B2 level is strongly expe</t>
        </is>
      </c>
      <c r="AI211" s="28" t="inlineStr">
        <is>
          <t>Open in EEF</t>
        </is>
      </c>
    </row>
    <row r="212" ht="32.8" customHeight="1" s="19">
      <c r="A212" s="25" t="n">
        <v>211</v>
      </c>
      <c r="B212" s="25" t="inlineStr">
        <is>
          <t>★★★★☆</t>
        </is>
      </c>
      <c r="C212" s="25" t="inlineStr">
        <is>
          <t>4 – Strong fit (electronics/signal/robotics/IoT/sensors)</t>
        </is>
      </c>
      <c r="D212" s="25" t="inlineStr">
        <is>
          <t>Sensors / Instrumentation / Micro-Nano / Photonics</t>
        </is>
      </c>
      <c r="E212" s="26" t="inlineStr">
        <is>
          <t>Master indifférencié (recherche et professionnel) Sciences, technologies, santé mention Physique fondamentale et applications parcours Nanosciences, nanomatériaux, nanotechnologies</t>
        </is>
      </c>
      <c r="F212" s="26" t="inlineStr">
        <is>
          <t>Science, Technology, Health (STS) – major: Physics Fundamental &amp; Applications – track: Nanosciences, nanomatériaux, Nanotechnologies</t>
        </is>
      </c>
      <c r="G212" s="25" t="inlineStr">
        <is>
          <t>Master indifférencié (recherche et professionnel)</t>
        </is>
      </c>
      <c r="H212" s="25" t="inlineStr">
        <is>
          <t>Campus scientifique de BEAULIEU</t>
        </is>
      </c>
      <c r="I212" s="25" t="inlineStr">
        <is>
          <t>Université de Rennes</t>
        </is>
      </c>
      <c r="J212" s="25" t="inlineStr">
        <is>
          <t>Site de Rennes - FDS Faculté des sciences</t>
        </is>
      </c>
      <c r="K212" s="25" t="n"/>
      <c r="L212" s="25" t="inlineStr">
        <is>
          <t>Public university</t>
        </is>
      </c>
      <c r="M212" s="25" t="inlineStr">
        <is>
          <t>French &amp; English</t>
        </is>
      </c>
      <c r="N212" s="25" t="inlineStr">
        <is>
          <t>General</t>
        </is>
      </c>
      <c r="O212" s="25" t="inlineStr">
        <is>
          <t>Bac +4 / Bac +5</t>
        </is>
      </c>
      <c r="P212" s="26" t="inlineStr">
        <is>
          <t>Eligible on level (4-yr BS ≈ Bac+4)</t>
        </is>
      </c>
      <c r="Q212" s="25" t="inlineStr">
        <is>
          <t>1/2</t>
        </is>
      </c>
      <c r="R212" s="25" t="inlineStr">
        <is>
          <t>12</t>
        </is>
      </c>
      <c r="S212" s="27" t="n">
        <v>3950</v>
      </c>
      <c r="T212" s="27" t="n">
        <v>255</v>
      </c>
      <c r="U212" s="25" t="n">
        <v>2</v>
      </c>
      <c r="V212" s="27">
        <f>IF(S212="","",S212*U212)</f>
        <v/>
      </c>
      <c r="W212" s="26" t="inlineStr">
        <is>
          <t>Catalogue: €3,950. = national differentiated master fee (2026-27: €3,950). Exemption to ~€255 possible (university quota).</t>
        </is>
      </c>
      <c r="X212" s="25" t="inlineStr">
        <is>
          <t>High</t>
        </is>
      </c>
      <c r="Y212" s="25" t="inlineStr">
        <is>
          <t>3950</t>
        </is>
      </c>
      <c r="Z212" s="26" t="inlineStr">
        <is>
          <t>ption, il faudra vous acquitter obligatoirement des frais d'inscription s’élevant à 3 950 Euros</t>
        </is>
      </c>
      <c r="AA212" s="26" t="n"/>
      <c r="AB212" s="25" t="n"/>
      <c r="AC212" s="25" t="inlineStr">
        <is>
          <t>Open</t>
        </is>
      </c>
      <c r="AD212" s="25" t="inlineStr">
        <is>
          <t>2026-10-01</t>
        </is>
      </c>
      <c r="AE212" s="25" t="inlineStr">
        <is>
          <t>2027-03-15</t>
        </is>
      </c>
      <c r="AF212" s="25" t="inlineStr">
        <is>
          <t>No</t>
        </is>
      </c>
      <c r="AG212" s="28" t="inlineStr">
        <is>
          <t>https://formations.univ-rennes.fr/</t>
        </is>
      </c>
      <c r="AH212" s="26" t="inlineStr">
        <is>
          <t>Formations ou matières qu'il faut avoir déjà suivi au cours de son cursus antérieur : Licence de physique ou physique chimie, sciences des matériaux, master 1 en physique, bon socle en mathématiques. Niveau spécifique at</t>
        </is>
      </c>
      <c r="AI212" s="28" t="inlineStr">
        <is>
          <t>Open in EEF</t>
        </is>
      </c>
    </row>
    <row r="213" ht="32.8" customHeight="1" s="19">
      <c r="A213" s="25" t="n">
        <v>212</v>
      </c>
      <c r="B213" s="25" t="inlineStr">
        <is>
          <t>★★★★☆</t>
        </is>
      </c>
      <c r="C213" s="25" t="inlineStr">
        <is>
          <t>4 – Strong fit (electronics/signal/robotics/IoT/sensors)</t>
        </is>
      </c>
      <c r="D213" s="25" t="inlineStr">
        <is>
          <t>Sensors / Instrumentation / Micro-Nano / Photonics</t>
        </is>
      </c>
      <c r="E213" s="26" t="inlineStr">
        <is>
          <t>Master indifférencié (recherche et professionnel) Sciences, technologies, santé mention Physique fondamentale et applications parcours Photonique</t>
        </is>
      </c>
      <c r="F213" s="26" t="inlineStr">
        <is>
          <t>Science, Technology, Health (STS) – major: Physics Fundamental &amp; Applications – track: Photonics</t>
        </is>
      </c>
      <c r="G213" s="25" t="inlineStr">
        <is>
          <t>Master indifférencié (recherche et professionnel)</t>
        </is>
      </c>
      <c r="H213" s="25" t="inlineStr">
        <is>
          <t>Campus scientifique de BEAULIEU</t>
        </is>
      </c>
      <c r="I213" s="25" t="inlineStr">
        <is>
          <t>Université de Rennes</t>
        </is>
      </c>
      <c r="J213" s="25" t="inlineStr">
        <is>
          <t>Site de Rennes - FDS Faculté des sciences</t>
        </is>
      </c>
      <c r="K213" s="25" t="n"/>
      <c r="L213" s="25" t="inlineStr">
        <is>
          <t>Public university</t>
        </is>
      </c>
      <c r="M213" s="25" t="inlineStr">
        <is>
          <t>French &amp; English</t>
        </is>
      </c>
      <c r="N213" s="25" t="inlineStr">
        <is>
          <t>General</t>
        </is>
      </c>
      <c r="O213" s="25" t="inlineStr">
        <is>
          <t>Bac +4 / Bac +5</t>
        </is>
      </c>
      <c r="P213" s="26" t="inlineStr">
        <is>
          <t>Eligible on level (4-yr BS ≈ Bac+4)</t>
        </is>
      </c>
      <c r="Q213" s="25" t="inlineStr">
        <is>
          <t>1/2</t>
        </is>
      </c>
      <c r="R213" s="25" t="inlineStr">
        <is>
          <t>12</t>
        </is>
      </c>
      <c r="S213" s="27" t="n">
        <v>3950</v>
      </c>
      <c r="T213" s="27" t="n">
        <v>255</v>
      </c>
      <c r="U213" s="25" t="n">
        <v>2</v>
      </c>
      <c r="V213" s="27">
        <f>IF(S213="","",S213*U213)</f>
        <v/>
      </c>
      <c r="W213" s="26" t="inlineStr">
        <is>
          <t>Catalogue: €3,950. = national differentiated master fee (2026-27: €3,950). Exemption to ~€255 possible (university quota).</t>
        </is>
      </c>
      <c r="X213" s="25" t="inlineStr">
        <is>
          <t>High</t>
        </is>
      </c>
      <c r="Y213" s="25" t="inlineStr">
        <is>
          <t>3950</t>
        </is>
      </c>
      <c r="Z213" s="26" t="inlineStr">
        <is>
          <t>ption, il faudra vous acquitter obligatoirement des frais d'inscription s’élevant à 3 950 Euros … ption, il faudra vous acquitter obligatoirement des frais d'inscription s’élevant à 3 950 Euros</t>
        </is>
      </c>
      <c r="AA213" s="26" t="n"/>
      <c r="AB213" s="25" t="n"/>
      <c r="AC213" s="25" t="inlineStr">
        <is>
          <t>Open</t>
        </is>
      </c>
      <c r="AD213" s="25" t="inlineStr">
        <is>
          <t>2026-10-01</t>
        </is>
      </c>
      <c r="AE213" s="25" t="inlineStr">
        <is>
          <t>2027-03-15</t>
        </is>
      </c>
      <c r="AF213" s="25" t="inlineStr">
        <is>
          <t>No</t>
        </is>
      </c>
      <c r="AG213" s="28" t="inlineStr">
        <is>
          <t>https://formations.univ-rennes.fr/</t>
        </is>
      </c>
      <c r="AH213" s="26" t="inlineStr">
        <is>
          <t>Formations ou matières qu'il faut avoir déjà suivi au cours de son cursus antérieur : - pour le M1 : Licence de physique ou physique chimie, sciences des matériaux, master 1 en physique, bon socle en mathématiques - pour</t>
        </is>
      </c>
      <c r="AI213" s="28" t="inlineStr">
        <is>
          <t>Open in EEF</t>
        </is>
      </c>
    </row>
    <row r="214" ht="32.8" customHeight="1" s="19">
      <c r="A214" s="25" t="n">
        <v>213</v>
      </c>
      <c r="B214" s="25" t="inlineStr">
        <is>
          <t>★★★★☆</t>
        </is>
      </c>
      <c r="C214" s="25" t="inlineStr">
        <is>
          <t>4 – Strong fit (electronics/signal/robotics/IoT/sensors)</t>
        </is>
      </c>
      <c r="D214" s="25" t="inlineStr">
        <is>
          <t>Neuroscience / Neuro-engineering</t>
        </is>
      </c>
      <c r="E214" s="26" t="inlineStr">
        <is>
          <t>Master indifférencié (recherche et professionnel) Sciences, technologies, santé mention sciences du vivant parcours Neurosciences cognitives</t>
        </is>
      </c>
      <c r="F214" s="26" t="inlineStr">
        <is>
          <t>Science, Technology, Health (STS) – major: Sciences of Life – track: NeuroCognitive Science</t>
        </is>
      </c>
      <c r="G214" s="25" t="inlineStr">
        <is>
          <t>Master indifférencié (recherche et professionnel)</t>
        </is>
      </c>
      <c r="H214" s="25" t="inlineStr">
        <is>
          <t>Faculté des sciences de la vie</t>
        </is>
      </c>
      <c r="I214" s="25" t="inlineStr">
        <is>
          <t>Université de Strasbourg</t>
        </is>
      </c>
      <c r="J214" s="25" t="inlineStr">
        <is>
          <t>Site de Strasbourg</t>
        </is>
      </c>
      <c r="K214" s="25" t="inlineStr">
        <is>
          <t>67000 Strasbourg</t>
        </is>
      </c>
      <c r="L214" s="25" t="inlineStr">
        <is>
          <t>Public university</t>
        </is>
      </c>
      <c r="M214" s="25" t="inlineStr">
        <is>
          <t>French &amp; English</t>
        </is>
      </c>
      <c r="N214" s="25" t="inlineStr">
        <is>
          <t>General</t>
        </is>
      </c>
      <c r="O214" s="25" t="inlineStr">
        <is>
          <t>Bac +4 / Bac +5</t>
        </is>
      </c>
      <c r="P214" s="26" t="inlineStr">
        <is>
          <t>Eligible on level (4-yr BS ≈ Bac+4)</t>
        </is>
      </c>
      <c r="Q214" s="25" t="inlineStr">
        <is>
          <t>1/2</t>
        </is>
      </c>
      <c r="R214" s="25" t="n"/>
      <c r="S214" s="27" t="n">
        <v>3950</v>
      </c>
      <c r="T214" s="27" t="n">
        <v>255</v>
      </c>
      <c r="U214" s="25" t="n">
        <v>2</v>
      </c>
      <c r="V214" s="27">
        <f>IF(S214="","",S214*U214)</f>
        <v/>
      </c>
      <c r="W214" s="26" t="inlineStr">
        <is>
          <t>Catalogue: €3,950. = national differentiated master fee (2026-27: €3,950). Exemption to ~€255 possible (university quota).</t>
        </is>
      </c>
      <c r="X214" s="25" t="inlineStr">
        <is>
          <t>High</t>
        </is>
      </c>
      <c r="Y214" s="25" t="inlineStr">
        <is>
          <t>3950</t>
        </is>
      </c>
      <c r="Z214" s="26" t="n"/>
      <c r="AA214" s="26" t="inlineStr">
        <is>
          <t>Unistra: master entrants who did not do their licence at Unistra pay the differentiated fee (€3,950).</t>
        </is>
      </c>
      <c r="AB214" s="28" t="inlineStr">
        <is>
          <t>https://www.unistra.fr/fr/node/8168</t>
        </is>
      </c>
      <c r="AC214" s="25" t="inlineStr">
        <is>
          <t>Open</t>
        </is>
      </c>
      <c r="AD214" s="25" t="inlineStr">
        <is>
          <t>2026-10-01</t>
        </is>
      </c>
      <c r="AE214" s="25" t="inlineStr">
        <is>
          <t>2027-03-15</t>
        </is>
      </c>
      <c r="AF214" s="25" t="inlineStr">
        <is>
          <t>No</t>
        </is>
      </c>
      <c r="AG214" s="25" t="n"/>
      <c r="AH214" s="26" t="inlineStr">
        <is>
          <t>M1 : Connaissances et compétences acquises à partir de tout parcours équivalent à (1) la Licence Mention Sciences de la Vie, Parcours Biologie Cellulaire et Physiologie des Organismes de l'Université de Strasbourg, consi</t>
        </is>
      </c>
      <c r="AI214" s="28" t="inlineStr">
        <is>
          <t>Open in EEF</t>
        </is>
      </c>
    </row>
    <row r="215" ht="32.8" customHeight="1" s="19">
      <c r="A215" s="25" t="n">
        <v>214</v>
      </c>
      <c r="B215" s="25" t="inlineStr">
        <is>
          <t>★★★★☆</t>
        </is>
      </c>
      <c r="C215" s="25" t="inlineStr">
        <is>
          <t>4 – Strong fit (electronics/signal/robotics/IoT/sensors)</t>
        </is>
      </c>
      <c r="D215" s="25" t="inlineStr">
        <is>
          <t>Neuroscience / Neuro-engineering</t>
        </is>
      </c>
      <c r="E215" s="26" t="inlineStr">
        <is>
          <t>Master indifférencié (recherche et professionnel) Sciences, technologies, santé mention sciences du vivant parcours Neurosciences cellulaires et intégrées</t>
        </is>
      </c>
      <c r="F215" s="26" t="inlineStr">
        <is>
          <t>Science, Technology, Health (STS) – major: Sciences of Life – track: Neuroscience Cellular &amp; Integrated</t>
        </is>
      </c>
      <c r="G215" s="25" t="inlineStr">
        <is>
          <t>Master indifférencié (recherche et professionnel)</t>
        </is>
      </c>
      <c r="H215" s="25" t="inlineStr">
        <is>
          <t>Faculté des sciences de la vie</t>
        </is>
      </c>
      <c r="I215" s="25" t="inlineStr">
        <is>
          <t>Université de Strasbourg</t>
        </is>
      </c>
      <c r="J215" s="25" t="inlineStr">
        <is>
          <t>Site de Strasbourg</t>
        </is>
      </c>
      <c r="K215" s="25" t="inlineStr">
        <is>
          <t>67000 Strasbourg</t>
        </is>
      </c>
      <c r="L215" s="25" t="inlineStr">
        <is>
          <t>Public university</t>
        </is>
      </c>
      <c r="M215" s="25" t="inlineStr">
        <is>
          <t>French &amp; English</t>
        </is>
      </c>
      <c r="N215" s="25" t="inlineStr">
        <is>
          <t>General</t>
        </is>
      </c>
      <c r="O215" s="25" t="inlineStr">
        <is>
          <t>Bac +4 / Bac +5</t>
        </is>
      </c>
      <c r="P215" s="26" t="inlineStr">
        <is>
          <t>Eligible on level (4-yr BS ≈ Bac+4)</t>
        </is>
      </c>
      <c r="Q215" s="25" t="inlineStr">
        <is>
          <t>1/2</t>
        </is>
      </c>
      <c r="R215" s="25" t="n"/>
      <c r="S215" s="27" t="n">
        <v>3950</v>
      </c>
      <c r="T215" s="27" t="n">
        <v>255</v>
      </c>
      <c r="U215" s="25" t="n">
        <v>2</v>
      </c>
      <c r="V215" s="27">
        <f>IF(S215="","",S215*U215)</f>
        <v/>
      </c>
      <c r="W215" s="26" t="inlineStr">
        <is>
          <t>Catalogue: €3,950. = national differentiated master fee (2026-27: €3,950). Exemption to ~€255 possible (university quota).</t>
        </is>
      </c>
      <c r="X215" s="25" t="inlineStr">
        <is>
          <t>High</t>
        </is>
      </c>
      <c r="Y215" s="25" t="inlineStr">
        <is>
          <t>3950</t>
        </is>
      </c>
      <c r="Z215" s="26" t="n"/>
      <c r="AA215" s="26" t="inlineStr">
        <is>
          <t>Unistra: master entrants who did not do their licence at Unistra pay the differentiated fee (€3,950).</t>
        </is>
      </c>
      <c r="AB215" s="28" t="inlineStr">
        <is>
          <t>https://www.unistra.fr/fr/node/8168</t>
        </is>
      </c>
      <c r="AC215" s="25" t="inlineStr">
        <is>
          <t>Open</t>
        </is>
      </c>
      <c r="AD215" s="25" t="inlineStr">
        <is>
          <t>2026-10-01</t>
        </is>
      </c>
      <c r="AE215" s="25" t="inlineStr">
        <is>
          <t>2027-03-15</t>
        </is>
      </c>
      <c r="AF215" s="25" t="inlineStr">
        <is>
          <t>No</t>
        </is>
      </c>
      <c r="AG215" s="28" t="inlineStr">
        <is>
          <t>http://sciencesvie.unistra.fr/</t>
        </is>
      </c>
      <c r="AH215" s="26" t="inlineStr">
        <is>
          <t>M1 : Connaissances et compétences acquises à partir de tout parcours équivalent à (1) la Licence Mention Sciences de la Vie, Parcours Biologie Cellulaire et Physiologie des Organismes de l'Université de Strasbourg, consi</t>
        </is>
      </c>
      <c r="AI215" s="28" t="inlineStr">
        <is>
          <t>Open in EEF</t>
        </is>
      </c>
    </row>
    <row r="216" ht="32.8" customHeight="1" s="19">
      <c r="A216" s="25" t="n">
        <v>215</v>
      </c>
      <c r="B216" s="25" t="inlineStr">
        <is>
          <t>★★★★☆</t>
        </is>
      </c>
      <c r="C216" s="25" t="inlineStr">
        <is>
          <t>4 – Strong fit (electronics/signal/robotics/IoT/sensors)</t>
        </is>
      </c>
      <c r="D216" s="25" t="inlineStr">
        <is>
          <t>Robotics / Automation / Mechatronics</t>
        </is>
      </c>
      <c r="E216" s="26" t="inlineStr">
        <is>
          <t>Master Sciences, technologies, santé, mention Ingénierie des systèmes complexes parcours Automatique, robotique et systèmes intelligents2</t>
        </is>
      </c>
      <c r="F216" s="26" t="inlineStr">
        <is>
          <t>Master Science, Technology, Health (STS), – major: Complex Systems Engineering – track: Automation, Robotics &amp; Systems Intelligent2</t>
        </is>
      </c>
      <c r="G216" s="25" t="inlineStr">
        <is>
          <t>Master indifférencié (recherche et professionnel)</t>
        </is>
      </c>
      <c r="H216" s="25" t="inlineStr">
        <is>
          <t>Université de technologie de Compiègne</t>
        </is>
      </c>
      <c r="I216" s="25" t="n"/>
      <c r="J216" s="25" t="inlineStr">
        <is>
          <t>Site de Compiègne</t>
        </is>
      </c>
      <c r="K216" s="25" t="n"/>
      <c r="L216" s="25" t="inlineStr">
        <is>
          <t>Public university</t>
        </is>
      </c>
      <c r="M216" s="25" t="inlineStr">
        <is>
          <t>French &amp; English</t>
        </is>
      </c>
      <c r="N216" s="25" t="inlineStr">
        <is>
          <t>General</t>
        </is>
      </c>
      <c r="O216" s="25" t="inlineStr">
        <is>
          <t>Bac +4 / Bac +5</t>
        </is>
      </c>
      <c r="P216" s="26" t="inlineStr">
        <is>
          <t>Eligible on level (4-yr BS ≈ Bac+4)</t>
        </is>
      </c>
      <c r="Q216" s="25" t="inlineStr">
        <is>
          <t>1/2</t>
        </is>
      </c>
      <c r="R216" s="25" t="n"/>
      <c r="S216" s="27" t="n">
        <v>3950</v>
      </c>
      <c r="T216" s="27" t="n">
        <v>255</v>
      </c>
      <c r="U216" s="25" t="n">
        <v>2</v>
      </c>
      <c r="V216" s="27">
        <f>IF(S216="","",S216*U216)</f>
        <v/>
      </c>
      <c r="W216" s="26" t="inlineStr">
        <is>
          <t>Catalogue: €3,950. = national differentiated master fee (2026-27: €3,950). Exemption to ~€255 possible (university quota).</t>
        </is>
      </c>
      <c r="X216" s="25" t="inlineStr">
        <is>
          <t>High</t>
        </is>
      </c>
      <c r="Y216" s="25" t="inlineStr">
        <is>
          <t>3950</t>
        </is>
      </c>
      <c r="Z216" s="26" t="n"/>
      <c r="AA216" s="26" t="n"/>
      <c r="AB216" s="25" t="n"/>
      <c r="AC216" s="25" t="inlineStr">
        <is>
          <t>Open</t>
        </is>
      </c>
      <c r="AD216" s="25" t="inlineStr">
        <is>
          <t>2026-10-01</t>
        </is>
      </c>
      <c r="AE216" s="25" t="inlineStr">
        <is>
          <t>2027-03-15</t>
        </is>
      </c>
      <c r="AF216" s="25" t="inlineStr">
        <is>
          <t>No</t>
        </is>
      </c>
      <c r="AG216" s="28" t="inlineStr">
        <is>
          <t>https://www.utc.fr/formations/diplome-de-master/mention-ingenierie-des-systemes-complexes-isc/parcours-automatique-et-robotique-des-systemes-intelligents-ars/</t>
        </is>
      </c>
      <c r="AH216" s="26" t="inlineStr">
        <is>
          <t>Avoir validé le diplôme d'accès avec une moyenne supérieure ou égale à 12/20. Mentions de licences conseillées pour une entrée en M1 : Electronique, énergie électrique, automatique Informatique Mathématiques Physique Sci</t>
        </is>
      </c>
      <c r="AI216" s="28" t="inlineStr">
        <is>
          <t>Open in EEF</t>
        </is>
      </c>
    </row>
    <row r="217" ht="32.8" customHeight="1" s="19">
      <c r="A217" s="25" t="n">
        <v>216</v>
      </c>
      <c r="B217" s="25" t="inlineStr">
        <is>
          <t>★★★★☆</t>
        </is>
      </c>
      <c r="C217" s="25" t="inlineStr">
        <is>
          <t>4 – Strong fit (electronics/signal/robotics/IoT/sensors)</t>
        </is>
      </c>
      <c r="D217" s="25" t="inlineStr">
        <is>
          <t>Robotics / Automation / Mechatronics</t>
        </is>
      </c>
      <c r="E217" s="26" t="inlineStr">
        <is>
          <t>Master Sciences, technologies, santé, mention Ingénierie des systèmes complexes parcours Systèmes mécatroniques2</t>
        </is>
      </c>
      <c r="F217" s="26" t="inlineStr">
        <is>
          <t>Master Science, Technology, Health (STS), – major: Complex Systems Engineering – track: Systems Mechatronic2</t>
        </is>
      </c>
      <c r="G217" s="25" t="inlineStr">
        <is>
          <t>Master indifférencié (recherche et professionnel)</t>
        </is>
      </c>
      <c r="H217" s="25" t="inlineStr">
        <is>
          <t>Université de technologie de Compiègne</t>
        </is>
      </c>
      <c r="I217" s="25" t="n"/>
      <c r="J217" s="25" t="inlineStr">
        <is>
          <t>Site de Compiègne</t>
        </is>
      </c>
      <c r="K217" s="25" t="n"/>
      <c r="L217" s="25" t="inlineStr">
        <is>
          <t>Public university</t>
        </is>
      </c>
      <c r="M217" s="25" t="inlineStr">
        <is>
          <t>French &amp; English</t>
        </is>
      </c>
      <c r="N217" s="25" t="inlineStr">
        <is>
          <t>General</t>
        </is>
      </c>
      <c r="O217" s="25" t="inlineStr">
        <is>
          <t>Bac +4 / Bac +5</t>
        </is>
      </c>
      <c r="P217" s="26" t="inlineStr">
        <is>
          <t>Eligible on level (4-yr BS ≈ Bac+4)</t>
        </is>
      </c>
      <c r="Q217" s="25" t="inlineStr">
        <is>
          <t>1/2</t>
        </is>
      </c>
      <c r="R217" s="25" t="n"/>
      <c r="S217" s="27" t="n">
        <v>3950</v>
      </c>
      <c r="T217" s="27" t="n">
        <v>255</v>
      </c>
      <c r="U217" s="25" t="n">
        <v>2</v>
      </c>
      <c r="V217" s="27">
        <f>IF(S217="","",S217*U217)</f>
        <v/>
      </c>
      <c r="W217" s="26" t="inlineStr">
        <is>
          <t>Catalogue: €3,950. = national differentiated master fee (2026-27: €3,950). Exemption to ~€255 possible (university quota).</t>
        </is>
      </c>
      <c r="X217" s="25" t="inlineStr">
        <is>
          <t>High</t>
        </is>
      </c>
      <c r="Y217" s="25" t="inlineStr">
        <is>
          <t>3950</t>
        </is>
      </c>
      <c r="Z217" s="26" t="n"/>
      <c r="AA217" s="26" t="n"/>
      <c r="AB217" s="25" t="n"/>
      <c r="AC217" s="25" t="inlineStr">
        <is>
          <t>Open</t>
        </is>
      </c>
      <c r="AD217" s="25" t="inlineStr">
        <is>
          <t>2026-10-01</t>
        </is>
      </c>
      <c r="AE217" s="25" t="inlineStr">
        <is>
          <t>2027-03-15</t>
        </is>
      </c>
      <c r="AF217" s="25" t="inlineStr">
        <is>
          <t>No</t>
        </is>
      </c>
      <c r="AG217" s="28" t="inlineStr">
        <is>
          <t>https://www.utc.fr/formations/diplome-de-master/mention-ingenierie-des-systemes-complexes-isc/parcours-systemes-mecatroniques-smt/</t>
        </is>
      </c>
      <c r="AH217" s="26" t="inlineStr">
        <is>
          <t>Avoir validé le diplôme d'accès avec une moyenne supérieure ou égale à 12/20. Mentions de licences conseillées : Electronique, énergie électrique, automatique Mécanique Physique Sciences et technologies Sciences pour l'i</t>
        </is>
      </c>
      <c r="AI217" s="28" t="inlineStr">
        <is>
          <t>Open in EEF</t>
        </is>
      </c>
    </row>
    <row r="218" ht="22.35" customHeight="1" s="19">
      <c r="A218" s="25" t="n">
        <v>217</v>
      </c>
      <c r="B218" s="25" t="inlineStr">
        <is>
          <t>★★★★☆</t>
        </is>
      </c>
      <c r="C218" s="25" t="inlineStr">
        <is>
          <t>4 – Strong fit (electronics/signal/robotics/IoT/sensors)</t>
        </is>
      </c>
      <c r="D218" s="25" t="inlineStr">
        <is>
          <t>Robotics / Automation / Mechatronics</t>
        </is>
      </c>
      <c r="E218" s="26" t="inlineStr">
        <is>
          <t>Master indifférencié (recherche et professionnel) Sciences, technologies, santé mention Automatique, robotique parcours Systèmes Intelligents</t>
        </is>
      </c>
      <c r="F218" s="26" t="inlineStr">
        <is>
          <t>Science, Technology, Health (STS) – major: Automation, Robotics – track: Systems Intelligent</t>
        </is>
      </c>
      <c r="G218" s="25" t="inlineStr">
        <is>
          <t>Master indifférencié (recherche et professionnel)</t>
        </is>
      </c>
      <c r="H218" s="25" t="inlineStr">
        <is>
          <t>Sciences et Ingénierie</t>
        </is>
      </c>
      <c r="I218" s="25" t="inlineStr">
        <is>
          <t>Sorbonne Université</t>
        </is>
      </c>
      <c r="J218" s="25" t="inlineStr">
        <is>
          <t>Site de Paris</t>
        </is>
      </c>
      <c r="K218" s="25" t="n"/>
      <c r="L218" s="25" t="inlineStr">
        <is>
          <t>Public university</t>
        </is>
      </c>
      <c r="M218" s="25" t="inlineStr">
        <is>
          <t>French &amp; English</t>
        </is>
      </c>
      <c r="N218" s="25" t="inlineStr">
        <is>
          <t>General</t>
        </is>
      </c>
      <c r="O218" s="25" t="inlineStr">
        <is>
          <t>Bac +4 / Bac +5</t>
        </is>
      </c>
      <c r="P218" s="26" t="inlineStr">
        <is>
          <t>Eligible on level (4-yr BS ≈ Bac+4)</t>
        </is>
      </c>
      <c r="Q218" s="25" t="inlineStr">
        <is>
          <t>1/2</t>
        </is>
      </c>
      <c r="R218" s="25" t="n"/>
      <c r="S218" s="27" t="n">
        <v>3950</v>
      </c>
      <c r="T218" s="27" t="n">
        <v>255</v>
      </c>
      <c r="U218" s="25" t="n">
        <v>2</v>
      </c>
      <c r="V218" s="27">
        <f>IF(S218="","",S218*U218)</f>
        <v/>
      </c>
      <c r="W218" s="26" t="inlineStr">
        <is>
          <t>Not in catalogue. Public national master → 2026-27 differentiated fee €3,950; exemption to ~€254-255 depends on university quota (25% cap in 2027-28).</t>
        </is>
      </c>
      <c r="X218" s="25" t="inlineStr">
        <is>
          <t>Medium</t>
        </is>
      </c>
      <c r="Y218" s="25" t="n"/>
      <c r="Z218" s="26" t="n"/>
      <c r="AA218" s="26" t="inlineStr">
        <is>
          <t>Board vote 7 Jul 2026: Sorbonne Université says it can exempt all eligible non-EU applicants (pay same as EU, ~€254) for 2026-27.</t>
        </is>
      </c>
      <c r="AB218" s="28" t="inlineStr">
        <is>
          <t>https://www.sorbonne-universite.fr/actualites/le-conseil-dadministration-de-sorbonne-universite-vote-lunanimite-le-7-juillet-2026-sa</t>
        </is>
      </c>
      <c r="AC218" s="25" t="inlineStr">
        <is>
          <t>Open</t>
        </is>
      </c>
      <c r="AD218" s="25" t="inlineStr">
        <is>
          <t>2026-10-01</t>
        </is>
      </c>
      <c r="AE218" s="25" t="inlineStr">
        <is>
          <t>2027-03-15</t>
        </is>
      </c>
      <c r="AF218" s="25" t="inlineStr">
        <is>
          <t>No</t>
        </is>
      </c>
      <c r="AG218" s="28" t="inlineStr">
        <is>
          <t>https://masters-sdi.sorbonne-universite.fr/electronique-energie-electrique-automatique</t>
        </is>
      </c>
      <c r="AH218" s="26" t="n"/>
      <c r="AI218" s="28" t="inlineStr">
        <is>
          <t>Open in EEF</t>
        </is>
      </c>
    </row>
    <row r="219" ht="32.8" customHeight="1" s="19">
      <c r="A219" s="25" t="n">
        <v>218</v>
      </c>
      <c r="B219" s="25" t="inlineStr">
        <is>
          <t>★★★★☆</t>
        </is>
      </c>
      <c r="C219" s="25" t="inlineStr">
        <is>
          <t>4 – Strong fit (electronics/signal/robotics/IoT/sensors)</t>
        </is>
      </c>
      <c r="D219" s="25" t="inlineStr">
        <is>
          <t>Embedded systems / Electronics</t>
        </is>
      </c>
      <c r="E219" s="26" t="inlineStr">
        <is>
          <t>Master indifférencié (recherche et professionnel) Sciences, technologies, santé mention Electronique, énergie électrique, automatique parcours Capteurs, Instrumentation et Mesures</t>
        </is>
      </c>
      <c r="F219" s="26" t="inlineStr">
        <is>
          <t>Science, Technology, Health (STS) – major: Electronics, Electrical Energy &amp; Automation (EEA) – track: Sensors, Instrumentation &amp; Measurements</t>
        </is>
      </c>
      <c r="G219" s="25" t="inlineStr">
        <is>
          <t>Master indifférencié (recherche et professionnel)</t>
        </is>
      </c>
      <c r="H219" s="25" t="inlineStr">
        <is>
          <t>Sciences et Ingénierie</t>
        </is>
      </c>
      <c r="I219" s="25" t="inlineStr">
        <is>
          <t>Sorbonne Université</t>
        </is>
      </c>
      <c r="J219" s="25" t="inlineStr">
        <is>
          <t>Site de Paris</t>
        </is>
      </c>
      <c r="K219" s="25" t="n"/>
      <c r="L219" s="25" t="inlineStr">
        <is>
          <t>Public university</t>
        </is>
      </c>
      <c r="M219" s="25" t="inlineStr">
        <is>
          <t>French &amp; English</t>
        </is>
      </c>
      <c r="N219" s="25" t="inlineStr">
        <is>
          <t>General</t>
        </is>
      </c>
      <c r="O219" s="25" t="inlineStr">
        <is>
          <t>Bac +4 / Bac +5</t>
        </is>
      </c>
      <c r="P219" s="26" t="inlineStr">
        <is>
          <t>Eligible on level (4-yr BS ≈ Bac+4)</t>
        </is>
      </c>
      <c r="Q219" s="25" t="inlineStr">
        <is>
          <t>1/2</t>
        </is>
      </c>
      <c r="R219" s="25" t="n"/>
      <c r="S219" s="27" t="n">
        <v>3950</v>
      </c>
      <c r="T219" s="27" t="n">
        <v>255</v>
      </c>
      <c r="U219" s="25" t="n">
        <v>2</v>
      </c>
      <c r="V219" s="27">
        <f>IF(S219="","",S219*U219)</f>
        <v/>
      </c>
      <c r="W219" s="26" t="inlineStr">
        <is>
          <t>Not in catalogue. Public national master → 2026-27 differentiated fee €3,950; exemption to ~€254-255 depends on university quota (25% cap in 2027-28).</t>
        </is>
      </c>
      <c r="X219" s="25" t="inlineStr">
        <is>
          <t>Medium</t>
        </is>
      </c>
      <c r="Y219" s="25" t="n"/>
      <c r="Z219" s="26" t="n"/>
      <c r="AA219" s="26" t="inlineStr">
        <is>
          <t>Board vote 7 Jul 2026: Sorbonne Université says it can exempt all eligible non-EU applicants (pay same as EU, ~€254) for 2026-27.</t>
        </is>
      </c>
      <c r="AB219" s="28" t="inlineStr">
        <is>
          <t>https://www.sorbonne-universite.fr/actualites/le-conseil-dadministration-de-sorbonne-universite-vote-lunanimite-le-7-juillet-2026-sa</t>
        </is>
      </c>
      <c r="AC219" s="25" t="inlineStr">
        <is>
          <t>Open</t>
        </is>
      </c>
      <c r="AD219" s="25" t="inlineStr">
        <is>
          <t>2026-10-01</t>
        </is>
      </c>
      <c r="AE219" s="25" t="inlineStr">
        <is>
          <t>2027-03-15</t>
        </is>
      </c>
      <c r="AF219" s="25" t="inlineStr">
        <is>
          <t>No</t>
        </is>
      </c>
      <c r="AG219" s="28" t="inlineStr">
        <is>
          <t>https://masters-sdi.sorbonne-universite.fr/electronique-energie-electrique-automatique</t>
        </is>
      </c>
      <c r="AH219" s="26" t="n"/>
      <c r="AI219" s="28" t="inlineStr">
        <is>
          <t>Open in EEF</t>
        </is>
      </c>
    </row>
    <row r="220" ht="43.25" customHeight="1" s="19">
      <c r="A220" s="25" t="n">
        <v>219</v>
      </c>
      <c r="B220" s="25" t="inlineStr">
        <is>
          <t>★★★★☆</t>
        </is>
      </c>
      <c r="C220" s="25" t="inlineStr">
        <is>
          <t>4 – Strong fit (electronics/signal/robotics/IoT/sensors)</t>
        </is>
      </c>
      <c r="D220" s="25" t="inlineStr">
        <is>
          <t>Electrical energy</t>
        </is>
      </c>
      <c r="E220" s="26" t="inlineStr">
        <is>
          <t>Master indifférencié (recherche et professionnel) Sciences, technologies, santé mention énergie parcours Energie Electrique</t>
        </is>
      </c>
      <c r="F220" s="26" t="inlineStr">
        <is>
          <t>Science, Technology, Health (STS) – major: Energy – track: Energy Electrical</t>
        </is>
      </c>
      <c r="G220" s="25" t="inlineStr">
        <is>
          <t>Master indifférencié (recherche et professionnel)</t>
        </is>
      </c>
      <c r="H220" s="25" t="inlineStr">
        <is>
          <t>UFR Sciences, Techniques et Gestion de l'Industrie</t>
        </is>
      </c>
      <c r="I220" s="25" t="inlineStr">
        <is>
          <t>Université Marie et Louis Pasteur</t>
        </is>
      </c>
      <c r="J220" s="25" t="inlineStr">
        <is>
          <t>Site de Belfort</t>
        </is>
      </c>
      <c r="K220" s="25" t="inlineStr">
        <is>
          <t>90000 BELFORT</t>
        </is>
      </c>
      <c r="L220" s="25" t="inlineStr">
        <is>
          <t>Public university</t>
        </is>
      </c>
      <c r="M220" s="25" t="inlineStr">
        <is>
          <t>French &amp; English</t>
        </is>
      </c>
      <c r="N220" s="25" t="inlineStr">
        <is>
          <t>General</t>
        </is>
      </c>
      <c r="O220" s="25" t="inlineStr">
        <is>
          <t>Bac +4 / Bac +5</t>
        </is>
      </c>
      <c r="P220" s="26" t="inlineStr">
        <is>
          <t>Eligible on level (4-yr BS ≈ Bac+4)</t>
        </is>
      </c>
      <c r="Q220" s="25" t="inlineStr">
        <is>
          <t>1/2</t>
        </is>
      </c>
      <c r="R220" s="25" t="inlineStr">
        <is>
          <t>12</t>
        </is>
      </c>
      <c r="S220" s="27" t="n">
        <v>3950</v>
      </c>
      <c r="T220" s="27" t="n">
        <v>255</v>
      </c>
      <c r="U220" s="25" t="n">
        <v>2</v>
      </c>
      <c r="V220" s="27">
        <f>IF(S220="","",S220*U220)</f>
        <v/>
      </c>
      <c r="W220" s="26" t="inlineStr">
        <is>
          <t>Not in catalogue. Public national master → 2026-27 differentiated fee €3,950; exemption to ~€254-255 depends on university quota (25% cap in 2027-28).</t>
        </is>
      </c>
      <c r="X220" s="25" t="inlineStr">
        <is>
          <t>Medium</t>
        </is>
      </c>
      <c r="Y220" s="25" t="n"/>
      <c r="Z220" s="26" t="inlineStr">
        <is>
          <t>(Pour information, le montant de la CVEC, pour la rentrée 2026-2027, était de 105€) … (Pour information, le montant de la CVEC, pour la rentrée 2026-2027, était de 105€)</t>
        </is>
      </c>
      <c r="AA220" s="26" t="inlineStr">
        <is>
          <t>UMLP: individual exemption requests assessed on personal resources.</t>
        </is>
      </c>
      <c r="AB220" s="28" t="inlineStr">
        <is>
          <t>https://www.umlp.fr/sites/default/files/2026-07-02-page-droits-differencies-vf.pdf</t>
        </is>
      </c>
      <c r="AC220" s="25" t="inlineStr">
        <is>
          <t>Open</t>
        </is>
      </c>
      <c r="AD220" s="25" t="inlineStr">
        <is>
          <t>2026-10-01</t>
        </is>
      </c>
      <c r="AE220" s="25" t="inlineStr">
        <is>
          <t>2027-03-15</t>
        </is>
      </c>
      <c r="AF220" s="25" t="inlineStr">
        <is>
          <t>No</t>
        </is>
      </c>
      <c r="AG220" s="28" t="inlineStr">
        <is>
          <t>https://stgi.umlp.fr/</t>
        </is>
      </c>
      <c r="AH220" s="26" t="inlineStr">
        <is>
          <t>Niveau de langue Français C1 MINIMUM . Niveau de langue Anglais B1 MINIMUM. Etudiant classé au MINIMUM dans le PREMIER QUART de sa promotion . Pour l'accès en Master 1 : - étudiant titulaire d'une LICENCE CLASSIQUE du mê</t>
        </is>
      </c>
      <c r="AI220" s="28" t="inlineStr">
        <is>
          <t>Open in EEF</t>
        </is>
      </c>
    </row>
    <row r="221" ht="22.35" customHeight="1" s="19">
      <c r="A221" s="25" t="n">
        <v>220</v>
      </c>
      <c r="B221" s="25" t="inlineStr">
        <is>
          <t>★★★★☆</t>
        </is>
      </c>
      <c r="C221" s="25" t="inlineStr">
        <is>
          <t>4 – Strong fit (electronics/signal/robotics/IoT/sensors)</t>
        </is>
      </c>
      <c r="D221" s="25" t="inlineStr">
        <is>
          <t>Electrical energy</t>
        </is>
      </c>
      <c r="E221" s="26" t="inlineStr">
        <is>
          <t>Master indifférencié (recherche et professionnel) Sciences, technologies, santé mention Energie parcours Master of science - Electrical Energy Systems (EES)</t>
        </is>
      </c>
      <c r="F221" s="26" t="inlineStr">
        <is>
          <t>Science, Technology, Health (STS) – major: Energy – track: Master of Science - Electrical Energy Systems (EES)</t>
        </is>
      </c>
      <c r="G221" s="25" t="inlineStr">
        <is>
          <t>Master indifférencié (recherche et professionnel)</t>
        </is>
      </c>
      <c r="H221" s="25" t="inlineStr">
        <is>
          <t>École nationale supérieure d'électrotechnique, d'électronique, d'informatique, d'hydraulique et des télécommunications</t>
        </is>
      </c>
      <c r="I221" s="25" t="inlineStr">
        <is>
          <t>Institut national polytechnique de Toulouse</t>
        </is>
      </c>
      <c r="J221" s="25" t="inlineStr">
        <is>
          <t>Site de Toulouse</t>
        </is>
      </c>
      <c r="K221" s="25" t="inlineStr">
        <is>
          <t>31071 Toulouse Cedex</t>
        </is>
      </c>
      <c r="L221" s="25" t="inlineStr">
        <is>
          <t>Public school / institute</t>
        </is>
      </c>
      <c r="M221" s="25" t="inlineStr">
        <is>
          <t>French &amp; English</t>
        </is>
      </c>
      <c r="N221" s="25" t="inlineStr">
        <is>
          <t>General</t>
        </is>
      </c>
      <c r="O221" s="25" t="inlineStr">
        <is>
          <t>Bac +4 / Bac +5</t>
        </is>
      </c>
      <c r="P221" s="26" t="inlineStr">
        <is>
          <t>Eligible on level (4-yr BS ≈ Bac+4)</t>
        </is>
      </c>
      <c r="Q221" s="25" t="inlineStr">
        <is>
          <t>1/2</t>
        </is>
      </c>
      <c r="R221" s="25" t="inlineStr">
        <is>
          <t>12</t>
        </is>
      </c>
      <c r="S221" s="27" t="n">
        <v>3950</v>
      </c>
      <c r="T221" s="27" t="n">
        <v>255</v>
      </c>
      <c r="U221" s="25" t="n">
        <v>2</v>
      </c>
      <c r="V221" s="27">
        <f>IF(S221="","",S221*U221)</f>
        <v/>
      </c>
      <c r="W221" s="26" t="inlineStr">
        <is>
          <t>Not in catalogue. Public national master → 2026-27 differentiated fee €3,950; exemption to ~€254-255 depends on university quota (25% cap in 2027-28).</t>
        </is>
      </c>
      <c r="X221" s="25" t="inlineStr">
        <is>
          <t>Medium</t>
        </is>
      </c>
      <c r="Y221" s="25" t="n"/>
      <c r="Z221" s="26" t="n"/>
      <c r="AA221" s="26" t="n"/>
      <c r="AB221" s="25" t="n"/>
      <c r="AC221" s="25" t="inlineStr">
        <is>
          <t>Open</t>
        </is>
      </c>
      <c r="AD221" s="25" t="inlineStr">
        <is>
          <t>2026-10-01</t>
        </is>
      </c>
      <c r="AE221" s="25" t="inlineStr">
        <is>
          <t>2027-03-15</t>
        </is>
      </c>
      <c r="AF221" s="25" t="inlineStr">
        <is>
          <t>Yes</t>
        </is>
      </c>
      <c r="AG221" s="28" t="inlineStr">
        <is>
          <t>http://www.enseeiht.fr/fr/formation/masters-internationaux-masters-of-science/ees-electrical-energy-systems.html</t>
        </is>
      </c>
      <c r="AH221" s="26" t="inlineStr">
        <is>
          <t>Bachelor ou équivalent pour l'année 1. M1 ou équivalent pour l'année 2.</t>
        </is>
      </c>
      <c r="AI221" s="28" t="inlineStr">
        <is>
          <t>Open in EEF</t>
        </is>
      </c>
    </row>
    <row r="222" ht="32.8" customHeight="1" s="19">
      <c r="A222" s="25" t="n">
        <v>221</v>
      </c>
      <c r="B222" s="25" t="inlineStr">
        <is>
          <t>★★★★☆</t>
        </is>
      </c>
      <c r="C222" s="25" t="inlineStr">
        <is>
          <t>4 – Strong fit (electronics/signal/robotics/IoT/sensors)</t>
        </is>
      </c>
      <c r="D222" s="25" t="inlineStr">
        <is>
          <t>Signal / Image / Vision</t>
        </is>
      </c>
      <c r="E222" s="26" t="inlineStr">
        <is>
          <t>Master indifférencié (recherche et professionnel) Sciences, technologies, santé mention informatique parcours IMAges, vision par ordinateur, informatique graphique (IMA)</t>
        </is>
      </c>
      <c r="F222" s="26" t="inlineStr">
        <is>
          <t>Science, Technology, Health (STS) – major: Computer Science – track: Images, Computer Vision, Computer Science graphique (IMA)</t>
        </is>
      </c>
      <c r="G222" s="25" t="inlineStr">
        <is>
          <t>Master indifférencié (recherche et professionnel)</t>
        </is>
      </c>
      <c r="H222" s="25" t="inlineStr">
        <is>
          <t>Sciences et Ingénierie</t>
        </is>
      </c>
      <c r="I222" s="25" t="inlineStr">
        <is>
          <t>Sorbonne Université</t>
        </is>
      </c>
      <c r="J222" s="25" t="inlineStr">
        <is>
          <t>Site de Paris</t>
        </is>
      </c>
      <c r="K222" s="25" t="n"/>
      <c r="L222" s="25" t="inlineStr">
        <is>
          <t>Public university</t>
        </is>
      </c>
      <c r="M222" s="25" t="inlineStr">
        <is>
          <t>French &amp; English</t>
        </is>
      </c>
      <c r="N222" s="25" t="inlineStr">
        <is>
          <t>General</t>
        </is>
      </c>
      <c r="O222" s="25" t="inlineStr">
        <is>
          <t>Bac +4 / Bac +5</t>
        </is>
      </c>
      <c r="P222" s="26" t="inlineStr">
        <is>
          <t>Eligible on level (4-yr BS ≈ Bac+4)</t>
        </is>
      </c>
      <c r="Q222" s="25" t="inlineStr">
        <is>
          <t>1/2</t>
        </is>
      </c>
      <c r="R222" s="25" t="n"/>
      <c r="S222" s="27" t="n">
        <v>3950</v>
      </c>
      <c r="T222" s="27" t="n">
        <v>255</v>
      </c>
      <c r="U222" s="25" t="n">
        <v>2</v>
      </c>
      <c r="V222" s="27">
        <f>IF(S222="","",S222*U222)</f>
        <v/>
      </c>
      <c r="W222" s="26" t="inlineStr">
        <is>
          <t>Not in catalogue. Public national master → 2026-27 differentiated fee €3,950; exemption to ~€254-255 depends on university quota (25% cap in 2027-28).</t>
        </is>
      </c>
      <c r="X222" s="25" t="inlineStr">
        <is>
          <t>Medium</t>
        </is>
      </c>
      <c r="Y222" s="25" t="n"/>
      <c r="Z222" s="26" t="n"/>
      <c r="AA222" s="26" t="inlineStr">
        <is>
          <t>Board vote 7 Jul 2026: Sorbonne Université says it can exempt all eligible non-EU applicants (pay same as EU, ~€254) for 2026-27.</t>
        </is>
      </c>
      <c r="AB222" s="28" t="inlineStr">
        <is>
          <t>https://www.sorbonne-universite.fr/actualites/le-conseil-dadministration-de-sorbonne-universite-vote-lunanimite-le-7-juillet-2026-sa</t>
        </is>
      </c>
      <c r="AC222" s="25" t="inlineStr">
        <is>
          <t>Open</t>
        </is>
      </c>
      <c r="AD222" s="25" t="inlineStr">
        <is>
          <t>2026-10-01</t>
        </is>
      </c>
      <c r="AE222" s="25" t="inlineStr">
        <is>
          <t>2027-03-15</t>
        </is>
      </c>
      <c r="AF222" s="25" t="inlineStr">
        <is>
          <t>No</t>
        </is>
      </c>
      <c r="AG222" s="28" t="inlineStr">
        <is>
          <t>https://sciences.sorbonne-universite.fr/formation-sciences/offre-de-formation/masters/master-informatique/parcours-ima</t>
        </is>
      </c>
      <c r="AH222" s="26" t="inlineStr">
        <is>
          <t>OUI</t>
        </is>
      </c>
      <c r="AI222" s="28" t="inlineStr">
        <is>
          <t>Open in EEF</t>
        </is>
      </c>
    </row>
    <row r="223" ht="32.8" customHeight="1" s="19">
      <c r="A223" s="25" t="n">
        <v>222</v>
      </c>
      <c r="B223" s="25" t="inlineStr">
        <is>
          <t>★★★★☆</t>
        </is>
      </c>
      <c r="C223" s="25" t="inlineStr">
        <is>
          <t>4 – Strong fit (electronics/signal/robotics/IoT/sensors)</t>
        </is>
      </c>
      <c r="D223" s="25" t="inlineStr">
        <is>
          <t>Neuroscience / Neuro-engineering</t>
        </is>
      </c>
      <c r="E223" s="26" t="inlineStr">
        <is>
          <t>Master indifférencié (recherche et professionnel) Sciences, technologies, santé mention Neurosciences parcours Neurosciences</t>
        </is>
      </c>
      <c r="F223" s="26" t="inlineStr">
        <is>
          <t>Science, Technology, Health (STS) – major: Neuroscience – track: Neuroscience</t>
        </is>
      </c>
      <c r="G223" s="25" t="inlineStr">
        <is>
          <t>Master indifférencié (recherche et professionnel)</t>
        </is>
      </c>
      <c r="H223" s="25" t="inlineStr">
        <is>
          <t>UFR des Sciences Fondamentales et Biomédicales</t>
        </is>
      </c>
      <c r="I223" s="25" t="inlineStr">
        <is>
          <t>Université Paris Cité</t>
        </is>
      </c>
      <c r="J223" s="25" t="inlineStr">
        <is>
          <t>Site de Paris</t>
        </is>
      </c>
      <c r="K223" s="25" t="inlineStr">
        <is>
          <t>75006 Paris</t>
        </is>
      </c>
      <c r="L223" s="25" t="inlineStr">
        <is>
          <t>Public university</t>
        </is>
      </c>
      <c r="M223" s="25" t="inlineStr">
        <is>
          <t>French &amp; English</t>
        </is>
      </c>
      <c r="N223" s="25" t="inlineStr">
        <is>
          <t>General</t>
        </is>
      </c>
      <c r="O223" s="25" t="inlineStr">
        <is>
          <t>Bac +4 / Bac +5</t>
        </is>
      </c>
      <c r="P223" s="26" t="inlineStr">
        <is>
          <t>Eligible on level (4-yr BS ≈ Bac+4)</t>
        </is>
      </c>
      <c r="Q223" s="25" t="inlineStr">
        <is>
          <t>1/2</t>
        </is>
      </c>
      <c r="R223" s="25" t="n"/>
      <c r="S223" s="27" t="n">
        <v>3950</v>
      </c>
      <c r="T223" s="27" t="n">
        <v>255</v>
      </c>
      <c r="U223" s="25" t="n">
        <v>2</v>
      </c>
      <c r="V223" s="27">
        <f>IF(S223="","",S223*U223)</f>
        <v/>
      </c>
      <c r="W223" s="26" t="inlineStr">
        <is>
          <t>Not in catalogue. Public national master → 2026-27 differentiated fee €3,950; exemption to ~€254-255 depends on university quota (25% cap in 2027-28).</t>
        </is>
      </c>
      <c r="X223" s="25" t="inlineStr">
        <is>
          <t>Medium</t>
        </is>
      </c>
      <c r="Y223" s="25" t="n"/>
      <c r="Z223" s="26" t="n"/>
      <c r="AA223" s="26" t="inlineStr">
        <is>
          <t>Paris Cité historically exempted non-EU master students (paid EU rate). 2026-27/2027-28 policy not yet published – confirm.</t>
        </is>
      </c>
      <c r="AB223" s="28" t="inlineStr">
        <is>
          <t>https://u-paris.fr/droits-dinscription-tarifs-exonerations/</t>
        </is>
      </c>
      <c r="AC223" s="25" t="inlineStr">
        <is>
          <t>Open</t>
        </is>
      </c>
      <c r="AD223" s="25" t="inlineStr">
        <is>
          <t>2026-10-01</t>
        </is>
      </c>
      <c r="AE223" s="25" t="inlineStr">
        <is>
          <t>2027-03-15</t>
        </is>
      </c>
      <c r="AF223" s="25" t="inlineStr">
        <is>
          <t>Yes</t>
        </is>
      </c>
      <c r="AG223" s="28" t="inlineStr">
        <is>
          <t>https://odf.u-paris.fr/fr/offre-de-formation/master-XB/sciences-technologies-sante-STS/neurosciences-K2NDMRJL.html</t>
        </is>
      </c>
      <c r="AH223" s="26" t="inlineStr">
        <is>
          <t>Attendus : 1) Bonne maîtrise de langue en anglais et en français (expression oral et écrite), 2) Bon niveau académique, 3) Bonne maîtrise des connaissances théoriques et expérimentales en sciences, en particulier les mat</t>
        </is>
      </c>
      <c r="AI223" s="28" t="inlineStr">
        <is>
          <t>Open in EEF</t>
        </is>
      </c>
    </row>
    <row r="224" ht="32.8" customHeight="1" s="19">
      <c r="A224" s="25" t="n">
        <v>223</v>
      </c>
      <c r="B224" s="25" t="inlineStr">
        <is>
          <t>★★★★☆</t>
        </is>
      </c>
      <c r="C224" s="25" t="inlineStr">
        <is>
          <t>4 – Strong fit (electronics/signal/robotics/IoT/sensors)</t>
        </is>
      </c>
      <c r="D224" s="25" t="inlineStr">
        <is>
          <t>Electrical energy</t>
        </is>
      </c>
      <c r="E224" s="26" t="inlineStr">
        <is>
          <t>Master Sciences, technologies, santé mention énergie parcours Electrical engineering</t>
        </is>
      </c>
      <c r="F224" s="26" t="inlineStr">
        <is>
          <t>Master Science, Technology, Health (STS) – major: Energy – track: Electrical engineering</t>
        </is>
      </c>
      <c r="G224" s="25" t="inlineStr">
        <is>
          <t>Master indifférencié (recherche et professionnel)</t>
        </is>
      </c>
      <c r="H224" s="25" t="inlineStr">
        <is>
          <t>UFR Sciences, Techniques et Gestion de l'Industrie</t>
        </is>
      </c>
      <c r="I224" s="25" t="inlineStr">
        <is>
          <t>Université Marie et Louis Pasteur</t>
        </is>
      </c>
      <c r="J224" s="25" t="inlineStr">
        <is>
          <t>Site de Belfort</t>
        </is>
      </c>
      <c r="K224" s="25" t="inlineStr">
        <is>
          <t>90000 BELFORT</t>
        </is>
      </c>
      <c r="L224" s="25" t="inlineStr">
        <is>
          <t>Public university</t>
        </is>
      </c>
      <c r="M224" s="25" t="inlineStr">
        <is>
          <t>French &amp; English</t>
        </is>
      </c>
      <c r="N224" s="25" t="inlineStr">
        <is>
          <t>General</t>
        </is>
      </c>
      <c r="O224" s="25" t="inlineStr">
        <is>
          <t>Bac +4 / Bac +5</t>
        </is>
      </c>
      <c r="P224" s="26" t="inlineStr">
        <is>
          <t>Eligible on level (4-yr BS ≈ Bac+4)</t>
        </is>
      </c>
      <c r="Q224" s="25" t="inlineStr">
        <is>
          <t>1/2</t>
        </is>
      </c>
      <c r="R224" s="25" t="inlineStr">
        <is>
          <t>12</t>
        </is>
      </c>
      <c r="S224" s="27" t="n">
        <v>3950</v>
      </c>
      <c r="T224" s="27" t="n">
        <v>255</v>
      </c>
      <c r="U224" s="25" t="n">
        <v>2</v>
      </c>
      <c r="V224" s="27">
        <f>IF(S224="","",S224*U224)</f>
        <v/>
      </c>
      <c r="W224" s="26" t="inlineStr">
        <is>
          <t>Not in catalogue. Public national master → 2026-27 differentiated fee €3,950; exemption to ~€254-255 depends on university quota (25% cap in 2027-28).</t>
        </is>
      </c>
      <c r="X224" s="25" t="inlineStr">
        <is>
          <t>Medium</t>
        </is>
      </c>
      <c r="Y224" s="25" t="n"/>
      <c r="Z224" s="26" t="inlineStr">
        <is>
          <t>(Pour information, le montant de la CVEC, pour la rentrée 2026-2027, était de 105€) … (Pour information, le montant de la CVEC, pour la rentrée 2026-2027, était de 105€)</t>
        </is>
      </c>
      <c r="AA224" s="26" t="inlineStr">
        <is>
          <t>UMLP: individual exemption requests assessed on personal resources.</t>
        </is>
      </c>
      <c r="AB224" s="28" t="inlineStr">
        <is>
          <t>https://www.umlp.fr/sites/default/files/2026-07-02-page-droits-differencies-vf.pdf</t>
        </is>
      </c>
      <c r="AC224" s="25" t="inlineStr">
        <is>
          <t>Open</t>
        </is>
      </c>
      <c r="AD224" s="25" t="inlineStr">
        <is>
          <t>2026-10-01</t>
        </is>
      </c>
      <c r="AE224" s="25" t="inlineStr">
        <is>
          <t>2027-03-15</t>
        </is>
      </c>
      <c r="AF224" s="25" t="inlineStr">
        <is>
          <t>No</t>
        </is>
      </c>
      <c r="AG224" s="28" t="inlineStr">
        <is>
          <t>https://stgi.umlp.fr/</t>
        </is>
      </c>
      <c r="AH224" s="26" t="inlineStr">
        <is>
          <t>Niveau de langue Anglais B2 Minimum Des notions de langue française seraient appréciées Etudiant classé au minimum dans le 1er Quart de sa promotion Pour l'accès en Master 1 : - étudiant titulaire d'une Licence classique</t>
        </is>
      </c>
      <c r="AI224" s="28" t="inlineStr">
        <is>
          <t>Open in EEF</t>
        </is>
      </c>
    </row>
    <row r="225" ht="32.8" customHeight="1" s="19">
      <c r="A225" s="25" t="n">
        <v>224</v>
      </c>
      <c r="B225" s="25" t="inlineStr">
        <is>
          <t>★★★★☆</t>
        </is>
      </c>
      <c r="C225" s="25" t="inlineStr">
        <is>
          <t>4 – Strong fit (electronics/signal/robotics/IoT/sensors)</t>
        </is>
      </c>
      <c r="D225" s="25" t="inlineStr">
        <is>
          <t>Signal / Image / Vision</t>
        </is>
      </c>
      <c r="E225" s="26" t="inlineStr">
        <is>
          <t>Calcul haute performance, simulation parcours HPC-Image-IA</t>
        </is>
      </c>
      <c r="F225" s="26" t="inlineStr">
        <is>
          <t>Computing High Performance, Simulation – track: HPC-Image-IA</t>
        </is>
      </c>
      <c r="G225" s="25" t="inlineStr">
        <is>
          <t>Master indifférencié (recherche et professionnel)</t>
        </is>
      </c>
      <c r="H225" s="25" t="inlineStr">
        <is>
          <t>UFR Sciences Exactes et Naturelles</t>
        </is>
      </c>
      <c r="I225" s="25" t="inlineStr">
        <is>
          <t>Université de Reims Champagne-Ardenne</t>
        </is>
      </c>
      <c r="J225" s="25" t="inlineStr">
        <is>
          <t>Reims</t>
        </is>
      </c>
      <c r="K225" s="25" t="inlineStr">
        <is>
          <t>51100 REIMS</t>
        </is>
      </c>
      <c r="L225" s="25" t="inlineStr">
        <is>
          <t>Public university</t>
        </is>
      </c>
      <c r="M225" s="25" t="inlineStr">
        <is>
          <t>French</t>
        </is>
      </c>
      <c r="N225" s="25" t="inlineStr">
        <is>
          <t>General</t>
        </is>
      </c>
      <c r="O225" s="25" t="inlineStr">
        <is>
          <t>Bac +4 / Bac +5</t>
        </is>
      </c>
      <c r="P225" s="26" t="inlineStr">
        <is>
          <t>Eligible on level (4-yr BS ≈ Bac+4)</t>
        </is>
      </c>
      <c r="Q225" s="25" t="inlineStr">
        <is>
          <t>1/2</t>
        </is>
      </c>
      <c r="R225" s="25" t="inlineStr">
        <is>
          <t>24/12</t>
        </is>
      </c>
      <c r="S225" s="27" t="n">
        <v>3950</v>
      </c>
      <c r="T225" s="27" t="n">
        <v>255</v>
      </c>
      <c r="U225" s="25" t="n">
        <v>2</v>
      </c>
      <c r="V225" s="27">
        <f>IF(S225="","",S225*U225)</f>
        <v/>
      </c>
      <c r="W225" s="26" t="inlineStr">
        <is>
          <t>Catalogue: €3,950. = national differentiated master fee (2026-27: €3,950). Exemption to ~€255 possible (university quota).</t>
        </is>
      </c>
      <c r="X225" s="25" t="inlineStr">
        <is>
          <t>High</t>
        </is>
      </c>
      <c r="Y225" s="25" t="inlineStr">
        <is>
          <t>3950</t>
        </is>
      </c>
      <c r="Z225" s="26" t="n"/>
      <c r="AA225" s="26" t="n"/>
      <c r="AB225" s="25" t="n"/>
      <c r="AC225" s="25" t="inlineStr">
        <is>
          <t>Open</t>
        </is>
      </c>
      <c r="AD225" s="25" t="inlineStr">
        <is>
          <t>2026-10-01</t>
        </is>
      </c>
      <c r="AE225" s="25" t="inlineStr">
        <is>
          <t>2027-03-15</t>
        </is>
      </c>
      <c r="AF225" s="25" t="inlineStr">
        <is>
          <t>No</t>
        </is>
      </c>
      <c r="AG225" s="28" t="inlineStr">
        <is>
          <t>https://www.univ-reims.fr/ufrsciences</t>
        </is>
      </c>
      <c r="AH225" s="26" t="inlineStr">
        <is>
          <t>Niveau en langue française: * Niveau C1 minimum en langue française exigé (merci de prendre connaissance des profils dispensés d'un test de langue française ( qui est dispensé de test de langue française? ) Tarifs : * No</t>
        </is>
      </c>
      <c r="AI225" s="28" t="inlineStr">
        <is>
          <t>Open in EEF</t>
        </is>
      </c>
    </row>
    <row r="226" ht="22.35" customHeight="1" s="19">
      <c r="A226" s="25" t="n">
        <v>225</v>
      </c>
      <c r="B226" s="25" t="inlineStr">
        <is>
          <t>★★★★☆</t>
        </is>
      </c>
      <c r="C226" s="25" t="inlineStr">
        <is>
          <t>4 – Strong fit (electronics/signal/robotics/IoT/sensors)</t>
        </is>
      </c>
      <c r="D226" s="25" t="inlineStr">
        <is>
          <t>Robotics / Automation / Mechatronics</t>
        </is>
      </c>
      <c r="E226" s="26" t="inlineStr">
        <is>
          <t>Master indifférencié (recherche et professionnel) parcours Ingénierie des Systèmes Complexes - Parcours Flexible Robotics and related Mechatronic</t>
        </is>
      </c>
      <c r="F226" s="26" t="inlineStr">
        <is>
          <t>track: Complex Systems Engineering - – track: Flexible Robotics and related Mechatronic</t>
        </is>
      </c>
      <c r="G226" s="25" t="inlineStr">
        <is>
          <t>Master indifférencié (recherche et professionnel)</t>
        </is>
      </c>
      <c r="H226" s="25" t="inlineStr">
        <is>
          <t>Université de Technologie de Tarbes Occitanie Pyrénées</t>
        </is>
      </c>
      <c r="I226" s="25" t="inlineStr">
        <is>
          <t>Université de Technologie Tarbes Occitanie Pyrénées</t>
        </is>
      </c>
      <c r="J226" s="25" t="inlineStr">
        <is>
          <t>Tarbes</t>
        </is>
      </c>
      <c r="K226" s="25" t="n"/>
      <c r="L226" s="25" t="inlineStr">
        <is>
          <t>Public university</t>
        </is>
      </c>
      <c r="M226" s="25" t="inlineStr">
        <is>
          <t>French</t>
        </is>
      </c>
      <c r="N226" s="25" t="inlineStr">
        <is>
          <t>General</t>
        </is>
      </c>
      <c r="O226" s="25" t="inlineStr">
        <is>
          <t>Bac +4 / Bac +5</t>
        </is>
      </c>
      <c r="P226" s="26" t="inlineStr">
        <is>
          <t>Eligible on level (4-yr BS ≈ Bac+4)</t>
        </is>
      </c>
      <c r="Q226" s="25" t="inlineStr">
        <is>
          <t>1/2</t>
        </is>
      </c>
      <c r="R226" s="25" t="inlineStr">
        <is>
          <t>24</t>
        </is>
      </c>
      <c r="S226" s="27" t="n">
        <v>3950</v>
      </c>
      <c r="T226" s="27" t="n">
        <v>255</v>
      </c>
      <c r="U226" s="25" t="n">
        <v>2</v>
      </c>
      <c r="V226" s="27">
        <f>IF(S226="","",S226*U226)</f>
        <v/>
      </c>
      <c r="W226" s="26" t="inlineStr">
        <is>
          <t>Catalogue: €3,950. = national differentiated master fee (2026-27: €3,950). Exemption to ~€255 possible (university quota).</t>
        </is>
      </c>
      <c r="X226" s="25" t="inlineStr">
        <is>
          <t>High</t>
        </is>
      </c>
      <c r="Y226" s="25" t="inlineStr">
        <is>
          <t>3950</t>
        </is>
      </c>
      <c r="Z226" s="26" t="n"/>
      <c r="AA226" s="26" t="n"/>
      <c r="AB226" s="25" t="n"/>
      <c r="AC226" s="25" t="inlineStr">
        <is>
          <t>Open</t>
        </is>
      </c>
      <c r="AD226" s="25" t="inlineStr">
        <is>
          <t>2026-10-01</t>
        </is>
      </c>
      <c r="AE226" s="25" t="inlineStr">
        <is>
          <t>2027-03-15</t>
        </is>
      </c>
      <c r="AF226" s="25" t="inlineStr">
        <is>
          <t>No</t>
        </is>
      </c>
      <c r="AG226" s="25" t="n"/>
      <c r="AH226" s="26" t="n"/>
      <c r="AI226" s="28" t="inlineStr">
        <is>
          <t>Open in EEF</t>
        </is>
      </c>
    </row>
    <row r="227" ht="43.25" customHeight="1" s="19">
      <c r="A227" s="25" t="n">
        <v>226</v>
      </c>
      <c r="B227" s="25" t="inlineStr">
        <is>
          <t>★★★★☆</t>
        </is>
      </c>
      <c r="C227" s="25" t="inlineStr">
        <is>
          <t>4 – Strong fit (electronics/signal/robotics/IoT/sensors)</t>
        </is>
      </c>
      <c r="D227" s="25" t="inlineStr">
        <is>
          <t>Embedded systems / Electronics</t>
        </is>
      </c>
      <c r="E227" s="26" t="inlineStr">
        <is>
          <t>Master indifférencié (recherche et professionnel) Sciences et technologies mention Electronique, Energie électrique, automatique (EEEA) parcours Signal, Vision, Ondes, Systèmes (SiVOS)</t>
        </is>
      </c>
      <c r="F227" s="26" t="inlineStr">
        <is>
          <t>Science &amp; Technology – major: Electronics, Electrical Energy &amp; Automation (EEA) (EEEA) – track: Signal, Vision, Waves, Systems (SiVOS)</t>
        </is>
      </c>
      <c r="G227" s="25" t="inlineStr">
        <is>
          <t>Master indifférencié (recherche et professionnel)</t>
        </is>
      </c>
      <c r="H227" s="25" t="inlineStr">
        <is>
          <t>Campus scientifique de BEAULIEU</t>
        </is>
      </c>
      <c r="I227" s="25" t="inlineStr">
        <is>
          <t>Université de Rennes</t>
        </is>
      </c>
      <c r="J227" s="25" t="inlineStr">
        <is>
          <t>Site de Rennes - ISTIC</t>
        </is>
      </c>
      <c r="K227" s="25" t="inlineStr">
        <is>
          <t>35042 RENNES Cedex</t>
        </is>
      </c>
      <c r="L227" s="25" t="inlineStr">
        <is>
          <t>Public university</t>
        </is>
      </c>
      <c r="M227" s="25" t="inlineStr">
        <is>
          <t>French</t>
        </is>
      </c>
      <c r="N227" s="25" t="inlineStr">
        <is>
          <t>General</t>
        </is>
      </c>
      <c r="O227" s="25" t="inlineStr">
        <is>
          <t>Bac +4 / Bac +5</t>
        </is>
      </c>
      <c r="P227" s="26" t="inlineStr">
        <is>
          <t>Eligible on level (4-yr BS ≈ Bac+4)</t>
        </is>
      </c>
      <c r="Q227" s="25" t="inlineStr">
        <is>
          <t>1/2</t>
        </is>
      </c>
      <c r="R227" s="25" t="inlineStr">
        <is>
          <t>12</t>
        </is>
      </c>
      <c r="S227" s="27" t="n">
        <v>3950</v>
      </c>
      <c r="T227" s="27" t="n">
        <v>255</v>
      </c>
      <c r="U227" s="25" t="n">
        <v>2</v>
      </c>
      <c r="V227" s="27">
        <f>IF(S227="","",S227*U227)</f>
        <v/>
      </c>
      <c r="W227" s="26" t="inlineStr">
        <is>
          <t>Catalogue: €3,950. = national differentiated master fee (2026-27: €3,950). Exemption to ~€255 possible (university quota).</t>
        </is>
      </c>
      <c r="X227" s="25" t="inlineStr">
        <is>
          <t>High</t>
        </is>
      </c>
      <c r="Y227" s="25" t="inlineStr">
        <is>
          <t>3950</t>
        </is>
      </c>
      <c r="Z227" s="26" t="inlineStr">
        <is>
          <t>ue, il faudra vous acquitter obligatoirement des frais d'inscription d'un montant de 3950 euros pour vous inscrire dans la formation … ue, il faudra vous acquitter obligatoirement des frais d'inscription d'un montant de</t>
        </is>
      </c>
      <c r="AA227" s="26" t="n"/>
      <c r="AB227" s="25" t="n"/>
      <c r="AC227" s="25" t="inlineStr">
        <is>
          <t>Open</t>
        </is>
      </c>
      <c r="AD227" s="25" t="inlineStr">
        <is>
          <t>2026-10-01</t>
        </is>
      </c>
      <c r="AE227" s="25" t="inlineStr">
        <is>
          <t>2027-03-15</t>
        </is>
      </c>
      <c r="AF227" s="25" t="inlineStr">
        <is>
          <t>No</t>
        </is>
      </c>
      <c r="AG227" s="28" t="inlineStr">
        <is>
          <t>https://istic.univ-rennes.fr/master-2-eeea-parcours-signal-vision-ondes-systemes-sivos</t>
        </is>
      </c>
      <c r="AH227" s="26" t="inlineStr">
        <is>
          <t>Afin de suivre une formation scientifique en français à l'Université de Rennes 1, le niveau B2 en français est nécessaire . In order to follow French taught courses in a scientific program , the B2 level in French is req</t>
        </is>
      </c>
      <c r="AI227" s="28" t="inlineStr">
        <is>
          <t>Open in EEF</t>
        </is>
      </c>
    </row>
    <row r="228" ht="32.8" customHeight="1" s="19">
      <c r="A228" s="25" t="n">
        <v>227</v>
      </c>
      <c r="B228" s="25" t="inlineStr">
        <is>
          <t>★★★★☆</t>
        </is>
      </c>
      <c r="C228" s="25" t="inlineStr">
        <is>
          <t>4 – Strong fit (electronics/signal/robotics/IoT/sensors)</t>
        </is>
      </c>
      <c r="D228" s="25" t="inlineStr">
        <is>
          <t>Embedded systems / Electronics</t>
        </is>
      </c>
      <c r="E228" s="26" t="inlineStr">
        <is>
          <t>Master indifférencié (recherche et professionnel) Sciences, technologies, santé mention Electronique, Energie Electrique Automatique parcours Electronique Radiofréquence et Télécommunications</t>
        </is>
      </c>
      <c r="F228" s="26" t="inlineStr">
        <is>
          <t>Science, Technology, Health (STS) – major: Electronics, Electrical Energy &amp; Automation (EEA) – track: Electronics Radiofréquence &amp; Telecommunications</t>
        </is>
      </c>
      <c r="G228" s="25" t="inlineStr">
        <is>
          <t>Master indifférencié (recherche et professionnel)</t>
        </is>
      </c>
      <c r="H228" s="25" t="inlineStr">
        <is>
          <t>UFR sciences et techniques</t>
        </is>
      </c>
      <c r="I228" s="25" t="inlineStr">
        <is>
          <t>Université de Bretagne Occidentale</t>
        </is>
      </c>
      <c r="J228" s="25" t="inlineStr">
        <is>
          <t>Site de Brest</t>
        </is>
      </c>
      <c r="K228" s="25" t="n"/>
      <c r="L228" s="25" t="inlineStr">
        <is>
          <t>Public university</t>
        </is>
      </c>
      <c r="M228" s="25" t="inlineStr">
        <is>
          <t>French</t>
        </is>
      </c>
      <c r="N228" s="25" t="inlineStr">
        <is>
          <t>General</t>
        </is>
      </c>
      <c r="O228" s="25" t="inlineStr">
        <is>
          <t>Bac +4 / Bac +5</t>
        </is>
      </c>
      <c r="P228" s="26" t="inlineStr">
        <is>
          <t>Eligible on level (4-yr BS ≈ Bac+4)</t>
        </is>
      </c>
      <c r="Q228" s="25" t="inlineStr">
        <is>
          <t>1/2</t>
        </is>
      </c>
      <c r="R228" s="25" t="inlineStr">
        <is>
          <t>12</t>
        </is>
      </c>
      <c r="S228" s="27" t="n">
        <v>3950</v>
      </c>
      <c r="T228" s="27" t="n">
        <v>255</v>
      </c>
      <c r="U228" s="25" t="n">
        <v>2</v>
      </c>
      <c r="V228" s="27">
        <f>IF(S228="","",S228*U228)</f>
        <v/>
      </c>
      <c r="W228" s="26" t="inlineStr">
        <is>
          <t>Catalogue: €3,950. = national differentiated master fee (2026-27: €3,950). Exemption to ~€255 possible (university quota).</t>
        </is>
      </c>
      <c r="X228" s="25" t="inlineStr">
        <is>
          <t>High</t>
        </is>
      </c>
      <c r="Y228" s="25" t="inlineStr">
        <is>
          <t>3950</t>
        </is>
      </c>
      <c r="Z228" s="26" t="n"/>
      <c r="AA228" s="26" t="n"/>
      <c r="AB228" s="25" t="n"/>
      <c r="AC228" s="25" t="inlineStr">
        <is>
          <t>Open</t>
        </is>
      </c>
      <c r="AD228" s="25" t="inlineStr">
        <is>
          <t>2026-10-01</t>
        </is>
      </c>
      <c r="AE228" s="25" t="inlineStr">
        <is>
          <t>2027-03-15</t>
        </is>
      </c>
      <c r="AF228" s="25" t="inlineStr">
        <is>
          <t>No</t>
        </is>
      </c>
      <c r="AG228" s="28" t="inlineStr">
        <is>
          <t>http://www.univ-brest.fr/ufr-sciences</t>
        </is>
      </c>
      <c r="AH228" s="26" t="inlineStr">
        <is>
          <t>L'université de Bretagne occidentale demande de présenter un Test de connaissance en français pour tous les candidats dont une des langues officielles n'est pas le français. Pour les pays où le français n'est pas la seul</t>
        </is>
      </c>
      <c r="AI228" s="28" t="inlineStr">
        <is>
          <t>Open in EEF</t>
        </is>
      </c>
    </row>
    <row r="229" ht="32.8" customHeight="1" s="19">
      <c r="A229" s="25" t="n">
        <v>228</v>
      </c>
      <c r="B229" s="25" t="inlineStr">
        <is>
          <t>★★★★☆</t>
        </is>
      </c>
      <c r="C229" s="25" t="inlineStr">
        <is>
          <t>4 – Strong fit (electronics/signal/robotics/IoT/sensors)</t>
        </is>
      </c>
      <c r="D229" s="25" t="inlineStr">
        <is>
          <t>Embedded systems / Electronics</t>
        </is>
      </c>
      <c r="E229" s="26" t="inlineStr">
        <is>
          <t>Master indifférencié (recherche et professionnel) Sciences, technologies, santé mention Electronique, énergie électrique, automatique parcours Ingénierie des Systèmes Humain Machine</t>
        </is>
      </c>
      <c r="F229" s="26" t="inlineStr">
        <is>
          <t>Science, Technology, Health (STS) – major: Electronics, Electrical Energy &amp; Automation (EEA) – track: Engineering of Systems Human Machine</t>
        </is>
      </c>
      <c r="G229" s="25" t="inlineStr">
        <is>
          <t>Master indifférencié (recherche et professionnel)</t>
        </is>
      </c>
      <c r="H229" s="25" t="inlineStr">
        <is>
          <t>UFR Sciences fondamentales et appliquées</t>
        </is>
      </c>
      <c r="I229" s="25" t="inlineStr">
        <is>
          <t>Université de Lorraine</t>
        </is>
      </c>
      <c r="J229" s="25" t="inlineStr">
        <is>
          <t>Site de Metz</t>
        </is>
      </c>
      <c r="K229" s="25" t="n"/>
      <c r="L229" s="25" t="inlineStr">
        <is>
          <t>Public university</t>
        </is>
      </c>
      <c r="M229" s="25" t="inlineStr">
        <is>
          <t>French</t>
        </is>
      </c>
      <c r="N229" s="25" t="inlineStr">
        <is>
          <t>General</t>
        </is>
      </c>
      <c r="O229" s="25" t="inlineStr">
        <is>
          <t>Bac +4 / Bac +5</t>
        </is>
      </c>
      <c r="P229" s="26" t="inlineStr">
        <is>
          <t>Eligible on level (4-yr BS ≈ Bac+4)</t>
        </is>
      </c>
      <c r="Q229" s="25" t="inlineStr">
        <is>
          <t>1/2</t>
        </is>
      </c>
      <c r="R229" s="25" t="n"/>
      <c r="S229" s="27" t="n">
        <v>3950</v>
      </c>
      <c r="T229" s="27" t="n">
        <v>255</v>
      </c>
      <c r="U229" s="25" t="n">
        <v>2</v>
      </c>
      <c r="V229" s="27">
        <f>IF(S229="","",S229*U229)</f>
        <v/>
      </c>
      <c r="W229" s="26" t="inlineStr">
        <is>
          <t>Catalogue: €3,950. = national differentiated master fee (2026-27: €3,950). Exemption to ~€255 possible (university quota).</t>
        </is>
      </c>
      <c r="X229" s="25" t="inlineStr">
        <is>
          <t>High</t>
        </is>
      </c>
      <c r="Y229" s="25" t="inlineStr">
        <is>
          <t>3950</t>
        </is>
      </c>
      <c r="Z229" s="26" t="n"/>
      <c r="AA229" s="26" t="n"/>
      <c r="AB229" s="25" t="n"/>
      <c r="AC229" s="25" t="inlineStr">
        <is>
          <t>Open</t>
        </is>
      </c>
      <c r="AD229" s="25" t="inlineStr">
        <is>
          <t>2026-10-01</t>
        </is>
      </c>
      <c r="AE229" s="25" t="inlineStr">
        <is>
          <t>2027-03-15</t>
        </is>
      </c>
      <c r="AF229" s="25" t="inlineStr">
        <is>
          <t>No</t>
        </is>
      </c>
      <c r="AG229" s="28" t="inlineStr">
        <is>
          <t>http://scifa.univ-lorraine.fr/</t>
        </is>
      </c>
      <c r="AH229" s="26" t="inlineStr">
        <is>
          <t>Niveau de langues exigé : TCF niveau B2 Date limite de transmission des dossiers : date à determiner par l'ambassade. Date limite arrivée dans l'établissement : 30 Septembre 2027 (aucune dérogation ne sera accordée)</t>
        </is>
      </c>
      <c r="AI229" s="28" t="inlineStr">
        <is>
          <t>Open in EEF</t>
        </is>
      </c>
    </row>
    <row r="230" ht="32.8" customHeight="1" s="19">
      <c r="A230" s="25" t="n">
        <v>229</v>
      </c>
      <c r="B230" s="25" t="inlineStr">
        <is>
          <t>★★★★☆</t>
        </is>
      </c>
      <c r="C230" s="25" t="inlineStr">
        <is>
          <t>4 – Strong fit (electronics/signal/robotics/IoT/sensors)</t>
        </is>
      </c>
      <c r="D230" s="25" t="inlineStr">
        <is>
          <t>Embedded systems / Electronics</t>
        </is>
      </c>
      <c r="E230" s="26" t="inlineStr">
        <is>
          <t>Master indifférencié (recherche et professionnel) Sciences, technologies, santé mention Electronique, énergie électrique, automatique parcours Intelligence - Mesure Energétiques pour les Energies Nouvelles</t>
        </is>
      </c>
      <c r="F230" s="26" t="inlineStr">
        <is>
          <t>Science, Technology, Health (STS) – major: Electronics, Electrical Energy &amp; Automation (EEA) – track: Intelligence - Measurement Energétiques for the Energies Nouvelles</t>
        </is>
      </c>
      <c r="G230" s="25" t="inlineStr">
        <is>
          <t>Master indifférencié (recherche et professionnel)</t>
        </is>
      </c>
      <c r="H230" s="25" t="inlineStr">
        <is>
          <t>UFR Sciences fondamentales et appliquées</t>
        </is>
      </c>
      <c r="I230" s="25" t="inlineStr">
        <is>
          <t>Université de Lorraine</t>
        </is>
      </c>
      <c r="J230" s="25" t="inlineStr">
        <is>
          <t>Site de Metz</t>
        </is>
      </c>
      <c r="K230" s="25" t="n"/>
      <c r="L230" s="25" t="inlineStr">
        <is>
          <t>Public university</t>
        </is>
      </c>
      <c r="M230" s="25" t="inlineStr">
        <is>
          <t>French</t>
        </is>
      </c>
      <c r="N230" s="25" t="inlineStr">
        <is>
          <t>General</t>
        </is>
      </c>
      <c r="O230" s="25" t="inlineStr">
        <is>
          <t>Bac +4 / Bac +5</t>
        </is>
      </c>
      <c r="P230" s="26" t="inlineStr">
        <is>
          <t>Eligible on level (4-yr BS ≈ Bac+4)</t>
        </is>
      </c>
      <c r="Q230" s="25" t="inlineStr">
        <is>
          <t>1/2</t>
        </is>
      </c>
      <c r="R230" s="25" t="n"/>
      <c r="S230" s="27" t="n">
        <v>3950</v>
      </c>
      <c r="T230" s="27" t="n">
        <v>255</v>
      </c>
      <c r="U230" s="25" t="n">
        <v>2</v>
      </c>
      <c r="V230" s="27">
        <f>IF(S230="","",S230*U230)</f>
        <v/>
      </c>
      <c r="W230" s="26" t="inlineStr">
        <is>
          <t>Catalogue: €3,950. = national differentiated master fee (2026-27: €3,950). Exemption to ~€255 possible (university quota).</t>
        </is>
      </c>
      <c r="X230" s="25" t="inlineStr">
        <is>
          <t>High</t>
        </is>
      </c>
      <c r="Y230" s="25" t="inlineStr">
        <is>
          <t>3950</t>
        </is>
      </c>
      <c r="Z230" s="26" t="n"/>
      <c r="AA230" s="26" t="n"/>
      <c r="AB230" s="25" t="n"/>
      <c r="AC230" s="25" t="inlineStr">
        <is>
          <t>Open</t>
        </is>
      </c>
      <c r="AD230" s="25" t="inlineStr">
        <is>
          <t>2026-10-01</t>
        </is>
      </c>
      <c r="AE230" s="25" t="inlineStr">
        <is>
          <t>2027-03-15</t>
        </is>
      </c>
      <c r="AF230" s="25" t="inlineStr">
        <is>
          <t>No</t>
        </is>
      </c>
      <c r="AG230" s="28" t="inlineStr">
        <is>
          <t>http://scifa.univ-lorraine.fr/</t>
        </is>
      </c>
      <c r="AH230" s="26" t="inlineStr">
        <is>
          <t>Niveau de langues exigé : TCF niveau B2 Date limite de transmission des dossiers : date à determiner par l'ambassade. Date limite arrivée dans l'établissement : 30 Septembre 2027 (aucune dérogation ne sera accordée)</t>
        </is>
      </c>
      <c r="AI230" s="28" t="inlineStr">
        <is>
          <t>Open in EEF</t>
        </is>
      </c>
    </row>
    <row r="231" ht="32.8" customHeight="1" s="19">
      <c r="A231" s="25" t="n">
        <v>230</v>
      </c>
      <c r="B231" s="25" t="inlineStr">
        <is>
          <t>★★★★☆</t>
        </is>
      </c>
      <c r="C231" s="25" t="inlineStr">
        <is>
          <t>4 – Strong fit (electronics/signal/robotics/IoT/sensors)</t>
        </is>
      </c>
      <c r="D231" s="25" t="inlineStr">
        <is>
          <t>Embedded systems / Electronics</t>
        </is>
      </c>
      <c r="E231" s="26" t="inlineStr">
        <is>
          <t>Master indifférencié (recherche et professionnel) Sciences, technologies, santé mention Electronique, énergie électrique, automatique parcours Mesure et Traitement de l'Information</t>
        </is>
      </c>
      <c r="F231" s="26" t="inlineStr">
        <is>
          <t>Science, Technology, Health (STS) – major: Electronics, Electrical Energy &amp; Automation (EEA) – track: Measurement &amp; Processing of Information</t>
        </is>
      </c>
      <c r="G231" s="25" t="inlineStr">
        <is>
          <t>Master indifférencié (recherche et professionnel)</t>
        </is>
      </c>
      <c r="H231" s="25" t="inlineStr">
        <is>
          <t>UFR Sciences fondamentales et appliquées</t>
        </is>
      </c>
      <c r="I231" s="25" t="inlineStr">
        <is>
          <t>Université de Lorraine</t>
        </is>
      </c>
      <c r="J231" s="25" t="inlineStr">
        <is>
          <t>Site de Metz</t>
        </is>
      </c>
      <c r="K231" s="25" t="n"/>
      <c r="L231" s="25" t="inlineStr">
        <is>
          <t>Public university</t>
        </is>
      </c>
      <c r="M231" s="25" t="inlineStr">
        <is>
          <t>French</t>
        </is>
      </c>
      <c r="N231" s="25" t="inlineStr">
        <is>
          <t>General</t>
        </is>
      </c>
      <c r="O231" s="25" t="inlineStr">
        <is>
          <t>Bac +4 / Bac +5</t>
        </is>
      </c>
      <c r="P231" s="26" t="inlineStr">
        <is>
          <t>Eligible on level (4-yr BS ≈ Bac+4)</t>
        </is>
      </c>
      <c r="Q231" s="25" t="inlineStr">
        <is>
          <t>1/2</t>
        </is>
      </c>
      <c r="R231" s="25" t="n"/>
      <c r="S231" s="27" t="n">
        <v>3950</v>
      </c>
      <c r="T231" s="27" t="n">
        <v>255</v>
      </c>
      <c r="U231" s="25" t="n">
        <v>2</v>
      </c>
      <c r="V231" s="27">
        <f>IF(S231="","",S231*U231)</f>
        <v/>
      </c>
      <c r="W231" s="26" t="inlineStr">
        <is>
          <t>Catalogue: €3,950. = national differentiated master fee (2026-27: €3,950). Exemption to ~€255 possible (university quota).</t>
        </is>
      </c>
      <c r="X231" s="25" t="inlineStr">
        <is>
          <t>High</t>
        </is>
      </c>
      <c r="Y231" s="25" t="inlineStr">
        <is>
          <t>3950</t>
        </is>
      </c>
      <c r="Z231" s="26" t="n"/>
      <c r="AA231" s="26" t="n"/>
      <c r="AB231" s="25" t="n"/>
      <c r="AC231" s="25" t="inlineStr">
        <is>
          <t>Open</t>
        </is>
      </c>
      <c r="AD231" s="25" t="inlineStr">
        <is>
          <t>2026-10-01</t>
        </is>
      </c>
      <c r="AE231" s="25" t="inlineStr">
        <is>
          <t>2027-03-15</t>
        </is>
      </c>
      <c r="AF231" s="25" t="inlineStr">
        <is>
          <t>No</t>
        </is>
      </c>
      <c r="AG231" s="28" t="inlineStr">
        <is>
          <t>http://scifa.univ-lorraine.fr/</t>
        </is>
      </c>
      <c r="AH231" s="26" t="inlineStr">
        <is>
          <t>Niveau de langues exigé : TCF niveau B2 Date limite de transmission des dossiers : date à determiner par l'ambassade. Date limite arrivée dans l'établissement : 30 Septembre 2027 (aucune dérogation ne sera accordée)</t>
        </is>
      </c>
      <c r="AI231" s="28" t="inlineStr">
        <is>
          <t>Open in EEF</t>
        </is>
      </c>
    </row>
    <row r="232" ht="32.8" customHeight="1" s="19">
      <c r="A232" s="25" t="n">
        <v>231</v>
      </c>
      <c r="B232" s="25" t="inlineStr">
        <is>
          <t>★★★★☆</t>
        </is>
      </c>
      <c r="C232" s="25" t="inlineStr">
        <is>
          <t>4 – Strong fit (electronics/signal/robotics/IoT/sensors)</t>
        </is>
      </c>
      <c r="D232" s="25" t="inlineStr">
        <is>
          <t>Embedded systems / Electronics</t>
        </is>
      </c>
      <c r="E232" s="26" t="inlineStr">
        <is>
          <t>Master indifférencié (recherche et professionnel) Sciences, technologies, santé mention Electronique, Energie électrique, Automatique parcours Surete de fonctionnement des systemes industriels (SFSI)</t>
        </is>
      </c>
      <c r="F232" s="26" t="inlineStr">
        <is>
          <t>Science, Technology, Health (STS) – major: Electronics, Electrical Energy &amp; Automation (EEA) – track: Surete of fonctionnement of systemes Industrial (SFSI)</t>
        </is>
      </c>
      <c r="G232" s="25" t="inlineStr">
        <is>
          <t>Master indifférencié (recherche et professionnel)</t>
        </is>
      </c>
      <c r="H232" s="25" t="inlineStr">
        <is>
          <t>UFR des sciences et techniques</t>
        </is>
      </c>
      <c r="I232" s="25" t="inlineStr">
        <is>
          <t>Université du Havre</t>
        </is>
      </c>
      <c r="J232" s="25" t="inlineStr">
        <is>
          <t>Site de Le Havre</t>
        </is>
      </c>
      <c r="K232" s="25" t="n"/>
      <c r="L232" s="25" t="inlineStr">
        <is>
          <t>Public university</t>
        </is>
      </c>
      <c r="M232" s="25" t="inlineStr">
        <is>
          <t>French</t>
        </is>
      </c>
      <c r="N232" s="25" t="inlineStr">
        <is>
          <t>General</t>
        </is>
      </c>
      <c r="O232" s="25" t="inlineStr">
        <is>
          <t>Bac +4 / Bac +5</t>
        </is>
      </c>
      <c r="P232" s="26" t="inlineStr">
        <is>
          <t>Eligible on level (4-yr BS ≈ Bac+4)</t>
        </is>
      </c>
      <c r="Q232" s="25" t="inlineStr">
        <is>
          <t>1/2</t>
        </is>
      </c>
      <c r="R232" s="25" t="n"/>
      <c r="S232" s="27" t="n">
        <v>3950</v>
      </c>
      <c r="T232" s="27" t="n">
        <v>255</v>
      </c>
      <c r="U232" s="25" t="n">
        <v>2</v>
      </c>
      <c r="V232" s="27">
        <f>IF(S232="","",S232*U232)</f>
        <v/>
      </c>
      <c r="W232" s="26" t="inlineStr">
        <is>
          <t>Catalogue: €3,950. = national differentiated master fee (2026-27: €3,950). Exemption to ~€255 possible (university quota).</t>
        </is>
      </c>
      <c r="X232" s="25" t="inlineStr">
        <is>
          <t>High</t>
        </is>
      </c>
      <c r="Y232" s="25" t="inlineStr">
        <is>
          <t>3950</t>
        </is>
      </c>
      <c r="Z232" s="26" t="n"/>
      <c r="AA232" s="26" t="n"/>
      <c r="AB232" s="25" t="n"/>
      <c r="AC232" s="25" t="inlineStr">
        <is>
          <t>Open</t>
        </is>
      </c>
      <c r="AD232" s="25" t="inlineStr">
        <is>
          <t>2026-10-01</t>
        </is>
      </c>
      <c r="AE232" s="25" t="inlineStr">
        <is>
          <t>2027-03-15</t>
        </is>
      </c>
      <c r="AF232" s="25" t="inlineStr">
        <is>
          <t>No</t>
        </is>
      </c>
      <c r="AG232" s="28" t="inlineStr">
        <is>
          <t>https://ufr-st.univ-lehavre.fr</t>
        </is>
      </c>
      <c r="AH232" s="26" t="inlineStr">
        <is>
          <t>La carte des formations de l’UFR ainsi que leurs contacts figurent sur le site web de l'UFR https://ufr-st.univ-lehavre.fr/, notamment sur ce lien https://ufr-st.univ-lehavre.fr/spip.php?article5. Les fiches des formatio</t>
        </is>
      </c>
      <c r="AI232" s="28" t="inlineStr">
        <is>
          <t>Open in EEF</t>
        </is>
      </c>
    </row>
    <row r="233" ht="43.25" customHeight="1" s="19">
      <c r="A233" s="25" t="n">
        <v>232</v>
      </c>
      <c r="B233" s="25" t="inlineStr">
        <is>
          <t>★★★★☆</t>
        </is>
      </c>
      <c r="C233" s="25" t="inlineStr">
        <is>
          <t>4 – Strong fit (electronics/signal/robotics/IoT/sensors)</t>
        </is>
      </c>
      <c r="D233" s="25" t="inlineStr">
        <is>
          <t>Embedded systems / Electronics</t>
        </is>
      </c>
      <c r="E233" s="26" t="inlineStr">
        <is>
          <t>Master indifférencié (recherche et professionnel) Sciences, technologies, santé mention Electronique, Energie électrique, Automatique parcours Traitement de l’Information et Instrumentation pour l’Ingénieur (T3I)</t>
        </is>
      </c>
      <c r="F233" s="26" t="inlineStr">
        <is>
          <t>Science, Technology, Health (STS) – major: Electronics, Electrical Energy &amp; Automation (EEA) – track: Processing of Information &amp; Instrumentation for Engineering (T3I)</t>
        </is>
      </c>
      <c r="G233" s="25" t="inlineStr">
        <is>
          <t>Master indifférencié (recherche et professionnel)</t>
        </is>
      </c>
      <c r="H233" s="25" t="inlineStr">
        <is>
          <t>IUT de Roanne</t>
        </is>
      </c>
      <c r="I233" s="25" t="inlineStr">
        <is>
          <t>Université Jean Monnet Saint-Etienne</t>
        </is>
      </c>
      <c r="J233" s="25" t="inlineStr">
        <is>
          <t>Site de Roanne</t>
        </is>
      </c>
      <c r="K233" s="25" t="n"/>
      <c r="L233" s="25" t="inlineStr">
        <is>
          <t>Public university</t>
        </is>
      </c>
      <c r="M233" s="25" t="inlineStr">
        <is>
          <t>French</t>
        </is>
      </c>
      <c r="N233" s="25" t="inlineStr">
        <is>
          <t>General</t>
        </is>
      </c>
      <c r="O233" s="25" t="inlineStr">
        <is>
          <t>Bac +4 / Bac +5</t>
        </is>
      </c>
      <c r="P233" s="26" t="inlineStr">
        <is>
          <t>Eligible on level (4-yr BS ≈ Bac+4)</t>
        </is>
      </c>
      <c r="Q233" s="25" t="inlineStr">
        <is>
          <t>1/2</t>
        </is>
      </c>
      <c r="R233" s="25" t="n"/>
      <c r="S233" s="27" t="n">
        <v>3950</v>
      </c>
      <c r="T233" s="27" t="n">
        <v>255</v>
      </c>
      <c r="U233" s="25" t="n">
        <v>2</v>
      </c>
      <c r="V233" s="27">
        <f>IF(S233="","",S233*U233)</f>
        <v/>
      </c>
      <c r="W233" s="26" t="inlineStr">
        <is>
          <t>Catalogue: €3,950. = national differentiated master fee (2026-27: €3,950). Exemption to ~€255 possible (university quota).</t>
        </is>
      </c>
      <c r="X233" s="25" t="inlineStr">
        <is>
          <t>High</t>
        </is>
      </c>
      <c r="Y233" s="25" t="inlineStr">
        <is>
          <t>3950</t>
        </is>
      </c>
      <c r="Z233" s="26" t="inlineStr">
        <is>
          <t>Droits différenciés extracommunautaires : Master : 3950 € + le paiement de la CVEC : 105 € (tarif indicatif 2026/2027) … html Droits différenciés extracommunautaires : Master : 3950 € + le paiement de la CVEC : 105 € (ta</t>
        </is>
      </c>
      <c r="AA233" s="26" t="n"/>
      <c r="AB233" s="25" t="n"/>
      <c r="AC233" s="25" t="inlineStr">
        <is>
          <t>Open</t>
        </is>
      </c>
      <c r="AD233" s="25" t="inlineStr">
        <is>
          <t>2026-10-01</t>
        </is>
      </c>
      <c r="AE233" s="25" t="inlineStr">
        <is>
          <t>2027-03-15</t>
        </is>
      </c>
      <c r="AF233" s="25" t="inlineStr">
        <is>
          <t>No</t>
        </is>
      </c>
      <c r="AG233" s="28" t="inlineStr">
        <is>
          <t>https://iut-roanne.univ-st-etienne.fr/fr/formations/master-XB/master-XB/master-electronique-energie-electrique-automatique-parcours-traitement-de-l-information-et-instrumentation-pour-l-ingenieur-5_14_07_0003_FR.html</t>
        </is>
      </c>
      <c r="AH233" s="26" t="inlineStr">
        <is>
          <t>Niveau de connaissance de la langue française exigé: B2 ATTENTION: les cours sont dispensés à ROANNE, distant de 70 km de Saint-Etienne</t>
        </is>
      </c>
      <c r="AI233" s="28" t="inlineStr">
        <is>
          <t>Open in EEF</t>
        </is>
      </c>
    </row>
    <row r="234" ht="32.8" customHeight="1" s="19">
      <c r="A234" s="25" t="n">
        <v>233</v>
      </c>
      <c r="B234" s="25" t="inlineStr">
        <is>
          <t>★★★★☆</t>
        </is>
      </c>
      <c r="C234" s="25" t="inlineStr">
        <is>
          <t>4 – Strong fit (electronics/signal/robotics/IoT/sensors)</t>
        </is>
      </c>
      <c r="D234" s="25" t="inlineStr">
        <is>
          <t>Embedded systems / Electronics</t>
        </is>
      </c>
      <c r="E234" s="26" t="inlineStr">
        <is>
          <t>Master indifférencié (recherche et professionnel) Sciences, technologies, santé mention Electronique, Energie électrique, Automatique parcours Systemes energetiques electriques (SEE)</t>
        </is>
      </c>
      <c r="F234" s="26" t="inlineStr">
        <is>
          <t>Science, Technology, Health (STS) – major: Electronics, Electrical Energy &amp; Automation (EEA) – track: Systemes energetiques electriques (SEE)</t>
        </is>
      </c>
      <c r="G234" s="25" t="inlineStr">
        <is>
          <t>Master indifférencié (recherche et professionnel)</t>
        </is>
      </c>
      <c r="H234" s="25" t="inlineStr">
        <is>
          <t>UFR des sciences et techniques</t>
        </is>
      </c>
      <c r="I234" s="25" t="inlineStr">
        <is>
          <t>Université du Havre</t>
        </is>
      </c>
      <c r="J234" s="25" t="inlineStr">
        <is>
          <t>Site de Le Havre</t>
        </is>
      </c>
      <c r="K234" s="25" t="n"/>
      <c r="L234" s="25" t="inlineStr">
        <is>
          <t>Public university</t>
        </is>
      </c>
      <c r="M234" s="25" t="inlineStr">
        <is>
          <t>French</t>
        </is>
      </c>
      <c r="N234" s="25" t="inlineStr">
        <is>
          <t>General</t>
        </is>
      </c>
      <c r="O234" s="25" t="inlineStr">
        <is>
          <t>Bac +4 / Bac +5</t>
        </is>
      </c>
      <c r="P234" s="26" t="inlineStr">
        <is>
          <t>Eligible on level (4-yr BS ≈ Bac+4)</t>
        </is>
      </c>
      <c r="Q234" s="25" t="inlineStr">
        <is>
          <t>1/2</t>
        </is>
      </c>
      <c r="R234" s="25" t="n"/>
      <c r="S234" s="27" t="n">
        <v>3950</v>
      </c>
      <c r="T234" s="27" t="n">
        <v>255</v>
      </c>
      <c r="U234" s="25" t="n">
        <v>2</v>
      </c>
      <c r="V234" s="27">
        <f>IF(S234="","",S234*U234)</f>
        <v/>
      </c>
      <c r="W234" s="26" t="inlineStr">
        <is>
          <t>Catalogue: €3,950. = national differentiated master fee (2026-27: €3,950). Exemption to ~€255 possible (university quota).</t>
        </is>
      </c>
      <c r="X234" s="25" t="inlineStr">
        <is>
          <t>High</t>
        </is>
      </c>
      <c r="Y234" s="25" t="inlineStr">
        <is>
          <t>3950</t>
        </is>
      </c>
      <c r="Z234" s="26" t="n"/>
      <c r="AA234" s="26" t="n"/>
      <c r="AB234" s="25" t="n"/>
      <c r="AC234" s="25" t="inlineStr">
        <is>
          <t>Open</t>
        </is>
      </c>
      <c r="AD234" s="25" t="inlineStr">
        <is>
          <t>2026-10-01</t>
        </is>
      </c>
      <c r="AE234" s="25" t="inlineStr">
        <is>
          <t>2027-03-15</t>
        </is>
      </c>
      <c r="AF234" s="25" t="inlineStr">
        <is>
          <t>No</t>
        </is>
      </c>
      <c r="AG234" s="28" t="inlineStr">
        <is>
          <t>https://ufr-st.univ-lehavre.fr</t>
        </is>
      </c>
      <c r="AH234" s="26" t="inlineStr">
        <is>
          <t>La carte des formations de l’UFR ainsi que leurs contacts figurent sur le site web de l'UFR https://ufr-st.univ-lehavre.fr/, notamment sur ce lien https://ufr-st.univ-lehavre.fr/spip.php?article5. Les fiches des formatio</t>
        </is>
      </c>
      <c r="AI234" s="28" t="inlineStr">
        <is>
          <t>Open in EEF</t>
        </is>
      </c>
    </row>
    <row r="235" ht="32.8" customHeight="1" s="19">
      <c r="A235" s="25" t="n">
        <v>234</v>
      </c>
      <c r="B235" s="25" t="inlineStr">
        <is>
          <t>★★★★☆</t>
        </is>
      </c>
      <c r="C235" s="25" t="inlineStr">
        <is>
          <t>4 – Strong fit (electronics/signal/robotics/IoT/sensors)</t>
        </is>
      </c>
      <c r="D235" s="25" t="inlineStr">
        <is>
          <t>Embedded systems / Electronics</t>
        </is>
      </c>
      <c r="E235" s="26" t="inlineStr">
        <is>
          <t>Master indifférencié (recherche et professionnel) Sciences, technologies, santé mention Electronique, Energie électrique et Automatique parcours Energie électrique (EE)</t>
        </is>
      </c>
      <c r="F235" s="26" t="inlineStr">
        <is>
          <t>Science, Technology, Health (STS) – major: Electronics, Electrical Energy &amp; Automation (EEA) – track: Energy Electrical (EE)</t>
        </is>
      </c>
      <c r="G235" s="25" t="inlineStr">
        <is>
          <t>Master indifférencié (recherche et professionnel)</t>
        </is>
      </c>
      <c r="H235" s="25" t="inlineStr">
        <is>
          <t>UFR des sciences - Pôle scientifique Saint Leu</t>
        </is>
      </c>
      <c r="I235" s="25" t="inlineStr">
        <is>
          <t>Université Picardie Jules Verne Amiens</t>
        </is>
      </c>
      <c r="J235" s="25" t="inlineStr">
        <is>
          <t>Site de Amiens</t>
        </is>
      </c>
      <c r="K235" s="25" t="inlineStr">
        <is>
          <t>80000 Amiens</t>
        </is>
      </c>
      <c r="L235" s="25" t="inlineStr">
        <is>
          <t>Public university</t>
        </is>
      </c>
      <c r="M235" s="25" t="inlineStr">
        <is>
          <t>French</t>
        </is>
      </c>
      <c r="N235" s="25" t="inlineStr">
        <is>
          <t>General</t>
        </is>
      </c>
      <c r="O235" s="25" t="inlineStr">
        <is>
          <t>Bac +4 / Bac +5</t>
        </is>
      </c>
      <c r="P235" s="26" t="inlineStr">
        <is>
          <t>Eligible on level (4-yr BS ≈ Bac+4)</t>
        </is>
      </c>
      <c r="Q235" s="25" t="inlineStr">
        <is>
          <t>1/2</t>
        </is>
      </c>
      <c r="R235" s="25" t="inlineStr">
        <is>
          <t>12</t>
        </is>
      </c>
      <c r="S235" s="27" t="n">
        <v>3950</v>
      </c>
      <c r="T235" s="27" t="n">
        <v>255</v>
      </c>
      <c r="U235" s="25" t="n">
        <v>2</v>
      </c>
      <c r="V235" s="27">
        <f>IF(S235="","",S235*U235)</f>
        <v/>
      </c>
      <c r="W235" s="26" t="inlineStr">
        <is>
          <t>Catalogue: €3,950. = national differentiated master fee (2026-27: €3,950). Exemption to ~€255 possible (university quota).</t>
        </is>
      </c>
      <c r="X235" s="25" t="inlineStr">
        <is>
          <t>High</t>
        </is>
      </c>
      <c r="Y235" s="25" t="inlineStr">
        <is>
          <t>3950</t>
        </is>
      </c>
      <c r="Z235" s="26" t="n"/>
      <c r="AA235" s="26" t="n"/>
      <c r="AB235" s="25" t="n"/>
      <c r="AC235" s="25" t="inlineStr">
        <is>
          <t>Open</t>
        </is>
      </c>
      <c r="AD235" s="25" t="inlineStr">
        <is>
          <t>2026-10-01</t>
        </is>
      </c>
      <c r="AE235" s="25" t="inlineStr">
        <is>
          <t>2027-03-15</t>
        </is>
      </c>
      <c r="AF235" s="25" t="inlineStr">
        <is>
          <t>No</t>
        </is>
      </c>
      <c r="AG235" s="28" t="inlineStr">
        <is>
          <t>https://sciences.u-picardie.fr/accueil-ufr-sciences</t>
        </is>
      </c>
      <c r="AH235" s="26" t="inlineStr">
        <is>
          <t>Niveau de français requis C1. Le tarif indiqué est celui de l'année universitaire 2026/2027 et, est susceptible d'être modifié pour l'année universitaire 2027/2028.</t>
        </is>
      </c>
      <c r="AI235" s="28" t="inlineStr">
        <is>
          <t>Open in EEF</t>
        </is>
      </c>
    </row>
    <row r="236" ht="32.8" customHeight="1" s="19">
      <c r="A236" s="25" t="n">
        <v>235</v>
      </c>
      <c r="B236" s="25" t="inlineStr">
        <is>
          <t>★★★★☆</t>
        </is>
      </c>
      <c r="C236" s="25" t="inlineStr">
        <is>
          <t>4 – Strong fit (electronics/signal/robotics/IoT/sensors)</t>
        </is>
      </c>
      <c r="D236" s="25" t="inlineStr">
        <is>
          <t>Embedded systems / Electronics</t>
        </is>
      </c>
      <c r="E236" s="26" t="inlineStr">
        <is>
          <t>Master indifférencié (recherche et professionnel) Sciences, technologies, santé mention Electronique, Energie électrique et Automatique parcours Ingénierie de l'automatique dans le transport et l'énergie (IATE)</t>
        </is>
      </c>
      <c r="F236" s="26" t="inlineStr">
        <is>
          <t>Science, Technology, Health (STS) – major: Electronics, Electrical Energy &amp; Automation (EEA) – track: Engineering of Automation dans the transport &amp; Energy (IATE)</t>
        </is>
      </c>
      <c r="G236" s="25" t="inlineStr">
        <is>
          <t>Master indifférencié (recherche et professionnel)</t>
        </is>
      </c>
      <c r="H236" s="25" t="inlineStr">
        <is>
          <t>UFR des sciences - Pôle scientifique Saint Leu</t>
        </is>
      </c>
      <c r="I236" s="25" t="inlineStr">
        <is>
          <t>Université Picardie Jules Verne Amiens</t>
        </is>
      </c>
      <c r="J236" s="25" t="inlineStr">
        <is>
          <t>Site de Amiens</t>
        </is>
      </c>
      <c r="K236" s="25" t="inlineStr">
        <is>
          <t>80000 Amiens</t>
        </is>
      </c>
      <c r="L236" s="25" t="inlineStr">
        <is>
          <t>Public university</t>
        </is>
      </c>
      <c r="M236" s="25" t="inlineStr">
        <is>
          <t>French</t>
        </is>
      </c>
      <c r="N236" s="25" t="inlineStr">
        <is>
          <t>General</t>
        </is>
      </c>
      <c r="O236" s="25" t="inlineStr">
        <is>
          <t>Bac +4 / Bac +5</t>
        </is>
      </c>
      <c r="P236" s="26" t="inlineStr">
        <is>
          <t>Eligible on level (4-yr BS ≈ Bac+4)</t>
        </is>
      </c>
      <c r="Q236" s="25" t="inlineStr">
        <is>
          <t>1/2</t>
        </is>
      </c>
      <c r="R236" s="25" t="inlineStr">
        <is>
          <t>12</t>
        </is>
      </c>
      <c r="S236" s="27" t="n">
        <v>3950</v>
      </c>
      <c r="T236" s="27" t="n">
        <v>255</v>
      </c>
      <c r="U236" s="25" t="n">
        <v>2</v>
      </c>
      <c r="V236" s="27">
        <f>IF(S236="","",S236*U236)</f>
        <v/>
      </c>
      <c r="W236" s="26" t="inlineStr">
        <is>
          <t>Catalogue: €3,950. = national differentiated master fee (2026-27: €3,950). Exemption to ~€255 possible (university quota).</t>
        </is>
      </c>
      <c r="X236" s="25" t="inlineStr">
        <is>
          <t>High</t>
        </is>
      </c>
      <c r="Y236" s="25" t="inlineStr">
        <is>
          <t>3950</t>
        </is>
      </c>
      <c r="Z236" s="26" t="n"/>
      <c r="AA236" s="26" t="n"/>
      <c r="AB236" s="25" t="n"/>
      <c r="AC236" s="25" t="inlineStr">
        <is>
          <t>Open</t>
        </is>
      </c>
      <c r="AD236" s="25" t="inlineStr">
        <is>
          <t>2026-10-01</t>
        </is>
      </c>
      <c r="AE236" s="25" t="inlineStr">
        <is>
          <t>2027-03-15</t>
        </is>
      </c>
      <c r="AF236" s="25" t="inlineStr">
        <is>
          <t>No</t>
        </is>
      </c>
      <c r="AG236" s="28" t="inlineStr">
        <is>
          <t>https://sciences.u-picardie.fr/accueil-ufr-sciences</t>
        </is>
      </c>
      <c r="AH236" s="26" t="inlineStr">
        <is>
          <t>Niveau de français requis C1. Le tarif indiqué est celui de l'année universitaire 2026/2027 et, est susceptible d'être modifié pour l'année universitaire 2027/2028.</t>
        </is>
      </c>
      <c r="AI236" s="28" t="inlineStr">
        <is>
          <t>Open in EEF</t>
        </is>
      </c>
    </row>
    <row r="237" ht="32.8" customHeight="1" s="19">
      <c r="A237" s="25" t="n">
        <v>236</v>
      </c>
      <c r="B237" s="25" t="inlineStr">
        <is>
          <t>★★★★☆</t>
        </is>
      </c>
      <c r="C237" s="25" t="inlineStr">
        <is>
          <t>4 – Strong fit (electronics/signal/robotics/IoT/sensors)</t>
        </is>
      </c>
      <c r="D237" s="25" t="inlineStr">
        <is>
          <t>Embedded systems / Electronics</t>
        </is>
      </c>
      <c r="E237" s="26" t="inlineStr">
        <is>
          <t>Master indifférencié (recherche et professionnel) Sciences, technologies, santé mention Electronique, Energie électrique et Automatique parcours Robotique et vision artificielle (ROVA)</t>
        </is>
      </c>
      <c r="F237" s="26" t="inlineStr">
        <is>
          <t>Science, Technology, Health (STS) – major: Electronics, Electrical Energy &amp; Automation (EEA) – track: Robotics &amp; Vision artificielle (ROVA)</t>
        </is>
      </c>
      <c r="G237" s="25" t="inlineStr">
        <is>
          <t>Master indifférencié (recherche et professionnel)</t>
        </is>
      </c>
      <c r="H237" s="25" t="inlineStr">
        <is>
          <t>UFR des sciences - Pôle scientifique Saint Leu</t>
        </is>
      </c>
      <c r="I237" s="25" t="inlineStr">
        <is>
          <t>Université Picardie Jules Verne Amiens</t>
        </is>
      </c>
      <c r="J237" s="25" t="inlineStr">
        <is>
          <t>Site de Amiens</t>
        </is>
      </c>
      <c r="K237" s="25" t="inlineStr">
        <is>
          <t>80000 Amiens</t>
        </is>
      </c>
      <c r="L237" s="25" t="inlineStr">
        <is>
          <t>Public university</t>
        </is>
      </c>
      <c r="M237" s="25" t="inlineStr">
        <is>
          <t>French</t>
        </is>
      </c>
      <c r="N237" s="25" t="inlineStr">
        <is>
          <t>General</t>
        </is>
      </c>
      <c r="O237" s="25" t="inlineStr">
        <is>
          <t>Bac +4 / Bac +5</t>
        </is>
      </c>
      <c r="P237" s="26" t="inlineStr">
        <is>
          <t>Eligible on level (4-yr BS ≈ Bac+4)</t>
        </is>
      </c>
      <c r="Q237" s="25" t="inlineStr">
        <is>
          <t>1/2</t>
        </is>
      </c>
      <c r="R237" s="25" t="inlineStr">
        <is>
          <t>12</t>
        </is>
      </c>
      <c r="S237" s="27" t="n">
        <v>3950</v>
      </c>
      <c r="T237" s="27" t="n">
        <v>255</v>
      </c>
      <c r="U237" s="25" t="n">
        <v>2</v>
      </c>
      <c r="V237" s="27">
        <f>IF(S237="","",S237*U237)</f>
        <v/>
      </c>
      <c r="W237" s="26" t="inlineStr">
        <is>
          <t>Catalogue: €3,950. = national differentiated master fee (2026-27: €3,950). Exemption to ~€255 possible (university quota).</t>
        </is>
      </c>
      <c r="X237" s="25" t="inlineStr">
        <is>
          <t>High</t>
        </is>
      </c>
      <c r="Y237" s="25" t="inlineStr">
        <is>
          <t>3950</t>
        </is>
      </c>
      <c r="Z237" s="26" t="n"/>
      <c r="AA237" s="26" t="n"/>
      <c r="AB237" s="25" t="n"/>
      <c r="AC237" s="25" t="inlineStr">
        <is>
          <t>Open</t>
        </is>
      </c>
      <c r="AD237" s="25" t="inlineStr">
        <is>
          <t>2026-10-01</t>
        </is>
      </c>
      <c r="AE237" s="25" t="inlineStr">
        <is>
          <t>2027-03-15</t>
        </is>
      </c>
      <c r="AF237" s="25" t="inlineStr">
        <is>
          <t>No</t>
        </is>
      </c>
      <c r="AG237" s="28" t="inlineStr">
        <is>
          <t>https://sciences.u-picardie.fr/accueil-ufr-sciences</t>
        </is>
      </c>
      <c r="AH237" s="26" t="inlineStr">
        <is>
          <t>Niveau de français requis C1. Le tarif indiqué est celui de l'année universitaire 2026/2027 et, est susceptible d'être modifié pour l'année universitaire 2027/2028.</t>
        </is>
      </c>
      <c r="AI237" s="28" t="inlineStr">
        <is>
          <t>Open in EEF</t>
        </is>
      </c>
    </row>
    <row r="238" ht="32.8" customHeight="1" s="19">
      <c r="A238" s="25" t="n">
        <v>237</v>
      </c>
      <c r="B238" s="25" t="inlineStr">
        <is>
          <t>★★★★☆</t>
        </is>
      </c>
      <c r="C238" s="25" t="inlineStr">
        <is>
          <t>4 – Strong fit (electronics/signal/robotics/IoT/sensors)</t>
        </is>
      </c>
      <c r="D238" s="25" t="inlineStr">
        <is>
          <t>Robotics / Automation / Mechatronics</t>
        </is>
      </c>
      <c r="E238" s="26" t="inlineStr">
        <is>
          <t>Master indifférencié (recherche et professionnel) Sciences, technologies, santé mention Energie parcours Automatique et Energie Electrique</t>
        </is>
      </c>
      <c r="F238" s="26" t="inlineStr">
        <is>
          <t>Science, Technology, Health (STS) – major: Energy – track: Automation &amp; Energy Electrical</t>
        </is>
      </c>
      <c r="G238" s="25" t="inlineStr">
        <is>
          <t>Master indifférencié (recherche et professionnel)</t>
        </is>
      </c>
      <c r="H238" s="25" t="inlineStr">
        <is>
          <t>UFR de sciences fondamentales et appliquées - Université de Poitiers</t>
        </is>
      </c>
      <c r="I238" s="25" t="inlineStr">
        <is>
          <t>Université de Poitiers</t>
        </is>
      </c>
      <c r="J238" s="25" t="inlineStr">
        <is>
          <t>Site de Poitiers</t>
        </is>
      </c>
      <c r="K238" s="25" t="n"/>
      <c r="L238" s="25" t="inlineStr">
        <is>
          <t>Public university</t>
        </is>
      </c>
      <c r="M238" s="25" t="inlineStr">
        <is>
          <t>French</t>
        </is>
      </c>
      <c r="N238" s="25" t="inlineStr">
        <is>
          <t>General</t>
        </is>
      </c>
      <c r="O238" s="25" t="inlineStr">
        <is>
          <t>Bac +4 / Bac +5</t>
        </is>
      </c>
      <c r="P238" s="26" t="inlineStr">
        <is>
          <t>Eligible on level (4-yr BS ≈ Bac+4)</t>
        </is>
      </c>
      <c r="Q238" s="25" t="inlineStr">
        <is>
          <t>1/2</t>
        </is>
      </c>
      <c r="R238" s="25" t="n"/>
      <c r="S238" s="27" t="n">
        <v>3950</v>
      </c>
      <c r="T238" s="27" t="n">
        <v>255</v>
      </c>
      <c r="U238" s="25" t="n">
        <v>2</v>
      </c>
      <c r="V238" s="27">
        <f>IF(S238="","",S238*U238)</f>
        <v/>
      </c>
      <c r="W238" s="26" t="inlineStr">
        <is>
          <t>Catalogue: €3,950. = national differentiated master fee (2026-27: €3,950). Exemption to ~€255 possible (university quota).</t>
        </is>
      </c>
      <c r="X238" s="25" t="inlineStr">
        <is>
          <t>High</t>
        </is>
      </c>
      <c r="Y238" s="25" t="inlineStr">
        <is>
          <t>3950</t>
        </is>
      </c>
      <c r="Z238" s="26" t="n"/>
      <c r="AA238" s="26" t="n"/>
      <c r="AB238" s="25" t="n"/>
      <c r="AC238" s="25" t="inlineStr">
        <is>
          <t>Open</t>
        </is>
      </c>
      <c r="AD238" s="25" t="inlineStr">
        <is>
          <t>2026-10-01</t>
        </is>
      </c>
      <c r="AE238" s="25" t="inlineStr">
        <is>
          <t>2027-03-15</t>
        </is>
      </c>
      <c r="AF238" s="25" t="inlineStr">
        <is>
          <t>No</t>
        </is>
      </c>
      <c r="AG238" s="28" t="inlineStr">
        <is>
          <t>https://sfa.univ-poitiers.fr/formation/offre-de-formation-sciences-technologies-sante/</t>
        </is>
      </c>
      <c r="AH238" s="26" t="inlineStr">
        <is>
          <t>Année 1 L'attention de la commission de recrutement sera portée notamment sur les résultats obtenus sur les matières en lien avec la discipline visée et sur l'aptitude du candidat à exposer ses motivations et son projet</t>
        </is>
      </c>
      <c r="AI238" s="28" t="inlineStr">
        <is>
          <t>Open in EEF</t>
        </is>
      </c>
    </row>
    <row r="239" ht="32.8" customHeight="1" s="19">
      <c r="A239" s="25" t="n">
        <v>238</v>
      </c>
      <c r="B239" s="25" t="inlineStr">
        <is>
          <t>★★★★☆</t>
        </is>
      </c>
      <c r="C239" s="25" t="inlineStr">
        <is>
          <t>4 – Strong fit (electronics/signal/robotics/IoT/sensors)</t>
        </is>
      </c>
      <c r="D239" s="25" t="inlineStr">
        <is>
          <t>Signal / Image / Vision</t>
        </is>
      </c>
      <c r="E239" s="26" t="inlineStr">
        <is>
          <t>Master indifférencié (recherche et professionnel) Sciences, technologies, santé mention informatique parcours Image et 3D</t>
        </is>
      </c>
      <c r="F239" s="26" t="inlineStr">
        <is>
          <t>Science, Technology, Health (STS) – major: Computer Science – track: Image &amp; 3D</t>
        </is>
      </c>
      <c r="G239" s="25" t="inlineStr">
        <is>
          <t>Master indifférencié (recherche et professionnel)</t>
        </is>
      </c>
      <c r="H239" s="25" t="inlineStr">
        <is>
          <t>UFR de mathématiques et d'informatique</t>
        </is>
      </c>
      <c r="I239" s="25" t="inlineStr">
        <is>
          <t>Université de Strasbourg</t>
        </is>
      </c>
      <c r="J239" s="25" t="inlineStr">
        <is>
          <t>Site de Strasbourg</t>
        </is>
      </c>
      <c r="K239" s="25" t="inlineStr">
        <is>
          <t>67084 STRASBOURG CEDEX</t>
        </is>
      </c>
      <c r="L239" s="25" t="inlineStr">
        <is>
          <t>Public university</t>
        </is>
      </c>
      <c r="M239" s="25" t="inlineStr">
        <is>
          <t>French</t>
        </is>
      </c>
      <c r="N239" s="25" t="inlineStr">
        <is>
          <t>General</t>
        </is>
      </c>
      <c r="O239" s="25" t="inlineStr">
        <is>
          <t>Bac +4</t>
        </is>
      </c>
      <c r="P239" s="26" t="inlineStr">
        <is>
          <t>Eligible on level (4-yr BS ≈ Bac+4)</t>
        </is>
      </c>
      <c r="Q239" s="25" t="inlineStr">
        <is>
          <t>1</t>
        </is>
      </c>
      <c r="R239" s="25" t="n"/>
      <c r="S239" s="27" t="n">
        <v>3950</v>
      </c>
      <c r="T239" s="27" t="n">
        <v>255</v>
      </c>
      <c r="U239" s="25" t="n">
        <v>2</v>
      </c>
      <c r="V239" s="27">
        <f>IF(S239="","",S239*U239)</f>
        <v/>
      </c>
      <c r="W239" s="26" t="inlineStr">
        <is>
          <t>Catalogue: €3,950. = national differentiated master fee (2026-27: €3,950). Exemption to ~€255 possible (university quota).</t>
        </is>
      </c>
      <c r="X239" s="25" t="inlineStr">
        <is>
          <t>High</t>
        </is>
      </c>
      <c r="Y239" s="25" t="inlineStr">
        <is>
          <t>3950</t>
        </is>
      </c>
      <c r="Z239" s="26" t="n"/>
      <c r="AA239" s="26" t="inlineStr">
        <is>
          <t>Unistra: master entrants who did not do their licence at Unistra pay the differentiated fee (€3,950).</t>
        </is>
      </c>
      <c r="AB239" s="28" t="inlineStr">
        <is>
          <t>https://www.unistra.fr/fr/node/8168</t>
        </is>
      </c>
      <c r="AC239" s="25" t="inlineStr">
        <is>
          <t>Open</t>
        </is>
      </c>
      <c r="AD239" s="25" t="inlineStr">
        <is>
          <t>2026-10-01</t>
        </is>
      </c>
      <c r="AE239" s="25" t="inlineStr">
        <is>
          <t>2027-03-15</t>
        </is>
      </c>
      <c r="AF239" s="25" t="inlineStr">
        <is>
          <t>No</t>
        </is>
      </c>
      <c r="AG239" s="28" t="inlineStr">
        <is>
          <t>http://mathinfo.unistra.fr</t>
        </is>
      </c>
      <c r="AH239" s="26" t="inlineStr">
        <is>
          <t>Formation à forte composante théorique, ne convient pas aux parcours professionnels En raison du très faible nombre de places, veuillez noter que le minimum exigé par la commission pédagogique pour l'admission en 1 ère a</t>
        </is>
      </c>
      <c r="AI239" s="28" t="inlineStr">
        <is>
          <t>Open in EEF</t>
        </is>
      </c>
    </row>
    <row r="240" ht="43.25" customHeight="1" s="19">
      <c r="A240" s="25" t="n">
        <v>239</v>
      </c>
      <c r="B240" s="25" t="inlineStr">
        <is>
          <t>★★★★☆</t>
        </is>
      </c>
      <c r="C240" s="25" t="inlineStr">
        <is>
          <t>4 – Strong fit (electronics/signal/robotics/IoT/sensors)</t>
        </is>
      </c>
      <c r="D240" s="25" t="inlineStr">
        <is>
          <t>Signal / Image / Vision</t>
        </is>
      </c>
      <c r="E240" s="26" t="inlineStr">
        <is>
          <t>Master indifférencié (recherche et professionnel) Sciences, technologies, santé mention Informatique parcours Parcours ISICG Synthèse d’Images et Conception Graphique</t>
        </is>
      </c>
      <c r="F240" s="26" t="inlineStr">
        <is>
          <t>Science, Technology, Health (STS) – major: Computer Science – track: track: ISICG Synthesis of Images &amp; Design Graphique</t>
        </is>
      </c>
      <c r="G240" s="25" t="inlineStr">
        <is>
          <t>Master indifférencié (recherche et professionnel)</t>
        </is>
      </c>
      <c r="H240" s="25" t="inlineStr">
        <is>
          <t>Faculté des Sciences et Techniques</t>
        </is>
      </c>
      <c r="I240" s="25" t="inlineStr">
        <is>
          <t>Université de Limoges</t>
        </is>
      </c>
      <c r="J240" s="25" t="inlineStr">
        <is>
          <t>Campus de la Borie Limoges</t>
        </is>
      </c>
      <c r="K240" s="25" t="n"/>
      <c r="L240" s="25" t="inlineStr">
        <is>
          <t>Public university</t>
        </is>
      </c>
      <c r="M240" s="25" t="inlineStr">
        <is>
          <t>French</t>
        </is>
      </c>
      <c r="N240" s="25" t="inlineStr">
        <is>
          <t>General</t>
        </is>
      </c>
      <c r="O240" s="25" t="inlineStr">
        <is>
          <t>Bac +4 / Bac +5</t>
        </is>
      </c>
      <c r="P240" s="26" t="inlineStr">
        <is>
          <t>Eligible on level (4-yr BS ≈ Bac+4)</t>
        </is>
      </c>
      <c r="Q240" s="25" t="inlineStr">
        <is>
          <t>1/2</t>
        </is>
      </c>
      <c r="R240" s="25" t="inlineStr">
        <is>
          <t>10</t>
        </is>
      </c>
      <c r="S240" s="27" t="n">
        <v>3950</v>
      </c>
      <c r="T240" s="27" t="n">
        <v>255</v>
      </c>
      <c r="U240" s="25" t="n">
        <v>2</v>
      </c>
      <c r="V240" s="27">
        <f>IF(S240="","",S240*U240)</f>
        <v/>
      </c>
      <c r="W240" s="26" t="inlineStr">
        <is>
          <t>Catalogue: €3,950. = national differentiated master fee (2026-27: €3,950). Exemption to ~€255 possible (university quota).</t>
        </is>
      </c>
      <c r="X240" s="25" t="inlineStr">
        <is>
          <t>High</t>
        </is>
      </c>
      <c r="Y240" s="25" t="inlineStr">
        <is>
          <t>3950</t>
        </is>
      </c>
      <c r="Z240" s="26" t="n"/>
      <c r="AA240" s="26" t="n"/>
      <c r="AB240" s="25" t="n"/>
      <c r="AC240" s="25" t="inlineStr">
        <is>
          <t>Open</t>
        </is>
      </c>
      <c r="AD240" s="25" t="inlineStr">
        <is>
          <t>2026-10-01</t>
        </is>
      </c>
      <c r="AE240" s="25" t="inlineStr">
        <is>
          <t>2027-03-15</t>
        </is>
      </c>
      <c r="AF240" s="25" t="inlineStr">
        <is>
          <t>No</t>
        </is>
      </c>
      <c r="AG240" s="28" t="inlineStr">
        <is>
          <t>http://www.sciences.unilim.fr/</t>
        </is>
      </c>
      <c r="AH240" s="26" t="inlineStr">
        <is>
          <t>Cette formation est associée à un programme du type Etablissement Universitaire de Recherche, les candidat.e.s à la formation désireux de poursuivre en thèse sont donc invité.e.s à postuler pour le parcours "Graduate Sch</t>
        </is>
      </c>
      <c r="AI240" s="28" t="inlineStr">
        <is>
          <t>Open in EEF</t>
        </is>
      </c>
    </row>
    <row r="241" ht="32.8" customHeight="1" s="19">
      <c r="A241" s="25" t="n">
        <v>240</v>
      </c>
      <c r="B241" s="25" t="inlineStr">
        <is>
          <t>★★★★☆</t>
        </is>
      </c>
      <c r="C241" s="25" t="inlineStr">
        <is>
          <t>4 – Strong fit (electronics/signal/robotics/IoT/sensors)</t>
        </is>
      </c>
      <c r="D241" s="25" t="inlineStr">
        <is>
          <t>Signal / Image / Vision</t>
        </is>
      </c>
      <c r="E241" s="26" t="inlineStr">
        <is>
          <t>Master indifférencié (recherche et professionnel) Sciences, technologies, santé mention Ingénierie de l'image et ingénierie du son parcours Image et son</t>
        </is>
      </c>
      <c r="F241" s="26" t="inlineStr">
        <is>
          <t>Science, Technology, Health (STS) – major: Engineering of Image &amp; Engineering of Sound – track: Image &amp; Sound</t>
        </is>
      </c>
      <c r="G241" s="25" t="inlineStr">
        <is>
          <t>Master indifférencié (recherche et professionnel)</t>
        </is>
      </c>
      <c r="H241" s="25" t="inlineStr">
        <is>
          <t>UFR sciences et techniques</t>
        </is>
      </c>
      <c r="I241" s="25" t="inlineStr">
        <is>
          <t>Université de Bretagne Occidentale</t>
        </is>
      </c>
      <c r="J241" s="25" t="inlineStr">
        <is>
          <t>Site de Brest</t>
        </is>
      </c>
      <c r="K241" s="25" t="n"/>
      <c r="L241" s="25" t="inlineStr">
        <is>
          <t>Public university</t>
        </is>
      </c>
      <c r="M241" s="25" t="inlineStr">
        <is>
          <t>French</t>
        </is>
      </c>
      <c r="N241" s="25" t="inlineStr">
        <is>
          <t>General</t>
        </is>
      </c>
      <c r="O241" s="25" t="inlineStr">
        <is>
          <t>Bac +4 / Bac +5</t>
        </is>
      </c>
      <c r="P241" s="26" t="inlineStr">
        <is>
          <t>Eligible on level (4-yr BS ≈ Bac+4)</t>
        </is>
      </c>
      <c r="Q241" s="25" t="inlineStr">
        <is>
          <t>1/2</t>
        </is>
      </c>
      <c r="R241" s="25" t="n"/>
      <c r="S241" s="27" t="n">
        <v>3950</v>
      </c>
      <c r="T241" s="27" t="n">
        <v>255</v>
      </c>
      <c r="U241" s="25" t="n">
        <v>2</v>
      </c>
      <c r="V241" s="27">
        <f>IF(S241="","",S241*U241)</f>
        <v/>
      </c>
      <c r="W241" s="26" t="inlineStr">
        <is>
          <t>Catalogue: €3,950. = national differentiated master fee (2026-27: €3,950). Exemption to ~€255 possible (university quota).</t>
        </is>
      </c>
      <c r="X241" s="25" t="inlineStr">
        <is>
          <t>High</t>
        </is>
      </c>
      <c r="Y241" s="25" t="inlineStr">
        <is>
          <t>3950</t>
        </is>
      </c>
      <c r="Z241" s="26" t="n"/>
      <c r="AA241" s="26" t="n"/>
      <c r="AB241" s="25" t="n"/>
      <c r="AC241" s="25" t="inlineStr">
        <is>
          <t>Open</t>
        </is>
      </c>
      <c r="AD241" s="25" t="inlineStr">
        <is>
          <t>2026-10-01</t>
        </is>
      </c>
      <c r="AE241" s="25" t="inlineStr">
        <is>
          <t>2027-03-15</t>
        </is>
      </c>
      <c r="AF241" s="25" t="inlineStr">
        <is>
          <t>No</t>
        </is>
      </c>
      <c r="AG241" s="28" t="inlineStr">
        <is>
          <t>http://www.univ-brest.fr/ufr-sciences</t>
        </is>
      </c>
      <c r="AH241" s="26" t="inlineStr">
        <is>
          <t>L'université de Bretagne occidentale demande de présenter un Test de connaissance en français pour tous les candidats dont une des langues officielles n'est pas le français. Pour les pays où le français n'est pas la seul</t>
        </is>
      </c>
      <c r="AI241" s="28" t="inlineStr">
        <is>
          <t>Open in EEF</t>
        </is>
      </c>
    </row>
    <row r="242" ht="32.8" customHeight="1" s="19">
      <c r="A242" s="25" t="n">
        <v>241</v>
      </c>
      <c r="B242" s="25" t="inlineStr">
        <is>
          <t>★★★★☆</t>
        </is>
      </c>
      <c r="C242" s="25" t="inlineStr">
        <is>
          <t>4 – Strong fit (electronics/signal/robotics/IoT/sensors)</t>
        </is>
      </c>
      <c r="D242" s="25" t="inlineStr">
        <is>
          <t>Signal / Image / Vision</t>
        </is>
      </c>
      <c r="E242" s="26" t="inlineStr">
        <is>
          <t>Master indifférencié (recherche et professionnel) Sciences, technologies, santé mention Ingénierie des systèmes complexes parcours Vision, signal, trajectographie et automatique</t>
        </is>
      </c>
      <c r="F242" s="26" t="inlineStr">
        <is>
          <t>Science, Technology, Health (STS) – major: Complex Systems Engineering – track: Vision, signal, trajectographie &amp; Automation</t>
        </is>
      </c>
      <c r="G242" s="25" t="inlineStr">
        <is>
          <t>Master indifférencié (recherche et professionnel)</t>
        </is>
      </c>
      <c r="H242" s="25" t="inlineStr">
        <is>
          <t>UFR de sciences et techniques</t>
        </is>
      </c>
      <c r="I242" s="25" t="inlineStr">
        <is>
          <t>Université de Toulon</t>
        </is>
      </c>
      <c r="J242" s="25" t="inlineStr">
        <is>
          <t>Site de La Garde</t>
        </is>
      </c>
      <c r="K242" s="25" t="inlineStr">
        <is>
          <t>83130 La Garde UFR SCIENCES ET TECH</t>
        </is>
      </c>
      <c r="L242" s="25" t="inlineStr">
        <is>
          <t>Public university</t>
        </is>
      </c>
      <c r="M242" s="25" t="inlineStr">
        <is>
          <t>French</t>
        </is>
      </c>
      <c r="N242" s="25" t="inlineStr">
        <is>
          <t>General</t>
        </is>
      </c>
      <c r="O242" s="25" t="inlineStr">
        <is>
          <t>Bac +4</t>
        </is>
      </c>
      <c r="P242" s="26" t="inlineStr">
        <is>
          <t>Eligible on level (4-yr BS ≈ Bac+4)</t>
        </is>
      </c>
      <c r="Q242" s="25" t="inlineStr">
        <is>
          <t>1</t>
        </is>
      </c>
      <c r="R242" s="25" t="inlineStr">
        <is>
          <t>12</t>
        </is>
      </c>
      <c r="S242" s="27" t="n">
        <v>3950</v>
      </c>
      <c r="T242" s="27" t="n">
        <v>255</v>
      </c>
      <c r="U242" s="25" t="n">
        <v>2</v>
      </c>
      <c r="V242" s="27">
        <f>IF(S242="","",S242*U242)</f>
        <v/>
      </c>
      <c r="W242" s="26" t="inlineStr">
        <is>
          <t>Catalogue: €3,950. = national differentiated master fee (2026-27: €3,950). Exemption to ~€255 possible (university quota).</t>
        </is>
      </c>
      <c r="X242" s="25" t="inlineStr">
        <is>
          <t>High</t>
        </is>
      </c>
      <c r="Y242" s="25" t="inlineStr">
        <is>
          <t>3950</t>
        </is>
      </c>
      <c r="Z242" s="26" t="n"/>
      <c r="AA242" s="26" t="n"/>
      <c r="AB242" s="25" t="n"/>
      <c r="AC242" s="25" t="inlineStr">
        <is>
          <t>Open</t>
        </is>
      </c>
      <c r="AD242" s="25" t="inlineStr">
        <is>
          <t>2026-10-01</t>
        </is>
      </c>
      <c r="AE242" s="25" t="inlineStr">
        <is>
          <t>2027-03-15</t>
        </is>
      </c>
      <c r="AF242" s="25" t="inlineStr">
        <is>
          <t>No</t>
        </is>
      </c>
      <c r="AG242" s="28" t="inlineStr">
        <is>
          <t>https://formations.univ-tln.fr/fr/offre-de-formation/master-XB/master-ingenierie-des-systemes-complexes-LO8RGPP1/master-ingenierie-des-systemes-complexes-parcours-vision-signal-trajectographie-et-automatique-LPZS1DK9.html</t>
        </is>
      </c>
      <c r="AH242" s="26" t="inlineStr">
        <is>
          <t>Attendus administratifs : Niveau B2 de langue française exigé Attendus pédagogiques : solides connaissances en maths-physiques, probablités, traitement du signal, notions de programmation. Licences conseillées pour le M1</t>
        </is>
      </c>
      <c r="AI242" s="28" t="inlineStr">
        <is>
          <t>Open in EEF</t>
        </is>
      </c>
    </row>
    <row r="243" ht="32.8" customHeight="1" s="19">
      <c r="A243" s="25" t="n">
        <v>242</v>
      </c>
      <c r="B243" s="25" t="inlineStr">
        <is>
          <t>★★★★☆</t>
        </is>
      </c>
      <c r="C243" s="25" t="inlineStr">
        <is>
          <t>4 – Strong fit (electronics/signal/robotics/IoT/sensors)</t>
        </is>
      </c>
      <c r="D243" s="25" t="inlineStr">
        <is>
          <t>IoT / Telecom / Networks</t>
        </is>
      </c>
      <c r="E243" s="26" t="inlineStr">
        <is>
          <t>Master indifférencié (recherche et professionnel) Sciences, technologies, santé mention ingénierie de systèmes complexes parcours RESET : REseaux, Signaux, Eco-Tic</t>
        </is>
      </c>
      <c r="F243" s="26" t="inlineStr">
        <is>
          <t>Science, Technology, Health (STS) – major: Engineering of Systems Complex – track: RESET : Networks, Signaux, Eco-Tic</t>
        </is>
      </c>
      <c r="G243" s="25" t="inlineStr">
        <is>
          <t>Master indifférencié (recherche et professionnel)</t>
        </is>
      </c>
      <c r="H243" s="25" t="inlineStr">
        <is>
          <t>Faculté des Sciences et Technologies</t>
        </is>
      </c>
      <c r="I243" s="25" t="inlineStr">
        <is>
          <t>Université de Lorraine</t>
        </is>
      </c>
      <c r="J243" s="25" t="inlineStr">
        <is>
          <t>Site de Vandoeuvre-lès-Nancy</t>
        </is>
      </c>
      <c r="K243" s="25" t="n"/>
      <c r="L243" s="25" t="inlineStr">
        <is>
          <t>Public university</t>
        </is>
      </c>
      <c r="M243" s="25" t="inlineStr">
        <is>
          <t>French</t>
        </is>
      </c>
      <c r="N243" s="25" t="inlineStr">
        <is>
          <t>General</t>
        </is>
      </c>
      <c r="O243" s="25" t="inlineStr">
        <is>
          <t>Bac +4</t>
        </is>
      </c>
      <c r="P243" s="26" t="inlineStr">
        <is>
          <t>Eligible on level (4-yr BS ≈ Bac+4)</t>
        </is>
      </c>
      <c r="Q243" s="25" t="inlineStr">
        <is>
          <t>1</t>
        </is>
      </c>
      <c r="R243" s="25" t="n"/>
      <c r="S243" s="27" t="n">
        <v>3950</v>
      </c>
      <c r="T243" s="27" t="n">
        <v>255</v>
      </c>
      <c r="U243" s="25" t="n">
        <v>2</v>
      </c>
      <c r="V243" s="27">
        <f>IF(S243="","",S243*U243)</f>
        <v/>
      </c>
      <c r="W243" s="26" t="inlineStr">
        <is>
          <t>Catalogue: €3,950. = national differentiated master fee (2026-27: €3,950). Exemption to ~€255 possible (university quota).</t>
        </is>
      </c>
      <c r="X243" s="25" t="inlineStr">
        <is>
          <t>High</t>
        </is>
      </c>
      <c r="Y243" s="25" t="inlineStr">
        <is>
          <t>3950</t>
        </is>
      </c>
      <c r="Z243" s="26" t="n"/>
      <c r="AA243" s="26" t="n"/>
      <c r="AB243" s="25" t="n"/>
      <c r="AC243" s="25" t="inlineStr">
        <is>
          <t>Open</t>
        </is>
      </c>
      <c r="AD243" s="25" t="inlineStr">
        <is>
          <t>2026-10-01</t>
        </is>
      </c>
      <c r="AE243" s="25" t="inlineStr">
        <is>
          <t>2027-03-15</t>
        </is>
      </c>
      <c r="AF243" s="25" t="inlineStr">
        <is>
          <t>No</t>
        </is>
      </c>
      <c r="AG243" s="28" t="inlineStr">
        <is>
          <t>https://fst.univ-lorraine.fr/formations/</t>
        </is>
      </c>
      <c r="AH243" s="26" t="inlineStr">
        <is>
          <t>Niveau B2 en langue française exigé. Aucun dossier transmis en dehors de la campagne d'ouverture de Campus France ne sera accepté. Un ordinateur et une connexion internet sont nécessaires pour suivre la formation. AUCUNE</t>
        </is>
      </c>
      <c r="AI243" s="28" t="inlineStr">
        <is>
          <t>Open in EEF</t>
        </is>
      </c>
    </row>
    <row r="244" ht="32.8" customHeight="1" s="19">
      <c r="A244" s="25" t="n">
        <v>243</v>
      </c>
      <c r="B244" s="25" t="inlineStr">
        <is>
          <t>★★★★☆</t>
        </is>
      </c>
      <c r="C244" s="25" t="inlineStr">
        <is>
          <t>4 – Strong fit (electronics/signal/robotics/IoT/sensors)</t>
        </is>
      </c>
      <c r="D244" s="25" t="inlineStr">
        <is>
          <t>IoT / Telecom / Networks</t>
        </is>
      </c>
      <c r="E244" s="26" t="inlineStr">
        <is>
          <t>Master indifférencié (recherche et professionnel) Sciences, technologies, santé mention ingénierie et innovation en images et réseaux parcours Ingénierie et Innovation en image et réseaux parcours Réseaux</t>
        </is>
      </c>
      <c r="F244" s="26" t="inlineStr">
        <is>
          <t>Science, Technology, Health (STS) – major: Engineering &amp; innovation in Images &amp; Networks – track: Engineering &amp; Innovation in Image &amp; Networks – track: Networks</t>
        </is>
      </c>
      <c r="G244" s="25" t="inlineStr">
        <is>
          <t>Master indifférencié (recherche et professionnel)</t>
        </is>
      </c>
      <c r="H244" s="25" t="inlineStr">
        <is>
          <t>Institut Galilée</t>
        </is>
      </c>
      <c r="I244" s="25" t="inlineStr">
        <is>
          <t>Université Sorbonne Paris Nord</t>
        </is>
      </c>
      <c r="J244" s="25" t="inlineStr">
        <is>
          <t>Site de Villetaneuse</t>
        </is>
      </c>
      <c r="K244" s="25" t="n"/>
      <c r="L244" s="25" t="inlineStr">
        <is>
          <t>Public school / institute</t>
        </is>
      </c>
      <c r="M244" s="25" t="inlineStr">
        <is>
          <t>French</t>
        </is>
      </c>
      <c r="N244" s="25" t="inlineStr">
        <is>
          <t>General</t>
        </is>
      </c>
      <c r="O244" s="25" t="inlineStr">
        <is>
          <t>Bac +4 / Bac +5</t>
        </is>
      </c>
      <c r="P244" s="26" t="inlineStr">
        <is>
          <t>Eligible on level (4-yr BS ≈ Bac+4)</t>
        </is>
      </c>
      <c r="Q244" s="25" t="inlineStr">
        <is>
          <t>1/2</t>
        </is>
      </c>
      <c r="R244" s="25" t="inlineStr">
        <is>
          <t>12</t>
        </is>
      </c>
      <c r="S244" s="27" t="n">
        <v>3950</v>
      </c>
      <c r="T244" s="27" t="n">
        <v>255</v>
      </c>
      <c r="U244" s="25" t="n">
        <v>2</v>
      </c>
      <c r="V244" s="27">
        <f>IF(S244="","",S244*U244)</f>
        <v/>
      </c>
      <c r="W244" s="26" t="inlineStr">
        <is>
          <t>Catalogue: €3,950. = national differentiated master fee (2026-27: €3,950). Exemption to ~€255 possible (university quota).</t>
        </is>
      </c>
      <c r="X244" s="25" t="inlineStr">
        <is>
          <t>High</t>
        </is>
      </c>
      <c r="Y244" s="25" t="inlineStr">
        <is>
          <t>3950</t>
        </is>
      </c>
      <c r="Z244" s="26" t="n"/>
      <c r="AA244" s="26" t="n"/>
      <c r="AB244" s="25" t="n"/>
      <c r="AC244" s="25" t="inlineStr">
        <is>
          <t>Open</t>
        </is>
      </c>
      <c r="AD244" s="25" t="inlineStr">
        <is>
          <t>2026-10-01</t>
        </is>
      </c>
      <c r="AE244" s="25" t="inlineStr">
        <is>
          <t>2027-03-15</t>
        </is>
      </c>
      <c r="AF244" s="25" t="inlineStr">
        <is>
          <t>No</t>
        </is>
      </c>
      <c r="AG244" s="25" t="n"/>
      <c r="AH244" s="26" t="inlineStr">
        <is>
          <t>Niveau TCF Minimun B2 Etre titulaire d'un Master Sciences pour l’ingénieur ou Informatique ou Electronique ou énergie électrique ou automatique ou Mathématiques (avec des cours optionnels sur le traitement de signal et l</t>
        </is>
      </c>
      <c r="AI244" s="28" t="inlineStr">
        <is>
          <t>Open in EEF</t>
        </is>
      </c>
    </row>
    <row r="245" ht="43.25" customHeight="1" s="19">
      <c r="A245" s="25" t="n">
        <v>244</v>
      </c>
      <c r="B245" s="25" t="inlineStr">
        <is>
          <t>★★★★☆</t>
        </is>
      </c>
      <c r="C245" s="25" t="inlineStr">
        <is>
          <t>4 – Strong fit (electronics/signal/robotics/IoT/sensors)</t>
        </is>
      </c>
      <c r="D245" s="25" t="inlineStr">
        <is>
          <t>IoT / Telecom / Networks</t>
        </is>
      </c>
      <c r="E245" s="26" t="inlineStr">
        <is>
          <t>Master indifférencié (recherche et professionnel) Sciences, technologies, santé mention ingénierie et innovation en images et réseaux parcours Ingénierie et innovation en images et réseaux parcours Systèmes intelligents et Vision par ordinateur (SIVO)</t>
        </is>
      </c>
      <c r="F245" s="26" t="inlineStr">
        <is>
          <t>Science, Technology, Health (STS) – major: Engineering &amp; innovation in Images &amp; Networks – track: Engineering &amp; innovation in Images &amp; Networks – track: Systems Intelligent &amp; Computer Vision (SIVO)</t>
        </is>
      </c>
      <c r="G245" s="25" t="inlineStr">
        <is>
          <t>Master indifférencié (recherche et professionnel)</t>
        </is>
      </c>
      <c r="H245" s="25" t="inlineStr">
        <is>
          <t>Institut Galilée</t>
        </is>
      </c>
      <c r="I245" s="25" t="inlineStr">
        <is>
          <t>Université Sorbonne Paris Nord</t>
        </is>
      </c>
      <c r="J245" s="25" t="inlineStr">
        <is>
          <t>Site de Villetaneuse</t>
        </is>
      </c>
      <c r="K245" s="25" t="n"/>
      <c r="L245" s="25" t="inlineStr">
        <is>
          <t>Public school / institute</t>
        </is>
      </c>
      <c r="M245" s="25" t="inlineStr">
        <is>
          <t>French</t>
        </is>
      </c>
      <c r="N245" s="25" t="inlineStr">
        <is>
          <t>General</t>
        </is>
      </c>
      <c r="O245" s="25" t="inlineStr">
        <is>
          <t>Bac +4 / Bac +5</t>
        </is>
      </c>
      <c r="P245" s="26" t="inlineStr">
        <is>
          <t>Eligible on level (4-yr BS ≈ Bac+4)</t>
        </is>
      </c>
      <c r="Q245" s="25" t="inlineStr">
        <is>
          <t>1/2</t>
        </is>
      </c>
      <c r="R245" s="25" t="inlineStr">
        <is>
          <t>12</t>
        </is>
      </c>
      <c r="S245" s="27" t="n">
        <v>3950</v>
      </c>
      <c r="T245" s="27" t="n">
        <v>255</v>
      </c>
      <c r="U245" s="25" t="n">
        <v>2</v>
      </c>
      <c r="V245" s="27">
        <f>IF(S245="","",S245*U245)</f>
        <v/>
      </c>
      <c r="W245" s="26" t="inlineStr">
        <is>
          <t>Catalogue: €3,950. = national differentiated master fee (2026-27: €3,950). Exemption to ~€255 possible (university quota).</t>
        </is>
      </c>
      <c r="X245" s="25" t="inlineStr">
        <is>
          <t>High</t>
        </is>
      </c>
      <c r="Y245" s="25" t="inlineStr">
        <is>
          <t>3950</t>
        </is>
      </c>
      <c r="Z245" s="26" t="n"/>
      <c r="AA245" s="26" t="n"/>
      <c r="AB245" s="25" t="n"/>
      <c r="AC245" s="25" t="inlineStr">
        <is>
          <t>Open</t>
        </is>
      </c>
      <c r="AD245" s="25" t="inlineStr">
        <is>
          <t>2026-10-01</t>
        </is>
      </c>
      <c r="AE245" s="25" t="inlineStr">
        <is>
          <t>2027-03-15</t>
        </is>
      </c>
      <c r="AF245" s="25" t="inlineStr">
        <is>
          <t>No</t>
        </is>
      </c>
      <c r="AG245" s="28" t="inlineStr">
        <is>
          <t>http://www-galilee.univ-paris13.fr/</t>
        </is>
      </c>
      <c r="AH245" s="26" t="inlineStr">
        <is>
          <t>Niveau TCF Minimun B2 Etre titulaire d'un Master Sciences pour l’ingénieur ou Informatique ou Electronique ou énergie électrique ou automatique ou Mathématiques (avec des cours optionnels sur le traitement de signal et l</t>
        </is>
      </c>
      <c r="AI245" s="28" t="inlineStr">
        <is>
          <t>Open in EEF</t>
        </is>
      </c>
    </row>
    <row r="246" ht="32.8" customHeight="1" s="19">
      <c r="A246" s="25" t="n">
        <v>245</v>
      </c>
      <c r="B246" s="25" t="inlineStr">
        <is>
          <t>★★★★☆</t>
        </is>
      </c>
      <c r="C246" s="25" t="inlineStr">
        <is>
          <t>4 – Strong fit (electronics/signal/robotics/IoT/sensors)</t>
        </is>
      </c>
      <c r="D246" s="25" t="inlineStr">
        <is>
          <t>Robotics / Automation / Mechatronics</t>
        </is>
      </c>
      <c r="E246" s="26" t="inlineStr">
        <is>
          <t>Master indifférencié (recherche et professionnel) Sciences, technologies, santé mention Intelligence artificielle et ingénierie des systèmes parcours Automatique avancée pour la gestion des énergies</t>
        </is>
      </c>
      <c r="F246" s="26" t="inlineStr">
        <is>
          <t>Science, Technology, Health (STS) – major: Artificial Intelligence &amp; Engineering of Systems – track: Automation Advanced for the Management of Energies</t>
        </is>
      </c>
      <c r="G246" s="25" t="inlineStr">
        <is>
          <t>Master indifférencié (recherche et professionnel)</t>
        </is>
      </c>
      <c r="H246" s="25" t="inlineStr">
        <is>
          <t>UFR des Sciences Exactes et Expérimentales (SEE)</t>
        </is>
      </c>
      <c r="I246" s="25" t="inlineStr">
        <is>
          <t>Université de Perpignan Via Domitia</t>
        </is>
      </c>
      <c r="J246" s="25" t="inlineStr">
        <is>
          <t>Site de Perpignan</t>
        </is>
      </c>
      <c r="K246" s="25" t="n"/>
      <c r="L246" s="25" t="inlineStr">
        <is>
          <t>Public university</t>
        </is>
      </c>
      <c r="M246" s="25" t="inlineStr">
        <is>
          <t>French</t>
        </is>
      </c>
      <c r="N246" s="25" t="inlineStr">
        <is>
          <t>General</t>
        </is>
      </c>
      <c r="O246" s="25" t="inlineStr">
        <is>
          <t>Bac +4 / Bac +5</t>
        </is>
      </c>
      <c r="P246" s="26" t="inlineStr">
        <is>
          <t>Eligible on level (4-yr BS ≈ Bac+4)</t>
        </is>
      </c>
      <c r="Q246" s="25" t="inlineStr">
        <is>
          <t>1/2</t>
        </is>
      </c>
      <c r="R246" s="25" t="n"/>
      <c r="S246" s="27" t="n">
        <v>3950</v>
      </c>
      <c r="T246" s="27" t="n">
        <v>255</v>
      </c>
      <c r="U246" s="25" t="n">
        <v>2</v>
      </c>
      <c r="V246" s="27">
        <f>IF(S246="","",S246*U246)</f>
        <v/>
      </c>
      <c r="W246" s="26" t="inlineStr">
        <is>
          <t>Catalogue: €3,950. = national differentiated master fee (2026-27: €3,950). Exemption to ~€255 possible (university quota).</t>
        </is>
      </c>
      <c r="X246" s="25" t="inlineStr">
        <is>
          <t>High</t>
        </is>
      </c>
      <c r="Y246" s="25" t="inlineStr">
        <is>
          <t>3950</t>
        </is>
      </c>
      <c r="Z246" s="26" t="n"/>
      <c r="AA246" s="26" t="n"/>
      <c r="AB246" s="25" t="n"/>
      <c r="AC246" s="25" t="inlineStr">
        <is>
          <t>Open</t>
        </is>
      </c>
      <c r="AD246" s="25" t="inlineStr">
        <is>
          <t>2026-10-01</t>
        </is>
      </c>
      <c r="AE246" s="25" t="inlineStr">
        <is>
          <t>2027-03-15</t>
        </is>
      </c>
      <c r="AF246" s="25" t="inlineStr">
        <is>
          <t>No</t>
        </is>
      </c>
      <c r="AG246" s="25" t="n"/>
      <c r="AH246" s="26" t="inlineStr">
        <is>
          <t>- Mention bien (moyenne supérieure à 14/20) en licence 3 (ou équivalent). - Avoir validé en 1ère session les années de L1, L2 et le premier semestre de L3 (ou équivalent). - Avoir validé avec une moyenne supérieure ou ég</t>
        </is>
      </c>
      <c r="AI246" s="28" t="inlineStr">
        <is>
          <t>Open in EEF</t>
        </is>
      </c>
    </row>
    <row r="247" ht="32.8" customHeight="1" s="19">
      <c r="A247" s="25" t="n">
        <v>246</v>
      </c>
      <c r="B247" s="25" t="inlineStr">
        <is>
          <t>★★★★☆</t>
        </is>
      </c>
      <c r="C247" s="25" t="inlineStr">
        <is>
          <t>4 – Strong fit (electronics/signal/robotics/IoT/sensors)</t>
        </is>
      </c>
      <c r="D247" s="25" t="inlineStr">
        <is>
          <t>Robotics / Automation / Mechatronics</t>
        </is>
      </c>
      <c r="E247" s="26" t="inlineStr">
        <is>
          <t>Master indifférencié (recherche et professionnel) Sciences, technologies, santé mention Physique appliquée et Ingénierie physique parcours Mécatronique, énergie et systèmes intelligents</t>
        </is>
      </c>
      <c r="F247" s="26" t="inlineStr">
        <is>
          <t>Science, Technology, Health (STS) – major: Applied Physics &amp; Engineering Physics – track: Mechatronics, Energy &amp; Systems Intelligent</t>
        </is>
      </c>
      <c r="G247" s="25" t="inlineStr">
        <is>
          <t>Master indifférencié (recherche et professionnel)</t>
        </is>
      </c>
      <c r="H247" s="25" t="inlineStr">
        <is>
          <t>Faculté de physique et ingénierie</t>
        </is>
      </c>
      <c r="I247" s="25" t="inlineStr">
        <is>
          <t>Université de Strasbourg</t>
        </is>
      </c>
      <c r="J247" s="25" t="inlineStr">
        <is>
          <t>Site de Strasbourg</t>
        </is>
      </c>
      <c r="K247" s="25" t="n"/>
      <c r="L247" s="25" t="inlineStr">
        <is>
          <t>Public university</t>
        </is>
      </c>
      <c r="M247" s="25" t="inlineStr">
        <is>
          <t>French</t>
        </is>
      </c>
      <c r="N247" s="25" t="inlineStr">
        <is>
          <t>General</t>
        </is>
      </c>
      <c r="O247" s="25" t="inlineStr">
        <is>
          <t>Bac +4 / Bac +5</t>
        </is>
      </c>
      <c r="P247" s="26" t="inlineStr">
        <is>
          <t>Eligible on level (4-yr BS ≈ Bac+4)</t>
        </is>
      </c>
      <c r="Q247" s="25" t="inlineStr">
        <is>
          <t>1/2</t>
        </is>
      </c>
      <c r="R247" s="25" t="n"/>
      <c r="S247" s="27" t="n">
        <v>3950</v>
      </c>
      <c r="T247" s="27" t="n">
        <v>255</v>
      </c>
      <c r="U247" s="25" t="n">
        <v>2</v>
      </c>
      <c r="V247" s="27">
        <f>IF(S247="","",S247*U247)</f>
        <v/>
      </c>
      <c r="W247" s="26" t="inlineStr">
        <is>
          <t>Catalogue: €3,950. = national differentiated master fee (2026-27: €3,950). Exemption to ~€255 possible (university quota).</t>
        </is>
      </c>
      <c r="X247" s="25" t="inlineStr">
        <is>
          <t>High</t>
        </is>
      </c>
      <c r="Y247" s="25" t="inlineStr">
        <is>
          <t>3950</t>
        </is>
      </c>
      <c r="Z247" s="26" t="n"/>
      <c r="AA247" s="26" t="inlineStr">
        <is>
          <t>Unistra: master entrants who did not do their licence at Unistra pay the differentiated fee (€3,950).</t>
        </is>
      </c>
      <c r="AB247" s="28" t="inlineStr">
        <is>
          <t>https://www.unistra.fr/fr/node/8168</t>
        </is>
      </c>
      <c r="AC247" s="25" t="inlineStr">
        <is>
          <t>Open</t>
        </is>
      </c>
      <c r="AD247" s="25" t="inlineStr">
        <is>
          <t>2026-10-01</t>
        </is>
      </c>
      <c r="AE247" s="25" t="inlineStr">
        <is>
          <t>2027-03-15</t>
        </is>
      </c>
      <c r="AF247" s="25" t="inlineStr">
        <is>
          <t>No</t>
        </is>
      </c>
      <c r="AG247" s="28" t="inlineStr">
        <is>
          <t>http://www.physique-ingenierie.unistra.fr/</t>
        </is>
      </c>
      <c r="AH247" s="26" t="inlineStr">
        <is>
          <t>- Niveau d’entrée en MESI1 : Licence ou Bachelor. - Disciplines : Sciences pour l’ingénieur (domaines de l’Electronique/ Electrotechnique/ Automatique (EEA), de la mécatronique, de la mécanique, de l’informatique, du gén</t>
        </is>
      </c>
      <c r="AI247" s="28" t="inlineStr">
        <is>
          <t>Open in EEF</t>
        </is>
      </c>
    </row>
    <row r="248" ht="32.8" customHeight="1" s="19">
      <c r="A248" s="25" t="n">
        <v>247</v>
      </c>
      <c r="B248" s="25" t="inlineStr">
        <is>
          <t>★★★★☆</t>
        </is>
      </c>
      <c r="C248" s="25" t="inlineStr">
        <is>
          <t>4 – Strong fit (electronics/signal/robotics/IoT/sensors)</t>
        </is>
      </c>
      <c r="D248" s="25" t="inlineStr">
        <is>
          <t>Sensors / Instrumentation / Micro-Nano / Photonics</t>
        </is>
      </c>
      <c r="E248" s="26" t="inlineStr">
        <is>
          <t>Master indifférencié (recherche et professionnel) Sciences, technologies, santé mention Physique appliquée et Ingénierie physique parcours Instrumentation, contrôle et management des systèmes</t>
        </is>
      </c>
      <c r="F248" s="26" t="inlineStr">
        <is>
          <t>Science, Technology, Health (STS) – major: Applied Physics &amp; Engineering Physics – track: Instrumentation, Control &amp; management of Systems</t>
        </is>
      </c>
      <c r="G248" s="25" t="inlineStr">
        <is>
          <t>Master indifférencié (recherche et professionnel)</t>
        </is>
      </c>
      <c r="H248" s="25" t="inlineStr">
        <is>
          <t>UFR sciences et techniques</t>
        </is>
      </c>
      <c r="I248" s="25" t="inlineStr">
        <is>
          <t>Université d'Orléans</t>
        </is>
      </c>
      <c r="J248" s="25" t="inlineStr">
        <is>
          <t>Site de Orléans</t>
        </is>
      </c>
      <c r="K248" s="25" t="n"/>
      <c r="L248" s="25" t="inlineStr">
        <is>
          <t>Public university</t>
        </is>
      </c>
      <c r="M248" s="25" t="inlineStr">
        <is>
          <t>French</t>
        </is>
      </c>
      <c r="N248" s="25" t="inlineStr">
        <is>
          <t>General</t>
        </is>
      </c>
      <c r="O248" s="25" t="inlineStr">
        <is>
          <t>Bac +4 / Bac +5</t>
        </is>
      </c>
      <c r="P248" s="26" t="inlineStr">
        <is>
          <t>Eligible on level (4-yr BS ≈ Bac+4)</t>
        </is>
      </c>
      <c r="Q248" s="25" t="inlineStr">
        <is>
          <t>1/2</t>
        </is>
      </c>
      <c r="R248" s="25" t="inlineStr">
        <is>
          <t>12</t>
        </is>
      </c>
      <c r="S248" s="27" t="n">
        <v>3950</v>
      </c>
      <c r="T248" s="27" t="n">
        <v>255</v>
      </c>
      <c r="U248" s="25" t="n">
        <v>2</v>
      </c>
      <c r="V248" s="27">
        <f>IF(S248="","",S248*U248)</f>
        <v/>
      </c>
      <c r="W248" s="26" t="inlineStr">
        <is>
          <t>Catalogue: €3,950. = national differentiated master fee (2026-27: €3,950). Exemption to ~€255 possible (university quota).</t>
        </is>
      </c>
      <c r="X248" s="25" t="inlineStr">
        <is>
          <t>High</t>
        </is>
      </c>
      <c r="Y248" s="25" t="inlineStr">
        <is>
          <t>3950</t>
        </is>
      </c>
      <c r="Z248" s="26" t="n"/>
      <c r="AA248" s="26" t="n"/>
      <c r="AB248" s="25" t="n"/>
      <c r="AC248" s="25" t="inlineStr">
        <is>
          <t>Open</t>
        </is>
      </c>
      <c r="AD248" s="25" t="inlineStr">
        <is>
          <t>2026-10-01</t>
        </is>
      </c>
      <c r="AE248" s="25" t="inlineStr">
        <is>
          <t>2027-03-15</t>
        </is>
      </c>
      <c r="AF248" s="25" t="inlineStr">
        <is>
          <t>No</t>
        </is>
      </c>
      <c r="AG248" s="28" t="inlineStr">
        <is>
          <t>https://www.univ-orleans.fr/fr/sciences-techniques/formation/physique</t>
        </is>
      </c>
      <c r="AH248" s="26" t="inlineStr">
        <is>
          <t>Candidature en M1 : Avoir un bon niveau en math et en physique ou sciences de l'ingénieur. Avoir obtenu de bons résultats ou avoir de l'expérience en situation professionnelle (stage). Candidature en M2 : Avoir obtenu un</t>
        </is>
      </c>
      <c r="AI248" s="28" t="inlineStr">
        <is>
          <t>Open in EEF</t>
        </is>
      </c>
    </row>
    <row r="249" ht="32.8" customHeight="1" s="19">
      <c r="A249" s="25" t="n">
        <v>248</v>
      </c>
      <c r="B249" s="25" t="inlineStr">
        <is>
          <t>★★★★☆</t>
        </is>
      </c>
      <c r="C249" s="25" t="inlineStr">
        <is>
          <t>4 – Strong fit (electronics/signal/robotics/IoT/sensors)</t>
        </is>
      </c>
      <c r="D249" s="25" t="inlineStr">
        <is>
          <t>Signal / Image / Vision</t>
        </is>
      </c>
      <c r="E249" s="26" t="inlineStr">
        <is>
          <t>Master indifférencié (recherche et professionnel) Sciences, technologies, santé mention Physique appliquée et Ingénierie physique parcours Photonique Signal Imagerie</t>
        </is>
      </c>
      <c r="F249" s="26" t="inlineStr">
        <is>
          <t>Science, Technology, Health (STS) – major: Applied Physics &amp; Engineering Physics – track: Photonics Signal Imaging</t>
        </is>
      </c>
      <c r="G249" s="25" t="inlineStr">
        <is>
          <t>Master indifférencié (recherche et professionnel)</t>
        </is>
      </c>
      <c r="H249" s="25" t="inlineStr">
        <is>
          <t>UFR de sciences</t>
        </is>
      </c>
      <c r="I249" s="25" t="inlineStr">
        <is>
          <t>Université d'Angers</t>
        </is>
      </c>
      <c r="J249" s="25" t="inlineStr">
        <is>
          <t>Site de Angers</t>
        </is>
      </c>
      <c r="K249" s="25" t="n"/>
      <c r="L249" s="25" t="inlineStr">
        <is>
          <t>Public university</t>
        </is>
      </c>
      <c r="M249" s="25" t="inlineStr">
        <is>
          <t>French</t>
        </is>
      </c>
      <c r="N249" s="25" t="inlineStr">
        <is>
          <t>General</t>
        </is>
      </c>
      <c r="O249" s="25" t="inlineStr">
        <is>
          <t>Bac +4 / Bac +5</t>
        </is>
      </c>
      <c r="P249" s="26" t="inlineStr">
        <is>
          <t>Eligible on level (4-yr BS ≈ Bac+4)</t>
        </is>
      </c>
      <c r="Q249" s="25" t="inlineStr">
        <is>
          <t>1/2</t>
        </is>
      </c>
      <c r="R249" s="25" t="n"/>
      <c r="S249" s="27" t="n">
        <v>3950</v>
      </c>
      <c r="T249" s="27" t="n">
        <v>255</v>
      </c>
      <c r="U249" s="25" t="n">
        <v>2</v>
      </c>
      <c r="V249" s="27">
        <f>IF(S249="","",S249*U249)</f>
        <v/>
      </c>
      <c r="W249" s="26" t="inlineStr">
        <is>
          <t>Catalogue: €3,950. = national differentiated master fee (2026-27: €3,950). Exemption to ~€255 possible (university quota).</t>
        </is>
      </c>
      <c r="X249" s="25" t="inlineStr">
        <is>
          <t>High</t>
        </is>
      </c>
      <c r="Y249" s="25" t="inlineStr">
        <is>
          <t>3950</t>
        </is>
      </c>
      <c r="Z249" s="26" t="n"/>
      <c r="AA249" s="26" t="n"/>
      <c r="AB249" s="25" t="n"/>
      <c r="AC249" s="25" t="inlineStr">
        <is>
          <t>Open</t>
        </is>
      </c>
      <c r="AD249" s="25" t="inlineStr">
        <is>
          <t>2026-10-01</t>
        </is>
      </c>
      <c r="AE249" s="25" t="inlineStr">
        <is>
          <t>2027-03-15</t>
        </is>
      </c>
      <c r="AF249" s="25" t="inlineStr">
        <is>
          <t>No</t>
        </is>
      </c>
      <c r="AG249" s="28" t="inlineStr">
        <is>
          <t>https://www.univ-angers.fr/fr/acces-directs/facultes-et-instituts/faculte-des-sciences.html</t>
        </is>
      </c>
      <c r="AH249" s="26" t="inlineStr">
        <is>
          <t>Etre au moins titulaire d'un diplôme niveau Bac+3. Avoir au moins obtenu le niveau B2 en langue française pour les pays non francophones.</t>
        </is>
      </c>
      <c r="AI249" s="28" t="inlineStr">
        <is>
          <t>Open in EEF</t>
        </is>
      </c>
    </row>
    <row r="250" ht="32.8" customHeight="1" s="19">
      <c r="A250" s="25" t="n">
        <v>249</v>
      </c>
      <c r="B250" s="25" t="inlineStr">
        <is>
          <t>★★★★☆</t>
        </is>
      </c>
      <c r="C250" s="25" t="inlineStr">
        <is>
          <t>4 – Strong fit (electronics/signal/robotics/IoT/sensors)</t>
        </is>
      </c>
      <c r="D250" s="25" t="inlineStr">
        <is>
          <t>Embedded systems / Electronics</t>
        </is>
      </c>
      <c r="E250" s="26" t="inlineStr">
        <is>
          <t>Master indifférencié (recherche et professionnel) Sciences, technologies, santé mention Physique appliquée et Ingénierie physique parcours Systèmes électroniques et microélectroniques</t>
        </is>
      </c>
      <c r="F250" s="26" t="inlineStr">
        <is>
          <t>Science, Technology, Health (STS) – major: Applied Physics &amp; Engineering Physics – track: Systems Electronic &amp; microélectroniques</t>
        </is>
      </c>
      <c r="G250" s="25" t="inlineStr">
        <is>
          <t>Master indifférencié (recherche et professionnel)</t>
        </is>
      </c>
      <c r="H250" s="25" t="inlineStr">
        <is>
          <t>Faculté de physique et ingénierie</t>
        </is>
      </c>
      <c r="I250" s="25" t="inlineStr">
        <is>
          <t>Université de Strasbourg</t>
        </is>
      </c>
      <c r="J250" s="25" t="inlineStr">
        <is>
          <t>Site de Strasbourg</t>
        </is>
      </c>
      <c r="K250" s="25" t="n"/>
      <c r="L250" s="25" t="inlineStr">
        <is>
          <t>Public university</t>
        </is>
      </c>
      <c r="M250" s="25" t="inlineStr">
        <is>
          <t>French</t>
        </is>
      </c>
      <c r="N250" s="25" t="inlineStr">
        <is>
          <t>General</t>
        </is>
      </c>
      <c r="O250" s="25" t="inlineStr">
        <is>
          <t>Bac +4 / Bac +5</t>
        </is>
      </c>
      <c r="P250" s="26" t="inlineStr">
        <is>
          <t>Eligible on level (4-yr BS ≈ Bac+4)</t>
        </is>
      </c>
      <c r="Q250" s="25" t="inlineStr">
        <is>
          <t>1/2</t>
        </is>
      </c>
      <c r="R250" s="25" t="n"/>
      <c r="S250" s="27" t="n">
        <v>3950</v>
      </c>
      <c r="T250" s="27" t="n">
        <v>255</v>
      </c>
      <c r="U250" s="25" t="n">
        <v>2</v>
      </c>
      <c r="V250" s="27">
        <f>IF(S250="","",S250*U250)</f>
        <v/>
      </c>
      <c r="W250" s="26" t="inlineStr">
        <is>
          <t>Catalogue: €3,950. = national differentiated master fee (2026-27: €3,950). Exemption to ~€255 possible (university quota).</t>
        </is>
      </c>
      <c r="X250" s="25" t="inlineStr">
        <is>
          <t>High</t>
        </is>
      </c>
      <c r="Y250" s="25" t="inlineStr">
        <is>
          <t>3950</t>
        </is>
      </c>
      <c r="Z250" s="26" t="n"/>
      <c r="AA250" s="26" t="inlineStr">
        <is>
          <t>Unistra: master entrants who did not do their licence at Unistra pay the differentiated fee (€3,950).</t>
        </is>
      </c>
      <c r="AB250" s="28" t="inlineStr">
        <is>
          <t>https://www.unistra.fr/fr/node/8168</t>
        </is>
      </c>
      <c r="AC250" s="25" t="inlineStr">
        <is>
          <t>Open</t>
        </is>
      </c>
      <c r="AD250" s="25" t="inlineStr">
        <is>
          <t>2026-10-01</t>
        </is>
      </c>
      <c r="AE250" s="25" t="inlineStr">
        <is>
          <t>2027-03-15</t>
        </is>
      </c>
      <c r="AF250" s="25" t="inlineStr">
        <is>
          <t>No</t>
        </is>
      </c>
      <c r="AG250" s="28" t="inlineStr">
        <is>
          <t>http://www.physique-ingenierie.unistra.fr/</t>
        </is>
      </c>
      <c r="AH250" s="26" t="inlineStr">
        <is>
          <t>Les exigences de la formation et les expériences passées en matière de recrutement nous conduisent à n'étudier que les candidatures pour lesquelles les années post-baccalauréat ont été validées en première session et ave</t>
        </is>
      </c>
      <c r="AI250" s="28" t="inlineStr">
        <is>
          <t>Open in EEF</t>
        </is>
      </c>
    </row>
    <row r="251" ht="32.8" customHeight="1" s="19">
      <c r="A251" s="25" t="n">
        <v>250</v>
      </c>
      <c r="B251" s="25" t="inlineStr">
        <is>
          <t>★★★★☆</t>
        </is>
      </c>
      <c r="C251" s="25" t="inlineStr">
        <is>
          <t>4 – Strong fit (electronics/signal/robotics/IoT/sensors)</t>
        </is>
      </c>
      <c r="D251" s="25" t="inlineStr">
        <is>
          <t>IoT / Telecom / Networks</t>
        </is>
      </c>
      <c r="E251" s="26" t="inlineStr">
        <is>
          <t>Master indifférencié (recherche et professionnel) Sciences, technologies, santé mention RESEAUX ET TELECOMMUNICATION parcours Cyberdéfense et Sécurité de l'Information (CDSI)</t>
        </is>
      </c>
      <c r="F251" s="26" t="inlineStr">
        <is>
          <t>Science, Technology, Health (STS) – major: Networks &amp; TELECOMMUNICATION – track: Cyberdéfense &amp; Security of Information (CDSI)</t>
        </is>
      </c>
      <c r="G251" s="25" t="inlineStr">
        <is>
          <t>Master indifférencié (recherche et professionnel)</t>
        </is>
      </c>
      <c r="H251" s="25" t="inlineStr">
        <is>
          <t>INSA HAUTS-DE-FRANCE</t>
        </is>
      </c>
      <c r="I251" s="25" t="inlineStr">
        <is>
          <t>Université polytechnique Hauts-de-France (UPHF)</t>
        </is>
      </c>
      <c r="J251" s="25" t="inlineStr">
        <is>
          <t>Site de Valenciennes</t>
        </is>
      </c>
      <c r="K251" s="25" t="n"/>
      <c r="L251" s="25" t="inlineStr">
        <is>
          <t>Public school / institute</t>
        </is>
      </c>
      <c r="M251" s="25" t="inlineStr">
        <is>
          <t>French</t>
        </is>
      </c>
      <c r="N251" s="25" t="inlineStr">
        <is>
          <t>General</t>
        </is>
      </c>
      <c r="O251" s="25" t="inlineStr">
        <is>
          <t>Bac +4 / Bac +5</t>
        </is>
      </c>
      <c r="P251" s="26" t="inlineStr">
        <is>
          <t>Eligible on level (4-yr BS ≈ Bac+4)</t>
        </is>
      </c>
      <c r="Q251" s="25" t="inlineStr">
        <is>
          <t>1/2</t>
        </is>
      </c>
      <c r="R251" s="25" t="inlineStr">
        <is>
          <t>12/10</t>
        </is>
      </c>
      <c r="S251" s="27" t="n">
        <v>3950</v>
      </c>
      <c r="T251" s="27" t="n">
        <v>255</v>
      </c>
      <c r="U251" s="25" t="n">
        <v>2</v>
      </c>
      <c r="V251" s="27">
        <f>IF(S251="","",S251*U251)</f>
        <v/>
      </c>
      <c r="W251" s="26" t="inlineStr">
        <is>
          <t>Catalogue: €3,879. = national differentiated master fee (2026-27: €3,950). Exemption to ~€255 possible (university quota).</t>
        </is>
      </c>
      <c r="X251" s="25" t="inlineStr">
        <is>
          <t>High</t>
        </is>
      </c>
      <c r="Y251" s="25" t="inlineStr">
        <is>
          <t>3879</t>
        </is>
      </c>
      <c r="Z251" s="26" t="n"/>
      <c r="AA251" s="26" t="n"/>
      <c r="AB251" s="25" t="n"/>
      <c r="AC251" s="25" t="inlineStr">
        <is>
          <t>Open</t>
        </is>
      </c>
      <c r="AD251" s="25" t="inlineStr">
        <is>
          <t>2026-10-01</t>
        </is>
      </c>
      <c r="AE251" s="25" t="inlineStr">
        <is>
          <t>2027-03-15</t>
        </is>
      </c>
      <c r="AF251" s="25" t="inlineStr">
        <is>
          <t>No</t>
        </is>
      </c>
      <c r="AG251" s="28" t="inlineStr">
        <is>
          <t>https://www.insa-hautsdefrance.fr/sites/default/files/media/2024-10/master_cdsi.pdf</t>
        </is>
      </c>
      <c r="AH251" s="26" t="inlineStr">
        <is>
          <t>Le niveau en Langue Française (TCF) exigé est le niveau B2. Message destiné aux Personnes acceptées : Merci de bien vouloir vous présenter dès votre arrivée à l'Université de Valenciennes à la Direction des Etudes et de</t>
        </is>
      </c>
      <c r="AI251" s="28" t="inlineStr">
        <is>
          <t>Open in EEF</t>
        </is>
      </c>
    </row>
    <row r="252" ht="32.8" customHeight="1" s="19">
      <c r="A252" s="25" t="n">
        <v>251</v>
      </c>
      <c r="B252" s="25" t="inlineStr">
        <is>
          <t>★★★★☆</t>
        </is>
      </c>
      <c r="C252" s="25" t="inlineStr">
        <is>
          <t>4 – Strong fit (electronics/signal/robotics/IoT/sensors)</t>
        </is>
      </c>
      <c r="D252" s="25" t="inlineStr">
        <is>
          <t>IoT / Telecom / Networks</t>
        </is>
      </c>
      <c r="E252" s="26" t="inlineStr">
        <is>
          <t>Master indifférencié (recherche et professionnel) Sciences, technologies, santé mention Réseaux et télécommunications parcours Télécommunications, Réseaux et Cybersécurité</t>
        </is>
      </c>
      <c r="F252" s="26" t="inlineStr">
        <is>
          <t>Science, Technology, Health (STS) – major: Networks &amp; Telecommunications – track: Telecommunications, Networks &amp; Cybersecurity</t>
        </is>
      </c>
      <c r="G252" s="25" t="inlineStr">
        <is>
          <t>Master indifférencié (recherche et professionnel)</t>
        </is>
      </c>
      <c r="H252" s="25" t="inlineStr">
        <is>
          <t>UFR sciences et techniques</t>
        </is>
      </c>
      <c r="I252" s="25" t="inlineStr">
        <is>
          <t>Université de Bretagne Occidentale</t>
        </is>
      </c>
      <c r="J252" s="25" t="inlineStr">
        <is>
          <t>Site de Brest</t>
        </is>
      </c>
      <c r="K252" s="25" t="n"/>
      <c r="L252" s="25" t="inlineStr">
        <is>
          <t>Public university</t>
        </is>
      </c>
      <c r="M252" s="25" t="inlineStr">
        <is>
          <t>French</t>
        </is>
      </c>
      <c r="N252" s="25" t="inlineStr">
        <is>
          <t>General</t>
        </is>
      </c>
      <c r="O252" s="25" t="inlineStr">
        <is>
          <t>Bac +4 / Bac +5</t>
        </is>
      </c>
      <c r="P252" s="26" t="inlineStr">
        <is>
          <t>Eligible on level (4-yr BS ≈ Bac+4)</t>
        </is>
      </c>
      <c r="Q252" s="25" t="inlineStr">
        <is>
          <t>1/2</t>
        </is>
      </c>
      <c r="R252" s="25" t="n"/>
      <c r="S252" s="27" t="n">
        <v>3950</v>
      </c>
      <c r="T252" s="27" t="n">
        <v>255</v>
      </c>
      <c r="U252" s="25" t="n">
        <v>2</v>
      </c>
      <c r="V252" s="27">
        <f>IF(S252="","",S252*U252)</f>
        <v/>
      </c>
      <c r="W252" s="26" t="inlineStr">
        <is>
          <t>Catalogue: €3,950. = national differentiated master fee (2026-27: €3,950). Exemption to ~€255 possible (university quota).</t>
        </is>
      </c>
      <c r="X252" s="25" t="inlineStr">
        <is>
          <t>High</t>
        </is>
      </c>
      <c r="Y252" s="25" t="inlineStr">
        <is>
          <t>3950</t>
        </is>
      </c>
      <c r="Z252" s="26" t="n"/>
      <c r="AA252" s="26" t="n"/>
      <c r="AB252" s="25" t="n"/>
      <c r="AC252" s="25" t="inlineStr">
        <is>
          <t>Open</t>
        </is>
      </c>
      <c r="AD252" s="25" t="inlineStr">
        <is>
          <t>2026-10-01</t>
        </is>
      </c>
      <c r="AE252" s="25" t="inlineStr">
        <is>
          <t>2027-03-15</t>
        </is>
      </c>
      <c r="AF252" s="25" t="inlineStr">
        <is>
          <t>No</t>
        </is>
      </c>
      <c r="AG252" s="28" t="inlineStr">
        <is>
          <t>http://www.univ-brest.fr/ufr-sciences</t>
        </is>
      </c>
      <c r="AH252" s="26" t="inlineStr">
        <is>
          <t>L'université de Bretagne occidentale demande de présenter un Test de connaissance en français pour tous les candidats dont une des langues officielles n'est pas le français. Pour les pays où le français n'est pas la seul</t>
        </is>
      </c>
      <c r="AI252" s="28" t="inlineStr">
        <is>
          <t>Open in EEF</t>
        </is>
      </c>
    </row>
    <row r="253" ht="32.8" customHeight="1" s="19">
      <c r="A253" s="25" t="n">
        <v>252</v>
      </c>
      <c r="B253" s="25" t="inlineStr">
        <is>
          <t>★★★★☆</t>
        </is>
      </c>
      <c r="C253" s="25" t="inlineStr">
        <is>
          <t>4 – Strong fit (electronics/signal/robotics/IoT/sensors)</t>
        </is>
      </c>
      <c r="D253" s="25" t="inlineStr">
        <is>
          <t>Embedded systems / Electronics</t>
        </is>
      </c>
      <c r="E253" s="26" t="inlineStr">
        <is>
          <t>Master indifférencié Sciences, technologies, santé mention Electronique, énergie électrique, automatique parcours Electronique, Energie Electrique, Automatique</t>
        </is>
      </c>
      <c r="F253" s="26" t="inlineStr">
        <is>
          <t>Master indifférencié Science, Technology, Health (STS) – major: Electronics, Electrical Energy &amp; Automation (EEA) – track: Electronics, Electrical Energy &amp; Automation (EEA)</t>
        </is>
      </c>
      <c r="G253" s="25" t="inlineStr">
        <is>
          <t>Master indifférencié (recherche et professionnel)</t>
        </is>
      </c>
      <c r="H253" s="25" t="inlineStr">
        <is>
          <t>UFR de sciences et techniques</t>
        </is>
      </c>
      <c r="I253" s="25" t="inlineStr">
        <is>
          <t>Nantes Université</t>
        </is>
      </c>
      <c r="J253" s="25" t="inlineStr">
        <is>
          <t>Site de Nantes</t>
        </is>
      </c>
      <c r="K253" s="25" t="n"/>
      <c r="L253" s="25" t="inlineStr">
        <is>
          <t>Public university</t>
        </is>
      </c>
      <c r="M253" s="25" t="inlineStr">
        <is>
          <t>French</t>
        </is>
      </c>
      <c r="N253" s="25" t="inlineStr">
        <is>
          <t>General</t>
        </is>
      </c>
      <c r="O253" s="25" t="inlineStr">
        <is>
          <t>Bac +4</t>
        </is>
      </c>
      <c r="P253" s="26" t="inlineStr">
        <is>
          <t>Eligible on level (4-yr BS ≈ Bac+4)</t>
        </is>
      </c>
      <c r="Q253" s="25" t="inlineStr">
        <is>
          <t>1</t>
        </is>
      </c>
      <c r="R253" s="25" t="n"/>
      <c r="S253" s="27" t="n">
        <v>3950</v>
      </c>
      <c r="T253" s="27" t="n">
        <v>255</v>
      </c>
      <c r="U253" s="25" t="n">
        <v>2</v>
      </c>
      <c r="V253" s="27">
        <f>IF(S253="","",S253*U253)</f>
        <v/>
      </c>
      <c r="W253" s="26" t="inlineStr">
        <is>
          <t>Catalogue: €3,950. = national differentiated master fee (2026-27: €3,950). Exemption to ~€255 possible (university quota).</t>
        </is>
      </c>
      <c r="X253" s="25" t="inlineStr">
        <is>
          <t>High</t>
        </is>
      </c>
      <c r="Y253" s="25" t="inlineStr">
        <is>
          <t>3950</t>
        </is>
      </c>
      <c r="Z253" s="26" t="n"/>
      <c r="AA253" s="26" t="n"/>
      <c r="AB253" s="25" t="n"/>
      <c r="AC253" s="25" t="inlineStr">
        <is>
          <t>Open</t>
        </is>
      </c>
      <c r="AD253" s="25" t="inlineStr">
        <is>
          <t>2026-10-01</t>
        </is>
      </c>
      <c r="AE253" s="25" t="inlineStr">
        <is>
          <t>2027-03-15</t>
        </is>
      </c>
      <c r="AF253" s="25" t="inlineStr">
        <is>
          <t>No</t>
        </is>
      </c>
      <c r="AG253" s="28" t="inlineStr">
        <is>
          <t>https://sciences-techniques.univ-nantes.fr/</t>
        </is>
      </c>
      <c r="AH253" s="26" t="inlineStr">
        <is>
          <t>Prérequis linguistiques : Niveau de français minimum : Pour le TCF, niveau B2 avec minimum 14/20 au test écrit - Attention : l’épreuve d’expression écrite ne fait pas partie du test standard du TCF. Il s’agit d’une épreu</t>
        </is>
      </c>
      <c r="AI253" s="28" t="inlineStr">
        <is>
          <t>Open in EEF</t>
        </is>
      </c>
    </row>
    <row r="254" ht="32.8" customHeight="1" s="19">
      <c r="A254" s="25" t="n">
        <v>253</v>
      </c>
      <c r="B254" s="25" t="inlineStr">
        <is>
          <t>★★★★☆</t>
        </is>
      </c>
      <c r="C254" s="25" t="inlineStr">
        <is>
          <t>4 – Strong fit (electronics/signal/robotics/IoT/sensors)</t>
        </is>
      </c>
      <c r="D254" s="25" t="inlineStr">
        <is>
          <t>Embedded systems / Electronics</t>
        </is>
      </c>
      <c r="E254" s="26" t="inlineStr">
        <is>
          <t>Master mention Electronique, énergie électrique, automatique parcours Automatique et Robotique de Service</t>
        </is>
      </c>
      <c r="F254" s="26" t="inlineStr">
        <is>
          <t>Master – major: Electronics, Electrical Energy &amp; Automation (EEA) – track: Automation &amp; Robotics of Service</t>
        </is>
      </c>
      <c r="G254" s="25" t="inlineStr">
        <is>
          <t>Master indifférencié (recherche et professionnel)</t>
        </is>
      </c>
      <c r="H254" s="25" t="inlineStr">
        <is>
          <t>École d'Ingénieurs en Sciences Industrielles et Numérique</t>
        </is>
      </c>
      <c r="I254" s="25" t="inlineStr">
        <is>
          <t>Université de Reims Champagne-Ardenne</t>
        </is>
      </c>
      <c r="J254" s="25" t="inlineStr">
        <is>
          <t>Reims</t>
        </is>
      </c>
      <c r="K254" s="25" t="inlineStr">
        <is>
          <t>51100 REIMS</t>
        </is>
      </c>
      <c r="L254" s="25" t="inlineStr">
        <is>
          <t>Public school / institute</t>
        </is>
      </c>
      <c r="M254" s="25" t="inlineStr">
        <is>
          <t>French</t>
        </is>
      </c>
      <c r="N254" s="25" t="inlineStr">
        <is>
          <t>General</t>
        </is>
      </c>
      <c r="O254" s="25" t="inlineStr">
        <is>
          <t>Bac +4</t>
        </is>
      </c>
      <c r="P254" s="26" t="inlineStr">
        <is>
          <t>Eligible on level (4-yr BS ≈ Bac+4)</t>
        </is>
      </c>
      <c r="Q254" s="25" t="inlineStr">
        <is>
          <t>1</t>
        </is>
      </c>
      <c r="R254" s="25" t="inlineStr">
        <is>
          <t>24</t>
        </is>
      </c>
      <c r="S254" s="27" t="n">
        <v>3950</v>
      </c>
      <c r="T254" s="27" t="n">
        <v>255</v>
      </c>
      <c r="U254" s="25" t="n">
        <v>2</v>
      </c>
      <c r="V254" s="27">
        <f>IF(S254="","",S254*U254)</f>
        <v/>
      </c>
      <c r="W254" s="26" t="inlineStr">
        <is>
          <t>Catalogue: €3,950. = national differentiated master fee (2026-27: €3,950). Exemption to ~€255 possible (university quota).</t>
        </is>
      </c>
      <c r="X254" s="25" t="inlineStr">
        <is>
          <t>High</t>
        </is>
      </c>
      <c r="Y254" s="25" t="inlineStr">
        <is>
          <t>3950</t>
        </is>
      </c>
      <c r="Z254" s="26" t="n"/>
      <c r="AA254" s="26" t="n"/>
      <c r="AB254" s="25" t="n"/>
      <c r="AC254" s="25" t="inlineStr">
        <is>
          <t>Open</t>
        </is>
      </c>
      <c r="AD254" s="25" t="inlineStr">
        <is>
          <t>2026-10-01</t>
        </is>
      </c>
      <c r="AE254" s="25" t="inlineStr">
        <is>
          <t>2027-03-15</t>
        </is>
      </c>
      <c r="AF254" s="25" t="inlineStr">
        <is>
          <t>No</t>
        </is>
      </c>
      <c r="AG254" s="28" t="inlineStr">
        <is>
          <t>https://www.univ-reims.fr/eisine/</t>
        </is>
      </c>
      <c r="AH254" s="26" t="inlineStr">
        <is>
          <t>Niveau en langue française: * Niveau B2 minimum en langue française exigé (merci de prendre connaissance des profils dispensés d'un test de langue française ( qui est dispensé de test de langue française? ) Tarifs : * No</t>
        </is>
      </c>
      <c r="AI254" s="28" t="inlineStr">
        <is>
          <t>Open in EEF</t>
        </is>
      </c>
    </row>
    <row r="255" ht="22.35" customHeight="1" s="19">
      <c r="A255" s="25" t="n">
        <v>254</v>
      </c>
      <c r="B255" s="25" t="inlineStr">
        <is>
          <t>★★★★☆</t>
        </is>
      </c>
      <c r="C255" s="25" t="inlineStr">
        <is>
          <t>4 – Strong fit (electronics/signal/robotics/IoT/sensors)</t>
        </is>
      </c>
      <c r="D255" s="25" t="inlineStr">
        <is>
          <t>Neuroscience / Neuro-engineering</t>
        </is>
      </c>
      <c r="E255" s="26" t="inlineStr">
        <is>
          <t>Master Neurosciences moléculaires, cellulaires et intégrées</t>
        </is>
      </c>
      <c r="F255" s="26" t="inlineStr">
        <is>
          <t>Master Neuroscience moléculaires, Cellular &amp; Integrated</t>
        </is>
      </c>
      <c r="G255" s="25" t="inlineStr">
        <is>
          <t>Master indifférencié (recherche et professionnel)</t>
        </is>
      </c>
      <c r="H255" s="25" t="inlineStr">
        <is>
          <t>UFR Sciences et Techniques</t>
        </is>
      </c>
      <c r="I255" s="25" t="inlineStr">
        <is>
          <t>Université de Rouen</t>
        </is>
      </c>
      <c r="J255" s="25" t="inlineStr">
        <is>
          <t>Site de Mont-Saint-Aignan</t>
        </is>
      </c>
      <c r="K255" s="25" t="n"/>
      <c r="L255" s="25" t="inlineStr">
        <is>
          <t>Public university</t>
        </is>
      </c>
      <c r="M255" s="25" t="inlineStr">
        <is>
          <t>French</t>
        </is>
      </c>
      <c r="N255" s="25" t="inlineStr">
        <is>
          <t>General</t>
        </is>
      </c>
      <c r="O255" s="25" t="inlineStr">
        <is>
          <t>Bac +4 / Bac +5</t>
        </is>
      </c>
      <c r="P255" s="26" t="inlineStr">
        <is>
          <t>Eligible on level (4-yr BS ≈ Bac+4)</t>
        </is>
      </c>
      <c r="Q255" s="25" t="inlineStr">
        <is>
          <t>1/2</t>
        </is>
      </c>
      <c r="R255" s="25" t="inlineStr">
        <is>
          <t>10</t>
        </is>
      </c>
      <c r="S255" s="27" t="n">
        <v>3950</v>
      </c>
      <c r="T255" s="27" t="n">
        <v>255</v>
      </c>
      <c r="U255" s="25" t="n">
        <v>2</v>
      </c>
      <c r="V255" s="27">
        <f>IF(S255="","",S255*U255)</f>
        <v/>
      </c>
      <c r="W255" s="26" t="inlineStr">
        <is>
          <t>Catalogue: €3,950. = national differentiated master fee (2026-27: €3,950). Exemption to ~€255 possible (university quota).</t>
        </is>
      </c>
      <c r="X255" s="25" t="inlineStr">
        <is>
          <t>High</t>
        </is>
      </c>
      <c r="Y255" s="25" t="inlineStr">
        <is>
          <t>3950</t>
        </is>
      </c>
      <c r="Z255" s="26" t="n"/>
      <c r="AA255" s="26" t="inlineStr">
        <is>
          <t>Rouen: individual exemptions up to 30% quota, priority to social/economic hardship.</t>
        </is>
      </c>
      <c r="AB255" s="28" t="inlineStr">
        <is>
          <t>https://www.univ-rouen.fr/actualites/application-des-droits-dinscription-differencies-a-luniversite-de-rouen-normandie-a-compter-de-la-rentree-universitaire-2026-2027/</t>
        </is>
      </c>
      <c r="AC255" s="25" t="inlineStr">
        <is>
          <t>Open</t>
        </is>
      </c>
      <c r="AD255" s="25" t="inlineStr">
        <is>
          <t>2026-10-01</t>
        </is>
      </c>
      <c r="AE255" s="25" t="inlineStr">
        <is>
          <t>2027-03-15</t>
        </is>
      </c>
      <c r="AF255" s="25" t="inlineStr">
        <is>
          <t>No</t>
        </is>
      </c>
      <c r="AG255" s="28" t="inlineStr">
        <is>
          <t>https://sciences-techniques.univ-rouen.fr/</t>
        </is>
      </c>
      <c r="AH255" s="26" t="inlineStr">
        <is>
          <t>Niveau B2 en français et BAC+4 du domaine exigés. Cette formation est proposée en 1re année du master Neurosciences</t>
        </is>
      </c>
      <c r="AI255" s="28" t="inlineStr">
        <is>
          <t>Open in EEF</t>
        </is>
      </c>
    </row>
    <row r="256" ht="32.8" customHeight="1" s="19">
      <c r="A256" s="25" t="n">
        <v>255</v>
      </c>
      <c r="B256" s="25" t="inlineStr">
        <is>
          <t>★★★★☆</t>
        </is>
      </c>
      <c r="C256" s="25" t="inlineStr">
        <is>
          <t>4 – Strong fit (electronics/signal/robotics/IoT/sensors)</t>
        </is>
      </c>
      <c r="D256" s="25" t="inlineStr">
        <is>
          <t>Robotics / Automation / Mechatronics</t>
        </is>
      </c>
      <c r="E256" s="26" t="inlineStr">
        <is>
          <t>Master mention Traitement automatique des langues</t>
        </is>
      </c>
      <c r="F256" s="26" t="inlineStr">
        <is>
          <t>Master – major: Processing Automation of Languages</t>
        </is>
      </c>
      <c r="G256" s="25" t="inlineStr">
        <is>
          <t>Master indifférencié (recherche et professionnel)</t>
        </is>
      </c>
      <c r="H256" s="25" t="inlineStr">
        <is>
          <t>UFR de philosophie, information-communication, langages, littératures et arts du spectacle</t>
        </is>
      </c>
      <c r="I256" s="25" t="inlineStr">
        <is>
          <t>Université Paris Nanterre</t>
        </is>
      </c>
      <c r="J256" s="25" t="inlineStr">
        <is>
          <t>Site de Nanterre</t>
        </is>
      </c>
      <c r="K256" s="25" t="n"/>
      <c r="L256" s="25" t="inlineStr">
        <is>
          <t>Public university</t>
        </is>
      </c>
      <c r="M256" s="25" t="inlineStr">
        <is>
          <t>French</t>
        </is>
      </c>
      <c r="N256" s="25" t="inlineStr">
        <is>
          <t>General</t>
        </is>
      </c>
      <c r="O256" s="25" t="inlineStr">
        <is>
          <t>Bac +4 / Bac +5</t>
        </is>
      </c>
      <c r="P256" s="26" t="inlineStr">
        <is>
          <t>Eligible on level (4-yr BS ≈ Bac+4)</t>
        </is>
      </c>
      <c r="Q256" s="25" t="inlineStr">
        <is>
          <t>1/2</t>
        </is>
      </c>
      <c r="R256" s="25" t="n"/>
      <c r="S256" s="27" t="n">
        <v>3950</v>
      </c>
      <c r="T256" s="27" t="n">
        <v>255</v>
      </c>
      <c r="U256" s="25" t="n">
        <v>2</v>
      </c>
      <c r="V256" s="27">
        <f>IF(S256="","",S256*U256)</f>
        <v/>
      </c>
      <c r="W256" s="26" t="inlineStr">
        <is>
          <t>Catalogue: €3,950. = national differentiated master fee (2026-27: €3,950). Exemption to ~€255 possible (university quota).</t>
        </is>
      </c>
      <c r="X256" s="25" t="inlineStr">
        <is>
          <t>High</t>
        </is>
      </c>
      <c r="Y256" s="25" t="inlineStr">
        <is>
          <t>3950</t>
        </is>
      </c>
      <c r="Z256" s="26" t="n"/>
      <c r="AA256" s="26" t="n"/>
      <c r="AB256" s="25" t="n"/>
      <c r="AC256" s="25" t="inlineStr">
        <is>
          <t>Open</t>
        </is>
      </c>
      <c r="AD256" s="25" t="inlineStr">
        <is>
          <t>2026-10-01</t>
        </is>
      </c>
      <c r="AE256" s="25" t="inlineStr">
        <is>
          <t>2027-03-15</t>
        </is>
      </c>
      <c r="AF256" s="25" t="inlineStr">
        <is>
          <t>No</t>
        </is>
      </c>
      <c r="AG256" s="28" t="inlineStr">
        <is>
          <t>http://ufr-phillia.parisnanterre.fr</t>
        </is>
      </c>
      <c r="AH256" s="26" t="inlineStr">
        <is>
          <t>Les candidats non francophones ou ressortissant d'un pays ou le français n'est pas langue officielle doivent impérativement justifier de leur niveau de français en produisant dans leur dossier le TCF niveau C1 ou le DALF</t>
        </is>
      </c>
      <c r="AI256" s="28" t="inlineStr">
        <is>
          <t>Open in EEF</t>
        </is>
      </c>
    </row>
    <row r="257" ht="22.35" customHeight="1" s="19">
      <c r="A257" s="25" t="n">
        <v>256</v>
      </c>
      <c r="B257" s="25" t="inlineStr">
        <is>
          <t>★★★★☆</t>
        </is>
      </c>
      <c r="C257" s="25" t="inlineStr">
        <is>
          <t>4 – Strong fit (electronics/signal/robotics/IoT/sensors)</t>
        </is>
      </c>
      <c r="D257" s="25" t="inlineStr">
        <is>
          <t>Robotics / Automation / Mechatronics</t>
        </is>
      </c>
      <c r="E257" s="26" t="inlineStr">
        <is>
          <t>Master Sciences, technologies, santé mention automatique et systèmes électriques parcours Automatique et systèmes électriques</t>
        </is>
      </c>
      <c r="F257" s="26" t="inlineStr">
        <is>
          <t>Master Science, Technology, Health (STS) – major: Automation &amp; Systems Electrical – track: Automation &amp; Systems Electrical</t>
        </is>
      </c>
      <c r="G257" s="25" t="inlineStr">
        <is>
          <t>Master indifférencié (recherche et professionnel)</t>
        </is>
      </c>
      <c r="H257" s="25" t="inlineStr">
        <is>
          <t>Faculté des sciences et technologies</t>
        </is>
      </c>
      <c r="I257" s="25" t="inlineStr">
        <is>
          <t>Université de Lille</t>
        </is>
      </c>
      <c r="J257" s="25" t="inlineStr">
        <is>
          <t>Département Electronique, électrotechnique et automatique</t>
        </is>
      </c>
      <c r="K257" s="25" t="n"/>
      <c r="L257" s="25" t="inlineStr">
        <is>
          <t>Public university</t>
        </is>
      </c>
      <c r="M257" s="25" t="inlineStr">
        <is>
          <t>French</t>
        </is>
      </c>
      <c r="N257" s="25" t="inlineStr">
        <is>
          <t>General</t>
        </is>
      </c>
      <c r="O257" s="25" t="inlineStr">
        <is>
          <t>Bac +4</t>
        </is>
      </c>
      <c r="P257" s="26" t="inlineStr">
        <is>
          <t>Eligible on level (4-yr BS ≈ Bac+4)</t>
        </is>
      </c>
      <c r="Q257" s="25" t="inlineStr">
        <is>
          <t>1</t>
        </is>
      </c>
      <c r="R257" s="25" t="inlineStr">
        <is>
          <t>12</t>
        </is>
      </c>
      <c r="S257" s="27" t="n">
        <v>3950</v>
      </c>
      <c r="T257" s="27" t="n">
        <v>255</v>
      </c>
      <c r="U257" s="25" t="n">
        <v>2</v>
      </c>
      <c r="V257" s="27">
        <f>IF(S257="","",S257*U257)</f>
        <v/>
      </c>
      <c r="W257" s="26" t="inlineStr">
        <is>
          <t>Catalogue: €3,950. = national differentiated master fee (2026-27: €3,950). Exemption to ~€255 possible (university quota).</t>
        </is>
      </c>
      <c r="X257" s="25" t="inlineStr">
        <is>
          <t>High</t>
        </is>
      </c>
      <c r="Y257" s="25" t="inlineStr">
        <is>
          <t>3950</t>
        </is>
      </c>
      <c r="Z257" s="26" t="n"/>
      <c r="AA257" s="26" t="inlineStr">
        <is>
          <t>Lille opposed the decree; continues exemptions for part of non-EU students (master €254 if exempted). Apply for exemption early.</t>
        </is>
      </c>
      <c r="AB257" s="28" t="inlineStr">
        <is>
          <t>https://observalgerie.com/2026/06/13/misc/frais-dinscription-en-france-lille-maintient-un-avantage-pour-les-etudiants-etrangers/</t>
        </is>
      </c>
      <c r="AC257" s="25" t="inlineStr">
        <is>
          <t>Open</t>
        </is>
      </c>
      <c r="AD257" s="25" t="inlineStr">
        <is>
          <t>2026-10-01</t>
        </is>
      </c>
      <c r="AE257" s="25" t="inlineStr">
        <is>
          <t>2027-03-15</t>
        </is>
      </c>
      <c r="AF257" s="25" t="inlineStr">
        <is>
          <t>No</t>
        </is>
      </c>
      <c r="AG257" s="28" t="inlineStr">
        <is>
          <t>https://formation.univ-lille.fr/fr/offre-de-formation/master-lmd-XB/master-automatique-et-systemes-electriques-MG001978/automatique-et-systemes-electriques-m1-tronc-commun-MX002023.html</t>
        </is>
      </c>
      <c r="AH257" s="26" t="inlineStr">
        <is>
          <t>Mentions de licences ou masters EEA (Électronique, Énergie électrique, Automatique, ) ou équivalents Niveau de français C1 exigé</t>
        </is>
      </c>
      <c r="AI257" s="28" t="inlineStr">
        <is>
          <t>Open in EEF</t>
        </is>
      </c>
    </row>
    <row r="258" ht="32.8" customHeight="1" s="19">
      <c r="A258" s="25" t="n">
        <v>257</v>
      </c>
      <c r="B258" s="25" t="inlineStr">
        <is>
          <t>★★★★☆</t>
        </is>
      </c>
      <c r="C258" s="25" t="inlineStr">
        <is>
          <t>4 – Strong fit (electronics/signal/robotics/IoT/sensors)</t>
        </is>
      </c>
      <c r="D258" s="25" t="inlineStr">
        <is>
          <t>Robotics / Automation / Mechatronics</t>
        </is>
      </c>
      <c r="E258" s="26" t="inlineStr">
        <is>
          <t>Master Sciences, technologies, santé mention Automatique, robotique</t>
        </is>
      </c>
      <c r="F258" s="26" t="inlineStr">
        <is>
          <t>Master Science, Technology, Health (STS) – major: Automation, Robotics</t>
        </is>
      </c>
      <c r="G258" s="25" t="inlineStr">
        <is>
          <t>Master indifférencié (recherche et professionnel)</t>
        </is>
      </c>
      <c r="H258" s="25" t="inlineStr">
        <is>
          <t>Département-composante Mécanique</t>
        </is>
      </c>
      <c r="I258" s="25" t="inlineStr">
        <is>
          <t>Université Claude Bernard - Lyon 1</t>
        </is>
      </c>
      <c r="J258" s="25" t="inlineStr">
        <is>
          <t>Site de Villeurbanne</t>
        </is>
      </c>
      <c r="K258" s="25" t="n"/>
      <c r="L258" s="25" t="inlineStr">
        <is>
          <t>Public university</t>
        </is>
      </c>
      <c r="M258" s="25" t="inlineStr">
        <is>
          <t>French</t>
        </is>
      </c>
      <c r="N258" s="25" t="inlineStr">
        <is>
          <t>General</t>
        </is>
      </c>
      <c r="O258" s="25" t="inlineStr">
        <is>
          <t>Bac +4</t>
        </is>
      </c>
      <c r="P258" s="26" t="inlineStr">
        <is>
          <t>Eligible on level (4-yr BS ≈ Bac+4)</t>
        </is>
      </c>
      <c r="Q258" s="25" t="inlineStr">
        <is>
          <t>1</t>
        </is>
      </c>
      <c r="R258" s="25" t="n"/>
      <c r="S258" s="27" t="n">
        <v>3950</v>
      </c>
      <c r="T258" s="27" t="n">
        <v>255</v>
      </c>
      <c r="U258" s="25" t="n">
        <v>2</v>
      </c>
      <c r="V258" s="27">
        <f>IF(S258="","",S258*U258)</f>
        <v/>
      </c>
      <c r="W258" s="26" t="inlineStr">
        <is>
          <t>Catalogue: €3,950. = national differentiated master fee (2026-27: €3,950). Exemption to ~€255 possible (university quota).</t>
        </is>
      </c>
      <c r="X258" s="25" t="inlineStr">
        <is>
          <t>High</t>
        </is>
      </c>
      <c r="Y258" s="25" t="inlineStr">
        <is>
          <t>3950</t>
        </is>
      </c>
      <c r="Z258" s="26" t="n"/>
      <c r="AA258" s="26" t="inlineStr">
        <is>
          <t>Lyon 1: individual exemptions within the 30% quota (2026-27), apply via eCandidat.</t>
        </is>
      </c>
      <c r="AB258" s="28" t="inlineStr">
        <is>
          <t>https://www.univ-lyon1.fr/formation/inscription-et-scolarite/etudiantes-et-etudiants-internationaux-droits-dinscription-differencies-et-exonerations</t>
        </is>
      </c>
      <c r="AC258" s="25" t="inlineStr">
        <is>
          <t>Open</t>
        </is>
      </c>
      <c r="AD258" s="25" t="inlineStr">
        <is>
          <t>2026-10-01</t>
        </is>
      </c>
      <c r="AE258" s="25" t="inlineStr">
        <is>
          <t>2027-03-15</t>
        </is>
      </c>
      <c r="AF258" s="25" t="inlineStr">
        <is>
          <t>No</t>
        </is>
      </c>
      <c r="AG258" s="28" t="inlineStr">
        <is>
          <t>http://fst-meca.univ-lyon1.fr/</t>
        </is>
      </c>
      <c r="AH258" s="26" t="inlineStr">
        <is>
          <t>Critères de sélection: Qualité académique du dossier Niveau de langue française requis (obligatoire mais non suffisant pour l'accès à l'Université) L'Université Claude Bernard Lyon 1 exige le justificatif du niveau de la</t>
        </is>
      </c>
      <c r="AI258" s="28" t="inlineStr">
        <is>
          <t>Open in EEF</t>
        </is>
      </c>
    </row>
    <row r="259" ht="32.8" customHeight="1" s="19">
      <c r="A259" s="25" t="n">
        <v>258</v>
      </c>
      <c r="B259" s="25" t="inlineStr">
        <is>
          <t>★★★★☆</t>
        </is>
      </c>
      <c r="C259" s="25" t="inlineStr">
        <is>
          <t>4 – Strong fit (electronics/signal/robotics/IoT/sensors)</t>
        </is>
      </c>
      <c r="D259" s="25" t="inlineStr">
        <is>
          <t>Robotics / Automation / Mechatronics</t>
        </is>
      </c>
      <c r="E259" s="26" t="inlineStr">
        <is>
          <t>Master Sciences, technologies, santé mention Automatique, robotique (MARS)</t>
        </is>
      </c>
      <c r="F259" s="26" t="inlineStr">
        <is>
          <t>Master Science, Technology, Health (STS) – major: Automation, Robotics (MARS)</t>
        </is>
      </c>
      <c r="G259" s="25" t="inlineStr">
        <is>
          <t>Master indifférencié (recherche et professionnel)</t>
        </is>
      </c>
      <c r="H259" s="25" t="inlineStr">
        <is>
          <t>Polytech</t>
        </is>
      </c>
      <c r="I259" s="25" t="inlineStr">
        <is>
          <t>Université d'Orléans</t>
        </is>
      </c>
      <c r="J259" s="25" t="inlineStr">
        <is>
          <t>Site de Orléans</t>
        </is>
      </c>
      <c r="K259" s="25" t="inlineStr">
        <is>
          <t>45072 Orléans cedex</t>
        </is>
      </c>
      <c r="L259" s="25" t="inlineStr">
        <is>
          <t>Public school / institute</t>
        </is>
      </c>
      <c r="M259" s="25" t="inlineStr">
        <is>
          <t>French</t>
        </is>
      </c>
      <c r="N259" s="25" t="inlineStr">
        <is>
          <t>General</t>
        </is>
      </c>
      <c r="O259" s="25" t="inlineStr">
        <is>
          <t>Bac +4</t>
        </is>
      </c>
      <c r="P259" s="26" t="inlineStr">
        <is>
          <t>Eligible on level (4-yr BS ≈ Bac+4)</t>
        </is>
      </c>
      <c r="Q259" s="25" t="inlineStr">
        <is>
          <t>1</t>
        </is>
      </c>
      <c r="R259" s="25" t="inlineStr">
        <is>
          <t>12</t>
        </is>
      </c>
      <c r="S259" s="27" t="n">
        <v>3950</v>
      </c>
      <c r="T259" s="27" t="n">
        <v>255</v>
      </c>
      <c r="U259" s="25" t="n">
        <v>2</v>
      </c>
      <c r="V259" s="27">
        <f>IF(S259="","",S259*U259)</f>
        <v/>
      </c>
      <c r="W259" s="26" t="inlineStr">
        <is>
          <t>Catalogue: €3,950. = national differentiated master fee (2026-27: €3,950). Exemption to ~€255 possible (university quota).</t>
        </is>
      </c>
      <c r="X259" s="25" t="inlineStr">
        <is>
          <t>High</t>
        </is>
      </c>
      <c r="Y259" s="25" t="inlineStr">
        <is>
          <t>3950</t>
        </is>
      </c>
      <c r="Z259" s="26" t="n"/>
      <c r="AA259" s="26" t="n"/>
      <c r="AB259" s="25" t="n"/>
      <c r="AC259" s="25" t="inlineStr">
        <is>
          <t>Open</t>
        </is>
      </c>
      <c r="AD259" s="25" t="inlineStr">
        <is>
          <t>2026-10-01</t>
        </is>
      </c>
      <c r="AE259" s="25" t="inlineStr">
        <is>
          <t>2027-03-15</t>
        </is>
      </c>
      <c r="AF259" s="25" t="inlineStr">
        <is>
          <t>No</t>
        </is>
      </c>
      <c r="AG259" s="28" t="inlineStr">
        <is>
          <t>https://www.univ-orleans.fr/fr/polytech/formations/les-autres-formations-de-lecole/master-mars</t>
        </is>
      </c>
      <c r="AH259" s="26" t="inlineStr">
        <is>
          <t>Mathématiques, physique, mécanique de niveau licence générale; Excellent niveau dans les thématiques des sciences pour l'ingenieur (EEA, Robotique, Mécanique, informatique, Automatique) et expérience prof. est un plus, b</t>
        </is>
      </c>
      <c r="AI259" s="28" t="inlineStr">
        <is>
          <t>Open in EEF</t>
        </is>
      </c>
    </row>
    <row r="260" ht="43.25" customHeight="1" s="19">
      <c r="A260" s="25" t="n">
        <v>259</v>
      </c>
      <c r="B260" s="25" t="inlineStr">
        <is>
          <t>★★★★☆</t>
        </is>
      </c>
      <c r="C260" s="25" t="inlineStr">
        <is>
          <t>4 – Strong fit (electronics/signal/robotics/IoT/sensors)</t>
        </is>
      </c>
      <c r="D260" s="25" t="inlineStr">
        <is>
          <t>Embedded systems / Electronics</t>
        </is>
      </c>
      <c r="E260" s="26" t="inlineStr">
        <is>
          <t>Master Sciences, technologies, santé, mention Electronique, énergie électrique, automatique</t>
        </is>
      </c>
      <c r="F260" s="26" t="inlineStr">
        <is>
          <t>Master Science, Technology, Health (STS), – major: Electronics, Electrical Energy &amp; Automation (EEA)</t>
        </is>
      </c>
      <c r="G260" s="25" t="inlineStr">
        <is>
          <t>Master indifférencié (recherche et professionnel)</t>
        </is>
      </c>
      <c r="H260" s="25" t="inlineStr">
        <is>
          <t>FSA - Faculté des sciences appliquées</t>
        </is>
      </c>
      <c r="I260" s="25" t="inlineStr">
        <is>
          <t>Université d'Artois</t>
        </is>
      </c>
      <c r="J260" s="25" t="inlineStr">
        <is>
          <t>Site de Béthune</t>
        </is>
      </c>
      <c r="K260" s="25" t="n"/>
      <c r="L260" s="25" t="inlineStr">
        <is>
          <t>Public university</t>
        </is>
      </c>
      <c r="M260" s="25" t="inlineStr">
        <is>
          <t>French</t>
        </is>
      </c>
      <c r="N260" s="25" t="inlineStr">
        <is>
          <t>General</t>
        </is>
      </c>
      <c r="O260" s="25" t="inlineStr">
        <is>
          <t>Bac +4</t>
        </is>
      </c>
      <c r="P260" s="26" t="inlineStr">
        <is>
          <t>Eligible on level (4-yr BS ≈ Bac+4)</t>
        </is>
      </c>
      <c r="Q260" s="25" t="inlineStr">
        <is>
          <t>1</t>
        </is>
      </c>
      <c r="R260" s="25" t="n"/>
      <c r="S260" s="27" t="n">
        <v>3950</v>
      </c>
      <c r="T260" s="27" t="n">
        <v>255</v>
      </c>
      <c r="U260" s="25" t="n">
        <v>2</v>
      </c>
      <c r="V260" s="27">
        <f>IF(S260="","",S260*U260)</f>
        <v/>
      </c>
      <c r="W260" s="26" t="inlineStr">
        <is>
          <t>Catalogue: €3,950. = national differentiated master fee (2026-27: €3,950). Exemption to ~€255 possible (university quota).</t>
        </is>
      </c>
      <c r="X260" s="25" t="inlineStr">
        <is>
          <t>High</t>
        </is>
      </c>
      <c r="Y260" s="25" t="inlineStr">
        <is>
          <t>3950</t>
        </is>
      </c>
      <c r="Z260" s="26" t="n"/>
      <c r="AA260" s="26" t="n"/>
      <c r="AB260" s="25" t="n"/>
      <c r="AC260" s="25" t="inlineStr">
        <is>
          <t>Open</t>
        </is>
      </c>
      <c r="AD260" s="25" t="inlineStr">
        <is>
          <t>2026-10-01</t>
        </is>
      </c>
      <c r="AE260" s="25" t="inlineStr">
        <is>
          <t>2027-03-15</t>
        </is>
      </c>
      <c r="AF260" s="25" t="inlineStr">
        <is>
          <t>No</t>
        </is>
      </c>
      <c r="AG260" s="28" t="inlineStr">
        <is>
          <t>http://www.fsa.univ-artois.fr/les-fiches-formations</t>
        </is>
      </c>
      <c r="AH260" s="26" t="inlineStr">
        <is>
          <t>Niveau de connaissance de la langue française : TCF : niveau B2 dans TOUTES les épreuves obligatoires et un minimum de 12 en épreuve écrite facultative DELF : 16/25 minimum dans TOUTES les disciplines Il est fortement re</t>
        </is>
      </c>
      <c r="AI260" s="28" t="inlineStr">
        <is>
          <t>Open in EEF</t>
        </is>
      </c>
    </row>
    <row r="261" ht="43.25" customHeight="1" s="19">
      <c r="A261" s="25" t="n">
        <v>260</v>
      </c>
      <c r="B261" s="25" t="inlineStr">
        <is>
          <t>★★★★☆</t>
        </is>
      </c>
      <c r="C261" s="25" t="inlineStr">
        <is>
          <t>4 – Strong fit (electronics/signal/robotics/IoT/sensors)</t>
        </is>
      </c>
      <c r="D261" s="25" t="inlineStr">
        <is>
          <t>Embedded systems / Electronics</t>
        </is>
      </c>
      <c r="E261" s="26" t="inlineStr">
        <is>
          <t>Master Sciences, technologies, santé, mention Electronique, énergie électrique, automatique Orientations EE (Énergie électrique) et CEE (Contrôle de l'efficacité énergétique)</t>
        </is>
      </c>
      <c r="F261" s="26" t="inlineStr">
        <is>
          <t>Master Science, Technology, Health (STS), – major: Electronics, Electrical Energy &amp; Automation (EEA) Orientations EE (Energy Electrical) &amp; CEE (Control of Efficiency Energy)</t>
        </is>
      </c>
      <c r="G261" s="25" t="inlineStr">
        <is>
          <t>Master indifférencié (recherche et professionnel)</t>
        </is>
      </c>
      <c r="H261" s="25" t="inlineStr">
        <is>
          <t>Faculté des Sciences et Technologies</t>
        </is>
      </c>
      <c r="I261" s="25" t="inlineStr">
        <is>
          <t>Université de Lorraine</t>
        </is>
      </c>
      <c r="J261" s="25" t="inlineStr">
        <is>
          <t>Site de Vandoeuvre-lès-Nancy</t>
        </is>
      </c>
      <c r="K261" s="25" t="n"/>
      <c r="L261" s="25" t="inlineStr">
        <is>
          <t>Public university</t>
        </is>
      </c>
      <c r="M261" s="25" t="inlineStr">
        <is>
          <t>French</t>
        </is>
      </c>
      <c r="N261" s="25" t="inlineStr">
        <is>
          <t>General</t>
        </is>
      </c>
      <c r="O261" s="25" t="inlineStr">
        <is>
          <t>Bac +4</t>
        </is>
      </c>
      <c r="P261" s="26" t="inlineStr">
        <is>
          <t>Eligible on level (4-yr BS ≈ Bac+4)</t>
        </is>
      </c>
      <c r="Q261" s="25" t="inlineStr">
        <is>
          <t>1</t>
        </is>
      </c>
      <c r="R261" s="25" t="n"/>
      <c r="S261" s="27" t="n">
        <v>3950</v>
      </c>
      <c r="T261" s="27" t="n">
        <v>255</v>
      </c>
      <c r="U261" s="25" t="n">
        <v>2</v>
      </c>
      <c r="V261" s="27">
        <f>IF(S261="","",S261*U261)</f>
        <v/>
      </c>
      <c r="W261" s="26" t="inlineStr">
        <is>
          <t>Catalogue: €3,950. = national differentiated master fee (2026-27: €3,950). Exemption to ~€255 possible (university quota).</t>
        </is>
      </c>
      <c r="X261" s="25" t="inlineStr">
        <is>
          <t>High</t>
        </is>
      </c>
      <c r="Y261" s="25" t="inlineStr">
        <is>
          <t>3950</t>
        </is>
      </c>
      <c r="Z261" s="26" t="n"/>
      <c r="AA261" s="26" t="n"/>
      <c r="AB261" s="25" t="n"/>
      <c r="AC261" s="25" t="inlineStr">
        <is>
          <t>Open</t>
        </is>
      </c>
      <c r="AD261" s="25" t="inlineStr">
        <is>
          <t>2026-10-01</t>
        </is>
      </c>
      <c r="AE261" s="25" t="inlineStr">
        <is>
          <t>2027-03-15</t>
        </is>
      </c>
      <c r="AF261" s="25" t="inlineStr">
        <is>
          <t>No</t>
        </is>
      </c>
      <c r="AG261" s="28" t="inlineStr">
        <is>
          <t>https://fst.univ-lorraine.fr/formations/</t>
        </is>
      </c>
      <c r="AH261" s="26" t="inlineStr">
        <is>
          <t>Pour le Master 1 : Niveau licence en électronique, électrotechnique, Automatique, Informatique industrielle exigé Niveau B2 en langue française exigé. Aucun dossier transmis en dehors de la campagne d'ouverture de Campus</t>
        </is>
      </c>
      <c r="AI261" s="28" t="inlineStr">
        <is>
          <t>Open in EEF</t>
        </is>
      </c>
    </row>
    <row r="262" ht="32.8" customHeight="1" s="19">
      <c r="A262" s="25" t="n">
        <v>261</v>
      </c>
      <c r="B262" s="25" t="inlineStr">
        <is>
          <t>★★★★☆</t>
        </is>
      </c>
      <c r="C262" s="25" t="inlineStr">
        <is>
          <t>4 – Strong fit (electronics/signal/robotics/IoT/sensors)</t>
        </is>
      </c>
      <c r="D262" s="25" t="inlineStr">
        <is>
          <t>Embedded systems / Electronics</t>
        </is>
      </c>
      <c r="E262" s="26" t="inlineStr">
        <is>
          <t>Master Sciences, technologies, santé mention Electronique, Energie Electrique Automatique parcours Signal et Télécommunications</t>
        </is>
      </c>
      <c r="F262" s="26" t="inlineStr">
        <is>
          <t>Master Science, Technology, Health (STS) – major: Electronics, Electrical Energy &amp; Automation (EEA) – track: Signal &amp; Telecommunications</t>
        </is>
      </c>
      <c r="G262" s="25" t="inlineStr">
        <is>
          <t>Master indifférencié (recherche et professionnel)</t>
        </is>
      </c>
      <c r="H262" s="25" t="inlineStr">
        <is>
          <t>UFR sciences et techniques</t>
        </is>
      </c>
      <c r="I262" s="25" t="inlineStr">
        <is>
          <t>Université de Bretagne Occidentale</t>
        </is>
      </c>
      <c r="J262" s="25" t="inlineStr">
        <is>
          <t>Site de Brest</t>
        </is>
      </c>
      <c r="K262" s="25" t="n"/>
      <c r="L262" s="25" t="inlineStr">
        <is>
          <t>Public university</t>
        </is>
      </c>
      <c r="M262" s="25" t="inlineStr">
        <is>
          <t>French</t>
        </is>
      </c>
      <c r="N262" s="25" t="inlineStr">
        <is>
          <t>General</t>
        </is>
      </c>
      <c r="O262" s="25" t="inlineStr">
        <is>
          <t>Bac +4 / Bac +5</t>
        </is>
      </c>
      <c r="P262" s="26" t="inlineStr">
        <is>
          <t>Eligible on level (4-yr BS ≈ Bac+4)</t>
        </is>
      </c>
      <c r="Q262" s="25" t="inlineStr">
        <is>
          <t>1/2</t>
        </is>
      </c>
      <c r="R262" s="25" t="inlineStr">
        <is>
          <t>12</t>
        </is>
      </c>
      <c r="S262" s="27" t="n">
        <v>3950</v>
      </c>
      <c r="T262" s="27" t="n">
        <v>255</v>
      </c>
      <c r="U262" s="25" t="n">
        <v>2</v>
      </c>
      <c r="V262" s="27">
        <f>IF(S262="","",S262*U262)</f>
        <v/>
      </c>
      <c r="W262" s="26" t="inlineStr">
        <is>
          <t>Catalogue: €3,950. = national differentiated master fee (2026-27: €3,950). Exemption to ~€255 possible (university quota).</t>
        </is>
      </c>
      <c r="X262" s="25" t="inlineStr">
        <is>
          <t>High</t>
        </is>
      </c>
      <c r="Y262" s="25" t="inlineStr">
        <is>
          <t>3950</t>
        </is>
      </c>
      <c r="Z262" s="26" t="n"/>
      <c r="AA262" s="26" t="n"/>
      <c r="AB262" s="25" t="n"/>
      <c r="AC262" s="25" t="inlineStr">
        <is>
          <t>Open</t>
        </is>
      </c>
      <c r="AD262" s="25" t="inlineStr">
        <is>
          <t>2026-10-01</t>
        </is>
      </c>
      <c r="AE262" s="25" t="inlineStr">
        <is>
          <t>2027-03-15</t>
        </is>
      </c>
      <c r="AF262" s="25" t="inlineStr">
        <is>
          <t>No</t>
        </is>
      </c>
      <c r="AG262" s="28" t="inlineStr">
        <is>
          <t>http://www.univ-brest.fr/ufr-sciences</t>
        </is>
      </c>
      <c r="AH262" s="26" t="inlineStr">
        <is>
          <t>L'université de Bretagne occidentale demande de présenter un Test de connaissance en français pour tous les candidats dont une des langues officielles n'est pas le français. Pour les pays où le français n'est pas la seul</t>
        </is>
      </c>
      <c r="AI262" s="28" t="inlineStr">
        <is>
          <t>Open in EEF</t>
        </is>
      </c>
    </row>
    <row r="263" ht="32.8" customHeight="1" s="19">
      <c r="A263" s="25" t="n">
        <v>262</v>
      </c>
      <c r="B263" s="25" t="inlineStr">
        <is>
          <t>★★★★☆</t>
        </is>
      </c>
      <c r="C263" s="25" t="inlineStr">
        <is>
          <t>4 – Strong fit (electronics/signal/robotics/IoT/sensors)</t>
        </is>
      </c>
      <c r="D263" s="25" t="inlineStr">
        <is>
          <t>Robotics / Automation / Mechatronics</t>
        </is>
      </c>
      <c r="E263" s="26" t="inlineStr">
        <is>
          <t>Master Sciences, technologies, santé mention génie industriel parcours Industrie Numérique et Robotique</t>
        </is>
      </c>
      <c r="F263" s="26" t="inlineStr">
        <is>
          <t>Master Science, Technology, Health (STS) – major: Industrial Engineering – track: Industrie Digital &amp; Robotics</t>
        </is>
      </c>
      <c r="G263" s="25" t="inlineStr">
        <is>
          <t>Master indifférencié (recherche et professionnel)</t>
        </is>
      </c>
      <c r="H263" s="25" t="inlineStr">
        <is>
          <t>Institut supérieur des sciences et techniques</t>
        </is>
      </c>
      <c r="I263" s="25" t="inlineStr">
        <is>
          <t>Université Picardie Jules Verne Amiens</t>
        </is>
      </c>
      <c r="J263" s="25" t="inlineStr">
        <is>
          <t>Site de Saint-Quentin</t>
        </is>
      </c>
      <c r="K263" s="25" t="inlineStr">
        <is>
          <t>02315 Saint Quentin cedex</t>
        </is>
      </c>
      <c r="L263" s="25" t="inlineStr">
        <is>
          <t>Public school / institute</t>
        </is>
      </c>
      <c r="M263" s="25" t="inlineStr">
        <is>
          <t>French</t>
        </is>
      </c>
      <c r="N263" s="25" t="inlineStr">
        <is>
          <t>General</t>
        </is>
      </c>
      <c r="O263" s="25" t="inlineStr">
        <is>
          <t>Bac +4</t>
        </is>
      </c>
      <c r="P263" s="26" t="inlineStr">
        <is>
          <t>Eligible on level (4-yr BS ≈ Bac+4)</t>
        </is>
      </c>
      <c r="Q263" s="25" t="inlineStr">
        <is>
          <t>1</t>
        </is>
      </c>
      <c r="R263" s="25" t="inlineStr">
        <is>
          <t>12</t>
        </is>
      </c>
      <c r="S263" s="27" t="n">
        <v>3950</v>
      </c>
      <c r="T263" s="27" t="n">
        <v>255</v>
      </c>
      <c r="U263" s="25" t="n">
        <v>2</v>
      </c>
      <c r="V263" s="27">
        <f>IF(S263="","",S263*U263)</f>
        <v/>
      </c>
      <c r="W263" s="26" t="inlineStr">
        <is>
          <t>Catalogue: €3,950. = national differentiated master fee (2026-27: €3,950). Exemption to ~€255 possible (university quota).</t>
        </is>
      </c>
      <c r="X263" s="25" t="inlineStr">
        <is>
          <t>High</t>
        </is>
      </c>
      <c r="Y263" s="25" t="inlineStr">
        <is>
          <t>3950</t>
        </is>
      </c>
      <c r="Z263" s="26" t="n"/>
      <c r="AA263" s="26" t="n"/>
      <c r="AB263" s="25" t="n"/>
      <c r="AC263" s="25" t="inlineStr">
        <is>
          <t>Open</t>
        </is>
      </c>
      <c r="AD263" s="25" t="inlineStr">
        <is>
          <t>2026-10-01</t>
        </is>
      </c>
      <c r="AE263" s="25" t="inlineStr">
        <is>
          <t>2027-03-15</t>
        </is>
      </c>
      <c r="AF263" s="25" t="inlineStr">
        <is>
          <t>No</t>
        </is>
      </c>
      <c r="AG263" s="28" t="inlineStr">
        <is>
          <t>https://www.insset.u-picardie.fr/</t>
        </is>
      </c>
      <c r="AH263" s="26" t="inlineStr">
        <is>
          <t>Niveau de test de compétence en Francais requis B2 Le tarif indiqué est celui de l'année universitaire 2026/2027 et, est susceptible d'etre modifié pour la rentrée 2027/2028 Pré-requis nécessaires en programmation inform</t>
        </is>
      </c>
      <c r="AI263" s="28" t="inlineStr">
        <is>
          <t>Open in EEF</t>
        </is>
      </c>
    </row>
    <row r="264" ht="43.25" customHeight="1" s="19">
      <c r="A264" s="25" t="n">
        <v>263</v>
      </c>
      <c r="B264" s="25" t="inlineStr">
        <is>
          <t>★★★★☆</t>
        </is>
      </c>
      <c r="C264" s="25" t="inlineStr">
        <is>
          <t>4 – Strong fit (electronics/signal/robotics/IoT/sensors)</t>
        </is>
      </c>
      <c r="D264" s="25" t="inlineStr">
        <is>
          <t>Robotics / Automation / Mechatronics</t>
        </is>
      </c>
      <c r="E264" s="26" t="inlineStr">
        <is>
          <t>Master Sciences, technologies, santé, mention Ingénierie des systèmes complexes parcours Robotique et Systèmes Autonomes</t>
        </is>
      </c>
      <c r="F264" s="26" t="inlineStr">
        <is>
          <t>Master Science, Technology, Health (STS), – major: Complex Systems Engineering – track: Robotics &amp; Systems Autonomous</t>
        </is>
      </c>
      <c r="G264" s="25" t="inlineStr">
        <is>
          <t>Master indifférencié (recherche et professionnel)</t>
        </is>
      </c>
      <c r="H264" s="25" t="inlineStr">
        <is>
          <t>Université de technologie de Belfort-Montbéliard</t>
        </is>
      </c>
      <c r="I264" s="25" t="n"/>
      <c r="J264" s="25" t="inlineStr">
        <is>
          <t>Site de Belfort</t>
        </is>
      </c>
      <c r="K264" s="25" t="n"/>
      <c r="L264" s="25" t="inlineStr">
        <is>
          <t>Public university</t>
        </is>
      </c>
      <c r="M264" s="25" t="inlineStr">
        <is>
          <t>French</t>
        </is>
      </c>
      <c r="N264" s="25" t="inlineStr">
        <is>
          <t>General</t>
        </is>
      </c>
      <c r="O264" s="25" t="inlineStr">
        <is>
          <t>Bac +4 / Bac +5</t>
        </is>
      </c>
      <c r="P264" s="26" t="inlineStr">
        <is>
          <t>Eligible on level (4-yr BS ≈ Bac+4)</t>
        </is>
      </c>
      <c r="Q264" s="25" t="inlineStr">
        <is>
          <t>1/2</t>
        </is>
      </c>
      <c r="R264" s="25" t="inlineStr">
        <is>
          <t>12</t>
        </is>
      </c>
      <c r="S264" s="27" t="n">
        <v>3950</v>
      </c>
      <c r="T264" s="27" t="n">
        <v>255</v>
      </c>
      <c r="U264" s="25" t="n">
        <v>2</v>
      </c>
      <c r="V264" s="27">
        <f>IF(S264="","",S264*U264)</f>
        <v/>
      </c>
      <c r="W264" s="26" t="inlineStr">
        <is>
          <t>Catalogue: €3,950. = national differentiated master fee (2026-27: €3,950). Exemption to ~€255 possible (university quota).</t>
        </is>
      </c>
      <c r="X264" s="25" t="inlineStr">
        <is>
          <t>High</t>
        </is>
      </c>
      <c r="Y264" s="25" t="inlineStr">
        <is>
          <t>3950</t>
        </is>
      </c>
      <c r="Z264" s="26" t="inlineStr">
        <is>
          <t>ifférenciés, pour une année, appliqués à un étudiant extracommunautaire, s'élèvent à 3950 € pour une entrée en cycle master (2026/2027) Les d … ifférenciés, pour une année, appliqués à un étudiant extracommunautaire, s'é</t>
        </is>
      </c>
      <c r="AA264" s="26" t="n"/>
      <c r="AB264" s="25" t="n"/>
      <c r="AC264" s="25" t="inlineStr">
        <is>
          <t>Open</t>
        </is>
      </c>
      <c r="AD264" s="25" t="inlineStr">
        <is>
          <t>2026-10-01</t>
        </is>
      </c>
      <c r="AE264" s="25" t="inlineStr">
        <is>
          <t>2027-03-15</t>
        </is>
      </c>
      <c r="AF264" s="25" t="inlineStr">
        <is>
          <t>No</t>
        </is>
      </c>
      <c r="AG264" s="28" t="inlineStr">
        <is>
          <t>https://www.utbm.fr/formations/masters</t>
        </is>
      </c>
      <c r="AH264" s="26" t="inlineStr">
        <is>
          <t>Maîtrise de votre domaine technique liée à la formation précédente (informatique, production, mécanique et Energie), travail en autonomie, Travail en équipe, ouverture d’esprit, sens de l’organisation, faire preuve de cu</t>
        </is>
      </c>
      <c r="AI264" s="28" t="inlineStr">
        <is>
          <t>Open in EEF</t>
        </is>
      </c>
    </row>
    <row r="265" ht="32.8" customHeight="1" s="19">
      <c r="A265" s="25" t="n">
        <v>264</v>
      </c>
      <c r="B265" s="25" t="inlineStr">
        <is>
          <t>★★★★☆</t>
        </is>
      </c>
      <c r="C265" s="25" t="inlineStr">
        <is>
          <t>4 – Strong fit (electronics/signal/robotics/IoT/sensors)</t>
        </is>
      </c>
      <c r="D265" s="25" t="inlineStr">
        <is>
          <t>IoT / Telecom / Networks</t>
        </is>
      </c>
      <c r="E265" s="26" t="inlineStr">
        <is>
          <t>Master Sciences, technologies, santé mention ingénierie et innovation en images et réseaux</t>
        </is>
      </c>
      <c r="F265" s="26" t="inlineStr">
        <is>
          <t>Master Science, Technology, Health (STS) – major: Engineering &amp; innovation in Images &amp; Networks</t>
        </is>
      </c>
      <c r="G265" s="25" t="inlineStr">
        <is>
          <t>Master indifférencié (recherche et professionnel)</t>
        </is>
      </c>
      <c r="H265" s="25" t="inlineStr">
        <is>
          <t>Institut Galilée</t>
        </is>
      </c>
      <c r="I265" s="25" t="inlineStr">
        <is>
          <t>Université Sorbonne Paris Nord</t>
        </is>
      </c>
      <c r="J265" s="25" t="inlineStr">
        <is>
          <t>Site de Villetaneuse</t>
        </is>
      </c>
      <c r="K265" s="25" t="n"/>
      <c r="L265" s="25" t="inlineStr">
        <is>
          <t>Public school / institute</t>
        </is>
      </c>
      <c r="M265" s="25" t="inlineStr">
        <is>
          <t>French</t>
        </is>
      </c>
      <c r="N265" s="25" t="inlineStr">
        <is>
          <t>General</t>
        </is>
      </c>
      <c r="O265" s="25" t="inlineStr">
        <is>
          <t>Bac +4</t>
        </is>
      </c>
      <c r="P265" s="26" t="inlineStr">
        <is>
          <t>Eligible on level (4-yr BS ≈ Bac+4)</t>
        </is>
      </c>
      <c r="Q265" s="25" t="inlineStr">
        <is>
          <t>1</t>
        </is>
      </c>
      <c r="R265" s="25" t="inlineStr">
        <is>
          <t>12</t>
        </is>
      </c>
      <c r="S265" s="27" t="n">
        <v>3950</v>
      </c>
      <c r="T265" s="27" t="n">
        <v>255</v>
      </c>
      <c r="U265" s="25" t="n">
        <v>2</v>
      </c>
      <c r="V265" s="27">
        <f>IF(S265="","",S265*U265)</f>
        <v/>
      </c>
      <c r="W265" s="26" t="inlineStr">
        <is>
          <t>Catalogue: €3,950. = national differentiated master fee (2026-27: €3,950). Exemption to ~€255 possible (university quota).</t>
        </is>
      </c>
      <c r="X265" s="25" t="inlineStr">
        <is>
          <t>High</t>
        </is>
      </c>
      <c r="Y265" s="25" t="inlineStr">
        <is>
          <t>3950</t>
        </is>
      </c>
      <c r="Z265" s="26" t="n"/>
      <c r="AA265" s="26" t="n"/>
      <c r="AB265" s="25" t="n"/>
      <c r="AC265" s="25" t="inlineStr">
        <is>
          <t>Open</t>
        </is>
      </c>
      <c r="AD265" s="25" t="inlineStr">
        <is>
          <t>2026-10-01</t>
        </is>
      </c>
      <c r="AE265" s="25" t="inlineStr">
        <is>
          <t>2027-03-15</t>
        </is>
      </c>
      <c r="AF265" s="25" t="inlineStr">
        <is>
          <t>No</t>
        </is>
      </c>
      <c r="AG265" s="28" t="inlineStr">
        <is>
          <t>https://galilee.univ-paris13.fr/master/master-ingenierie-innovation-images-reseaux-m3ir/</t>
        </is>
      </c>
      <c r="AH265" s="26" t="inlineStr">
        <is>
          <t>Niveau TCF Minimun B2 Excellent niveau de L3 Sciences pour l’ingénieur ou Informatique ou Electronique ou énergie électrique ou automatique ou Mathématiques (avec des cours optionnels sur le traitement de signal et l'inf</t>
        </is>
      </c>
      <c r="AI265" s="28" t="inlineStr">
        <is>
          <t>Open in EEF</t>
        </is>
      </c>
    </row>
    <row r="266" ht="32.8" customHeight="1" s="19">
      <c r="A266" s="25" t="n">
        <v>265</v>
      </c>
      <c r="B266" s="25" t="inlineStr">
        <is>
          <t>★★★★☆</t>
        </is>
      </c>
      <c r="C266" s="25" t="inlineStr">
        <is>
          <t>4 – Strong fit (electronics/signal/robotics/IoT/sensors)</t>
        </is>
      </c>
      <c r="D266" s="25" t="inlineStr">
        <is>
          <t>Signal / Image / Vision</t>
        </is>
      </c>
      <c r="E266" s="26" t="inlineStr">
        <is>
          <t>Master Sciences, technologies, santé mention Optique, image, vision, multimédia parcours Photonique, Informatique, Signal et Automatique (PISA)</t>
        </is>
      </c>
      <c r="F266" s="26" t="inlineStr">
        <is>
          <t>Master Science, Technology, Health (STS) – major: Optics, Image, Vision, Multimedia – track: Photonics, Computer Science, Signal &amp; Automation (PISA)</t>
        </is>
      </c>
      <c r="G266" s="25" t="inlineStr">
        <is>
          <t>Master indifférencié (recherche et professionnel)</t>
        </is>
      </c>
      <c r="H266" s="25" t="inlineStr">
        <is>
          <t>Télécom Physique Strasbourg</t>
        </is>
      </c>
      <c r="I266" s="25" t="inlineStr">
        <is>
          <t>Université de Strasbourg</t>
        </is>
      </c>
      <c r="J266" s="25" t="inlineStr">
        <is>
          <t>Site de Illkirch-Graffenstaden</t>
        </is>
      </c>
      <c r="K266" s="25" t="n"/>
      <c r="L266" s="25" t="inlineStr">
        <is>
          <t>Public university</t>
        </is>
      </c>
      <c r="M266" s="25" t="inlineStr">
        <is>
          <t>French</t>
        </is>
      </c>
      <c r="N266" s="25" t="inlineStr">
        <is>
          <t>General</t>
        </is>
      </c>
      <c r="O266" s="25" t="inlineStr">
        <is>
          <t>Bac +4</t>
        </is>
      </c>
      <c r="P266" s="26" t="inlineStr">
        <is>
          <t>Eligible on level (4-yr BS ≈ Bac+4)</t>
        </is>
      </c>
      <c r="Q266" s="25" t="inlineStr">
        <is>
          <t>1</t>
        </is>
      </c>
      <c r="R266" s="25" t="n"/>
      <c r="S266" s="27" t="n">
        <v>3950</v>
      </c>
      <c r="T266" s="27" t="n">
        <v>255</v>
      </c>
      <c r="U266" s="25" t="n">
        <v>2</v>
      </c>
      <c r="V266" s="27">
        <f>IF(S266="","",S266*U266)</f>
        <v/>
      </c>
      <c r="W266" s="26" t="inlineStr">
        <is>
          <t>Catalogue: €3,950. = national differentiated master fee (2026-27: €3,950). Exemption to ~€255 possible (university quota).</t>
        </is>
      </c>
      <c r="X266" s="25" t="inlineStr">
        <is>
          <t>High</t>
        </is>
      </c>
      <c r="Y266" s="25" t="inlineStr">
        <is>
          <t>3950</t>
        </is>
      </c>
      <c r="Z266" s="26" t="n"/>
      <c r="AA266" s="26" t="inlineStr">
        <is>
          <t>Unistra: master entrants who did not do their licence at Unistra pay the differentiated fee (€3,950).</t>
        </is>
      </c>
      <c r="AB266" s="28" t="inlineStr">
        <is>
          <t>https://www.unistra.fr/fr/node/8168</t>
        </is>
      </c>
      <c r="AC266" s="25" t="inlineStr">
        <is>
          <t>Open</t>
        </is>
      </c>
      <c r="AD266" s="25" t="inlineStr">
        <is>
          <t>2026-10-01</t>
        </is>
      </c>
      <c r="AE266" s="25" t="inlineStr">
        <is>
          <t>2027-03-15</t>
        </is>
      </c>
      <c r="AF266" s="25" t="inlineStr">
        <is>
          <t>No</t>
        </is>
      </c>
      <c r="AG266" s="28" t="inlineStr">
        <is>
          <t>https://www.master-iriv.fr</t>
        </is>
      </c>
      <c r="AH266" s="26" t="inlineStr">
        <is>
          <t>Elèves-ingénieurs dans le domaine des TIC (Télécom Physique Strasbourg, INSA, etc.), licences de physique, EEA/ESA IMPORTANT Le calendrier complet ainsi que les pièces à joindre pour la constitution du dossier dématérial</t>
        </is>
      </c>
      <c r="AI266" s="28" t="inlineStr">
        <is>
          <t>Open in EEF</t>
        </is>
      </c>
    </row>
    <row r="267" ht="32.8" customHeight="1" s="19">
      <c r="A267" s="25" t="n">
        <v>266</v>
      </c>
      <c r="B267" s="25" t="inlineStr">
        <is>
          <t>★★★★☆</t>
        </is>
      </c>
      <c r="C267" s="25" t="inlineStr">
        <is>
          <t>4 – Strong fit (electronics/signal/robotics/IoT/sensors)</t>
        </is>
      </c>
      <c r="D267" s="25" t="inlineStr">
        <is>
          <t>Signal / Image / Vision</t>
        </is>
      </c>
      <c r="E267" s="26" t="inlineStr">
        <is>
          <t>Master Sciences, technologies, santé, Optique, image, vision, mutlimédia parcours M1 OIVM Systèmes Distribués et Technologies de la data science</t>
        </is>
      </c>
      <c r="F267" s="26" t="inlineStr">
        <is>
          <t>Master Science, Technology, Health (STS), Optics, Image, Vision, Multimedia – track: M1 OIVM Systems Distributed &amp; Technologies of the data Science</t>
        </is>
      </c>
      <c r="G267" s="25" t="inlineStr">
        <is>
          <t>Master indifférencié (recherche et professionnel)</t>
        </is>
      </c>
      <c r="H267" s="25" t="inlineStr">
        <is>
          <t>UFR des sciences et technologie</t>
        </is>
      </c>
      <c r="I267" s="25" t="inlineStr">
        <is>
          <t>Université Paris-Est Créteil Val-de-Marne</t>
        </is>
      </c>
      <c r="J267" s="25" t="inlineStr">
        <is>
          <t>Site de Créteil</t>
        </is>
      </c>
      <c r="K267" s="25" t="n"/>
      <c r="L267" s="25" t="inlineStr">
        <is>
          <t>Public university</t>
        </is>
      </c>
      <c r="M267" s="25" t="inlineStr">
        <is>
          <t>French</t>
        </is>
      </c>
      <c r="N267" s="25" t="inlineStr">
        <is>
          <t>General</t>
        </is>
      </c>
      <c r="O267" s="25" t="inlineStr">
        <is>
          <t>Bac +4 / Bac +5</t>
        </is>
      </c>
      <c r="P267" s="26" t="inlineStr">
        <is>
          <t>Eligible on level (4-yr BS ≈ Bac+4)</t>
        </is>
      </c>
      <c r="Q267" s="25" t="inlineStr">
        <is>
          <t>1/2</t>
        </is>
      </c>
      <c r="R267" s="25" t="n"/>
      <c r="S267" s="27" t="n">
        <v>3950</v>
      </c>
      <c r="T267" s="27" t="n">
        <v>255</v>
      </c>
      <c r="U267" s="25" t="n">
        <v>2</v>
      </c>
      <c r="V267" s="27">
        <f>IF(S267="","",S267*U267)</f>
        <v/>
      </c>
      <c r="W267" s="26" t="inlineStr">
        <is>
          <t>Catalogue: €3,950. = national differentiated master fee (2026-27: €3,950). Exemption to ~€255 possible (university quota).</t>
        </is>
      </c>
      <c r="X267" s="25" t="inlineStr">
        <is>
          <t>High</t>
        </is>
      </c>
      <c r="Y267" s="25" t="inlineStr">
        <is>
          <t>3950</t>
        </is>
      </c>
      <c r="Z267" s="26" t="n"/>
      <c r="AA267" s="26" t="n"/>
      <c r="AB267" s="25" t="n"/>
      <c r="AC267" s="25" t="inlineStr">
        <is>
          <t>Open</t>
        </is>
      </c>
      <c r="AD267" s="25" t="inlineStr">
        <is>
          <t>2026-10-01</t>
        </is>
      </c>
      <c r="AE267" s="25" t="inlineStr">
        <is>
          <t>2027-03-15</t>
        </is>
      </c>
      <c r="AF267" s="25" t="inlineStr">
        <is>
          <t>No</t>
        </is>
      </c>
      <c r="AG267" s="25" t="n"/>
      <c r="AH267" s="26" t="n"/>
      <c r="AI267" s="28" t="inlineStr">
        <is>
          <t>Open in EEF</t>
        </is>
      </c>
    </row>
    <row r="268" ht="32.8" customHeight="1" s="19">
      <c r="A268" s="25" t="n">
        <v>267</v>
      </c>
      <c r="B268" s="25" t="inlineStr">
        <is>
          <t>★★★★☆</t>
        </is>
      </c>
      <c r="C268" s="25" t="inlineStr">
        <is>
          <t>4 – Strong fit (electronics/signal/robotics/IoT/sensors)</t>
        </is>
      </c>
      <c r="D268" s="25" t="inlineStr">
        <is>
          <t>Signal / Image / Vision</t>
        </is>
      </c>
      <c r="E268" s="26" t="inlineStr">
        <is>
          <t>Master Sciences, technologies, santé, Traitement du signal et des images</t>
        </is>
      </c>
      <c r="F268" s="26" t="inlineStr">
        <is>
          <t>Master Science, Technology, Health (STS), Signal &amp; Image Processing</t>
        </is>
      </c>
      <c r="G268" s="25" t="inlineStr">
        <is>
          <t>Master indifférencié (recherche et professionnel)</t>
        </is>
      </c>
      <c r="H268" s="25" t="inlineStr">
        <is>
          <t>Centre de gestion universitaire de la Mi-Voix</t>
        </is>
      </c>
      <c r="I268" s="25" t="inlineStr">
        <is>
          <t>Université du Littoral Côte d'Opale</t>
        </is>
      </c>
      <c r="J268" s="25" t="inlineStr">
        <is>
          <t>Site de Calais</t>
        </is>
      </c>
      <c r="K268" s="25" t="n"/>
      <c r="L268" s="25" t="inlineStr">
        <is>
          <t>Public university</t>
        </is>
      </c>
      <c r="M268" s="25" t="inlineStr">
        <is>
          <t>French</t>
        </is>
      </c>
      <c r="N268" s="25" t="inlineStr">
        <is>
          <t>General</t>
        </is>
      </c>
      <c r="O268" s="25" t="inlineStr">
        <is>
          <t>Bac +4 / Bac +5</t>
        </is>
      </c>
      <c r="P268" s="26" t="inlineStr">
        <is>
          <t>Eligible on level (4-yr BS ≈ Bac+4)</t>
        </is>
      </c>
      <c r="Q268" s="25" t="inlineStr">
        <is>
          <t>1/2</t>
        </is>
      </c>
      <c r="R268" s="25" t="n"/>
      <c r="S268" s="27" t="n">
        <v>3950</v>
      </c>
      <c r="T268" s="27" t="n">
        <v>255</v>
      </c>
      <c r="U268" s="25" t="n">
        <v>2</v>
      </c>
      <c r="V268" s="27">
        <f>IF(S268="","",S268*U268)</f>
        <v/>
      </c>
      <c r="W268" s="26" t="inlineStr">
        <is>
          <t>Catalogue: €3,950. = national differentiated master fee (2026-27: €3,950). Exemption to ~€255 possible (university quota).</t>
        </is>
      </c>
      <c r="X268" s="25" t="inlineStr">
        <is>
          <t>High</t>
        </is>
      </c>
      <c r="Y268" s="25" t="inlineStr">
        <is>
          <t>3950</t>
        </is>
      </c>
      <c r="Z268" s="26" t="n"/>
      <c r="AA268" s="26" t="n"/>
      <c r="AB268" s="25" t="n"/>
      <c r="AC268" s="25" t="inlineStr">
        <is>
          <t>Open</t>
        </is>
      </c>
      <c r="AD268" s="25" t="inlineStr">
        <is>
          <t>2026-10-01</t>
        </is>
      </c>
      <c r="AE268" s="25" t="inlineStr">
        <is>
          <t>2027-03-15</t>
        </is>
      </c>
      <c r="AF268" s="25" t="inlineStr">
        <is>
          <t>No</t>
        </is>
      </c>
      <c r="AG268" s="28" t="inlineStr">
        <is>
          <t>https://www.univ-littoral.fr/</t>
        </is>
      </c>
      <c r="AH268" s="26" t="inlineStr">
        <is>
          <t>Pour les étudiants étrangers originaires d’un pays où le français n’est pas la langue officielle (hors Espace Economique Européen) : exigence du DELF (niveau B2), du DALF, du TCF (niveau B2) ou TEF (niveau B2). Cette att</t>
        </is>
      </c>
      <c r="AI268" s="28" t="inlineStr">
        <is>
          <t>Open in EEF</t>
        </is>
      </c>
    </row>
    <row r="269" ht="32.8" customHeight="1" s="19">
      <c r="A269" s="25" t="n">
        <v>268</v>
      </c>
      <c r="B269" s="25" t="inlineStr">
        <is>
          <t>★★★★☆</t>
        </is>
      </c>
      <c r="C269" s="25" t="inlineStr">
        <is>
          <t>4 – Strong fit (electronics/signal/robotics/IoT/sensors)</t>
        </is>
      </c>
      <c r="D269" s="25" t="inlineStr">
        <is>
          <t>Robotics / Automation / Mechatronics</t>
        </is>
      </c>
      <c r="E269" s="26" t="inlineStr">
        <is>
          <t>Master professionnel mention Traitement automatique des langues</t>
        </is>
      </c>
      <c r="F269" s="26" t="inlineStr">
        <is>
          <t>Professional Master – major: Processing Automation of Languages</t>
        </is>
      </c>
      <c r="G269" s="25" t="inlineStr">
        <is>
          <t>Master professionnel</t>
        </is>
      </c>
      <c r="H269" s="25" t="inlineStr">
        <is>
          <t>Filière Traitement automatique des langues</t>
        </is>
      </c>
      <c r="I269" s="25" t="inlineStr">
        <is>
          <t>Institut national des langues et civilisations orientales</t>
        </is>
      </c>
      <c r="J269" s="25" t="inlineStr">
        <is>
          <t>Site par défaut</t>
        </is>
      </c>
      <c r="K269" s="25" t="n"/>
      <c r="L269" s="25" t="inlineStr">
        <is>
          <t>Public school / institute</t>
        </is>
      </c>
      <c r="M269" s="25" t="inlineStr">
        <is>
          <t>French</t>
        </is>
      </c>
      <c r="N269" s="25" t="inlineStr">
        <is>
          <t>General</t>
        </is>
      </c>
      <c r="O269" s="25" t="inlineStr">
        <is>
          <t>Bac +4</t>
        </is>
      </c>
      <c r="P269" s="26" t="inlineStr">
        <is>
          <t>Eligible on level (4-yr BS ≈ Bac+4)</t>
        </is>
      </c>
      <c r="Q269" s="25" t="inlineStr">
        <is>
          <t>1</t>
        </is>
      </c>
      <c r="R269" s="25" t="inlineStr">
        <is>
          <t>12</t>
        </is>
      </c>
      <c r="S269" s="27" t="n">
        <v>3950</v>
      </c>
      <c r="T269" s="27" t="n">
        <v>255</v>
      </c>
      <c r="U269" s="25" t="n">
        <v>1</v>
      </c>
      <c r="V269" s="27">
        <f>IF(S269="","",S269*U269)</f>
        <v/>
      </c>
      <c r="W269" s="26" t="inlineStr">
        <is>
          <t>Catalogue: €3,941. = national differentiated master fee (2026-27: €3,950). Exemption to ~€255 possible (university quota).</t>
        </is>
      </c>
      <c r="X269" s="25" t="inlineStr">
        <is>
          <t>High</t>
        </is>
      </c>
      <c r="Y269" s="25" t="inlineStr">
        <is>
          <t>3941</t>
        </is>
      </c>
      <c r="Z269" s="26" t="n"/>
      <c r="AA269" s="26" t="n"/>
      <c r="AB269" s="25" t="n"/>
      <c r="AC269" s="25" t="inlineStr">
        <is>
          <t>Open</t>
        </is>
      </c>
      <c r="AD269" s="25" t="inlineStr">
        <is>
          <t>2026-10-01</t>
        </is>
      </c>
      <c r="AE269" s="25" t="inlineStr">
        <is>
          <t>2027-03-15</t>
        </is>
      </c>
      <c r="AF269" s="25" t="inlineStr">
        <is>
          <t>No</t>
        </is>
      </c>
      <c r="AG269" s="28" t="inlineStr">
        <is>
          <t>https://www.inalco.fr/</t>
        </is>
      </c>
      <c r="AH269" s="26" t="inlineStr">
        <is>
          <t>Les documents justificatifs demandés pour le dépôt d'une candidature sont les suivants : - Pièce d'identité (passeport) - Attestation de langue française, niveau C1 du cadre européen de référence pour les langues (CECRL)</t>
        </is>
      </c>
      <c r="AI269" s="28" t="inlineStr">
        <is>
          <t>Open in EEF</t>
        </is>
      </c>
    </row>
    <row r="270" ht="32.8" customHeight="1" s="19">
      <c r="A270" s="25" t="n">
        <v>269</v>
      </c>
      <c r="B270" s="25" t="inlineStr">
        <is>
          <t>★★★★☆</t>
        </is>
      </c>
      <c r="C270" s="25" t="inlineStr">
        <is>
          <t>4 – Strong fit (electronics/signal/robotics/IoT/sensors)</t>
        </is>
      </c>
      <c r="D270" s="25" t="inlineStr">
        <is>
          <t>Embedded systems / Electronics</t>
        </is>
      </c>
      <c r="E270" s="26" t="inlineStr">
        <is>
          <t>Master professionnel Sciences, technologies, santé mention Electronique, énergie électrique, automatique parcours EEA/TSI : Electronique, Signal et Image</t>
        </is>
      </c>
      <c r="F270" s="26" t="inlineStr">
        <is>
          <t>Professional Master Science, Technology, Health (STS) – major: Electronics, Electrical Energy &amp; Automation (EEA) – track: EEA/TSI : Electronics, Signal &amp; Image</t>
        </is>
      </c>
      <c r="G270" s="25" t="inlineStr">
        <is>
          <t>Master professionnel</t>
        </is>
      </c>
      <c r="H270" s="25" t="inlineStr">
        <is>
          <t>UFR de Sciences et techniques</t>
        </is>
      </c>
      <c r="I270" s="25" t="inlineStr">
        <is>
          <t>Université Bourgogne Europe</t>
        </is>
      </c>
      <c r="J270" s="25" t="inlineStr">
        <is>
          <t>Site de Dijon</t>
        </is>
      </c>
      <c r="K270" s="25" t="n"/>
      <c r="L270" s="25" t="inlineStr">
        <is>
          <t>Public university</t>
        </is>
      </c>
      <c r="M270" s="25" t="inlineStr">
        <is>
          <t>French</t>
        </is>
      </c>
      <c r="N270" s="25" t="inlineStr">
        <is>
          <t>General</t>
        </is>
      </c>
      <c r="O270" s="25" t="inlineStr">
        <is>
          <t>Bac +4</t>
        </is>
      </c>
      <c r="P270" s="26" t="inlineStr">
        <is>
          <t>Eligible on level (4-yr BS ≈ Bac+4)</t>
        </is>
      </c>
      <c r="Q270" s="25" t="inlineStr">
        <is>
          <t>1</t>
        </is>
      </c>
      <c r="R270" s="25" t="inlineStr">
        <is>
          <t>12</t>
        </is>
      </c>
      <c r="S270" s="27" t="n">
        <v>3950</v>
      </c>
      <c r="T270" s="27" t="n">
        <v>255</v>
      </c>
      <c r="U270" s="25" t="n">
        <v>1</v>
      </c>
      <c r="V270" s="27">
        <f>IF(S270="","",S270*U270)</f>
        <v/>
      </c>
      <c r="W270" s="26" t="inlineStr">
        <is>
          <t>Catalogue: €3,950. = national differentiated master fee (2026-27: €3,950). Exemption to ~€255 possible (university quota).</t>
        </is>
      </c>
      <c r="X270" s="25" t="inlineStr">
        <is>
          <t>High</t>
        </is>
      </c>
      <c r="Y270" s="25" t="inlineStr">
        <is>
          <t>3950</t>
        </is>
      </c>
      <c r="Z270" s="26" t="n"/>
      <c r="AA270" s="26" t="n"/>
      <c r="AB270" s="25" t="n"/>
      <c r="AC270" s="25" t="inlineStr">
        <is>
          <t>Open</t>
        </is>
      </c>
      <c r="AD270" s="25" t="inlineStr">
        <is>
          <t>2026-10-01</t>
        </is>
      </c>
      <c r="AE270" s="25" t="inlineStr">
        <is>
          <t>2027-03-15</t>
        </is>
      </c>
      <c r="AF270" s="25" t="inlineStr">
        <is>
          <t>No</t>
        </is>
      </c>
      <c r="AG270" s="28" t="inlineStr">
        <is>
          <t>http://sciences-techniques.u-bourgogne.fr</t>
        </is>
      </c>
      <c r="AH270" s="26" t="inlineStr">
        <is>
          <t>Etudiants issus de licence 3ème année, Master1 ou Master M2 en électronique, télécommunication, systèmes embarqués, informatique industrielle, automatique, traitement du signal et des images. Le test de connaissance du f</t>
        </is>
      </c>
      <c r="AI270" s="28" t="inlineStr">
        <is>
          <t>Open in EEF</t>
        </is>
      </c>
    </row>
    <row r="271" ht="32.8" customHeight="1" s="19">
      <c r="A271" s="25" t="n">
        <v>270</v>
      </c>
      <c r="B271" s="25" t="inlineStr">
        <is>
          <t>★★★★☆</t>
        </is>
      </c>
      <c r="C271" s="25" t="inlineStr">
        <is>
          <t>4 – Strong fit (electronics/signal/robotics/IoT/sensors)</t>
        </is>
      </c>
      <c r="D271" s="25" t="inlineStr">
        <is>
          <t>Signal / Image / Vision</t>
        </is>
      </c>
      <c r="E271" s="26" t="inlineStr">
        <is>
          <t>Master indifférencié (recherche et professionnel) mention Biologie Santé* parcours Signalisation cellulaire et moléculaire (SCM)</t>
        </is>
      </c>
      <c r="F271" s="26" t="inlineStr">
        <is>
          <t>major: Biology-Health* – track: Signalling Cellular &amp; Molecular (SCM)</t>
        </is>
      </c>
      <c r="G271" s="25" t="inlineStr">
        <is>
          <t>Master indifférencié (recherche et professionnel)</t>
        </is>
      </c>
      <c r="H271" s="25" t="inlineStr">
        <is>
          <t>UFR Sciences et Techniques</t>
        </is>
      </c>
      <c r="I271" s="25" t="inlineStr">
        <is>
          <t>Université Marie et Louis Pasteur</t>
        </is>
      </c>
      <c r="J271" s="25" t="inlineStr">
        <is>
          <t>Site de Besançon</t>
        </is>
      </c>
      <c r="K271" s="25" t="inlineStr">
        <is>
          <t>25030 BESANCON CEDEX</t>
        </is>
      </c>
      <c r="L271" s="25" t="inlineStr">
        <is>
          <t>Public university</t>
        </is>
      </c>
      <c r="M271" s="25" t="inlineStr">
        <is>
          <t>French</t>
        </is>
      </c>
      <c r="N271" s="25" t="inlineStr">
        <is>
          <t>General</t>
        </is>
      </c>
      <c r="O271" s="25" t="inlineStr">
        <is>
          <t>Bac +4</t>
        </is>
      </c>
      <c r="P271" s="26" t="inlineStr">
        <is>
          <t>Eligible on level (4-yr BS ≈ Bac+4)</t>
        </is>
      </c>
      <c r="Q271" s="25" t="inlineStr">
        <is>
          <t>1</t>
        </is>
      </c>
      <c r="R271" s="25" t="n"/>
      <c r="S271" s="27" t="n">
        <v>3950</v>
      </c>
      <c r="T271" s="27" t="n">
        <v>255</v>
      </c>
      <c r="U271" s="25" t="n">
        <v>2</v>
      </c>
      <c r="V271" s="27">
        <f>IF(S271="","",S271*U271)</f>
        <v/>
      </c>
      <c r="W271" s="26" t="inlineStr">
        <is>
          <t>Not in catalogue. Public national master → 2026-27 differentiated fee €3,950; exemption to ~€254-255 depends on university quota (25% cap in 2027-28).</t>
        </is>
      </c>
      <c r="X271" s="25" t="inlineStr">
        <is>
          <t>Medium</t>
        </is>
      </c>
      <c r="Y271" s="25" t="n"/>
      <c r="Z271" s="26" t="n"/>
      <c r="AA271" s="26" t="inlineStr">
        <is>
          <t>UMLP: individual exemption requests assessed on personal resources.</t>
        </is>
      </c>
      <c r="AB271" s="28" t="inlineStr">
        <is>
          <t>https://www.umlp.fr/sites/default/files/2026-07-02-page-droits-differencies-vf.pdf</t>
        </is>
      </c>
      <c r="AC271" s="25" t="inlineStr">
        <is>
          <t>Open</t>
        </is>
      </c>
      <c r="AD271" s="25" t="inlineStr">
        <is>
          <t>2026-10-01</t>
        </is>
      </c>
      <c r="AE271" s="25" t="inlineStr">
        <is>
          <t>2027-03-15</t>
        </is>
      </c>
      <c r="AF271" s="25" t="inlineStr">
        <is>
          <t>No</t>
        </is>
      </c>
      <c r="AG271" s="28" t="inlineStr">
        <is>
          <t>https://formations.univ-fcomte.fr/fr/index/formations/feuilleter-le-catalogue/master-lmd-XB/master-biologie-sante-M3PNGH7Y/master-biologie-sante-signalisation-cellulaire-et-moleculaire-M3PNHB5T.html</t>
        </is>
      </c>
      <c r="AH271" s="26" t="inlineStr">
        <is>
          <t>Posséder de solides connaissances en biochimie, génétique moléculaire, biologie cellulaire et génétique Être particulièrement intéressé par le fonctionnement et les mécanismes moléculaires de la cellule normale et pathol</t>
        </is>
      </c>
      <c r="AI271" s="28" t="inlineStr">
        <is>
          <t>Open in EEF</t>
        </is>
      </c>
    </row>
    <row r="272" ht="32.8" customHeight="1" s="19">
      <c r="A272" s="25" t="n">
        <v>271</v>
      </c>
      <c r="B272" s="25" t="inlineStr">
        <is>
          <t>★★★★☆</t>
        </is>
      </c>
      <c r="C272" s="25" t="inlineStr">
        <is>
          <t>4 – Strong fit (electronics/signal/robotics/IoT/sensors)</t>
        </is>
      </c>
      <c r="D272" s="25" t="inlineStr">
        <is>
          <t>Embedded systems / Electronics</t>
        </is>
      </c>
      <c r="E272" s="26" t="inlineStr">
        <is>
          <t>Master indifférencié (recherche et professionnel) Sciences et technologies mention Electronique, énergie électrique, automatique parcours Réseaux Electriques Bâtiments Industries Intelligents</t>
        </is>
      </c>
      <c r="F272" s="26" t="inlineStr">
        <is>
          <t>Science &amp; Technology – major: Electronics, Electrical Energy &amp; Automation (EEA) – track: Networks Electriques Bâtiments Industries Intelligent</t>
        </is>
      </c>
      <c r="G272" s="25" t="inlineStr">
        <is>
          <t>Master indifférencié (recherche et professionnel)</t>
        </is>
      </c>
      <c r="H272" s="25" t="inlineStr">
        <is>
          <t>UFR Sciences</t>
        </is>
      </c>
      <c r="I272" s="25" t="inlineStr">
        <is>
          <t>Université d'Aix-Marseille</t>
        </is>
      </c>
      <c r="J272" s="25" t="inlineStr">
        <is>
          <t>Site de Marseille - St Jérôme</t>
        </is>
      </c>
      <c r="K272" s="25" t="n"/>
      <c r="L272" s="25" t="inlineStr">
        <is>
          <t>Public university</t>
        </is>
      </c>
      <c r="M272" s="25" t="inlineStr">
        <is>
          <t>French</t>
        </is>
      </c>
      <c r="N272" s="25" t="inlineStr">
        <is>
          <t>General</t>
        </is>
      </c>
      <c r="O272" s="25" t="inlineStr">
        <is>
          <t>Bac +4 / Bac +5</t>
        </is>
      </c>
      <c r="P272" s="26" t="inlineStr">
        <is>
          <t>Eligible on level (4-yr BS ≈ Bac+4)</t>
        </is>
      </c>
      <c r="Q272" s="25" t="inlineStr">
        <is>
          <t>1/2</t>
        </is>
      </c>
      <c r="R272" s="25" t="inlineStr">
        <is>
          <t>12</t>
        </is>
      </c>
      <c r="S272" s="27" t="n">
        <v>3950</v>
      </c>
      <c r="T272" s="27" t="n">
        <v>255</v>
      </c>
      <c r="U272" s="25" t="n">
        <v>2</v>
      </c>
      <c r="V272" s="27">
        <f>IF(S272="","",S272*U272)</f>
        <v/>
      </c>
      <c r="W272" s="26" t="inlineStr">
        <is>
          <t>Not in catalogue. Public national master → 2026-27 differentiated fee €3,950; exemption to ~€254-255 depends on university quota (25% cap in 2027-28).</t>
        </is>
      </c>
      <c r="X272" s="25" t="inlineStr">
        <is>
          <t>Medium</t>
        </is>
      </c>
      <c r="Y272" s="25" t="n"/>
      <c r="Z272" s="26" t="n"/>
      <c r="AA272" s="26" t="inlineStr">
        <is>
          <t>AMU 2026-27: limited exemptions (≈1,800 of 5,500 students) – priority to continuing students, conflict zones, excellence scholarships. New master entrants usually pay €3,950.</t>
        </is>
      </c>
      <c r="AB272" s="28" t="inlineStr">
        <is>
          <t>https://www.univ-amu.fr/fr/actualites/aix-marseille-universite-mobilise-pleinement-capacite-dexoneration-continuer-accueillir</t>
        </is>
      </c>
      <c r="AC272" s="25" t="inlineStr">
        <is>
          <t>Open</t>
        </is>
      </c>
      <c r="AD272" s="25" t="inlineStr">
        <is>
          <t>2026-10-01</t>
        </is>
      </c>
      <c r="AE272" s="25" t="inlineStr">
        <is>
          <t>2027-03-15</t>
        </is>
      </c>
      <c r="AF272" s="25" t="inlineStr">
        <is>
          <t>No</t>
        </is>
      </c>
      <c r="AG272" s="28" t="inlineStr">
        <is>
          <t>https://formations.univ-amu.fr/fr/master/5SEA/PRSEA5C1</t>
        </is>
      </c>
      <c r="AH272" s="26" t="inlineStr">
        <is>
          <t>3 points importants pour votre candidature : Parcours exclusivement en alternance . Obligation de fournir une promesse de contrat d’apprentissage lors de la candidature . Sans ce document votre dossier sera refusé. Votre</t>
        </is>
      </c>
      <c r="AI272" s="28" t="inlineStr">
        <is>
          <t>Open in EEF</t>
        </is>
      </c>
    </row>
    <row r="273" ht="32.8" customHeight="1" s="19">
      <c r="A273" s="25" t="n">
        <v>272</v>
      </c>
      <c r="B273" s="25" t="inlineStr">
        <is>
          <t>★★★★☆</t>
        </is>
      </c>
      <c r="C273" s="25" t="inlineStr">
        <is>
          <t>4 – Strong fit (electronics/signal/robotics/IoT/sensors)</t>
        </is>
      </c>
      <c r="D273" s="25" t="inlineStr">
        <is>
          <t>Robotics / Automation / Mechatronics</t>
        </is>
      </c>
      <c r="E273" s="26" t="inlineStr">
        <is>
          <t>Master indifférencié (recherche et professionnel) Sciences, technologies, santé mention Automatique, robotique parcours I-SMART (ingénierie 4.0 - Systèmes mécatroniques, IA et robotique</t>
        </is>
      </c>
      <c r="F273" s="26" t="inlineStr">
        <is>
          <t>Science, Technology, Health (STS) – major: Automation, Robotics – track: I-SMART (Engineering 4.0 - Systems Mechatronic, IA &amp; Robotics</t>
        </is>
      </c>
      <c r="G273" s="25" t="inlineStr">
        <is>
          <t>Master indifférencié (recherche et professionnel)</t>
        </is>
      </c>
      <c r="H273" s="25" t="inlineStr">
        <is>
          <t>Ecole Universitaire de Physique et d'Ingénierie</t>
        </is>
      </c>
      <c r="I273" s="25" t="inlineStr">
        <is>
          <t>Université Clermont Auvergne</t>
        </is>
      </c>
      <c r="J273" s="25" t="inlineStr">
        <is>
          <t>Site de Aubière</t>
        </is>
      </c>
      <c r="K273" s="25" t="n"/>
      <c r="L273" s="25" t="inlineStr">
        <is>
          <t>Public school / institute</t>
        </is>
      </c>
      <c r="M273" s="25" t="inlineStr">
        <is>
          <t>French</t>
        </is>
      </c>
      <c r="N273" s="25" t="inlineStr">
        <is>
          <t>General</t>
        </is>
      </c>
      <c r="O273" s="25" t="inlineStr">
        <is>
          <t>Bac +4 / Bac +5</t>
        </is>
      </c>
      <c r="P273" s="26" t="inlineStr">
        <is>
          <t>Eligible on level (4-yr BS ≈ Bac+4)</t>
        </is>
      </c>
      <c r="Q273" s="25" t="inlineStr">
        <is>
          <t>1/2</t>
        </is>
      </c>
      <c r="R273" s="25" t="inlineStr">
        <is>
          <t>10</t>
        </is>
      </c>
      <c r="S273" s="27" t="n">
        <v>3950</v>
      </c>
      <c r="T273" s="27" t="n">
        <v>255</v>
      </c>
      <c r="U273" s="25" t="n">
        <v>2</v>
      </c>
      <c r="V273" s="27">
        <f>IF(S273="","",S273*U273)</f>
        <v/>
      </c>
      <c r="W273" s="26" t="inlineStr">
        <is>
          <t>Not in catalogue. Public national master → 2026-27 differentiated fee €3,950; exemption to ~€254-255 depends on university quota (25% cap in 2027-28).</t>
        </is>
      </c>
      <c r="X273" s="25" t="inlineStr">
        <is>
          <t>Medium</t>
        </is>
      </c>
      <c r="Y273" s="25" t="n"/>
      <c r="Z273" s="26" t="n"/>
      <c r="AA273" s="26" t="inlineStr">
        <is>
          <t>UCA board (Dec 2025) kept its partial-exemption framework for 2026-27 (pre-decree; re-check).</t>
        </is>
      </c>
      <c r="AB273" s="28" t="inlineStr">
        <is>
          <t>https://www.uca.fr/medias/fichier/delib-ca-20251205-15-tarifs-differencies_1765204050111-pdf</t>
        </is>
      </c>
      <c r="AC273" s="25" t="inlineStr">
        <is>
          <t>Open</t>
        </is>
      </c>
      <c r="AD273" s="25" t="inlineStr">
        <is>
          <t>2026-10-01</t>
        </is>
      </c>
      <c r="AE273" s="25" t="inlineStr">
        <is>
          <t>2027-03-15</t>
        </is>
      </c>
      <c r="AF273" s="25" t="inlineStr">
        <is>
          <t>No</t>
        </is>
      </c>
      <c r="AG273" s="28" t="inlineStr">
        <is>
          <t>https://eupi.uca.fr/</t>
        </is>
      </c>
      <c r="AH273" s="26" t="inlineStr">
        <is>
          <t>Le parcours I-SMART est à orientation industrielle, il prépare les étudiants à prendre en main et à animer des projets de développement de systèmes automatisés qui sont toujours pluridisciplinaires (systèmes mécatronique</t>
        </is>
      </c>
      <c r="AI273" s="28" t="inlineStr">
        <is>
          <t>Open in EEF</t>
        </is>
      </c>
    </row>
    <row r="274" ht="32.8" customHeight="1" s="19">
      <c r="A274" s="25" t="n">
        <v>273</v>
      </c>
      <c r="B274" s="25" t="inlineStr">
        <is>
          <t>★★★★☆</t>
        </is>
      </c>
      <c r="C274" s="25" t="inlineStr">
        <is>
          <t>4 – Strong fit (electronics/signal/robotics/IoT/sensors)</t>
        </is>
      </c>
      <c r="D274" s="25" t="inlineStr">
        <is>
          <t>Robotics / Automation / Mechatronics</t>
        </is>
      </c>
      <c r="E274" s="26" t="inlineStr">
        <is>
          <t>Master indifférencié (recherche et professionnel) Sciences, technologies, santé mention Automatique, robotique parcours "Perception artificielle et robotique"</t>
        </is>
      </c>
      <c r="F274" s="26" t="inlineStr">
        <is>
          <t>Science, Technology, Health (STS) – major: Automation, Robotics – track: "Perception artificielle &amp; Robotics"</t>
        </is>
      </c>
      <c r="G274" s="25" t="inlineStr">
        <is>
          <t>Master indifférencié (recherche et professionnel)</t>
        </is>
      </c>
      <c r="H274" s="25" t="inlineStr">
        <is>
          <t>Ecole Universitaire de Physique et d'Ingénierie</t>
        </is>
      </c>
      <c r="I274" s="25" t="inlineStr">
        <is>
          <t>Université Clermont Auvergne</t>
        </is>
      </c>
      <c r="J274" s="25" t="inlineStr">
        <is>
          <t>Site de Aubière</t>
        </is>
      </c>
      <c r="K274" s="25" t="n"/>
      <c r="L274" s="25" t="inlineStr">
        <is>
          <t>Public school / institute</t>
        </is>
      </c>
      <c r="M274" s="25" t="inlineStr">
        <is>
          <t>French</t>
        </is>
      </c>
      <c r="N274" s="25" t="inlineStr">
        <is>
          <t>General</t>
        </is>
      </c>
      <c r="O274" s="25" t="inlineStr">
        <is>
          <t>Bac +4 / Bac +5</t>
        </is>
      </c>
      <c r="P274" s="26" t="inlineStr">
        <is>
          <t>Eligible on level (4-yr BS ≈ Bac+4)</t>
        </is>
      </c>
      <c r="Q274" s="25" t="inlineStr">
        <is>
          <t>1/2</t>
        </is>
      </c>
      <c r="R274" s="25" t="inlineStr">
        <is>
          <t>10</t>
        </is>
      </c>
      <c r="S274" s="27" t="n">
        <v>3950</v>
      </c>
      <c r="T274" s="27" t="n">
        <v>255</v>
      </c>
      <c r="U274" s="25" t="n">
        <v>2</v>
      </c>
      <c r="V274" s="27">
        <f>IF(S274="","",S274*U274)</f>
        <v/>
      </c>
      <c r="W274" s="26" t="inlineStr">
        <is>
          <t>Not in catalogue. Public national master → 2026-27 differentiated fee €3,950; exemption to ~€254-255 depends on university quota (25% cap in 2027-28).</t>
        </is>
      </c>
      <c r="X274" s="25" t="inlineStr">
        <is>
          <t>Medium</t>
        </is>
      </c>
      <c r="Y274" s="25" t="n"/>
      <c r="Z274" s="26" t="n"/>
      <c r="AA274" s="26" t="inlineStr">
        <is>
          <t>UCA board (Dec 2025) kept its partial-exemption framework for 2026-27 (pre-decree; re-check).</t>
        </is>
      </c>
      <c r="AB274" s="28" t="inlineStr">
        <is>
          <t>https://www.uca.fr/medias/fichier/delib-ca-20251205-15-tarifs-differencies_1765204050111-pdf</t>
        </is>
      </c>
      <c r="AC274" s="25" t="inlineStr">
        <is>
          <t>Open</t>
        </is>
      </c>
      <c r="AD274" s="25" t="inlineStr">
        <is>
          <t>2026-10-01</t>
        </is>
      </c>
      <c r="AE274" s="25" t="inlineStr">
        <is>
          <t>2027-03-15</t>
        </is>
      </c>
      <c r="AF274" s="25" t="inlineStr">
        <is>
          <t>No</t>
        </is>
      </c>
      <c r="AG274" s="28" t="inlineStr">
        <is>
          <t>https://eupi.uca.fr/</t>
        </is>
      </c>
      <c r="AH274" s="26" t="inlineStr">
        <is>
          <t>Langue française : niveau B2 exigé Connaissances pluridisciplinaires sur les 4 domaines : - Mécanique - Automatique/Signal - Informatique industrielle - Electronique le parcours " Perception artificielle et Robotique " e</t>
        </is>
      </c>
      <c r="AI274" s="28" t="inlineStr">
        <is>
          <t>Open in EEF</t>
        </is>
      </c>
    </row>
    <row r="275" ht="32.8" customHeight="1" s="19">
      <c r="A275" s="25" t="n">
        <v>274</v>
      </c>
      <c r="B275" s="25" t="inlineStr">
        <is>
          <t>★★★★☆</t>
        </is>
      </c>
      <c r="C275" s="25" t="inlineStr">
        <is>
          <t>4 – Strong fit (electronics/signal/robotics/IoT/sensors)</t>
        </is>
      </c>
      <c r="D275" s="25" t="inlineStr">
        <is>
          <t>Signal / Image / Vision</t>
        </is>
      </c>
      <c r="E275" s="26" t="inlineStr">
        <is>
          <t>Master indifférencié (recherche et professionnel) Sciences, technologies, santé mention Biologie-santé parcours Biologie et imagerie multimodale</t>
        </is>
      </c>
      <c r="F275" s="26" t="inlineStr">
        <is>
          <t>Science, Technology, Health (STS) – major: Biology-Health – track: Biology &amp; Imaging Multimodal</t>
        </is>
      </c>
      <c r="G275" s="25" t="inlineStr">
        <is>
          <t>Master indifférencié (recherche et professionnel)</t>
        </is>
      </c>
      <c r="H275" s="25" t="inlineStr">
        <is>
          <t>UFR de Sciences et techniques</t>
        </is>
      </c>
      <c r="I275" s="25" t="inlineStr">
        <is>
          <t>Université de Tours</t>
        </is>
      </c>
      <c r="J275" s="25" t="inlineStr">
        <is>
          <t>Site de Tours</t>
        </is>
      </c>
      <c r="K275" s="25" t="n"/>
      <c r="L275" s="25" t="inlineStr">
        <is>
          <t>Public university</t>
        </is>
      </c>
      <c r="M275" s="25" t="inlineStr">
        <is>
          <t>French</t>
        </is>
      </c>
      <c r="N275" s="25" t="inlineStr">
        <is>
          <t>General</t>
        </is>
      </c>
      <c r="O275" s="25" t="inlineStr">
        <is>
          <t>Bac +4</t>
        </is>
      </c>
      <c r="P275" s="26" t="inlineStr">
        <is>
          <t>Eligible on level (4-yr BS ≈ Bac+4)</t>
        </is>
      </c>
      <c r="Q275" s="25" t="inlineStr">
        <is>
          <t>1</t>
        </is>
      </c>
      <c r="R275" s="25" t="n"/>
      <c r="S275" s="27" t="n">
        <v>3950</v>
      </c>
      <c r="T275" s="27" t="n">
        <v>255</v>
      </c>
      <c r="U275" s="25" t="n">
        <v>2</v>
      </c>
      <c r="V275" s="27">
        <f>IF(S275="","",S275*U275)</f>
        <v/>
      </c>
      <c r="W275" s="26" t="inlineStr">
        <is>
          <t>Not in catalogue. Public national master → 2026-27 differentiated fee €3,950; exemption to ~€254-255 depends on university quota (25% cap in 2027-28).</t>
        </is>
      </c>
      <c r="X275" s="25" t="inlineStr">
        <is>
          <t>Medium</t>
        </is>
      </c>
      <c r="Y275" s="25" t="n"/>
      <c r="Z275" s="26" t="n"/>
      <c r="AA275" s="26" t="inlineStr">
        <is>
          <t>Tours: exemptions capped at 30% of non-EU students (2026-27); exempted students pay €255.</t>
        </is>
      </c>
      <c r="AB275" s="28" t="inlineStr">
        <is>
          <t>https://www.univ-tours.fr/international/etudes-stages-a-tours/droits-dinscription-differencies-pour-les-etudiants-extra-communautaires-2026-2027</t>
        </is>
      </c>
      <c r="AC275" s="25" t="inlineStr">
        <is>
          <t>Open</t>
        </is>
      </c>
      <c r="AD275" s="25" t="inlineStr">
        <is>
          <t>2026-10-01</t>
        </is>
      </c>
      <c r="AE275" s="25" t="inlineStr">
        <is>
          <t>2027-03-15</t>
        </is>
      </c>
      <c r="AF275" s="25" t="inlineStr">
        <is>
          <t>No</t>
        </is>
      </c>
      <c r="AG275" s="25" t="n"/>
      <c r="AH275" s="26" t="inlineStr">
        <is>
          <t>ATTENTION ! Le TCF Tout Public est composé de 3 épreuves obligatoires : compréhension orale, maîtrise des structures de la langue et compréhension écrite). Avec ces 3 épreuves, l’université de Tours exige à tous les cand</t>
        </is>
      </c>
      <c r="AI275" s="28" t="inlineStr">
        <is>
          <t>Open in EEF</t>
        </is>
      </c>
    </row>
    <row r="276" ht="22.35" customHeight="1" s="19">
      <c r="A276" s="25" t="n">
        <v>275</v>
      </c>
      <c r="B276" s="25" t="inlineStr">
        <is>
          <t>★★★★☆</t>
        </is>
      </c>
      <c r="C276" s="25" t="inlineStr">
        <is>
          <t>4 – Strong fit (electronics/signal/robotics/IoT/sensors)</t>
        </is>
      </c>
      <c r="D276" s="25" t="inlineStr">
        <is>
          <t>Neuroscience / Neuro-engineering</t>
        </is>
      </c>
      <c r="E276" s="26" t="inlineStr">
        <is>
          <t>Master indifférencié (recherche et professionnel) Sciences, technologies, santé mention biologie, santé parcours Neuro-prothèses sensorielles et motrices</t>
        </is>
      </c>
      <c r="F276" s="26" t="inlineStr">
        <is>
          <t>Science, Technology, Health (STS) – major: Biology-Health – track: Neuroprostheses Sensory &amp; Motor</t>
        </is>
      </c>
      <c r="G276" s="25" t="inlineStr">
        <is>
          <t>Master indifférencié (recherche et professionnel)</t>
        </is>
      </c>
      <c r="H276" s="25" t="inlineStr">
        <is>
          <t>UFR des Sciences pharmaceutiques et biologiques</t>
        </is>
      </c>
      <c r="I276" s="25" t="inlineStr">
        <is>
          <t>Université de Montpellier</t>
        </is>
      </c>
      <c r="J276" s="25" t="inlineStr">
        <is>
          <t>Site de Montpellier</t>
        </is>
      </c>
      <c r="K276" s="25" t="inlineStr">
        <is>
          <t>34090 Montpellier</t>
        </is>
      </c>
      <c r="L276" s="25" t="inlineStr">
        <is>
          <t>Public university</t>
        </is>
      </c>
      <c r="M276" s="25" t="inlineStr">
        <is>
          <t>French</t>
        </is>
      </c>
      <c r="N276" s="25" t="inlineStr">
        <is>
          <t>General</t>
        </is>
      </c>
      <c r="O276" s="25" t="inlineStr">
        <is>
          <t>Bac +4</t>
        </is>
      </c>
      <c r="P276" s="26" t="inlineStr">
        <is>
          <t>Eligible on level (4-yr BS ≈ Bac+4)</t>
        </is>
      </c>
      <c r="Q276" s="25" t="inlineStr">
        <is>
          <t>1</t>
        </is>
      </c>
      <c r="R276" s="25" t="n"/>
      <c r="S276" s="27" t="n">
        <v>3950</v>
      </c>
      <c r="T276" s="27" t="n">
        <v>255</v>
      </c>
      <c r="U276" s="25" t="n">
        <v>2</v>
      </c>
      <c r="V276" s="27">
        <f>IF(S276="","",S276*U276)</f>
        <v/>
      </c>
      <c r="W276" s="26" t="inlineStr">
        <is>
          <t>Not in catalogue. Public national master → 2026-27 differentiated fee €3,950; exemption to ~€254-255 depends on university quota (25% cap in 2027-28).</t>
        </is>
      </c>
      <c r="X276" s="25" t="inlineStr">
        <is>
          <t>Medium</t>
        </is>
      </c>
      <c r="Y276" s="25" t="n"/>
      <c r="Z276" s="26" t="n"/>
      <c r="AA276" s="26" t="inlineStr">
        <is>
          <t>Montpellier 2026-27: new non-EU entrants pay the differentiated fee unless individual exemption (limited).</t>
        </is>
      </c>
      <c r="AB276" s="28" t="inlineStr">
        <is>
          <t>https://www.umontpellier.fr/en/international/etudier-a-letranger/etudiants-internationaux-annee-universitaire-2026-2027/</t>
        </is>
      </c>
      <c r="AC276" s="25" t="inlineStr">
        <is>
          <t>Open</t>
        </is>
      </c>
      <c r="AD276" s="25" t="inlineStr">
        <is>
          <t>2026-10-01</t>
        </is>
      </c>
      <c r="AE276" s="25" t="inlineStr">
        <is>
          <t>2027-03-15</t>
        </is>
      </c>
      <c r="AF276" s="25" t="inlineStr">
        <is>
          <t>No</t>
        </is>
      </c>
      <c r="AG276" s="28" t="inlineStr">
        <is>
          <t>https://formations.umontpellier.fr/fr/formations/master-XB/master-biologie-sante-KJMN3CNB/neuroprotheses-sensorielles-et-motrices-KJMOP5GH.html</t>
        </is>
      </c>
      <c r="AH276" s="26" t="inlineStr">
        <is>
          <t>- Etre titulaire d'un diplôme d'audioprothésiste ou d'un diplôme d'orthophoniste ou d'un diplôme de médecine. - Niveau B2 au TCF / DELF - Minimum exigé</t>
        </is>
      </c>
      <c r="AI276" s="28" t="inlineStr">
        <is>
          <t>Open in EEF</t>
        </is>
      </c>
    </row>
    <row r="277" ht="32.8" customHeight="1" s="19">
      <c r="A277" s="25" t="n">
        <v>276</v>
      </c>
      <c r="B277" s="25" t="inlineStr">
        <is>
          <t>★★★★☆</t>
        </is>
      </c>
      <c r="C277" s="25" t="inlineStr">
        <is>
          <t>4 – Strong fit (electronics/signal/robotics/IoT/sensors)</t>
        </is>
      </c>
      <c r="D277" s="25" t="inlineStr">
        <is>
          <t>Embedded systems / Electronics</t>
        </is>
      </c>
      <c r="E277" s="26" t="inlineStr">
        <is>
          <t>Master indifférencié (recherche et professionnel) Sciences, technologies, santé mention Electronique, Energie électrique, Automatique parcours Compatibilité électromagnétique pour la fiabilité des systèmes électriques durables</t>
        </is>
      </c>
      <c r="F277" s="26" t="inlineStr">
        <is>
          <t>Science, Technology, Health (STS) – major: Electronics, Electrical Energy &amp; Automation (EEA) – track: Compatibilité électromagnétique for the Reliability of Systems Electrical durables</t>
        </is>
      </c>
      <c r="G277" s="25" t="inlineStr">
        <is>
          <t>Master indifférencié (recherche et professionnel)</t>
        </is>
      </c>
      <c r="H277" s="25" t="inlineStr">
        <is>
          <t>Ecole Universitaire de Physique et d'Ingénierie</t>
        </is>
      </c>
      <c r="I277" s="25" t="inlineStr">
        <is>
          <t>Université Clermont Auvergne</t>
        </is>
      </c>
      <c r="J277" s="25" t="inlineStr">
        <is>
          <t>Site de Aubière</t>
        </is>
      </c>
      <c r="K277" s="25" t="n"/>
      <c r="L277" s="25" t="inlineStr">
        <is>
          <t>Public school / institute</t>
        </is>
      </c>
      <c r="M277" s="25" t="inlineStr">
        <is>
          <t>French</t>
        </is>
      </c>
      <c r="N277" s="25" t="inlineStr">
        <is>
          <t>General</t>
        </is>
      </c>
      <c r="O277" s="25" t="inlineStr">
        <is>
          <t>Bac +4 / Bac +5</t>
        </is>
      </c>
      <c r="P277" s="26" t="inlineStr">
        <is>
          <t>Eligible on level (4-yr BS ≈ Bac+4)</t>
        </is>
      </c>
      <c r="Q277" s="25" t="inlineStr">
        <is>
          <t>1/2</t>
        </is>
      </c>
      <c r="R277" s="25" t="inlineStr">
        <is>
          <t>10</t>
        </is>
      </c>
      <c r="S277" s="27" t="n">
        <v>3950</v>
      </c>
      <c r="T277" s="27" t="n">
        <v>255</v>
      </c>
      <c r="U277" s="25" t="n">
        <v>2</v>
      </c>
      <c r="V277" s="27">
        <f>IF(S277="","",S277*U277)</f>
        <v/>
      </c>
      <c r="W277" s="26" t="inlineStr">
        <is>
          <t>Not in catalogue. Public national master → 2026-27 differentiated fee €3,950; exemption to ~€254-255 depends on university quota (25% cap in 2027-28).</t>
        </is>
      </c>
      <c r="X277" s="25" t="inlineStr">
        <is>
          <t>Medium</t>
        </is>
      </c>
      <c r="Y277" s="25" t="n"/>
      <c r="Z277" s="26" t="n"/>
      <c r="AA277" s="26" t="inlineStr">
        <is>
          <t>UCA board (Dec 2025) kept its partial-exemption framework for 2026-27 (pre-decree; re-check).</t>
        </is>
      </c>
      <c r="AB277" s="28" t="inlineStr">
        <is>
          <t>https://www.uca.fr/medias/fichier/delib-ca-20251205-15-tarifs-differencies_1765204050111-pdf</t>
        </is>
      </c>
      <c r="AC277" s="25" t="inlineStr">
        <is>
          <t>Open</t>
        </is>
      </c>
      <c r="AD277" s="25" t="inlineStr">
        <is>
          <t>2026-10-01</t>
        </is>
      </c>
      <c r="AE277" s="25" t="inlineStr">
        <is>
          <t>2027-03-15</t>
        </is>
      </c>
      <c r="AF277" s="25" t="inlineStr">
        <is>
          <t>No</t>
        </is>
      </c>
      <c r="AG277" s="28" t="inlineStr">
        <is>
          <t>https://eupi.uca.fr/</t>
        </is>
      </c>
      <c r="AH277" s="26" t="inlineStr">
        <is>
          <t>M1 : Etudiants titulaires d'une licence de Physique Appliquées et Ingénieries, d'une licence EEA ou d'un diplôme équivalent. M2 : *Etudiants titulaires - d'un master 1 de Physique Appliquée et Ingénieries, - d'un master</t>
        </is>
      </c>
      <c r="AI277" s="28" t="inlineStr">
        <is>
          <t>Open in EEF</t>
        </is>
      </c>
    </row>
    <row r="278" ht="32.8" customHeight="1" s="19">
      <c r="A278" s="25" t="n">
        <v>277</v>
      </c>
      <c r="B278" s="25" t="inlineStr">
        <is>
          <t>★★★★☆</t>
        </is>
      </c>
      <c r="C278" s="25" t="inlineStr">
        <is>
          <t>4 – Strong fit (electronics/signal/robotics/IoT/sensors)</t>
        </is>
      </c>
      <c r="D278" s="25" t="inlineStr">
        <is>
          <t>Embedded systems / Electronics</t>
        </is>
      </c>
      <c r="E278" s="26" t="inlineStr">
        <is>
          <t>Master indifférencié (recherche et professionnel) Sciences, technologies, santé mention Electronique, énergie électrique automatique parcours Conception des Systèmes d’Énergie Électrique (EEA CSEE)</t>
        </is>
      </c>
      <c r="F278" s="26" t="inlineStr">
        <is>
          <t>Science, Technology, Health (STS) – major: Electronics, Electrical Energy &amp; Automation (EEA) – track: Design of Systems of Energy Electrical (EEA CSEE)</t>
        </is>
      </c>
      <c r="G278" s="25" t="inlineStr">
        <is>
          <t>Master indifférencié (recherche et professionnel)</t>
        </is>
      </c>
      <c r="H278" s="25" t="inlineStr">
        <is>
          <t>UFR de Physique, ingénierie, terre, environnement, mécanique</t>
        </is>
      </c>
      <c r="I278" s="25" t="inlineStr">
        <is>
          <t>Université de Grenoble Alpes</t>
        </is>
      </c>
      <c r="J278" s="25" t="inlineStr">
        <is>
          <t>Site de Grenoble - Polygone scientifique - GreEn-ER</t>
        </is>
      </c>
      <c r="K278" s="25" t="n"/>
      <c r="L278" s="25" t="inlineStr">
        <is>
          <t>Public university</t>
        </is>
      </c>
      <c r="M278" s="25" t="inlineStr">
        <is>
          <t>French</t>
        </is>
      </c>
      <c r="N278" s="25" t="inlineStr">
        <is>
          <t>General</t>
        </is>
      </c>
      <c r="O278" s="25" t="inlineStr">
        <is>
          <t>Bac +4 / Bac +5</t>
        </is>
      </c>
      <c r="P278" s="26" t="inlineStr">
        <is>
          <t>Eligible on level (4-yr BS ≈ Bac+4)</t>
        </is>
      </c>
      <c r="Q278" s="25" t="inlineStr">
        <is>
          <t>1/2</t>
        </is>
      </c>
      <c r="R278" s="25" t="n"/>
      <c r="S278" s="27" t="n">
        <v>3950</v>
      </c>
      <c r="T278" s="27" t="n">
        <v>255</v>
      </c>
      <c r="U278" s="25" t="n">
        <v>2</v>
      </c>
      <c r="V278" s="27">
        <f>IF(S278="","",S278*U278)</f>
        <v/>
      </c>
      <c r="W278" s="26" t="inlineStr">
        <is>
          <t>Not in catalogue. Public national master → 2026-27 differentiated fee €3,950; exemption to ~€254-255 depends on university quota (25% cap in 2027-28).</t>
        </is>
      </c>
      <c r="X278" s="25" t="inlineStr">
        <is>
          <t>Medium</t>
        </is>
      </c>
      <c r="Y278" s="25" t="n"/>
      <c r="Z278" s="26" t="n"/>
      <c r="AA278" s="26" t="inlineStr">
        <is>
          <t>UGA (incl. Grenoble INP masters): 2026-27 broad exemptions on request (pay national €254). From 2027-28 the decree caps apply; exemptions based on resources.</t>
        </is>
      </c>
      <c r="AB278" s="28" t="inlineStr">
        <is>
          <t>https://www.univ-grenoble-alpes.fr/actualites/a-la-une/actualites-universite/etudiants-internationaux-ce-que-change-le-nouveau-decret-sur-les-droits-d-inscription-a-l-uga-1775870.kjsp</t>
        </is>
      </c>
      <c r="AC278" s="25" t="inlineStr">
        <is>
          <t>Open</t>
        </is>
      </c>
      <c r="AD278" s="25" t="inlineStr">
        <is>
          <t>2026-10-01</t>
        </is>
      </c>
      <c r="AE278" s="25" t="inlineStr">
        <is>
          <t>2027-03-15</t>
        </is>
      </c>
      <c r="AF278" s="25" t="inlineStr">
        <is>
          <t>No</t>
        </is>
      </c>
      <c r="AG278" s="28" t="inlineStr">
        <is>
          <t>https://formations.univ-grenoble-alpes.fr/fr/catalogue-2021/master-XB/master-electronique-energie-electrique-automatique-IFZ3DRB9/parcours-conception-des-systemes-d-energie-electrique-csee-1re-et-2e-annees-IFZ42B5H.html</t>
        </is>
      </c>
      <c r="AH278" s="26" t="inlineStr">
        <is>
          <t>Master 1 : - Niveau B2 français obligatoire - Prérequis : Structures d'électronique de puissance, modélisation des réseaux et machines électriques, automatique continue, mathématiques et physique pour l’ingénieur, Inform</t>
        </is>
      </c>
      <c r="AI278" s="28" t="inlineStr">
        <is>
          <t>Open in EEF</t>
        </is>
      </c>
    </row>
    <row r="279" ht="32.8" customHeight="1" s="19">
      <c r="A279" s="25" t="n">
        <v>278</v>
      </c>
      <c r="B279" s="25" t="inlineStr">
        <is>
          <t>★★★★☆</t>
        </is>
      </c>
      <c r="C279" s="25" t="inlineStr">
        <is>
          <t>4 – Strong fit (electronics/signal/robotics/IoT/sensors)</t>
        </is>
      </c>
      <c r="D279" s="25" t="inlineStr">
        <is>
          <t>Embedded systems / Electronics</t>
        </is>
      </c>
      <c r="E279" s="26" t="inlineStr">
        <is>
          <t>Master indifférencié (recherche et professionnel) Sciences, technologies, santé mention Electronique, Energie électrique, Automatique parcours Energie Electrique, Environnement et Fiabilités des Systèmes - 3EFS</t>
        </is>
      </c>
      <c r="F279" s="26" t="inlineStr">
        <is>
          <t>Science, Technology, Health (STS) – major: Electronics, Electrical Energy &amp; Automation (EEA) – track: Energy Electrical, Environnement &amp; Fiabilités of Systems - 3EFS</t>
        </is>
      </c>
      <c r="G279" s="25" t="inlineStr">
        <is>
          <t>Master indifférencié (recherche et professionnel)</t>
        </is>
      </c>
      <c r="H279" s="25" t="inlineStr">
        <is>
          <t>UFR des Sciences de Montpellier</t>
        </is>
      </c>
      <c r="I279" s="25" t="inlineStr">
        <is>
          <t>Université de Montpellier</t>
        </is>
      </c>
      <c r="J279" s="25" t="inlineStr">
        <is>
          <t>Site de Montpellier</t>
        </is>
      </c>
      <c r="K279" s="25" t="n"/>
      <c r="L279" s="25" t="inlineStr">
        <is>
          <t>Public university</t>
        </is>
      </c>
      <c r="M279" s="25" t="inlineStr">
        <is>
          <t>French</t>
        </is>
      </c>
      <c r="N279" s="25" t="inlineStr">
        <is>
          <t>General</t>
        </is>
      </c>
      <c r="O279" s="25" t="inlineStr">
        <is>
          <t>Bac +4 / Bac +5</t>
        </is>
      </c>
      <c r="P279" s="26" t="inlineStr">
        <is>
          <t>Eligible on level (4-yr BS ≈ Bac+4)</t>
        </is>
      </c>
      <c r="Q279" s="25" t="inlineStr">
        <is>
          <t>1/2</t>
        </is>
      </c>
      <c r="R279" s="25" t="n"/>
      <c r="S279" s="27" t="n">
        <v>3950</v>
      </c>
      <c r="T279" s="27" t="n">
        <v>255</v>
      </c>
      <c r="U279" s="25" t="n">
        <v>2</v>
      </c>
      <c r="V279" s="27">
        <f>IF(S279="","",S279*U279)</f>
        <v/>
      </c>
      <c r="W279" s="26" t="inlineStr">
        <is>
          <t>Not in catalogue. Public national master → 2026-27 differentiated fee €3,950; exemption to ~€254-255 depends on university quota (25% cap in 2027-28).</t>
        </is>
      </c>
      <c r="X279" s="25" t="inlineStr">
        <is>
          <t>Medium</t>
        </is>
      </c>
      <c r="Y279" s="25" t="n"/>
      <c r="Z279" s="26" t="n"/>
      <c r="AA279" s="26" t="inlineStr">
        <is>
          <t>Montpellier 2026-27: new non-EU entrants pay the differentiated fee unless individual exemption (limited).</t>
        </is>
      </c>
      <c r="AB279" s="28" t="inlineStr">
        <is>
          <t>https://www.umontpellier.fr/en/international/etudier-a-letranger/etudiants-internationaux-annee-universitaire-2026-2027/</t>
        </is>
      </c>
      <c r="AC279" s="25" t="inlineStr">
        <is>
          <t>Open</t>
        </is>
      </c>
      <c r="AD279" s="25" t="inlineStr">
        <is>
          <t>2026-10-01</t>
        </is>
      </c>
      <c r="AE279" s="25" t="inlineStr">
        <is>
          <t>2027-03-15</t>
        </is>
      </c>
      <c r="AF279" s="25" t="inlineStr">
        <is>
          <t>No</t>
        </is>
      </c>
      <c r="AG279" s="28" t="inlineStr">
        <is>
          <t>http://sciences.edu.umontpellier.fr/</t>
        </is>
      </c>
      <c r="AH279" s="26" t="inlineStr">
        <is>
          <t>Niveau de Français B2 au minimum, exigé. 12/20 min les années précédentes</t>
        </is>
      </c>
      <c r="AI279" s="28" t="inlineStr">
        <is>
          <t>Open in EEF</t>
        </is>
      </c>
    </row>
    <row r="280" ht="32.8" customHeight="1" s="19">
      <c r="A280" s="25" t="n">
        <v>279</v>
      </c>
      <c r="B280" s="25" t="inlineStr">
        <is>
          <t>★★★★☆</t>
        </is>
      </c>
      <c r="C280" s="25" t="inlineStr">
        <is>
          <t>4 – Strong fit (electronics/signal/robotics/IoT/sensors)</t>
        </is>
      </c>
      <c r="D280" s="25" t="inlineStr">
        <is>
          <t>Embedded systems / Electronics</t>
        </is>
      </c>
      <c r="E280" s="26" t="inlineStr">
        <is>
          <t>Master indifférencié (recherche et professionnel) Sciences, technologies, santé mention Electronique, Energie électrique, Automatique parcours Photonique, Hyperfréquences et Systèmes de Communications - PHyS</t>
        </is>
      </c>
      <c r="F280" s="26" t="inlineStr">
        <is>
          <t>Science, Technology, Health (STS) – major: Electronics, Electrical Energy &amp; Automation (EEA) – track: Photonics, Hyperfréquences &amp; Systems of Communications - PHyS</t>
        </is>
      </c>
      <c r="G280" s="25" t="inlineStr">
        <is>
          <t>Master indifférencié (recherche et professionnel)</t>
        </is>
      </c>
      <c r="H280" s="25" t="inlineStr">
        <is>
          <t>UFR des Sciences de Montpellier</t>
        </is>
      </c>
      <c r="I280" s="25" t="inlineStr">
        <is>
          <t>Université de Montpellier</t>
        </is>
      </c>
      <c r="J280" s="25" t="inlineStr">
        <is>
          <t>Site de Montpellier</t>
        </is>
      </c>
      <c r="K280" s="25" t="n"/>
      <c r="L280" s="25" t="inlineStr">
        <is>
          <t>Public university</t>
        </is>
      </c>
      <c r="M280" s="25" t="inlineStr">
        <is>
          <t>French</t>
        </is>
      </c>
      <c r="N280" s="25" t="inlineStr">
        <is>
          <t>General</t>
        </is>
      </c>
      <c r="O280" s="25" t="inlineStr">
        <is>
          <t>Bac +4 / Bac +5</t>
        </is>
      </c>
      <c r="P280" s="26" t="inlineStr">
        <is>
          <t>Eligible on level (4-yr BS ≈ Bac+4)</t>
        </is>
      </c>
      <c r="Q280" s="25" t="inlineStr">
        <is>
          <t>1/2</t>
        </is>
      </c>
      <c r="R280" s="25" t="n"/>
      <c r="S280" s="27" t="n">
        <v>3950</v>
      </c>
      <c r="T280" s="27" t="n">
        <v>255</v>
      </c>
      <c r="U280" s="25" t="n">
        <v>2</v>
      </c>
      <c r="V280" s="27">
        <f>IF(S280="","",S280*U280)</f>
        <v/>
      </c>
      <c r="W280" s="26" t="inlineStr">
        <is>
          <t>Not in catalogue. Public national master → 2026-27 differentiated fee €3,950; exemption to ~€254-255 depends on university quota (25% cap in 2027-28).</t>
        </is>
      </c>
      <c r="X280" s="25" t="inlineStr">
        <is>
          <t>Medium</t>
        </is>
      </c>
      <c r="Y280" s="25" t="n"/>
      <c r="Z280" s="26" t="n"/>
      <c r="AA280" s="26" t="inlineStr">
        <is>
          <t>Montpellier 2026-27: new non-EU entrants pay the differentiated fee unless individual exemption (limited).</t>
        </is>
      </c>
      <c r="AB280" s="28" t="inlineStr">
        <is>
          <t>https://www.umontpellier.fr/en/international/etudier-a-letranger/etudiants-internationaux-annee-universitaire-2026-2027/</t>
        </is>
      </c>
      <c r="AC280" s="25" t="inlineStr">
        <is>
          <t>Open</t>
        </is>
      </c>
      <c r="AD280" s="25" t="inlineStr">
        <is>
          <t>2026-10-01</t>
        </is>
      </c>
      <c r="AE280" s="25" t="inlineStr">
        <is>
          <t>2027-03-15</t>
        </is>
      </c>
      <c r="AF280" s="25" t="inlineStr">
        <is>
          <t>No</t>
        </is>
      </c>
      <c r="AG280" s="28" t="inlineStr">
        <is>
          <t>https://hermes.edu.umontpellier.fr/enseignement/</t>
        </is>
      </c>
      <c r="AH280" s="26" t="inlineStr">
        <is>
          <t>Niveau de Français B2 au minimum, exigé. 12/20 min les années précédentes</t>
        </is>
      </c>
      <c r="AI280" s="28" t="inlineStr">
        <is>
          <t>Open in EEF</t>
        </is>
      </c>
    </row>
    <row r="281" ht="43.25" customHeight="1" s="19">
      <c r="A281" s="25" t="n">
        <v>280</v>
      </c>
      <c r="B281" s="25" t="inlineStr">
        <is>
          <t>★★★★☆</t>
        </is>
      </c>
      <c r="C281" s="25" t="inlineStr">
        <is>
          <t>4 – Strong fit (electronics/signal/robotics/IoT/sensors)</t>
        </is>
      </c>
      <c r="D281" s="25" t="inlineStr">
        <is>
          <t>Embedded systems / Electronics</t>
        </is>
      </c>
      <c r="E281" s="26" t="inlineStr">
        <is>
          <t>Master indifférencié (recherche et professionnel) Sciences, technologies, santé mention Electronique, Energie électrique et Automatique parcours Electronique et systèmes de télécommunications (ESTEL)</t>
        </is>
      </c>
      <c r="F281" s="26" t="inlineStr">
        <is>
          <t>Science, Technology, Health (STS) – major: Electronics, Electrical Energy &amp; Automation (EEA) – track: Electronics &amp; Systems of Telecommunications (ESTEL)</t>
        </is>
      </c>
      <c r="G281" s="25" t="inlineStr">
        <is>
          <t>Master indifférencié (recherche et professionnel)</t>
        </is>
      </c>
      <c r="H281" s="25" t="inlineStr">
        <is>
          <t>Sciences</t>
        </is>
      </c>
      <c r="I281" s="25" t="inlineStr">
        <is>
          <t>Université Côte d'Azur</t>
        </is>
      </c>
      <c r="J281" s="25" t="inlineStr">
        <is>
          <t>Site de Nice</t>
        </is>
      </c>
      <c r="K281" s="25" t="n"/>
      <c r="L281" s="25" t="inlineStr">
        <is>
          <t>Public university</t>
        </is>
      </c>
      <c r="M281" s="25" t="inlineStr">
        <is>
          <t>French</t>
        </is>
      </c>
      <c r="N281" s="25" t="inlineStr">
        <is>
          <t>General</t>
        </is>
      </c>
      <c r="O281" s="25" t="inlineStr">
        <is>
          <t>Bac +4 / Bac +5</t>
        </is>
      </c>
      <c r="P281" s="26" t="inlineStr">
        <is>
          <t>Eligible on level (4-yr BS ≈ Bac+4)</t>
        </is>
      </c>
      <c r="Q281" s="25" t="inlineStr">
        <is>
          <t>1/2</t>
        </is>
      </c>
      <c r="R281" s="25" t="n"/>
      <c r="S281" s="27" t="n">
        <v>3950</v>
      </c>
      <c r="T281" s="27" t="n">
        <v>255</v>
      </c>
      <c r="U281" s="25" t="n">
        <v>2</v>
      </c>
      <c r="V281" s="27">
        <f>IF(S281="","",S281*U281)</f>
        <v/>
      </c>
      <c r="W281" s="26" t="inlineStr">
        <is>
          <t>Not in catalogue. Public national master → 2026-27 differentiated fee €3,950; exemption to ~€254-255 depends on university quota (25% cap in 2027-28).</t>
        </is>
      </c>
      <c r="X281" s="25" t="inlineStr">
        <is>
          <t>Medium</t>
        </is>
      </c>
      <c r="Y281" s="25" t="n"/>
      <c r="Z281" s="26" t="inlineStr">
        <is>
          <t>Les tarifs pour l'année 2026-27 sont : en Licence: 2 902€ / en Master: 3 950€ (à titre indicatif) Voici un lien utile : https:/ … Les tarifs pour l'année 2026-27 sont : en Licence: 2 902€ / en Master: 3 950€ (à titre i</t>
        </is>
      </c>
      <c r="AA281" s="26" t="n"/>
      <c r="AB281" s="25" t="n"/>
      <c r="AC281" s="25" t="inlineStr">
        <is>
          <t>Open</t>
        </is>
      </c>
      <c r="AD281" s="25" t="inlineStr">
        <is>
          <t>2026-10-01</t>
        </is>
      </c>
      <c r="AE281" s="25" t="inlineStr">
        <is>
          <t>2027-03-15</t>
        </is>
      </c>
      <c r="AF281" s="25" t="inlineStr">
        <is>
          <t>No</t>
        </is>
      </c>
      <c r="AG281" s="28" t="inlineStr">
        <is>
          <t>https://univ-cotedazur.fr/formation/offre-de-formation/master-electronique-energie-electrique-automatique</t>
        </is>
      </c>
      <c r="AH281" s="26" t="inlineStr">
        <is>
          <t>Français: Niveau CECRL B2; Etre classé dans les 20% premiers de la promo; Matières examinées : Electronique, Electromagnétisme, traitement du signal, mathématique, physique appliqué, informatique industrielle Matières fo</t>
        </is>
      </c>
      <c r="AI281" s="28" t="inlineStr">
        <is>
          <t>Open in EEF</t>
        </is>
      </c>
    </row>
    <row r="282" ht="32.8" customHeight="1" s="19">
      <c r="A282" s="25" t="n">
        <v>281</v>
      </c>
      <c r="B282" s="25" t="inlineStr">
        <is>
          <t>★★★★☆</t>
        </is>
      </c>
      <c r="C282" s="25" t="inlineStr">
        <is>
          <t>4 – Strong fit (electronics/signal/robotics/IoT/sensors)</t>
        </is>
      </c>
      <c r="D282" s="25" t="inlineStr">
        <is>
          <t>Embedded systems / Electronics</t>
        </is>
      </c>
      <c r="E282" s="26" t="inlineStr">
        <is>
          <t>Master indifférencié (recherche et professionnel) Sciences, technologies, santé mention Electronique, Energie électrique et Automatique parcours Energie Electrique : Conversion, Matériaux, Développement durable</t>
        </is>
      </c>
      <c r="F282" s="26" t="inlineStr">
        <is>
          <t>Science, Technology, Health (STS) – major: Electronics, Electrical Energy &amp; Automation (EEA) – track: Energy Electrical : Conversion, Materials, Development Sustainable</t>
        </is>
      </c>
      <c r="G282" s="25" t="inlineStr">
        <is>
          <t>Master indifférencié (recherche et professionnel)</t>
        </is>
      </c>
      <c r="H282" s="25" t="inlineStr">
        <is>
          <t>Faculté des Sciences et d'Ingénierie</t>
        </is>
      </c>
      <c r="I282" s="25" t="inlineStr">
        <is>
          <t>Université de Toulouse</t>
        </is>
      </c>
      <c r="J282" s="25" t="inlineStr">
        <is>
          <t>Site de Toulouse</t>
        </is>
      </c>
      <c r="K282" s="25" t="n"/>
      <c r="L282" s="25" t="inlineStr">
        <is>
          <t>Public university</t>
        </is>
      </c>
      <c r="M282" s="25" t="inlineStr">
        <is>
          <t>French</t>
        </is>
      </c>
      <c r="N282" s="25" t="inlineStr">
        <is>
          <t>General</t>
        </is>
      </c>
      <c r="O282" s="25" t="inlineStr">
        <is>
          <t>Bac +4 / Bac +5</t>
        </is>
      </c>
      <c r="P282" s="26" t="inlineStr">
        <is>
          <t>Eligible on level (4-yr BS ≈ Bac+4)</t>
        </is>
      </c>
      <c r="Q282" s="25" t="inlineStr">
        <is>
          <t>1/2</t>
        </is>
      </c>
      <c r="R282" s="25" t="n"/>
      <c r="S282" s="27" t="n">
        <v>3950</v>
      </c>
      <c r="T282" s="27" t="n">
        <v>255</v>
      </c>
      <c r="U282" s="25" t="n">
        <v>2</v>
      </c>
      <c r="V282" s="27">
        <f>IF(S282="","",S282*U282)</f>
        <v/>
      </c>
      <c r="W282" s="26" t="inlineStr">
        <is>
          <t>Not in catalogue. Public national master → 2026-27 differentiated fee €3,950; exemption to ~€254-255 depends on university quota (25% cap in 2027-28).</t>
        </is>
      </c>
      <c r="X282" s="25" t="inlineStr">
        <is>
          <t>Medium</t>
        </is>
      </c>
      <c r="Y282" s="25" t="n"/>
      <c r="Z282" s="26" t="n"/>
      <c r="AA282" s="26" t="inlineStr">
        <is>
          <t>Board decision (Feb 2026, pre-decree): partial exemption for ALL non-EU students subject to differentiated fees, until end of cycle. Re-check for 2027-28.</t>
        </is>
      </c>
      <c r="AB282" s="28" t="inlineStr">
        <is>
          <t>https://www.utoulouse.fr/medias/fichier/2026-02-ca-075_1774430647495-pdf</t>
        </is>
      </c>
      <c r="AC282" s="25" t="inlineStr">
        <is>
          <t>Open</t>
        </is>
      </c>
      <c r="AD282" s="25" t="inlineStr">
        <is>
          <t>2026-10-01</t>
        </is>
      </c>
      <c r="AE282" s="25" t="inlineStr">
        <is>
          <t>2027-03-15</t>
        </is>
      </c>
      <c r="AF282" s="25" t="inlineStr">
        <is>
          <t>No</t>
        </is>
      </c>
      <c r="AG282" s="28" t="inlineStr">
        <is>
          <t>http://www.univ-tlse3.fr/</t>
        </is>
      </c>
      <c r="AH282" s="26" t="inlineStr">
        <is>
          <t>https://www.utoulouse.fr/decouvrir-nos-diplomes/les-mentions-de-masters Si vous ne maîtrisez pas encore le français au niveau exigé pour intégrer une formation en France, le DU FUSEE (Diplôme Universitaire de Français po</t>
        </is>
      </c>
      <c r="AI282" s="28" t="inlineStr">
        <is>
          <t>Open in EEF</t>
        </is>
      </c>
    </row>
    <row r="283" ht="32.8" customHeight="1" s="19">
      <c r="A283" s="25" t="n">
        <v>282</v>
      </c>
      <c r="B283" s="25" t="inlineStr">
        <is>
          <t>★★★★☆</t>
        </is>
      </c>
      <c r="C283" s="25" t="inlineStr">
        <is>
          <t>4 – Strong fit (electronics/signal/robotics/IoT/sensors)</t>
        </is>
      </c>
      <c r="D283" s="25" t="inlineStr">
        <is>
          <t>Embedded systems / Electronics</t>
        </is>
      </c>
      <c r="E283" s="26" t="inlineStr">
        <is>
          <t>Master indifférencié (recherche et professionnel) Sciences, technologies, santé mention Electronique, Energie électrique et Automatique parcours Ingénierie des systèmes temps réel</t>
        </is>
      </c>
      <c r="F283" s="26" t="inlineStr">
        <is>
          <t>Science, Technology, Health (STS) – major: Electronics, Electrical Energy &amp; Automation (EEA) – track: Engineering of Systems Real-Time</t>
        </is>
      </c>
      <c r="G283" s="25" t="inlineStr">
        <is>
          <t>Master indifférencié (recherche et professionnel)</t>
        </is>
      </c>
      <c r="H283" s="25" t="inlineStr">
        <is>
          <t>Faculté des Sciences et d'Ingénierie</t>
        </is>
      </c>
      <c r="I283" s="25" t="inlineStr">
        <is>
          <t>Université de Toulouse</t>
        </is>
      </c>
      <c r="J283" s="25" t="inlineStr">
        <is>
          <t>Site de Toulouse</t>
        </is>
      </c>
      <c r="K283" s="25" t="n"/>
      <c r="L283" s="25" t="inlineStr">
        <is>
          <t>Public university</t>
        </is>
      </c>
      <c r="M283" s="25" t="inlineStr">
        <is>
          <t>French</t>
        </is>
      </c>
      <c r="N283" s="25" t="inlineStr">
        <is>
          <t>General</t>
        </is>
      </c>
      <c r="O283" s="25" t="inlineStr">
        <is>
          <t>Bac +4 / Bac +5</t>
        </is>
      </c>
      <c r="P283" s="26" t="inlineStr">
        <is>
          <t>Eligible on level (4-yr BS ≈ Bac+4)</t>
        </is>
      </c>
      <c r="Q283" s="25" t="inlineStr">
        <is>
          <t>1/2</t>
        </is>
      </c>
      <c r="R283" s="25" t="n"/>
      <c r="S283" s="27" t="n">
        <v>3950</v>
      </c>
      <c r="T283" s="27" t="n">
        <v>255</v>
      </c>
      <c r="U283" s="25" t="n">
        <v>2</v>
      </c>
      <c r="V283" s="27">
        <f>IF(S283="","",S283*U283)</f>
        <v/>
      </c>
      <c r="W283" s="26" t="inlineStr">
        <is>
          <t>Not in catalogue. Public national master → 2026-27 differentiated fee €3,950; exemption to ~€254-255 depends on university quota (25% cap in 2027-28).</t>
        </is>
      </c>
      <c r="X283" s="25" t="inlineStr">
        <is>
          <t>Medium</t>
        </is>
      </c>
      <c r="Y283" s="25" t="n"/>
      <c r="Z283" s="26" t="n"/>
      <c r="AA283" s="26" t="inlineStr">
        <is>
          <t>Board decision (Feb 2026, pre-decree): partial exemption for ALL non-EU students subject to differentiated fees, until end of cycle. Re-check for 2027-28.</t>
        </is>
      </c>
      <c r="AB283" s="28" t="inlineStr">
        <is>
          <t>https://www.utoulouse.fr/medias/fichier/2026-02-ca-075_1774430647495-pdf</t>
        </is>
      </c>
      <c r="AC283" s="25" t="inlineStr">
        <is>
          <t>Open</t>
        </is>
      </c>
      <c r="AD283" s="25" t="inlineStr">
        <is>
          <t>2026-10-01</t>
        </is>
      </c>
      <c r="AE283" s="25" t="inlineStr">
        <is>
          <t>2027-03-15</t>
        </is>
      </c>
      <c r="AF283" s="25" t="inlineStr">
        <is>
          <t>No</t>
        </is>
      </c>
      <c r="AG283" s="28" t="inlineStr">
        <is>
          <t>http://www.univ-tlse3.fr/</t>
        </is>
      </c>
      <c r="AH283" s="26" t="inlineStr">
        <is>
          <t>https://www.utoulouse.fr/decouvrir-nos-diplomes/les-mentions-de-masters Si vous ne maîtrisez pas encore le français au niveau exigé pour intégrer une formation en France, le DU FUSEE (Diplôme Universitaire de Français po</t>
        </is>
      </c>
      <c r="AI283" s="28" t="inlineStr">
        <is>
          <t>Open in EEF</t>
        </is>
      </c>
    </row>
    <row r="284" ht="32.8" customHeight="1" s="19">
      <c r="A284" s="25" t="n">
        <v>283</v>
      </c>
      <c r="B284" s="25" t="inlineStr">
        <is>
          <t>★★★★☆</t>
        </is>
      </c>
      <c r="C284" s="25" t="inlineStr">
        <is>
          <t>4 – Strong fit (electronics/signal/robotics/IoT/sensors)</t>
        </is>
      </c>
      <c r="D284" s="25" t="inlineStr">
        <is>
          <t>IoT / Telecom / Networks</t>
        </is>
      </c>
      <c r="E284" s="26" t="inlineStr">
        <is>
          <t>Master indifférencié (recherche et professionnel) Sciences, technologies, santé mention informatique parcours RESeaux : Internet, Cybersécurité, Cloud et Automatisation (RES)</t>
        </is>
      </c>
      <c r="F284" s="26" t="inlineStr">
        <is>
          <t>Science, Technology, Health (STS) – major: Computer Science – track: Networks : Internet, Cybersecurity, Cloud &amp; Automation (RES)</t>
        </is>
      </c>
      <c r="G284" s="25" t="inlineStr">
        <is>
          <t>Master indifférencié (recherche et professionnel)</t>
        </is>
      </c>
      <c r="H284" s="25" t="inlineStr">
        <is>
          <t>Sciences et Ingénierie</t>
        </is>
      </c>
      <c r="I284" s="25" t="inlineStr">
        <is>
          <t>Sorbonne Université</t>
        </is>
      </c>
      <c r="J284" s="25" t="inlineStr">
        <is>
          <t>Site de Paris</t>
        </is>
      </c>
      <c r="K284" s="25" t="n"/>
      <c r="L284" s="25" t="inlineStr">
        <is>
          <t>Public university</t>
        </is>
      </c>
      <c r="M284" s="25" t="inlineStr">
        <is>
          <t>French</t>
        </is>
      </c>
      <c r="N284" s="25" t="inlineStr">
        <is>
          <t>General</t>
        </is>
      </c>
      <c r="O284" s="25" t="inlineStr">
        <is>
          <t>Bac +4 / Bac +5</t>
        </is>
      </c>
      <c r="P284" s="26" t="inlineStr">
        <is>
          <t>Eligible on level (4-yr BS ≈ Bac+4)</t>
        </is>
      </c>
      <c r="Q284" s="25" t="inlineStr">
        <is>
          <t>1/2</t>
        </is>
      </c>
      <c r="R284" s="25" t="n"/>
      <c r="S284" s="27" t="n">
        <v>3950</v>
      </c>
      <c r="T284" s="27" t="n">
        <v>255</v>
      </c>
      <c r="U284" s="25" t="n">
        <v>2</v>
      </c>
      <c r="V284" s="27">
        <f>IF(S284="","",S284*U284)</f>
        <v/>
      </c>
      <c r="W284" s="26" t="inlineStr">
        <is>
          <t>Not in catalogue. Public national master → 2026-27 differentiated fee €3,950; exemption to ~€254-255 depends on university quota (25% cap in 2027-28).</t>
        </is>
      </c>
      <c r="X284" s="25" t="inlineStr">
        <is>
          <t>Medium</t>
        </is>
      </c>
      <c r="Y284" s="25" t="n"/>
      <c r="Z284" s="26" t="n"/>
      <c r="AA284" s="26" t="inlineStr">
        <is>
          <t>Board vote 7 Jul 2026: Sorbonne Université says it can exempt all eligible non-EU applicants (pay same as EU, ~€254) for 2026-27.</t>
        </is>
      </c>
      <c r="AB284" s="28" t="inlineStr">
        <is>
          <t>https://www.sorbonne-universite.fr/actualites/le-conseil-dadministration-de-sorbonne-universite-vote-lunanimite-le-7-juillet-2026-sa</t>
        </is>
      </c>
      <c r="AC284" s="25" t="inlineStr">
        <is>
          <t>Open</t>
        </is>
      </c>
      <c r="AD284" s="25" t="inlineStr">
        <is>
          <t>2026-10-01</t>
        </is>
      </c>
      <c r="AE284" s="25" t="inlineStr">
        <is>
          <t>2027-03-15</t>
        </is>
      </c>
      <c r="AF284" s="25" t="inlineStr">
        <is>
          <t>No</t>
        </is>
      </c>
      <c r="AG284" s="28" t="inlineStr">
        <is>
          <t>https://sciences.sorbonne-universite.fr/formation-sciences/offre-de-formation/masters/master-informatique/parcours-res</t>
        </is>
      </c>
      <c r="AH284" s="26" t="inlineStr">
        <is>
          <t>OUI</t>
        </is>
      </c>
      <c r="AI284" s="28" t="inlineStr">
        <is>
          <t>Open in EEF</t>
        </is>
      </c>
    </row>
    <row r="285" ht="32.8" customHeight="1" s="19">
      <c r="A285" s="25" t="n">
        <v>284</v>
      </c>
      <c r="B285" s="25" t="inlineStr">
        <is>
          <t>★★★★☆</t>
        </is>
      </c>
      <c r="C285" s="25" t="inlineStr">
        <is>
          <t>4 – Strong fit (electronics/signal/robotics/IoT/sensors)</t>
        </is>
      </c>
      <c r="D285" s="25" t="inlineStr">
        <is>
          <t>Embedded systems / Electronics</t>
        </is>
      </c>
      <c r="E285" s="26" t="inlineStr">
        <is>
          <t>Master indifférencié (recherche et professionnel) Sciences, technologies, santé mention informatique parcours Systèmes électroniques, systèmes informatiques (SESI)</t>
        </is>
      </c>
      <c r="F285" s="26" t="inlineStr">
        <is>
          <t>Science, Technology, Health (STS) – major: Computer Science – track: Systems Electronic, Systems informatiques (SESI)</t>
        </is>
      </c>
      <c r="G285" s="25" t="inlineStr">
        <is>
          <t>Master indifférencié (recherche et professionnel)</t>
        </is>
      </c>
      <c r="H285" s="25" t="inlineStr">
        <is>
          <t>Sciences et Ingénierie</t>
        </is>
      </c>
      <c r="I285" s="25" t="inlineStr">
        <is>
          <t>Sorbonne Université</t>
        </is>
      </c>
      <c r="J285" s="25" t="inlineStr">
        <is>
          <t>Site de Paris</t>
        </is>
      </c>
      <c r="K285" s="25" t="n"/>
      <c r="L285" s="25" t="inlineStr">
        <is>
          <t>Public university</t>
        </is>
      </c>
      <c r="M285" s="25" t="inlineStr">
        <is>
          <t>French</t>
        </is>
      </c>
      <c r="N285" s="25" t="inlineStr">
        <is>
          <t>General</t>
        </is>
      </c>
      <c r="O285" s="25" t="inlineStr">
        <is>
          <t>Bac +4 / Bac +5</t>
        </is>
      </c>
      <c r="P285" s="26" t="inlineStr">
        <is>
          <t>Eligible on level (4-yr BS ≈ Bac+4)</t>
        </is>
      </c>
      <c r="Q285" s="25" t="inlineStr">
        <is>
          <t>1/2</t>
        </is>
      </c>
      <c r="R285" s="25" t="n"/>
      <c r="S285" s="27" t="n">
        <v>3950</v>
      </c>
      <c r="T285" s="27" t="n">
        <v>255</v>
      </c>
      <c r="U285" s="25" t="n">
        <v>2</v>
      </c>
      <c r="V285" s="27">
        <f>IF(S285="","",S285*U285)</f>
        <v/>
      </c>
      <c r="W285" s="26" t="inlineStr">
        <is>
          <t>Not in catalogue. Public national master → 2026-27 differentiated fee €3,950; exemption to ~€254-255 depends on university quota (25% cap in 2027-28).</t>
        </is>
      </c>
      <c r="X285" s="25" t="inlineStr">
        <is>
          <t>Medium</t>
        </is>
      </c>
      <c r="Y285" s="25" t="n"/>
      <c r="Z285" s="26" t="n"/>
      <c r="AA285" s="26" t="inlineStr">
        <is>
          <t>Board vote 7 Jul 2026: Sorbonne Université says it can exempt all eligible non-EU applicants (pay same as EU, ~€254) for 2026-27.</t>
        </is>
      </c>
      <c r="AB285" s="28" t="inlineStr">
        <is>
          <t>https://www.sorbonne-universite.fr/actualites/le-conseil-dadministration-de-sorbonne-universite-vote-lunanimite-le-7-juillet-2026-sa</t>
        </is>
      </c>
      <c r="AC285" s="25" t="inlineStr">
        <is>
          <t>Open</t>
        </is>
      </c>
      <c r="AD285" s="25" t="inlineStr">
        <is>
          <t>2026-10-01</t>
        </is>
      </c>
      <c r="AE285" s="25" t="inlineStr">
        <is>
          <t>2027-03-15</t>
        </is>
      </c>
      <c r="AF285" s="25" t="inlineStr">
        <is>
          <t>No</t>
        </is>
      </c>
      <c r="AG285" s="28" t="inlineStr">
        <is>
          <t>https://sciences.sorbonne-universite.fr/formation-sciences/masters/master-informatique/parcours-sesi</t>
        </is>
      </c>
      <c r="AH285" s="26" t="inlineStr">
        <is>
          <t>OUI</t>
        </is>
      </c>
      <c r="AI285" s="28" t="inlineStr">
        <is>
          <t>Open in EEF</t>
        </is>
      </c>
    </row>
    <row r="286" ht="32.8" customHeight="1" s="19">
      <c r="A286" s="25" t="n">
        <v>285</v>
      </c>
      <c r="B286" s="25" t="inlineStr">
        <is>
          <t>★★★★☆</t>
        </is>
      </c>
      <c r="C286" s="25" t="inlineStr">
        <is>
          <t>4 – Strong fit (electronics/signal/robotics/IoT/sensors)</t>
        </is>
      </c>
      <c r="D286" s="25" t="inlineStr">
        <is>
          <t>Sensors / Instrumentation / Micro-Nano / Photonics</t>
        </is>
      </c>
      <c r="E286" s="26" t="inlineStr">
        <is>
          <t>Master indifférencié (recherche et professionnel) Sciences, technologies, santé mention Mécanique parcours Simulation et Instrumentation en Mécanique (SIM)</t>
        </is>
      </c>
      <c r="F286" s="26" t="inlineStr">
        <is>
          <t>Science, Technology, Health (STS) – major: Mechanics – track: Simulation &amp; Instrumentation in Mechanics (SIM)</t>
        </is>
      </c>
      <c r="G286" s="25" t="inlineStr">
        <is>
          <t>Master indifférencié (recherche et professionnel)</t>
        </is>
      </c>
      <c r="H286" s="25" t="inlineStr">
        <is>
          <t>UFR de Physique, ingénierie, terre, environnement, mécanique</t>
        </is>
      </c>
      <c r="I286" s="25" t="inlineStr">
        <is>
          <t>Université de Grenoble Alpes</t>
        </is>
      </c>
      <c r="J286" s="25" t="inlineStr">
        <is>
          <t>Site de Grenoble - Campus de Saint Martin d'Hères</t>
        </is>
      </c>
      <c r="K286" s="25" t="n"/>
      <c r="L286" s="25" t="inlineStr">
        <is>
          <t>Public university</t>
        </is>
      </c>
      <c r="M286" s="25" t="inlineStr">
        <is>
          <t>French</t>
        </is>
      </c>
      <c r="N286" s="25" t="inlineStr">
        <is>
          <t>General</t>
        </is>
      </c>
      <c r="O286" s="25" t="inlineStr">
        <is>
          <t>Bac +4</t>
        </is>
      </c>
      <c r="P286" s="26" t="inlineStr">
        <is>
          <t>Eligible on level (4-yr BS ≈ Bac+4)</t>
        </is>
      </c>
      <c r="Q286" s="25" t="inlineStr">
        <is>
          <t>1</t>
        </is>
      </c>
      <c r="R286" s="25" t="n"/>
      <c r="S286" s="27" t="n">
        <v>3950</v>
      </c>
      <c r="T286" s="27" t="n">
        <v>255</v>
      </c>
      <c r="U286" s="25" t="n">
        <v>2</v>
      </c>
      <c r="V286" s="27">
        <f>IF(S286="","",S286*U286)</f>
        <v/>
      </c>
      <c r="W286" s="26" t="inlineStr">
        <is>
          <t>Not in catalogue. Public national master → 2026-27 differentiated fee €3,950; exemption to ~€254-255 depends on university quota (25% cap in 2027-28).</t>
        </is>
      </c>
      <c r="X286" s="25" t="inlineStr">
        <is>
          <t>Medium</t>
        </is>
      </c>
      <c r="Y286" s="25" t="n"/>
      <c r="Z286" s="26" t="n"/>
      <c r="AA286" s="26" t="inlineStr">
        <is>
          <t>UGA (incl. Grenoble INP masters): 2026-27 broad exemptions on request (pay national €254). From 2027-28 the decree caps apply; exemptions based on resources.</t>
        </is>
      </c>
      <c r="AB286" s="28" t="inlineStr">
        <is>
          <t>https://www.univ-grenoble-alpes.fr/actualites/a-la-une/actualites-universite/etudiants-internationaux-ce-que-change-le-nouveau-decret-sur-les-droits-d-inscription-a-l-uga-1775870.kjsp</t>
        </is>
      </c>
      <c r="AC286" s="25" t="inlineStr">
        <is>
          <t>Open</t>
        </is>
      </c>
      <c r="AD286" s="25" t="inlineStr">
        <is>
          <t>2026-10-01</t>
        </is>
      </c>
      <c r="AE286" s="25" t="inlineStr">
        <is>
          <t>2027-03-15</t>
        </is>
      </c>
      <c r="AF286" s="25" t="inlineStr">
        <is>
          <t>No</t>
        </is>
      </c>
      <c r="AG286" s="28" t="inlineStr">
        <is>
          <t>https://formations.univ-grenoble-alpes.fr/fr/catalogue-2021/master-XB/master-mecanique-IAQK579W/parcours-simulation-et-instrumentation-en-mecanique-1re-et-2e-annees-IAS8R70F.html</t>
        </is>
      </c>
      <c r="AH286" s="26" t="inlineStr">
        <is>
          <t>"Enseigné en partie en anglais - niveau B1 minimum en Anglais. L'objectif de ce parcours est de former des cadres de très haut niveau d'expertise en simulation et instrumentation appliquées à la Mécanique des Fluides et</t>
        </is>
      </c>
      <c r="AI286" s="28" t="inlineStr">
        <is>
          <t>Open in EEF</t>
        </is>
      </c>
    </row>
    <row r="287" ht="32.8" customHeight="1" s="19">
      <c r="A287" s="25" t="n">
        <v>286</v>
      </c>
      <c r="B287" s="25" t="inlineStr">
        <is>
          <t>★★★★☆</t>
        </is>
      </c>
      <c r="C287" s="25" t="inlineStr">
        <is>
          <t>4 – Strong fit (electronics/signal/robotics/IoT/sensors)</t>
        </is>
      </c>
      <c r="D287" s="25" t="inlineStr">
        <is>
          <t>Embedded systems / Electronics</t>
        </is>
      </c>
      <c r="E287" s="26" t="inlineStr">
        <is>
          <t>Master indifférencié (recherche et professionnel) Sciences, technologies, santé mention Physique fondamentale et applications parcours Physique et Ingénierie des Matériaux pour Microélectronique et les Nanotechnologies (PHYMATEC)</t>
        </is>
      </c>
      <c r="F287" s="26" t="inlineStr">
        <is>
          <t>Science, Technology, Health (STS) – major: Physics Fundamental &amp; Applications – track: Physics &amp; Engineering of Materials for Microelectronics &amp; the Nanotechnologies (PHYMATEC)</t>
        </is>
      </c>
      <c r="G287" s="25" t="inlineStr">
        <is>
          <t>Master indifférencié (recherche et professionnel)</t>
        </is>
      </c>
      <c r="H287" s="25" t="inlineStr">
        <is>
          <t>UFR des Sciences de Montpellier</t>
        </is>
      </c>
      <c r="I287" s="25" t="inlineStr">
        <is>
          <t>Université de Montpellier</t>
        </is>
      </c>
      <c r="J287" s="25" t="inlineStr">
        <is>
          <t>Site de Montpellier</t>
        </is>
      </c>
      <c r="K287" s="25" t="n"/>
      <c r="L287" s="25" t="inlineStr">
        <is>
          <t>Public university</t>
        </is>
      </c>
      <c r="M287" s="25" t="inlineStr">
        <is>
          <t>French</t>
        </is>
      </c>
      <c r="N287" s="25" t="inlineStr">
        <is>
          <t>General</t>
        </is>
      </c>
      <c r="O287" s="25" t="inlineStr">
        <is>
          <t>Bac +4</t>
        </is>
      </c>
      <c r="P287" s="26" t="inlineStr">
        <is>
          <t>Eligible on level (4-yr BS ≈ Bac+4)</t>
        </is>
      </c>
      <c r="Q287" s="25" t="inlineStr">
        <is>
          <t>1</t>
        </is>
      </c>
      <c r="R287" s="25" t="n"/>
      <c r="S287" s="27" t="n">
        <v>3950</v>
      </c>
      <c r="T287" s="27" t="n">
        <v>255</v>
      </c>
      <c r="U287" s="25" t="n">
        <v>2</v>
      </c>
      <c r="V287" s="27">
        <f>IF(S287="","",S287*U287)</f>
        <v/>
      </c>
      <c r="W287" s="26" t="inlineStr">
        <is>
          <t>Not in catalogue. Public national master → 2026-27 differentiated fee €3,950; exemption to ~€254-255 depends on university quota (25% cap in 2027-28).</t>
        </is>
      </c>
      <c r="X287" s="25" t="inlineStr">
        <is>
          <t>Medium</t>
        </is>
      </c>
      <c r="Y287" s="25" t="n"/>
      <c r="Z287" s="26" t="n"/>
      <c r="AA287" s="26" t="inlineStr">
        <is>
          <t>Montpellier 2026-27: new non-EU entrants pay the differentiated fee unless individual exemption (limited).</t>
        </is>
      </c>
      <c r="AB287" s="28" t="inlineStr">
        <is>
          <t>https://www.umontpellier.fr/en/international/etudier-a-letranger/etudiants-internationaux-annee-universitaire-2026-2027/</t>
        </is>
      </c>
      <c r="AC287" s="25" t="inlineStr">
        <is>
          <t>Open</t>
        </is>
      </c>
      <c r="AD287" s="25" t="inlineStr">
        <is>
          <t>2026-10-01</t>
        </is>
      </c>
      <c r="AE287" s="25" t="inlineStr">
        <is>
          <t>2027-03-15</t>
        </is>
      </c>
      <c r="AF287" s="25" t="inlineStr">
        <is>
          <t>No</t>
        </is>
      </c>
      <c r="AG287" s="28" t="inlineStr">
        <is>
          <t>http://www.fdsweb.univ-montp2.fr/etudier-a-la-fds/catalogue-de-formation-675</t>
        </is>
      </c>
      <c r="AH287" s="26" t="n"/>
      <c r="AI287" s="28" t="inlineStr">
        <is>
          <t>Open in EEF</t>
        </is>
      </c>
    </row>
    <row r="288" ht="32.8" customHeight="1" s="19">
      <c r="A288" s="25" t="n">
        <v>287</v>
      </c>
      <c r="B288" s="25" t="inlineStr">
        <is>
          <t>★★★★☆</t>
        </is>
      </c>
      <c r="C288" s="25" t="inlineStr">
        <is>
          <t>4 – Strong fit (electronics/signal/robotics/IoT/sensors)</t>
        </is>
      </c>
      <c r="D288" s="25" t="inlineStr">
        <is>
          <t>Embedded systems / Electronics</t>
        </is>
      </c>
      <c r="E288" s="26" t="inlineStr">
        <is>
          <t>Master Sciences et technologies mention Electronique, énergie électrique, automatique</t>
        </is>
      </c>
      <c r="F288" s="26" t="inlineStr">
        <is>
          <t>Master Science &amp; Technology – major: Electronics, Electrical Energy &amp; Automation (EEA)</t>
        </is>
      </c>
      <c r="G288" s="25" t="inlineStr">
        <is>
          <t>Master indifférencié (recherche et professionnel)</t>
        </is>
      </c>
      <c r="H288" s="25" t="inlineStr">
        <is>
          <t>UFR Sciences</t>
        </is>
      </c>
      <c r="I288" s="25" t="inlineStr">
        <is>
          <t>Université d'Aix-Marseille</t>
        </is>
      </c>
      <c r="J288" s="25" t="inlineStr">
        <is>
          <t>Site de Marseille - St Jérôme</t>
        </is>
      </c>
      <c r="K288" s="25" t="n"/>
      <c r="L288" s="25" t="inlineStr">
        <is>
          <t>Public university</t>
        </is>
      </c>
      <c r="M288" s="25" t="inlineStr">
        <is>
          <t>French</t>
        </is>
      </c>
      <c r="N288" s="25" t="inlineStr">
        <is>
          <t>General</t>
        </is>
      </c>
      <c r="O288" s="25" t="inlineStr">
        <is>
          <t>Bac +4</t>
        </is>
      </c>
      <c r="P288" s="26" t="inlineStr">
        <is>
          <t>Eligible on level (4-yr BS ≈ Bac+4)</t>
        </is>
      </c>
      <c r="Q288" s="25" t="inlineStr">
        <is>
          <t>1</t>
        </is>
      </c>
      <c r="R288" s="25" t="inlineStr">
        <is>
          <t>12</t>
        </is>
      </c>
      <c r="S288" s="27" t="n">
        <v>3950</v>
      </c>
      <c r="T288" s="27" t="n">
        <v>255</v>
      </c>
      <c r="U288" s="25" t="n">
        <v>2</v>
      </c>
      <c r="V288" s="27">
        <f>IF(S288="","",S288*U288)</f>
        <v/>
      </c>
      <c r="W288" s="26" t="inlineStr">
        <is>
          <t>Not in catalogue. Public national master → 2026-27 differentiated fee €3,950; exemption to ~€254-255 depends on university quota (25% cap in 2027-28).</t>
        </is>
      </c>
      <c r="X288" s="25" t="inlineStr">
        <is>
          <t>Medium</t>
        </is>
      </c>
      <c r="Y288" s="25" t="n"/>
      <c r="Z288" s="26" t="n"/>
      <c r="AA288" s="26" t="inlineStr">
        <is>
          <t>AMU 2026-27: limited exemptions (≈1,800 of 5,500 students) – priority to continuing students, conflict zones, excellence scholarships. New master entrants usually pay €3,950.</t>
        </is>
      </c>
      <c r="AB288" s="28" t="inlineStr">
        <is>
          <t>https://www.univ-amu.fr/fr/actualites/aix-marseille-universite-mobilise-pleinement-capacite-dexoneration-continuer-accueillir</t>
        </is>
      </c>
      <c r="AC288" s="25" t="inlineStr">
        <is>
          <t>Open</t>
        </is>
      </c>
      <c r="AD288" s="25" t="inlineStr">
        <is>
          <t>2026-10-01</t>
        </is>
      </c>
      <c r="AE288" s="25" t="inlineStr">
        <is>
          <t>2027-03-15</t>
        </is>
      </c>
      <c r="AF288" s="25" t="inlineStr">
        <is>
          <t>No</t>
        </is>
      </c>
      <c r="AG288" s="28" t="inlineStr">
        <is>
          <t>https://formations.univ-amu.fr/fr/master/5SEA</t>
        </is>
      </c>
      <c r="AH288" s="26" t="inlineStr">
        <is>
          <t>Nous attirons votre attention sur 2 points importants pour votre candidature : Votre dossier doit être complet et validé par l’Espace Etudes en France La faculté des sciences examinera les dossiers de candidature en cohé</t>
        </is>
      </c>
      <c r="AI288" s="28" t="inlineStr">
        <is>
          <t>Open in EEF</t>
        </is>
      </c>
    </row>
    <row r="289" ht="32.8" customHeight="1" s="19">
      <c r="A289" s="25" t="n">
        <v>288</v>
      </c>
      <c r="B289" s="25" t="inlineStr">
        <is>
          <t>★★★★☆</t>
        </is>
      </c>
      <c r="C289" s="25" t="inlineStr">
        <is>
          <t>4 – Strong fit (electronics/signal/robotics/IoT/sensors)</t>
        </is>
      </c>
      <c r="D289" s="25" t="inlineStr">
        <is>
          <t>Sensors / Instrumentation / Micro-Nano / Photonics</t>
        </is>
      </c>
      <c r="E289" s="26" t="inlineStr">
        <is>
          <t>Master Sciences et technologies mention Instrumentation, mesure, métrologie</t>
        </is>
      </c>
      <c r="F289" s="26" t="inlineStr">
        <is>
          <t>Master Science &amp; Technology – major: Instrumentation, Measurement, Metrology</t>
        </is>
      </c>
      <c r="G289" s="25" t="inlineStr">
        <is>
          <t>Master indifférencié (recherche et professionnel)</t>
        </is>
      </c>
      <c r="H289" s="25" t="inlineStr">
        <is>
          <t>UFR Sciences</t>
        </is>
      </c>
      <c r="I289" s="25" t="inlineStr">
        <is>
          <t>Université d'Aix-Marseille</t>
        </is>
      </c>
      <c r="J289" s="25" t="inlineStr">
        <is>
          <t>Site de Marseille - St Jérôme</t>
        </is>
      </c>
      <c r="K289" s="25" t="n"/>
      <c r="L289" s="25" t="inlineStr">
        <is>
          <t>Public university</t>
        </is>
      </c>
      <c r="M289" s="25" t="inlineStr">
        <is>
          <t>French</t>
        </is>
      </c>
      <c r="N289" s="25" t="inlineStr">
        <is>
          <t>General</t>
        </is>
      </c>
      <c r="O289" s="25" t="inlineStr">
        <is>
          <t>Bac +4</t>
        </is>
      </c>
      <c r="P289" s="26" t="inlineStr">
        <is>
          <t>Eligible on level (4-yr BS ≈ Bac+4)</t>
        </is>
      </c>
      <c r="Q289" s="25" t="inlineStr">
        <is>
          <t>1</t>
        </is>
      </c>
      <c r="R289" s="25" t="inlineStr">
        <is>
          <t>12</t>
        </is>
      </c>
      <c r="S289" s="27" t="n">
        <v>3950</v>
      </c>
      <c r="T289" s="27" t="n">
        <v>255</v>
      </c>
      <c r="U289" s="25" t="n">
        <v>2</v>
      </c>
      <c r="V289" s="27">
        <f>IF(S289="","",S289*U289)</f>
        <v/>
      </c>
      <c r="W289" s="26" t="inlineStr">
        <is>
          <t>Not in catalogue. Public national master → 2026-27 differentiated fee €3,950; exemption to ~€254-255 depends on university quota (25% cap in 2027-28).</t>
        </is>
      </c>
      <c r="X289" s="25" t="inlineStr">
        <is>
          <t>Medium</t>
        </is>
      </c>
      <c r="Y289" s="25" t="n"/>
      <c r="Z289" s="26" t="n"/>
      <c r="AA289" s="26" t="inlineStr">
        <is>
          <t>AMU 2026-27: limited exemptions (≈1,800 of 5,500 students) – priority to continuing students, conflict zones, excellence scholarships. New master entrants usually pay €3,950.</t>
        </is>
      </c>
      <c r="AB289" s="28" t="inlineStr">
        <is>
          <t>https://www.univ-amu.fr/fr/actualites/aix-marseille-universite-mobilise-pleinement-capacite-dexoneration-continuer-accueillir</t>
        </is>
      </c>
      <c r="AC289" s="25" t="inlineStr">
        <is>
          <t>Open</t>
        </is>
      </c>
      <c r="AD289" s="25" t="inlineStr">
        <is>
          <t>2026-10-01</t>
        </is>
      </c>
      <c r="AE289" s="25" t="inlineStr">
        <is>
          <t>2027-03-15</t>
        </is>
      </c>
      <c r="AF289" s="25" t="inlineStr">
        <is>
          <t>No</t>
        </is>
      </c>
      <c r="AG289" s="28" t="inlineStr">
        <is>
          <t>https://formations.univ-amu.fr/fr/master/5SMI</t>
        </is>
      </c>
      <c r="AH289" s="26" t="inlineStr">
        <is>
          <t>Nous attirons votre attention sur 2 points importants pour votre candidature : Votre dossier doit être complet et validé par l’Espace Etudes en France La faculté des sciences examinera les dossiers de candidature en cohé</t>
        </is>
      </c>
      <c r="AI289" s="28" t="inlineStr">
        <is>
          <t>Open in EEF</t>
        </is>
      </c>
    </row>
    <row r="290" ht="32.8" customHeight="1" s="19">
      <c r="A290" s="25" t="n">
        <v>289</v>
      </c>
      <c r="B290" s="25" t="inlineStr">
        <is>
          <t>★★★★☆</t>
        </is>
      </c>
      <c r="C290" s="25" t="inlineStr">
        <is>
          <t>4 – Strong fit (electronics/signal/robotics/IoT/sensors)</t>
        </is>
      </c>
      <c r="D290" s="25" t="inlineStr">
        <is>
          <t>Sensors / Instrumentation / Micro-Nano / Photonics</t>
        </is>
      </c>
      <c r="E290" s="26" t="inlineStr">
        <is>
          <t>Master Sciences et technologies mention Nanosciences et nanotechnologies parcours Ingénierie des matériaux et nanotechnologies</t>
        </is>
      </c>
      <c r="F290" s="26" t="inlineStr">
        <is>
          <t>Master Science &amp; Technology – major: Nanosciences &amp; Nanotechnologies – track: Engineering of Materials &amp; Nanotechnologies</t>
        </is>
      </c>
      <c r="G290" s="25" t="inlineStr">
        <is>
          <t>Master indifférencié (recherche et professionnel)</t>
        </is>
      </c>
      <c r="H290" s="25" t="inlineStr">
        <is>
          <t>UFR Sciences</t>
        </is>
      </c>
      <c r="I290" s="25" t="inlineStr">
        <is>
          <t>Université d'Aix-Marseille</t>
        </is>
      </c>
      <c r="J290" s="25" t="inlineStr">
        <is>
          <t>Site de Marseille - St Jérôme</t>
        </is>
      </c>
      <c r="K290" s="25" t="n"/>
      <c r="L290" s="25" t="inlineStr">
        <is>
          <t>Public university</t>
        </is>
      </c>
      <c r="M290" s="25" t="inlineStr">
        <is>
          <t>French</t>
        </is>
      </c>
      <c r="N290" s="25" t="inlineStr">
        <is>
          <t>General</t>
        </is>
      </c>
      <c r="O290" s="25" t="inlineStr">
        <is>
          <t>Bac +4 / Bac +5</t>
        </is>
      </c>
      <c r="P290" s="26" t="inlineStr">
        <is>
          <t>Eligible on level (4-yr BS ≈ Bac+4)</t>
        </is>
      </c>
      <c r="Q290" s="25" t="inlineStr">
        <is>
          <t>1/2</t>
        </is>
      </c>
      <c r="R290" s="25" t="inlineStr">
        <is>
          <t>12</t>
        </is>
      </c>
      <c r="S290" s="27" t="n">
        <v>3950</v>
      </c>
      <c r="T290" s="27" t="n">
        <v>255</v>
      </c>
      <c r="U290" s="25" t="n">
        <v>2</v>
      </c>
      <c r="V290" s="27">
        <f>IF(S290="","",S290*U290)</f>
        <v/>
      </c>
      <c r="W290" s="26" t="inlineStr">
        <is>
          <t>Not in catalogue. Public national master → 2026-27 differentiated fee €3,950; exemption to ~€254-255 depends on university quota (25% cap in 2027-28).</t>
        </is>
      </c>
      <c r="X290" s="25" t="inlineStr">
        <is>
          <t>Medium</t>
        </is>
      </c>
      <c r="Y290" s="25" t="n"/>
      <c r="Z290" s="26" t="n"/>
      <c r="AA290" s="26" t="inlineStr">
        <is>
          <t>AMU 2026-27: limited exemptions (≈1,800 of 5,500 students) – priority to continuing students, conflict zones, excellence scholarships. New master entrants usually pay €3,950.</t>
        </is>
      </c>
      <c r="AB290" s="28" t="inlineStr">
        <is>
          <t>https://www.univ-amu.fr/fr/actualites/aix-marseille-universite-mobilise-pleinement-capacite-dexoneration-continuer-accueillir</t>
        </is>
      </c>
      <c r="AC290" s="25" t="inlineStr">
        <is>
          <t>Open</t>
        </is>
      </c>
      <c r="AD290" s="25" t="inlineStr">
        <is>
          <t>2026-10-01</t>
        </is>
      </c>
      <c r="AE290" s="25" t="inlineStr">
        <is>
          <t>2027-03-15</t>
        </is>
      </c>
      <c r="AF290" s="25" t="inlineStr">
        <is>
          <t>No</t>
        </is>
      </c>
      <c r="AG290" s="28" t="inlineStr">
        <is>
          <t>https://formations.univ-amu.fr/fr/master/5SNN/PRSNN5C2</t>
        </is>
      </c>
      <c r="AH290" s="26" t="inlineStr">
        <is>
          <t>Nous attirons votre attention sur 2 points importants pour votre candidature : Votre dossier doit être complet et validé par l’Espace Etudes en France La faculté des sciences examinera les dossiers de candidature en cohé</t>
        </is>
      </c>
      <c r="AI290" s="28" t="inlineStr">
        <is>
          <t>Open in EEF</t>
        </is>
      </c>
    </row>
    <row r="291" ht="32.8" customHeight="1" s="19">
      <c r="A291" s="25" t="n">
        <v>290</v>
      </c>
      <c r="B291" s="25" t="inlineStr">
        <is>
          <t>★★★★☆</t>
        </is>
      </c>
      <c r="C291" s="25" t="inlineStr">
        <is>
          <t>4 – Strong fit (electronics/signal/robotics/IoT/sensors)</t>
        </is>
      </c>
      <c r="D291" s="25" t="inlineStr">
        <is>
          <t>IoT / Telecom / Networks</t>
        </is>
      </c>
      <c r="E291" s="26" t="inlineStr">
        <is>
          <t>Master Sciences et technologies mention Réseaux et télécommunication</t>
        </is>
      </c>
      <c r="F291" s="26" t="inlineStr">
        <is>
          <t>Master Science &amp; Technology – major: Networks &amp; Telecommunication</t>
        </is>
      </c>
      <c r="G291" s="25" t="inlineStr">
        <is>
          <t>Master indifférencié (recherche et professionnel)</t>
        </is>
      </c>
      <c r="H291" s="25" t="inlineStr">
        <is>
          <t>UFR Sciences</t>
        </is>
      </c>
      <c r="I291" s="25" t="inlineStr">
        <is>
          <t>Université d'Aix-Marseille</t>
        </is>
      </c>
      <c r="J291" s="25" t="inlineStr">
        <is>
          <t>Site de Marseille - Luminy</t>
        </is>
      </c>
      <c r="K291" s="25" t="n"/>
      <c r="L291" s="25" t="inlineStr">
        <is>
          <t>Public university</t>
        </is>
      </c>
      <c r="M291" s="25" t="inlineStr">
        <is>
          <t>French</t>
        </is>
      </c>
      <c r="N291" s="25" t="inlineStr">
        <is>
          <t>General</t>
        </is>
      </c>
      <c r="O291" s="25" t="inlineStr">
        <is>
          <t>Bac +4</t>
        </is>
      </c>
      <c r="P291" s="26" t="inlineStr">
        <is>
          <t>Eligible on level (4-yr BS ≈ Bac+4)</t>
        </is>
      </c>
      <c r="Q291" s="25" t="inlineStr">
        <is>
          <t>1</t>
        </is>
      </c>
      <c r="R291" s="25" t="inlineStr">
        <is>
          <t>12</t>
        </is>
      </c>
      <c r="S291" s="27" t="n">
        <v>3950</v>
      </c>
      <c r="T291" s="27" t="n">
        <v>255</v>
      </c>
      <c r="U291" s="25" t="n">
        <v>2</v>
      </c>
      <c r="V291" s="27">
        <f>IF(S291="","",S291*U291)</f>
        <v/>
      </c>
      <c r="W291" s="26" t="inlineStr">
        <is>
          <t>Not in catalogue. Public national master → 2026-27 differentiated fee €3,950; exemption to ~€254-255 depends on university quota (25% cap in 2027-28).</t>
        </is>
      </c>
      <c r="X291" s="25" t="inlineStr">
        <is>
          <t>Medium</t>
        </is>
      </c>
      <c r="Y291" s="25" t="n"/>
      <c r="Z291" s="26" t="n"/>
      <c r="AA291" s="26" t="inlineStr">
        <is>
          <t>AMU 2026-27: limited exemptions (≈1,800 of 5,500 students) – priority to continuing students, conflict zones, excellence scholarships. New master entrants usually pay €3,950.</t>
        </is>
      </c>
      <c r="AB291" s="28" t="inlineStr">
        <is>
          <t>https://www.univ-amu.fr/fr/actualites/aix-marseille-universite-mobilise-pleinement-capacite-dexoneration-continuer-accueillir</t>
        </is>
      </c>
      <c r="AC291" s="25" t="inlineStr">
        <is>
          <t>Open</t>
        </is>
      </c>
      <c r="AD291" s="25" t="inlineStr">
        <is>
          <t>2026-10-01</t>
        </is>
      </c>
      <c r="AE291" s="25" t="inlineStr">
        <is>
          <t>2027-03-15</t>
        </is>
      </c>
      <c r="AF291" s="25" t="inlineStr">
        <is>
          <t>No</t>
        </is>
      </c>
      <c r="AG291" s="28" t="inlineStr">
        <is>
          <t>https://formations.univ-amu.fr/fr/master/5SRT</t>
        </is>
      </c>
      <c r="AH291" s="26" t="inlineStr">
        <is>
          <t>Nous attirons votre attention sur 6 points importants pour votre candidature : Votre dossier doit être complet et validé par l’Espace Etudes en France La faculté des sciences examinera les dossiers de candidature en cohé</t>
        </is>
      </c>
      <c r="AI291" s="28" t="inlineStr">
        <is>
          <t>Open in EEF</t>
        </is>
      </c>
    </row>
    <row r="292" ht="32.8" customHeight="1" s="19">
      <c r="A292" s="25" t="n">
        <v>291</v>
      </c>
      <c r="B292" s="25" t="inlineStr">
        <is>
          <t>★★★★☆</t>
        </is>
      </c>
      <c r="C292" s="25" t="inlineStr">
        <is>
          <t>4 – Strong fit (electronics/signal/robotics/IoT/sensors)</t>
        </is>
      </c>
      <c r="D292" s="25" t="inlineStr">
        <is>
          <t>Signal / Image / Vision</t>
        </is>
      </c>
      <c r="E292" s="26" t="inlineStr">
        <is>
          <t>Master Sciences et technologies mention Traitement du signal et des images</t>
        </is>
      </c>
      <c r="F292" s="26" t="inlineStr">
        <is>
          <t>Master Science &amp; Technology – major: Signal &amp; Image Processing</t>
        </is>
      </c>
      <c r="G292" s="25" t="inlineStr">
        <is>
          <t>Master indifférencié (recherche et professionnel)</t>
        </is>
      </c>
      <c r="H292" s="25" t="inlineStr">
        <is>
          <t>UFR Sciences</t>
        </is>
      </c>
      <c r="I292" s="25" t="inlineStr">
        <is>
          <t>Université d'Aix-Marseille</t>
        </is>
      </c>
      <c r="J292" s="25" t="inlineStr">
        <is>
          <t>Site de Marseille - St Jérôme</t>
        </is>
      </c>
      <c r="K292" s="25" t="n"/>
      <c r="L292" s="25" t="inlineStr">
        <is>
          <t>Public university</t>
        </is>
      </c>
      <c r="M292" s="25" t="inlineStr">
        <is>
          <t>French</t>
        </is>
      </c>
      <c r="N292" s="25" t="inlineStr">
        <is>
          <t>General</t>
        </is>
      </c>
      <c r="O292" s="25" t="inlineStr">
        <is>
          <t>Bac +4 / Bac +5</t>
        </is>
      </c>
      <c r="P292" s="26" t="inlineStr">
        <is>
          <t>Eligible on level (4-yr BS ≈ Bac+4)</t>
        </is>
      </c>
      <c r="Q292" s="25" t="inlineStr">
        <is>
          <t>1/2</t>
        </is>
      </c>
      <c r="R292" s="25" t="inlineStr">
        <is>
          <t>12</t>
        </is>
      </c>
      <c r="S292" s="27" t="n">
        <v>3950</v>
      </c>
      <c r="T292" s="27" t="n">
        <v>255</v>
      </c>
      <c r="U292" s="25" t="n">
        <v>2</v>
      </c>
      <c r="V292" s="27">
        <f>IF(S292="","",S292*U292)</f>
        <v/>
      </c>
      <c r="W292" s="26" t="inlineStr">
        <is>
          <t>Not in catalogue. Public national master → 2026-27 differentiated fee €3,950; exemption to ~€254-255 depends on university quota (25% cap in 2027-28).</t>
        </is>
      </c>
      <c r="X292" s="25" t="inlineStr">
        <is>
          <t>Medium</t>
        </is>
      </c>
      <c r="Y292" s="25" t="n"/>
      <c r="Z292" s="26" t="n"/>
      <c r="AA292" s="26" t="inlineStr">
        <is>
          <t>AMU 2026-27: limited exemptions (≈1,800 of 5,500 students) – priority to continuing students, conflict zones, excellence scholarships. New master entrants usually pay €3,950.</t>
        </is>
      </c>
      <c r="AB292" s="28" t="inlineStr">
        <is>
          <t>https://www.univ-amu.fr/fr/actualites/aix-marseille-universite-mobilise-pleinement-capacite-dexoneration-continuer-accueillir</t>
        </is>
      </c>
      <c r="AC292" s="25" t="inlineStr">
        <is>
          <t>Open</t>
        </is>
      </c>
      <c r="AD292" s="25" t="inlineStr">
        <is>
          <t>2026-10-01</t>
        </is>
      </c>
      <c r="AE292" s="25" t="inlineStr">
        <is>
          <t>2027-03-15</t>
        </is>
      </c>
      <c r="AF292" s="25" t="inlineStr">
        <is>
          <t>No</t>
        </is>
      </c>
      <c r="AG292" s="28" t="inlineStr">
        <is>
          <t>https://formations.univ-amu.fr/fr/master/5STS</t>
        </is>
      </c>
      <c r="AH292" s="26" t="inlineStr">
        <is>
          <t>Nous attirons votre attention sur 2 points importants pour votre candidature : Votre dossier doit être complet et validé par l’Espace Etudes en France La faculté des sciences examinera les dossiers de candidature en cohé</t>
        </is>
      </c>
      <c r="AI292" s="28" t="inlineStr">
        <is>
          <t>Open in EEF</t>
        </is>
      </c>
    </row>
    <row r="293" ht="22.35" customHeight="1" s="19">
      <c r="A293" s="25" t="n">
        <v>292</v>
      </c>
      <c r="B293" s="25" t="inlineStr">
        <is>
          <t>★★★★☆</t>
        </is>
      </c>
      <c r="C293" s="25" t="inlineStr">
        <is>
          <t>4 – Strong fit (electronics/signal/robotics/IoT/sensors)</t>
        </is>
      </c>
      <c r="D293" s="25" t="inlineStr">
        <is>
          <t>Biomedical / Health tech</t>
        </is>
      </c>
      <c r="E293" s="26" t="inlineStr">
        <is>
          <t>Master Sciences, technologies, santé mention Automatique, robotique parcours Mechatronic Design for Health</t>
        </is>
      </c>
      <c r="F293" s="26" t="inlineStr">
        <is>
          <t>Master Science, Technology, Health (STS) – major: Automation, Robotics – track: Mechatronic Design for Health</t>
        </is>
      </c>
      <c r="G293" s="25" t="inlineStr">
        <is>
          <t>Master indifférencié (recherche et professionnel)</t>
        </is>
      </c>
      <c r="H293" s="25" t="inlineStr">
        <is>
          <t>Sciences et Ingénierie</t>
        </is>
      </c>
      <c r="I293" s="25" t="inlineStr">
        <is>
          <t>Sorbonne Université</t>
        </is>
      </c>
      <c r="J293" s="25" t="inlineStr">
        <is>
          <t>Site de Paris</t>
        </is>
      </c>
      <c r="K293" s="25" t="n"/>
      <c r="L293" s="25" t="inlineStr">
        <is>
          <t>Public university</t>
        </is>
      </c>
      <c r="M293" s="25" t="inlineStr">
        <is>
          <t>French</t>
        </is>
      </c>
      <c r="N293" s="25" t="inlineStr">
        <is>
          <t>General</t>
        </is>
      </c>
      <c r="O293" s="25" t="inlineStr">
        <is>
          <t>Bac +4</t>
        </is>
      </c>
      <c r="P293" s="26" t="inlineStr">
        <is>
          <t>Eligible on level (4-yr BS ≈ Bac+4)</t>
        </is>
      </c>
      <c r="Q293" s="25" t="inlineStr">
        <is>
          <t>1</t>
        </is>
      </c>
      <c r="R293" s="25" t="n"/>
      <c r="S293" s="27" t="n">
        <v>3950</v>
      </c>
      <c r="T293" s="27" t="n">
        <v>255</v>
      </c>
      <c r="U293" s="25" t="n">
        <v>2</v>
      </c>
      <c r="V293" s="27">
        <f>IF(S293="","",S293*U293)</f>
        <v/>
      </c>
      <c r="W293" s="26" t="inlineStr">
        <is>
          <t>Not in catalogue. Public national master → 2026-27 differentiated fee €3,950; exemption to ~€254-255 depends on university quota (25% cap in 2027-28).</t>
        </is>
      </c>
      <c r="X293" s="25" t="inlineStr">
        <is>
          <t>Medium</t>
        </is>
      </c>
      <c r="Y293" s="25" t="n"/>
      <c r="Z293" s="26" t="n"/>
      <c r="AA293" s="26" t="inlineStr">
        <is>
          <t>Board vote 7 Jul 2026: Sorbonne Université says it can exempt all eligible non-EU applicants (pay same as EU, ~€254) for 2026-27.</t>
        </is>
      </c>
      <c r="AB293" s="28" t="inlineStr">
        <is>
          <t>https://www.sorbonne-universite.fr/actualites/le-conseil-dadministration-de-sorbonne-universite-vote-lunanimite-le-7-juillet-2026-sa</t>
        </is>
      </c>
      <c r="AC293" s="25" t="inlineStr">
        <is>
          <t>Open</t>
        </is>
      </c>
      <c r="AD293" s="25" t="inlineStr">
        <is>
          <t>2026-10-01</t>
        </is>
      </c>
      <c r="AE293" s="25" t="inlineStr">
        <is>
          <t>2027-03-15</t>
        </is>
      </c>
      <c r="AF293" s="25" t="inlineStr">
        <is>
          <t>No</t>
        </is>
      </c>
      <c r="AG293" s="28" t="inlineStr">
        <is>
          <t>https://masters-sdi.sorbonne-universite.fr/automatique-robotique</t>
        </is>
      </c>
      <c r="AH293" s="26" t="n"/>
      <c r="AI293" s="28" t="inlineStr">
        <is>
          <t>Open in EEF</t>
        </is>
      </c>
    </row>
    <row r="294" ht="22.35" customHeight="1" s="19">
      <c r="A294" s="25" t="n">
        <v>293</v>
      </c>
      <c r="B294" s="25" t="inlineStr">
        <is>
          <t>★★★★☆</t>
        </is>
      </c>
      <c r="C294" s="25" t="inlineStr">
        <is>
          <t>4 – Strong fit (electronics/signal/robotics/IoT/sensors)</t>
        </is>
      </c>
      <c r="D294" s="25" t="inlineStr">
        <is>
          <t>Embedded systems / Electronics</t>
        </is>
      </c>
      <c r="E294" s="26" t="inlineStr">
        <is>
          <t>Master Sciences, technologies, santé, mention Electronique, Energie électrique, Automatique</t>
        </is>
      </c>
      <c r="F294" s="26" t="inlineStr">
        <is>
          <t>Master Science, Technology, Health (STS), – major: Electronics, Electrical Energy &amp; Automation (EEA)</t>
        </is>
      </c>
      <c r="G294" s="25" t="inlineStr">
        <is>
          <t>Master indifférencié (recherche et professionnel)</t>
        </is>
      </c>
      <c r="H294" s="25" t="inlineStr">
        <is>
          <t>Ecole Universitaire de Physique et d'Ingénierie</t>
        </is>
      </c>
      <c r="I294" s="25" t="inlineStr">
        <is>
          <t>Université Clermont Auvergne</t>
        </is>
      </c>
      <c r="J294" s="25" t="inlineStr">
        <is>
          <t>Site de Aubière</t>
        </is>
      </c>
      <c r="K294" s="25" t="n"/>
      <c r="L294" s="25" t="inlineStr">
        <is>
          <t>Public school / institute</t>
        </is>
      </c>
      <c r="M294" s="25" t="inlineStr">
        <is>
          <t>French</t>
        </is>
      </c>
      <c r="N294" s="25" t="inlineStr">
        <is>
          <t>General</t>
        </is>
      </c>
      <c r="O294" s="25" t="inlineStr">
        <is>
          <t>Bac +4 / Bac +5</t>
        </is>
      </c>
      <c r="P294" s="26" t="inlineStr">
        <is>
          <t>Eligible on level (4-yr BS ≈ Bac+4)</t>
        </is>
      </c>
      <c r="Q294" s="25" t="inlineStr">
        <is>
          <t>1/2</t>
        </is>
      </c>
      <c r="R294" s="25" t="n"/>
      <c r="S294" s="27" t="n">
        <v>3950</v>
      </c>
      <c r="T294" s="27" t="n">
        <v>255</v>
      </c>
      <c r="U294" s="25" t="n">
        <v>2</v>
      </c>
      <c r="V294" s="27">
        <f>IF(S294="","",S294*U294)</f>
        <v/>
      </c>
      <c r="W294" s="26" t="inlineStr">
        <is>
          <t>Not in catalogue. Public national master → 2026-27 differentiated fee €3,950; exemption to ~€254-255 depends on university quota (25% cap in 2027-28).</t>
        </is>
      </c>
      <c r="X294" s="25" t="inlineStr">
        <is>
          <t>Medium</t>
        </is>
      </c>
      <c r="Y294" s="25" t="n"/>
      <c r="Z294" s="26" t="n"/>
      <c r="AA294" s="26" t="inlineStr">
        <is>
          <t>UCA board (Dec 2025) kept its partial-exemption framework for 2026-27 (pre-decree; re-check).</t>
        </is>
      </c>
      <c r="AB294" s="28" t="inlineStr">
        <is>
          <t>https://www.uca.fr/medias/fichier/delib-ca-20251205-15-tarifs-differencies_1765204050111-pdf</t>
        </is>
      </c>
      <c r="AC294" s="25" t="inlineStr">
        <is>
          <t>Open</t>
        </is>
      </c>
      <c r="AD294" s="25" t="inlineStr">
        <is>
          <t>2026-10-01</t>
        </is>
      </c>
      <c r="AE294" s="25" t="inlineStr">
        <is>
          <t>2027-03-15</t>
        </is>
      </c>
      <c r="AF294" s="25" t="inlineStr">
        <is>
          <t>No</t>
        </is>
      </c>
      <c r="AG294" s="28" t="inlineStr">
        <is>
          <t>https://eupi.uca.fr/</t>
        </is>
      </c>
      <c r="AH294" s="26" t="n"/>
      <c r="AI294" s="28" t="inlineStr">
        <is>
          <t>Open in EEF</t>
        </is>
      </c>
    </row>
    <row r="295" ht="32.8" customHeight="1" s="19">
      <c r="A295" s="25" t="n">
        <v>294</v>
      </c>
      <c r="B295" s="25" t="inlineStr">
        <is>
          <t>★★★★☆</t>
        </is>
      </c>
      <c r="C295" s="25" t="inlineStr">
        <is>
          <t>4 – Strong fit (electronics/signal/robotics/IoT/sensors)</t>
        </is>
      </c>
      <c r="D295" s="25" t="inlineStr">
        <is>
          <t>Embedded systems / Electronics</t>
        </is>
      </c>
      <c r="E295" s="26" t="inlineStr">
        <is>
          <t>Master Sciences, technologies, santé, mention Electronique, énergie électrique, automatique conception de systèmes électroniques et communicants</t>
        </is>
      </c>
      <c r="F295" s="26" t="inlineStr">
        <is>
          <t>Master Science, Technology, Health (STS), – major: Electronics, Electrical Energy &amp; Automation (EEA) Design of Systems Electronic &amp; Communicating</t>
        </is>
      </c>
      <c r="G295" s="25" t="inlineStr">
        <is>
          <t>Master indifférencié (recherche et professionnel)</t>
        </is>
      </c>
      <c r="H295" s="25" t="inlineStr">
        <is>
          <t>UFR Sciences fondamentales et appliquées</t>
        </is>
      </c>
      <c r="I295" s="25" t="inlineStr">
        <is>
          <t>Université de Lorraine</t>
        </is>
      </c>
      <c r="J295" s="25" t="inlineStr">
        <is>
          <t>Site de Metz</t>
        </is>
      </c>
      <c r="K295" s="25" t="n"/>
      <c r="L295" s="25" t="inlineStr">
        <is>
          <t>Public university</t>
        </is>
      </c>
      <c r="M295" s="25" t="inlineStr">
        <is>
          <t>French</t>
        </is>
      </c>
      <c r="N295" s="25" t="inlineStr">
        <is>
          <t>General</t>
        </is>
      </c>
      <c r="O295" s="25" t="inlineStr">
        <is>
          <t>Bac +4 / Bac +5</t>
        </is>
      </c>
      <c r="P295" s="26" t="inlineStr">
        <is>
          <t>Eligible on level (4-yr BS ≈ Bac+4)</t>
        </is>
      </c>
      <c r="Q295" s="25" t="inlineStr">
        <is>
          <t>1/2</t>
        </is>
      </c>
      <c r="R295" s="25" t="n"/>
      <c r="S295" s="27" t="n">
        <v>3950</v>
      </c>
      <c r="T295" s="27" t="n">
        <v>255</v>
      </c>
      <c r="U295" s="25" t="n">
        <v>2</v>
      </c>
      <c r="V295" s="27">
        <f>IF(S295="","",S295*U295)</f>
        <v/>
      </c>
      <c r="W295" s="26" t="inlineStr">
        <is>
          <t>Not in catalogue. Public national master → 2026-27 differentiated fee €3,950; exemption to ~€254-255 depends on university quota (25% cap in 2027-28).</t>
        </is>
      </c>
      <c r="X295" s="25" t="inlineStr">
        <is>
          <t>Medium</t>
        </is>
      </c>
      <c r="Y295" s="25" t="n"/>
      <c r="Z295" s="26" t="n"/>
      <c r="AA295" s="26" t="n"/>
      <c r="AB295" s="25" t="n"/>
      <c r="AC295" s="25" t="inlineStr">
        <is>
          <t>Open</t>
        </is>
      </c>
      <c r="AD295" s="25" t="inlineStr">
        <is>
          <t>2026-10-01</t>
        </is>
      </c>
      <c r="AE295" s="25" t="inlineStr">
        <is>
          <t>2027-03-15</t>
        </is>
      </c>
      <c r="AF295" s="25" t="inlineStr">
        <is>
          <t>No</t>
        </is>
      </c>
      <c r="AG295" s="25" t="n"/>
      <c r="AH295" s="26" t="inlineStr">
        <is>
          <t>Niveau de langues exigé : TCF niveau B2 Date limite de transmission des dossiers : date à determiner par l'ambassade. Date limite arrivée dans l'établissement : 30 Septembre 2027 (aucune dérogation ne sera accordée)</t>
        </is>
      </c>
      <c r="AI295" s="28" t="inlineStr">
        <is>
          <t>Open in EEF</t>
        </is>
      </c>
    </row>
    <row r="296" ht="22.35" customHeight="1" s="19">
      <c r="A296" s="25" t="n">
        <v>295</v>
      </c>
      <c r="B296" s="25" t="inlineStr">
        <is>
          <t>★★★★☆</t>
        </is>
      </c>
      <c r="C296" s="25" t="inlineStr">
        <is>
          <t>4 – Strong fit (electronics/signal/robotics/IoT/sensors)</t>
        </is>
      </c>
      <c r="D296" s="25" t="inlineStr">
        <is>
          <t>Embedded systems / Electronics</t>
        </is>
      </c>
      <c r="E296" s="26" t="inlineStr">
        <is>
          <t>Master Sciences, technologies, santé, mention Electronique, Energie électrique et Automatique</t>
        </is>
      </c>
      <c r="F296" s="26" t="inlineStr">
        <is>
          <t>Master Science, Technology, Health (STS), – major: Electronics, Electrical Energy &amp; Automation (EEA)</t>
        </is>
      </c>
      <c r="G296" s="25" t="inlineStr">
        <is>
          <t>Master indifférencié (recherche et professionnel)</t>
        </is>
      </c>
      <c r="H296" s="25" t="inlineStr">
        <is>
          <t>Institut d'électronique et d'informatique Gaspard Monge</t>
        </is>
      </c>
      <c r="I296" s="25" t="inlineStr">
        <is>
          <t>Université Gustave Eiffel</t>
        </is>
      </c>
      <c r="J296" s="25" t="inlineStr">
        <is>
          <t>Site de Champs-sur-Marne</t>
        </is>
      </c>
      <c r="K296" s="25" t="n"/>
      <c r="L296" s="25" t="inlineStr">
        <is>
          <t>Public school / institute</t>
        </is>
      </c>
      <c r="M296" s="25" t="inlineStr">
        <is>
          <t>French</t>
        </is>
      </c>
      <c r="N296" s="25" t="inlineStr">
        <is>
          <t>General</t>
        </is>
      </c>
      <c r="O296" s="25" t="inlineStr">
        <is>
          <t>Bac +4</t>
        </is>
      </c>
      <c r="P296" s="26" t="inlineStr">
        <is>
          <t>Eligible on level (4-yr BS ≈ Bac+4)</t>
        </is>
      </c>
      <c r="Q296" s="25" t="inlineStr">
        <is>
          <t>1</t>
        </is>
      </c>
      <c r="R296" s="25" t="n"/>
      <c r="S296" s="27" t="n">
        <v>3950</v>
      </c>
      <c r="T296" s="27" t="n">
        <v>255</v>
      </c>
      <c r="U296" s="25" t="n">
        <v>2</v>
      </c>
      <c r="V296" s="27">
        <f>IF(S296="","",S296*U296)</f>
        <v/>
      </c>
      <c r="W296" s="26" t="inlineStr">
        <is>
          <t>Not in catalogue. Public national master → 2026-27 differentiated fee €3,950; exemption to ~€254-255 depends on university quota (25% cap in 2027-28).</t>
        </is>
      </c>
      <c r="X296" s="25" t="inlineStr">
        <is>
          <t>Medium</t>
        </is>
      </c>
      <c r="Y296" s="25" t="n"/>
      <c r="Z296" s="26" t="n"/>
      <c r="AA296" s="26" t="n"/>
      <c r="AB296" s="25" t="n"/>
      <c r="AC296" s="25" t="inlineStr">
        <is>
          <t>Open</t>
        </is>
      </c>
      <c r="AD296" s="25" t="inlineStr">
        <is>
          <t>2026-10-01</t>
        </is>
      </c>
      <c r="AE296" s="25" t="inlineStr">
        <is>
          <t>2027-03-15</t>
        </is>
      </c>
      <c r="AF296" s="25" t="inlineStr">
        <is>
          <t>No</t>
        </is>
      </c>
      <c r="AG296" s="28" t="inlineStr">
        <is>
          <t>https://igm.univ-gustave-eiffel.fr/</t>
        </is>
      </c>
      <c r="AH296" s="26" t="inlineStr">
        <is>
          <t>Français C1 Anglais B2</t>
        </is>
      </c>
      <c r="AI296" s="28" t="inlineStr">
        <is>
          <t>Open in EEF</t>
        </is>
      </c>
    </row>
    <row r="297" ht="32.8" customHeight="1" s="19">
      <c r="A297" s="25" t="n">
        <v>296</v>
      </c>
      <c r="B297" s="25" t="inlineStr">
        <is>
          <t>★★★★☆</t>
        </is>
      </c>
      <c r="C297" s="25" t="inlineStr">
        <is>
          <t>4 – Strong fit (electronics/signal/robotics/IoT/sensors)</t>
        </is>
      </c>
      <c r="D297" s="25" t="inlineStr">
        <is>
          <t>Embedded systems / Electronics</t>
        </is>
      </c>
      <c r="E297" s="26" t="inlineStr">
        <is>
          <t>Master Sciences, technologies, santé, mention Electronique, Energie électrique et Automatique</t>
        </is>
      </c>
      <c r="F297" s="26" t="inlineStr">
        <is>
          <t>Master Science, Technology, Health (STS), – major: Electronics, Electrical Energy &amp; Automation (EEA)</t>
        </is>
      </c>
      <c r="G297" s="25" t="inlineStr">
        <is>
          <t>Master indifférencié (recherche et professionnel)</t>
        </is>
      </c>
      <c r="H297" s="25" t="inlineStr">
        <is>
          <t>Faculté des sciences et techniques</t>
        </is>
      </c>
      <c r="I297" s="25" t="inlineStr">
        <is>
          <t>Université de Haute Alsace Mulhouse</t>
        </is>
      </c>
      <c r="J297" s="25" t="inlineStr">
        <is>
          <t>Site de Mulhouse</t>
        </is>
      </c>
      <c r="K297" s="25" t="n"/>
      <c r="L297" s="25" t="inlineStr">
        <is>
          <t>Public university</t>
        </is>
      </c>
      <c r="M297" s="25" t="inlineStr">
        <is>
          <t>French</t>
        </is>
      </c>
      <c r="N297" s="25" t="inlineStr">
        <is>
          <t>General</t>
        </is>
      </c>
      <c r="O297" s="25" t="inlineStr">
        <is>
          <t>Bac +4</t>
        </is>
      </c>
      <c r="P297" s="26" t="inlineStr">
        <is>
          <t>Eligible on level (4-yr BS ≈ Bac+4)</t>
        </is>
      </c>
      <c r="Q297" s="25" t="inlineStr">
        <is>
          <t>1</t>
        </is>
      </c>
      <c r="R297" s="25" t="n"/>
      <c r="S297" s="27" t="n">
        <v>3950</v>
      </c>
      <c r="T297" s="27" t="n">
        <v>255</v>
      </c>
      <c r="U297" s="25" t="n">
        <v>2</v>
      </c>
      <c r="V297" s="27">
        <f>IF(S297="","",S297*U297)</f>
        <v/>
      </c>
      <c r="W297" s="26" t="inlineStr">
        <is>
          <t>Not in catalogue. Public national master → 2026-27 differentiated fee €3,950; exemption to ~€254-255 depends on university quota (25% cap in 2027-28).</t>
        </is>
      </c>
      <c r="X297" s="25" t="inlineStr">
        <is>
          <t>Medium</t>
        </is>
      </c>
      <c r="Y297" s="25" t="n"/>
      <c r="Z297" s="26" t="n"/>
      <c r="AA297" s="26" t="n"/>
      <c r="AB297" s="25" t="n"/>
      <c r="AC297" s="25" t="inlineStr">
        <is>
          <t>Open</t>
        </is>
      </c>
      <c r="AD297" s="25" t="inlineStr">
        <is>
          <t>2026-10-01</t>
        </is>
      </c>
      <c r="AE297" s="25" t="inlineStr">
        <is>
          <t>2027-03-15</t>
        </is>
      </c>
      <c r="AF297" s="25" t="inlineStr">
        <is>
          <t>No</t>
        </is>
      </c>
      <c r="AG297" s="28" t="inlineStr">
        <is>
          <t>http://www.fst.uha.fr</t>
        </is>
      </c>
      <c r="AH297" s="26" t="inlineStr">
        <is>
          <t>* TCF Niveau B2 minimum * BAC + 4 en cours ou déjà validé * Un échange par visio/téléphone peut être proposé au candidat NB : des dossiers vérifiant toutes les conditions prérequises pourront, le cas échéant, être refusé</t>
        </is>
      </c>
      <c r="AI297" s="28" t="inlineStr">
        <is>
          <t>Open in EEF</t>
        </is>
      </c>
    </row>
    <row r="298" ht="32.8" customHeight="1" s="19">
      <c r="A298" s="25" t="n">
        <v>297</v>
      </c>
      <c r="B298" s="25" t="inlineStr">
        <is>
          <t>★★★★☆</t>
        </is>
      </c>
      <c r="C298" s="25" t="inlineStr">
        <is>
          <t>4 – Strong fit (electronics/signal/robotics/IoT/sensors)</t>
        </is>
      </c>
      <c r="D298" s="25" t="inlineStr">
        <is>
          <t>Robotics / Automation / Mechatronics</t>
        </is>
      </c>
      <c r="E298" s="26" t="inlineStr">
        <is>
          <t>Master Sciences, technologies, santé mention informatique parcours Réseau et systèmes autonomes (RSA)</t>
        </is>
      </c>
      <c r="F298" s="26" t="inlineStr">
        <is>
          <t>Master Science, Technology, Health (STS) – major: Computer Science – track: Réseau &amp; Systems Autonomous (RSA)</t>
        </is>
      </c>
      <c r="G298" s="25" t="inlineStr">
        <is>
          <t>Master indifférencié (recherche et professionnel)</t>
        </is>
      </c>
      <c r="H298" s="25" t="inlineStr">
        <is>
          <t>UFR Mathématiques et informatique</t>
        </is>
      </c>
      <c r="I298" s="25" t="inlineStr">
        <is>
          <t>Université Paris Cité</t>
        </is>
      </c>
      <c r="J298" s="25" t="inlineStr">
        <is>
          <t>Site de Paris</t>
        </is>
      </c>
      <c r="K298" s="25" t="inlineStr">
        <is>
          <t>75006 Paris</t>
        </is>
      </c>
      <c r="L298" s="25" t="inlineStr">
        <is>
          <t>Public university</t>
        </is>
      </c>
      <c r="M298" s="25" t="inlineStr">
        <is>
          <t>French</t>
        </is>
      </c>
      <c r="N298" s="25" t="inlineStr">
        <is>
          <t>General</t>
        </is>
      </c>
      <c r="O298" s="25" t="inlineStr">
        <is>
          <t>Bac +4</t>
        </is>
      </c>
      <c r="P298" s="26" t="inlineStr">
        <is>
          <t>Eligible on level (4-yr BS ≈ Bac+4)</t>
        </is>
      </c>
      <c r="Q298" s="25" t="inlineStr">
        <is>
          <t>1</t>
        </is>
      </c>
      <c r="R298" s="25" t="n"/>
      <c r="S298" s="27" t="n">
        <v>3950</v>
      </c>
      <c r="T298" s="27" t="n">
        <v>255</v>
      </c>
      <c r="U298" s="25" t="n">
        <v>2</v>
      </c>
      <c r="V298" s="27">
        <f>IF(S298="","",S298*U298)</f>
        <v/>
      </c>
      <c r="W298" s="26" t="inlineStr">
        <is>
          <t>Not in catalogue. Public national master → 2026-27 differentiated fee €3,950; exemption to ~€254-255 depends on university quota (25% cap in 2027-28).</t>
        </is>
      </c>
      <c r="X298" s="25" t="inlineStr">
        <is>
          <t>Medium</t>
        </is>
      </c>
      <c r="Y298" s="25" t="n"/>
      <c r="Z298" s="26" t="n"/>
      <c r="AA298" s="26" t="inlineStr">
        <is>
          <t>Paris Cité historically exempted non-EU master students (paid EU rate). 2026-27/2027-28 policy not yet published – confirm.</t>
        </is>
      </c>
      <c r="AB298" s="28" t="inlineStr">
        <is>
          <t>https://u-paris.fr/droits-dinscription-tarifs-exonerations/</t>
        </is>
      </c>
      <c r="AC298" s="25" t="inlineStr">
        <is>
          <t>Open</t>
        </is>
      </c>
      <c r="AD298" s="25" t="inlineStr">
        <is>
          <t>2026-10-01</t>
        </is>
      </c>
      <c r="AE298" s="25" t="inlineStr">
        <is>
          <t>2027-03-15</t>
        </is>
      </c>
      <c r="AF298" s="25" t="inlineStr">
        <is>
          <t>No</t>
        </is>
      </c>
      <c r="AG298" s="28" t="inlineStr">
        <is>
          <t>https://math-info.u-paris.fr/</t>
        </is>
      </c>
      <c r="AH298" s="26" t="inlineStr">
        <is>
          <t>Minimum Niveau C1 de la langue française. https://math-info.u-paris.fr/master-informatique/ Droits d’inscriptions différenciés 2027-2028, pour plus d’informations : https://u-pariscite.fr/droits-dinscription-tarifs-exone</t>
        </is>
      </c>
      <c r="AI298" s="28" t="inlineStr">
        <is>
          <t>Open in EEF</t>
        </is>
      </c>
    </row>
    <row r="299" ht="22.35" customHeight="1" s="19">
      <c r="A299" s="25" t="n">
        <v>298</v>
      </c>
      <c r="B299" s="25" t="inlineStr">
        <is>
          <t>★★★★☆</t>
        </is>
      </c>
      <c r="C299" s="25" t="inlineStr">
        <is>
          <t>4 – Strong fit (electronics/signal/robotics/IoT/sensors)</t>
        </is>
      </c>
      <c r="D299" s="25" t="inlineStr">
        <is>
          <t>Neuroscience / Neuro-engineering</t>
        </is>
      </c>
      <c r="E299" s="26" t="inlineStr">
        <is>
          <t>Master Sciences, technologies, santé, mention Neurosciences</t>
        </is>
      </c>
      <c r="F299" s="26" t="inlineStr">
        <is>
          <t>Master Science, Technology, Health (STS), – major: Neuroscience</t>
        </is>
      </c>
      <c r="G299" s="25" t="inlineStr">
        <is>
          <t>Master indifférencié (recherche et professionnel)</t>
        </is>
      </c>
      <c r="H299" s="25" t="inlineStr">
        <is>
          <t>Sciences et Ingénierie</t>
        </is>
      </c>
      <c r="I299" s="25" t="inlineStr">
        <is>
          <t>Sorbonne Université</t>
        </is>
      </c>
      <c r="J299" s="25" t="inlineStr">
        <is>
          <t>Site de Paris</t>
        </is>
      </c>
      <c r="K299" s="25" t="n"/>
      <c r="L299" s="25" t="inlineStr">
        <is>
          <t>Public university</t>
        </is>
      </c>
      <c r="M299" s="25" t="inlineStr">
        <is>
          <t>French</t>
        </is>
      </c>
      <c r="N299" s="25" t="inlineStr">
        <is>
          <t>General</t>
        </is>
      </c>
      <c r="O299" s="25" t="inlineStr">
        <is>
          <t>Bac +4</t>
        </is>
      </c>
      <c r="P299" s="26" t="inlineStr">
        <is>
          <t>Eligible on level (4-yr BS ≈ Bac+4)</t>
        </is>
      </c>
      <c r="Q299" s="25" t="inlineStr">
        <is>
          <t>1</t>
        </is>
      </c>
      <c r="R299" s="25" t="n"/>
      <c r="S299" s="27" t="n">
        <v>3950</v>
      </c>
      <c r="T299" s="27" t="n">
        <v>255</v>
      </c>
      <c r="U299" s="25" t="n">
        <v>2</v>
      </c>
      <c r="V299" s="27">
        <f>IF(S299="","",S299*U299)</f>
        <v/>
      </c>
      <c r="W299" s="26" t="inlineStr">
        <is>
          <t>Not in catalogue. Public national master → 2026-27 differentiated fee €3,950; exemption to ~€254-255 depends on university quota (25% cap in 2027-28).</t>
        </is>
      </c>
      <c r="X299" s="25" t="inlineStr">
        <is>
          <t>Medium</t>
        </is>
      </c>
      <c r="Y299" s="25" t="n"/>
      <c r="Z299" s="26" t="n"/>
      <c r="AA299" s="26" t="inlineStr">
        <is>
          <t>Board vote 7 Jul 2026: Sorbonne Université says it can exempt all eligible non-EU applicants (pay same as EU, ~€254) for 2026-27.</t>
        </is>
      </c>
      <c r="AB299" s="28" t="inlineStr">
        <is>
          <t>https://www.sorbonne-universite.fr/actualites/le-conseil-dadministration-de-sorbonne-universite-vote-lunanimite-le-7-juillet-2026-sa</t>
        </is>
      </c>
      <c r="AC299" s="25" t="inlineStr">
        <is>
          <t>Open</t>
        </is>
      </c>
      <c r="AD299" s="25" t="inlineStr">
        <is>
          <t>2026-10-01</t>
        </is>
      </c>
      <c r="AE299" s="25" t="inlineStr">
        <is>
          <t>2027-03-15</t>
        </is>
      </c>
      <c r="AF299" s="25" t="inlineStr">
        <is>
          <t>No</t>
        </is>
      </c>
      <c r="AG299" s="28" t="inlineStr">
        <is>
          <t>https://sciences.sorbonne-universite.fr/formation-sciences/offre-de-formation/masters/master-neurosciences</t>
        </is>
      </c>
      <c r="AH299" s="26" t="n"/>
      <c r="AI299" s="28" t="inlineStr">
        <is>
          <t>Open in EEF</t>
        </is>
      </c>
    </row>
    <row r="300" ht="22.35" customHeight="1" s="19">
      <c r="A300" s="25" t="n">
        <v>299</v>
      </c>
      <c r="B300" s="25" t="inlineStr">
        <is>
          <t>★★★★☆</t>
        </is>
      </c>
      <c r="C300" s="25" t="inlineStr">
        <is>
          <t>4 – Strong fit (electronics/signal/robotics/IoT/sensors)</t>
        </is>
      </c>
      <c r="D300" s="25" t="inlineStr">
        <is>
          <t>Neuroscience / Neuro-engineering</t>
        </is>
      </c>
      <c r="E300" s="26" t="inlineStr">
        <is>
          <t>Master Sciences, technologies, santé, mention Neurosciences cellulaires et intégrées</t>
        </is>
      </c>
      <c r="F300" s="26" t="inlineStr">
        <is>
          <t>Master Science, Technology, Health (STS), – major: Neuroscience Cellular &amp; Integrated</t>
        </is>
      </c>
      <c r="G300" s="25" t="inlineStr">
        <is>
          <t>Master indifférencié (recherche et professionnel)</t>
        </is>
      </c>
      <c r="H300" s="25" t="inlineStr">
        <is>
          <t>Sciences</t>
        </is>
      </c>
      <c r="I300" s="25" t="inlineStr">
        <is>
          <t>Université Côte d'Azur</t>
        </is>
      </c>
      <c r="J300" s="25" t="inlineStr">
        <is>
          <t>Site de Nice</t>
        </is>
      </c>
      <c r="K300" s="25" t="n"/>
      <c r="L300" s="25" t="inlineStr">
        <is>
          <t>Public university</t>
        </is>
      </c>
      <c r="M300" s="25" t="inlineStr">
        <is>
          <t>French</t>
        </is>
      </c>
      <c r="N300" s="25" t="inlineStr">
        <is>
          <t>General</t>
        </is>
      </c>
      <c r="O300" s="25" t="inlineStr">
        <is>
          <t>Bac +4 / Bac +5</t>
        </is>
      </c>
      <c r="P300" s="26" t="inlineStr">
        <is>
          <t>Eligible on level (4-yr BS ≈ Bac+4)</t>
        </is>
      </c>
      <c r="Q300" s="25" t="inlineStr">
        <is>
          <t>1/2</t>
        </is>
      </c>
      <c r="R300" s="25" t="n"/>
      <c r="S300" s="27" t="n">
        <v>3950</v>
      </c>
      <c r="T300" s="27" t="n">
        <v>255</v>
      </c>
      <c r="U300" s="25" t="n">
        <v>2</v>
      </c>
      <c r="V300" s="27">
        <f>IF(S300="","",S300*U300)</f>
        <v/>
      </c>
      <c r="W300" s="26" t="inlineStr">
        <is>
          <t>Not in catalogue. Public national master → 2026-27 differentiated fee €3,950; exemption to ~€254-255 depends on university quota (25% cap in 2027-28).</t>
        </is>
      </c>
      <c r="X300" s="25" t="inlineStr">
        <is>
          <t>Medium</t>
        </is>
      </c>
      <c r="Y300" s="25" t="n"/>
      <c r="Z300" s="26" t="n"/>
      <c r="AA300" s="26" t="n"/>
      <c r="AB300" s="25" t="n"/>
      <c r="AC300" s="25" t="inlineStr">
        <is>
          <t>Open</t>
        </is>
      </c>
      <c r="AD300" s="25" t="inlineStr">
        <is>
          <t>2026-10-01</t>
        </is>
      </c>
      <c r="AE300" s="25" t="inlineStr">
        <is>
          <t>2027-03-15</t>
        </is>
      </c>
      <c r="AF300" s="25" t="inlineStr">
        <is>
          <t>No</t>
        </is>
      </c>
      <c r="AG300" s="25" t="n"/>
      <c r="AH300" s="26" t="n"/>
      <c r="AI300" s="28" t="inlineStr">
        <is>
          <t>Open in EEF</t>
        </is>
      </c>
    </row>
    <row r="301" ht="22.35" customHeight="1" s="19">
      <c r="A301" s="25" t="n">
        <v>300</v>
      </c>
      <c r="B301" s="25" t="inlineStr">
        <is>
          <t>★★★★☆</t>
        </is>
      </c>
      <c r="C301" s="25" t="inlineStr">
        <is>
          <t>4 – Strong fit (electronics/signal/robotics/IoT/sensors)</t>
        </is>
      </c>
      <c r="D301" s="25" t="inlineStr">
        <is>
          <t>Neuroscience / Neuro-engineering</t>
        </is>
      </c>
      <c r="E301" s="26" t="inlineStr">
        <is>
          <t>Master Sciences, technologies, santé, mention Neurosciences parcours EMN Online</t>
        </is>
      </c>
      <c r="F301" s="26" t="inlineStr">
        <is>
          <t>Master Science, Technology, Health (STS), – major: Neuroscience – track: EMN Online</t>
        </is>
      </c>
      <c r="G301" s="25" t="inlineStr">
        <is>
          <t>Master indifférencié (recherche et professionnel)</t>
        </is>
      </c>
      <c r="H301" s="25" t="inlineStr">
        <is>
          <t>Sciences</t>
        </is>
      </c>
      <c r="I301" s="25" t="inlineStr">
        <is>
          <t>Université Côte d'Azur</t>
        </is>
      </c>
      <c r="J301" s="25" t="inlineStr">
        <is>
          <t>Site de Nice</t>
        </is>
      </c>
      <c r="K301" s="25" t="n"/>
      <c r="L301" s="25" t="inlineStr">
        <is>
          <t>Public university</t>
        </is>
      </c>
      <c r="M301" s="25" t="inlineStr">
        <is>
          <t>French</t>
        </is>
      </c>
      <c r="N301" s="25" t="inlineStr">
        <is>
          <t>General</t>
        </is>
      </c>
      <c r="O301" s="25" t="inlineStr">
        <is>
          <t>Bac +4 / Bac +5</t>
        </is>
      </c>
      <c r="P301" s="26" t="inlineStr">
        <is>
          <t>Eligible on level (4-yr BS ≈ Bac+4)</t>
        </is>
      </c>
      <c r="Q301" s="25" t="inlineStr">
        <is>
          <t>1/2</t>
        </is>
      </c>
      <c r="R301" s="25" t="n"/>
      <c r="S301" s="27" t="n">
        <v>3950</v>
      </c>
      <c r="T301" s="27" t="n">
        <v>255</v>
      </c>
      <c r="U301" s="25" t="n">
        <v>2</v>
      </c>
      <c r="V301" s="27">
        <f>IF(S301="","",S301*U301)</f>
        <v/>
      </c>
      <c r="W301" s="26" t="inlineStr">
        <is>
          <t>Not in catalogue. Public national master → 2026-27 differentiated fee €3,950; exemption to ~€254-255 depends on university quota (25% cap in 2027-28).</t>
        </is>
      </c>
      <c r="X301" s="25" t="inlineStr">
        <is>
          <t>Medium</t>
        </is>
      </c>
      <c r="Y301" s="25" t="n"/>
      <c r="Z301" s="26" t="n"/>
      <c r="AA301" s="26" t="n"/>
      <c r="AB301" s="25" t="n"/>
      <c r="AC301" s="25" t="inlineStr">
        <is>
          <t>Open</t>
        </is>
      </c>
      <c r="AD301" s="25" t="inlineStr">
        <is>
          <t>2026-10-01</t>
        </is>
      </c>
      <c r="AE301" s="25" t="inlineStr">
        <is>
          <t>2027-03-15</t>
        </is>
      </c>
      <c r="AF301" s="25" t="inlineStr">
        <is>
          <t>No</t>
        </is>
      </c>
      <c r="AG301" s="25" t="n"/>
      <c r="AH301" s="26" t="n"/>
      <c r="AI301" s="28" t="inlineStr">
        <is>
          <t>Open in EEF</t>
        </is>
      </c>
    </row>
    <row r="302" ht="32.8" customHeight="1" s="19">
      <c r="A302" s="25" t="n">
        <v>301</v>
      </c>
      <c r="B302" s="25" t="inlineStr">
        <is>
          <t>★★★★☆</t>
        </is>
      </c>
      <c r="C302" s="25" t="inlineStr">
        <is>
          <t>4 – Strong fit (electronics/signal/robotics/IoT/sensors)</t>
        </is>
      </c>
      <c r="D302" s="25" t="inlineStr">
        <is>
          <t>Sensors / Instrumentation / Micro-Nano / Photonics</t>
        </is>
      </c>
      <c r="E302" s="26" t="inlineStr">
        <is>
          <t>Master Sciences, technologies, santé, mention Physique fondamentale et applications parcours Optique, photonique, instrumentation, quantique (OPTIQ)</t>
        </is>
      </c>
      <c r="F302" s="26" t="inlineStr">
        <is>
          <t>Master Science, Technology, Health (STS), – major: Physics Fundamental &amp; Applications – track: Optics, Photonics, Instrumentation, quantique (OPTIQ)</t>
        </is>
      </c>
      <c r="G302" s="25" t="inlineStr">
        <is>
          <t>Master indifférencié (recherche et professionnel)</t>
        </is>
      </c>
      <c r="H302" s="25" t="inlineStr">
        <is>
          <t>Sciences</t>
        </is>
      </c>
      <c r="I302" s="25" t="inlineStr">
        <is>
          <t>Université Côte d'Azur</t>
        </is>
      </c>
      <c r="J302" s="25" t="inlineStr">
        <is>
          <t>Site de Nice</t>
        </is>
      </c>
      <c r="K302" s="25" t="n"/>
      <c r="L302" s="25" t="inlineStr">
        <is>
          <t>Public university</t>
        </is>
      </c>
      <c r="M302" s="25" t="inlineStr">
        <is>
          <t>French</t>
        </is>
      </c>
      <c r="N302" s="25" t="inlineStr">
        <is>
          <t>General</t>
        </is>
      </c>
      <c r="O302" s="25" t="inlineStr">
        <is>
          <t>Bac +4 / Bac +5</t>
        </is>
      </c>
      <c r="P302" s="26" t="inlineStr">
        <is>
          <t>Eligible on level (4-yr BS ≈ Bac+4)</t>
        </is>
      </c>
      <c r="Q302" s="25" t="inlineStr">
        <is>
          <t>1/2</t>
        </is>
      </c>
      <c r="R302" s="25" t="n"/>
      <c r="S302" s="27" t="n">
        <v>3950</v>
      </c>
      <c r="T302" s="27" t="n">
        <v>255</v>
      </c>
      <c r="U302" s="25" t="n">
        <v>2</v>
      </c>
      <c r="V302" s="27">
        <f>IF(S302="","",S302*U302)</f>
        <v/>
      </c>
      <c r="W302" s="26" t="inlineStr">
        <is>
          <t>Not in catalogue. Public national master → 2026-27 differentiated fee €3,950; exemption to ~€254-255 depends on university quota (25% cap in 2027-28).</t>
        </is>
      </c>
      <c r="X302" s="25" t="inlineStr">
        <is>
          <t>Medium</t>
        </is>
      </c>
      <c r="Y302" s="25" t="n"/>
      <c r="Z302" s="26" t="inlineStr">
        <is>
          <t>en Licence: 2 895€ / en Master: 3 941€ (à titre indicatif) Voici un lien utile : https:/ … en Licence: 2 895€ / en Master: 3 941€ (à titre indicatif) Voici un lien utile : https:/</t>
        </is>
      </c>
      <c r="AA302" s="26" t="n"/>
      <c r="AB302" s="25" t="n"/>
      <c r="AC302" s="25" t="inlineStr">
        <is>
          <t>Open</t>
        </is>
      </c>
      <c r="AD302" s="25" t="inlineStr">
        <is>
          <t>2026-10-01</t>
        </is>
      </c>
      <c r="AE302" s="25" t="inlineStr">
        <is>
          <t>2027-03-15</t>
        </is>
      </c>
      <c r="AF302" s="25" t="inlineStr">
        <is>
          <t>No</t>
        </is>
      </c>
      <c r="AG302" s="28" t="inlineStr">
        <is>
          <t>https://univ-cotedazur.fr/formation/offre-de-formation/master-physique-fondamentale-et-applications</t>
        </is>
      </c>
      <c r="AH302" s="26" t="inlineStr">
        <is>
          <t>Le Master OPTIQ s’adresse aux étudiantes et étudiants ayant obtenu une Licence de physique ou équivalent (1ère année d’école d’ingénieur).</t>
        </is>
      </c>
      <c r="AI302" s="28" t="inlineStr">
        <is>
          <t>Open in EEF</t>
        </is>
      </c>
    </row>
    <row r="303" ht="22.35" customHeight="1" s="19">
      <c r="A303" s="25" t="n">
        <v>302</v>
      </c>
      <c r="B303" s="25" t="inlineStr">
        <is>
          <t>★★★★☆</t>
        </is>
      </c>
      <c r="C303" s="25" t="inlineStr">
        <is>
          <t>4 – Strong fit (electronics/signal/robotics/IoT/sensors)</t>
        </is>
      </c>
      <c r="D303" s="25" t="inlineStr">
        <is>
          <t>Electrical energy</t>
        </is>
      </c>
      <c r="E303" s="26" t="inlineStr">
        <is>
          <t>Master rech. Sciences et technologies mention systèmes informatiques et génie électrique</t>
        </is>
      </c>
      <c r="F303" s="26" t="inlineStr">
        <is>
          <t>Research Master Science &amp; Technology – major: Systems informatiques &amp; Electrical Engineering</t>
        </is>
      </c>
      <c r="G303" s="25" t="inlineStr">
        <is>
          <t>Master recherche</t>
        </is>
      </c>
      <c r="H303" s="25" t="inlineStr">
        <is>
          <t>Ecole nationale supérieure de l'électronique et de ses applications</t>
        </is>
      </c>
      <c r="I303" s="25" t="n"/>
      <c r="J303" s="25" t="inlineStr">
        <is>
          <t>Site de Cergy</t>
        </is>
      </c>
      <c r="K303" s="25" t="n"/>
      <c r="L303" s="25" t="inlineStr">
        <is>
          <t>Public school / institute</t>
        </is>
      </c>
      <c r="M303" s="25" t="inlineStr">
        <is>
          <t>French</t>
        </is>
      </c>
      <c r="N303" s="25" t="inlineStr">
        <is>
          <t>General</t>
        </is>
      </c>
      <c r="O303" s="25" t="inlineStr">
        <is>
          <t>Bac +4</t>
        </is>
      </c>
      <c r="P303" s="26" t="inlineStr">
        <is>
          <t>Eligible on level (4-yr BS ≈ Bac+4)</t>
        </is>
      </c>
      <c r="Q303" s="25" t="inlineStr">
        <is>
          <t>1</t>
        </is>
      </c>
      <c r="R303" s="25" t="n"/>
      <c r="S303" s="27" t="n">
        <v>3950</v>
      </c>
      <c r="T303" s="27" t="n">
        <v>255</v>
      </c>
      <c r="U303" s="25" t="n">
        <v>2</v>
      </c>
      <c r="V303" s="27">
        <f>IF(S303="","",S303*U303)</f>
        <v/>
      </c>
      <c r="W303" s="26" t="inlineStr">
        <is>
          <t>Not in catalogue. Public national master → 2026-27 differentiated fee €3,950; exemption to ~€254-255 depends on university quota (25% cap in 2027-28).</t>
        </is>
      </c>
      <c r="X303" s="25" t="inlineStr">
        <is>
          <t>Medium</t>
        </is>
      </c>
      <c r="Y303" s="25" t="n"/>
      <c r="Z303" s="26" t="n"/>
      <c r="AA303" s="26" t="n"/>
      <c r="AB303" s="25" t="n"/>
      <c r="AC303" s="25" t="inlineStr">
        <is>
          <t>Closed</t>
        </is>
      </c>
      <c r="AD303" s="25" t="n"/>
      <c r="AE303" s="25" t="n"/>
      <c r="AF303" s="25" t="inlineStr">
        <is>
          <t>No</t>
        </is>
      </c>
      <c r="AG303" s="28" t="inlineStr">
        <is>
          <t>http://www.ensea.fr</t>
        </is>
      </c>
      <c r="AH303" s="26" t="n"/>
      <c r="AI303" s="28" t="inlineStr">
        <is>
          <t>Open in EEF</t>
        </is>
      </c>
    </row>
    <row r="304" ht="22.35" customHeight="1" s="19">
      <c r="A304" s="25" t="n">
        <v>303</v>
      </c>
      <c r="B304" s="25" t="inlineStr">
        <is>
          <t>★★★★☆</t>
        </is>
      </c>
      <c r="C304" s="25" t="inlineStr">
        <is>
          <t>4 – Strong fit (electronics/signal/robotics/IoT/sensors)</t>
        </is>
      </c>
      <c r="D304" s="25" t="inlineStr">
        <is>
          <t>Embedded systems / Electronics</t>
        </is>
      </c>
      <c r="E304" s="26" t="inlineStr">
        <is>
          <t>Master rech. Sciences, technologies, santé mention électronique et télécommunications</t>
        </is>
      </c>
      <c r="F304" s="26" t="inlineStr">
        <is>
          <t>Research Master Science, Technology, Health (STS) – major: Electronics &amp; Telecommunications</t>
        </is>
      </c>
      <c r="G304" s="25" t="inlineStr">
        <is>
          <t>Master recherche</t>
        </is>
      </c>
      <c r="H304" s="25" t="inlineStr">
        <is>
          <t>SUPELEC Campus Rennes</t>
        </is>
      </c>
      <c r="I304" s="25" t="n"/>
      <c r="J304" s="25" t="inlineStr">
        <is>
          <t>Site de Cesson-Sévigné</t>
        </is>
      </c>
      <c r="K304" s="25" t="n"/>
      <c r="L304" s="25" t="inlineStr">
        <is>
          <t>Public school / institute</t>
        </is>
      </c>
      <c r="M304" s="25" t="inlineStr">
        <is>
          <t>French</t>
        </is>
      </c>
      <c r="N304" s="25" t="inlineStr">
        <is>
          <t>General</t>
        </is>
      </c>
      <c r="O304" s="25" t="inlineStr">
        <is>
          <t>Bac +4</t>
        </is>
      </c>
      <c r="P304" s="26" t="inlineStr">
        <is>
          <t>Eligible on level (4-yr BS ≈ Bac+4)</t>
        </is>
      </c>
      <c r="Q304" s="25" t="inlineStr">
        <is>
          <t>1</t>
        </is>
      </c>
      <c r="R304" s="25" t="n"/>
      <c r="S304" s="27" t="n">
        <v>3950</v>
      </c>
      <c r="T304" s="27" t="n">
        <v>255</v>
      </c>
      <c r="U304" s="25" t="n">
        <v>2</v>
      </c>
      <c r="V304" s="27">
        <f>IF(S304="","",S304*U304)</f>
        <v/>
      </c>
      <c r="W304" s="26" t="inlineStr">
        <is>
          <t>Not in catalogue. Public national master → 2026-27 differentiated fee €3,950; exemption to ~€254-255 depends on university quota (25% cap in 2027-28).</t>
        </is>
      </c>
      <c r="X304" s="25" t="inlineStr">
        <is>
          <t>Medium</t>
        </is>
      </c>
      <c r="Y304" s="25" t="n"/>
      <c r="Z304" s="26" t="n"/>
      <c r="AA304" s="26" t="n"/>
      <c r="AB304" s="25" t="n"/>
      <c r="AC304" s="25" t="inlineStr">
        <is>
          <t>Closed</t>
        </is>
      </c>
      <c r="AD304" s="25" t="n"/>
      <c r="AE304" s="25" t="n"/>
      <c r="AF304" s="25" t="inlineStr">
        <is>
          <t>No</t>
        </is>
      </c>
      <c r="AG304" s="28" t="inlineStr">
        <is>
          <t>http://www.supelec.fr</t>
        </is>
      </c>
      <c r="AH304" s="26" t="n"/>
      <c r="AI304" s="28" t="inlineStr">
        <is>
          <t>Open in EEF</t>
        </is>
      </c>
    </row>
    <row r="305" ht="22.35" customHeight="1" s="19">
      <c r="A305" s="25" t="n">
        <v>304</v>
      </c>
      <c r="B305" s="25" t="inlineStr">
        <is>
          <t>★★★★☆</t>
        </is>
      </c>
      <c r="C305" s="25" t="inlineStr">
        <is>
          <t>4 – Strong fit (electronics/signal/robotics/IoT/sensors)</t>
        </is>
      </c>
      <c r="D305" s="25" t="inlineStr">
        <is>
          <t>Robotics / Automation / Mechatronics</t>
        </is>
      </c>
      <c r="E305" s="26" t="inlineStr">
        <is>
          <t>Master rech. Sciences, technologies, santé mention génie mécanique et civil, automatique, robotique</t>
        </is>
      </c>
      <c r="F305" s="26" t="inlineStr">
        <is>
          <t>Research Master Science, Technology, Health (STS) – major: Engineering Mechanics &amp; civil, Automation, Robotics</t>
        </is>
      </c>
      <c r="G305" s="25" t="inlineStr">
        <is>
          <t>Master recherche</t>
        </is>
      </c>
      <c r="H305" s="25" t="inlineStr">
        <is>
          <t>Institut français de mécanique avancée</t>
        </is>
      </c>
      <c r="I305" s="25" t="n"/>
      <c r="J305" s="25" t="inlineStr">
        <is>
          <t>Site de Aubière</t>
        </is>
      </c>
      <c r="K305" s="25" t="n"/>
      <c r="L305" s="25" t="inlineStr">
        <is>
          <t>Public school / institute</t>
        </is>
      </c>
      <c r="M305" s="25" t="inlineStr">
        <is>
          <t>French</t>
        </is>
      </c>
      <c r="N305" s="25" t="inlineStr">
        <is>
          <t>General</t>
        </is>
      </c>
      <c r="O305" s="25" t="inlineStr">
        <is>
          <t>Bac +4</t>
        </is>
      </c>
      <c r="P305" s="26" t="inlineStr">
        <is>
          <t>Eligible on level (4-yr BS ≈ Bac+4)</t>
        </is>
      </c>
      <c r="Q305" s="25" t="inlineStr">
        <is>
          <t>1</t>
        </is>
      </c>
      <c r="R305" s="25" t="n"/>
      <c r="S305" s="27" t="n">
        <v>3950</v>
      </c>
      <c r="T305" s="27" t="n">
        <v>255</v>
      </c>
      <c r="U305" s="25" t="n">
        <v>2</v>
      </c>
      <c r="V305" s="27">
        <f>IF(S305="","",S305*U305)</f>
        <v/>
      </c>
      <c r="W305" s="26" t="inlineStr">
        <is>
          <t>Not in catalogue. Public national master → 2026-27 differentiated fee €3,950; exemption to ~€254-255 depends on university quota (25% cap in 2027-28).</t>
        </is>
      </c>
      <c r="X305" s="25" t="inlineStr">
        <is>
          <t>Medium</t>
        </is>
      </c>
      <c r="Y305" s="25" t="n"/>
      <c r="Z305" s="26" t="n"/>
      <c r="AA305" s="26" t="n"/>
      <c r="AB305" s="25" t="n"/>
      <c r="AC305" s="25" t="inlineStr">
        <is>
          <t>Closed</t>
        </is>
      </c>
      <c r="AD305" s="25" t="n"/>
      <c r="AE305" s="25" t="n"/>
      <c r="AF305" s="25" t="inlineStr">
        <is>
          <t>No</t>
        </is>
      </c>
      <c r="AG305" s="28" t="inlineStr">
        <is>
          <t>http://www.ifma.fr</t>
        </is>
      </c>
      <c r="AH305" s="26" t="n"/>
      <c r="AI305" s="28" t="inlineStr">
        <is>
          <t>Open in EEF</t>
        </is>
      </c>
    </row>
    <row r="306" ht="22.35" customHeight="1" s="19">
      <c r="A306" s="25" t="n">
        <v>305</v>
      </c>
      <c r="B306" s="25" t="inlineStr">
        <is>
          <t>★★★★☆</t>
        </is>
      </c>
      <c r="C306" s="25" t="inlineStr">
        <is>
          <t>4 – Strong fit (electronics/signal/robotics/IoT/sensors)</t>
        </is>
      </c>
      <c r="D306" s="25" t="inlineStr">
        <is>
          <t>Embedded systems / Electronics</t>
        </is>
      </c>
      <c r="E306" s="26" t="inlineStr">
        <is>
          <t>Master rech. Sciences, technologies, santé mention micro et nanoélectronique</t>
        </is>
      </c>
      <c r="F306" s="26" t="inlineStr">
        <is>
          <t>Research Master Science, Technology, Health (STS) – major: micro &amp; Nanoelectronics</t>
        </is>
      </c>
      <c r="G306" s="25" t="inlineStr">
        <is>
          <t>Master recherche</t>
        </is>
      </c>
      <c r="H306" s="25" t="inlineStr">
        <is>
          <t>Ecole des Mines de Saint-Etienne - cycle ingénieur spec. en microélectronique informatique et nouv technologies</t>
        </is>
      </c>
      <c r="I306" s="25" t="n"/>
      <c r="J306" s="25" t="inlineStr">
        <is>
          <t>Site de Gardanne</t>
        </is>
      </c>
      <c r="K306" s="25" t="n"/>
      <c r="L306" s="25" t="inlineStr">
        <is>
          <t>Public school / institute</t>
        </is>
      </c>
      <c r="M306" s="25" t="inlineStr">
        <is>
          <t>French</t>
        </is>
      </c>
      <c r="N306" s="25" t="inlineStr">
        <is>
          <t>General</t>
        </is>
      </c>
      <c r="O306" s="25" t="inlineStr">
        <is>
          <t>Bac +4</t>
        </is>
      </c>
      <c r="P306" s="26" t="inlineStr">
        <is>
          <t>Eligible on level (4-yr BS ≈ Bac+4)</t>
        </is>
      </c>
      <c r="Q306" s="25" t="inlineStr">
        <is>
          <t>1</t>
        </is>
      </c>
      <c r="R306" s="25" t="n"/>
      <c r="S306" s="27" t="n">
        <v>3950</v>
      </c>
      <c r="T306" s="27" t="n">
        <v>255</v>
      </c>
      <c r="U306" s="25" t="n">
        <v>2</v>
      </c>
      <c r="V306" s="27">
        <f>IF(S306="","",S306*U306)</f>
        <v/>
      </c>
      <c r="W306" s="26" t="inlineStr">
        <is>
          <t>Not in catalogue. Public national master → 2026-27 differentiated fee €3,950; exemption to ~€254-255 depends on university quota (25% cap in 2027-28).</t>
        </is>
      </c>
      <c r="X306" s="25" t="inlineStr">
        <is>
          <t>Medium</t>
        </is>
      </c>
      <c r="Y306" s="25" t="n"/>
      <c r="Z306" s="26" t="n"/>
      <c r="AA306" s="26" t="n"/>
      <c r="AB306" s="25" t="n"/>
      <c r="AC306" s="25" t="inlineStr">
        <is>
          <t>Closed</t>
        </is>
      </c>
      <c r="AD306" s="25" t="n"/>
      <c r="AE306" s="25" t="n"/>
      <c r="AF306" s="25" t="inlineStr">
        <is>
          <t>No</t>
        </is>
      </c>
      <c r="AG306" s="28" t="inlineStr">
        <is>
          <t>http://www.ismin.fr</t>
        </is>
      </c>
      <c r="AH306" s="26" t="n"/>
      <c r="AI306" s="28" t="inlineStr">
        <is>
          <t>Open in EEF</t>
        </is>
      </c>
    </row>
    <row r="307" ht="32.8" customHeight="1" s="19">
      <c r="A307" s="25" t="n">
        <v>306</v>
      </c>
      <c r="B307" s="25" t="inlineStr">
        <is>
          <t>★★★★☆</t>
        </is>
      </c>
      <c r="C307" s="25" t="inlineStr">
        <is>
          <t>4 – Strong fit (electronics/signal/robotics/IoT/sensors)</t>
        </is>
      </c>
      <c r="D307" s="25" t="inlineStr">
        <is>
          <t>Embedded systems / Electronics</t>
        </is>
      </c>
      <c r="E307" s="26" t="inlineStr">
        <is>
          <t>diplôme d'ingénieur de l'Ecole polytechnique universitaire Pierre et Marie Curie de l'université Paris VI spécialité électronique et informatique</t>
        </is>
      </c>
      <c r="F307" s="26" t="inlineStr">
        <is>
          <t>Engineering diploma of the University Polytechnic School Pierre &amp; Marie Curie of University Paris VI – specialisation: Electronics &amp; Computer Science</t>
        </is>
      </c>
      <c r="G307" s="25" t="inlineStr">
        <is>
          <t>Diplôme d'ingénieur</t>
        </is>
      </c>
      <c r="H307" s="25" t="inlineStr">
        <is>
          <t>Polytech Sorbonne</t>
        </is>
      </c>
      <c r="I307" s="25" t="inlineStr">
        <is>
          <t>Groupement Polytech</t>
        </is>
      </c>
      <c r="J307" s="25" t="inlineStr">
        <is>
          <t>Site de Paris</t>
        </is>
      </c>
      <c r="K307" s="25" t="n"/>
      <c r="L307" s="25" t="inlineStr">
        <is>
          <t>Public school / institute</t>
        </is>
      </c>
      <c r="M307" s="25" t="inlineStr">
        <is>
          <t>French</t>
        </is>
      </c>
      <c r="N307" s="25" t="inlineStr">
        <is>
          <t>General</t>
        </is>
      </c>
      <c r="O307" s="25" t="inlineStr">
        <is>
          <t>Bac +3 / Bac +4</t>
        </is>
      </c>
      <c r="P307" s="26" t="inlineStr">
        <is>
          <t>Eligible on level (4-yr BS ≈ Bac+4)</t>
        </is>
      </c>
      <c r="Q307" s="25" t="inlineStr">
        <is>
          <t>3/4</t>
        </is>
      </c>
      <c r="R307" s="25" t="inlineStr">
        <is>
          <t>12</t>
        </is>
      </c>
      <c r="S307" s="27" t="n">
        <v>610</v>
      </c>
      <c r="T307" s="27" t="n"/>
      <c r="U307" s="25" t="n">
        <v>2</v>
      </c>
      <c r="V307" s="27">
        <f>IF(S307="","",S307*U307)</f>
        <v/>
      </c>
      <c r="W307" s="26" t="inlineStr">
        <is>
          <t>Catalogue lists €610 (EU/national rate). Confirm whether non-EU surcharge applies.</t>
        </is>
      </c>
      <c r="X307" s="25" t="inlineStr">
        <is>
          <t>Medium</t>
        </is>
      </c>
      <c r="Y307" s="25" t="inlineStr">
        <is>
          <t>610</t>
        </is>
      </c>
      <c r="Z307" s="26" t="n"/>
      <c r="AA307" s="26" t="n"/>
      <c r="AB307" s="25" t="n"/>
      <c r="AC307" s="25" t="inlineStr">
        <is>
          <t>Open</t>
        </is>
      </c>
      <c r="AD307" s="25" t="inlineStr">
        <is>
          <t>2026-10-01</t>
        </is>
      </c>
      <c r="AE307" s="25" t="inlineStr">
        <is>
          <t>2027-03-15</t>
        </is>
      </c>
      <c r="AF307" s="25" t="inlineStr">
        <is>
          <t>Yes</t>
        </is>
      </c>
      <c r="AG307" s="28" t="inlineStr">
        <is>
          <t>http://www.polytech.upmc.fr</t>
        </is>
      </c>
      <c r="AH307" s="26" t="n"/>
      <c r="AI307" s="28" t="inlineStr">
        <is>
          <t>Open in EEF</t>
        </is>
      </c>
    </row>
    <row r="308" ht="22.35" customHeight="1" s="19">
      <c r="A308" s="25" t="n">
        <v>307</v>
      </c>
      <c r="B308" s="25" t="inlineStr">
        <is>
          <t>★★★★☆</t>
        </is>
      </c>
      <c r="C308" s="25" t="inlineStr">
        <is>
          <t>4 – Strong fit (electronics/signal/robotics/IoT/sensors)</t>
        </is>
      </c>
      <c r="D308" s="25" t="inlineStr">
        <is>
          <t>Robotics / Automation / Mechatronics</t>
        </is>
      </c>
      <c r="E308" s="26" t="inlineStr">
        <is>
          <t>diplôme d'ingénieur de l'Ecole polytechnique universitaire Pierre et Marie Curie de l'université Paris VI spécialité robotique</t>
        </is>
      </c>
      <c r="F308" s="26" t="inlineStr">
        <is>
          <t>Engineering diploma of the University Polytechnic School Pierre &amp; Marie Curie of University Paris VI – specialisation: Robotics</t>
        </is>
      </c>
      <c r="G308" s="25" t="inlineStr">
        <is>
          <t>Diplôme d'ingénieur</t>
        </is>
      </c>
      <c r="H308" s="25" t="inlineStr">
        <is>
          <t>Polytech Sorbonne</t>
        </is>
      </c>
      <c r="I308" s="25" t="inlineStr">
        <is>
          <t>Groupement Polytech</t>
        </is>
      </c>
      <c r="J308" s="25" t="inlineStr">
        <is>
          <t>Site de Paris</t>
        </is>
      </c>
      <c r="K308" s="25" t="n"/>
      <c r="L308" s="25" t="inlineStr">
        <is>
          <t>Public school / institute</t>
        </is>
      </c>
      <c r="M308" s="25" t="inlineStr">
        <is>
          <t>French</t>
        </is>
      </c>
      <c r="N308" s="25" t="inlineStr">
        <is>
          <t>General</t>
        </is>
      </c>
      <c r="O308" s="25" t="inlineStr">
        <is>
          <t>Bac +3 / Bac +4</t>
        </is>
      </c>
      <c r="P308" s="26" t="inlineStr">
        <is>
          <t>Eligible on level (4-yr BS ≈ Bac+4)</t>
        </is>
      </c>
      <c r="Q308" s="25" t="inlineStr">
        <is>
          <t>3/4</t>
        </is>
      </c>
      <c r="R308" s="25" t="inlineStr">
        <is>
          <t>12</t>
        </is>
      </c>
      <c r="S308" s="27" t="n">
        <v>610</v>
      </c>
      <c r="T308" s="27" t="n"/>
      <c r="U308" s="25" t="n">
        <v>2</v>
      </c>
      <c r="V308" s="27">
        <f>IF(S308="","",S308*U308)</f>
        <v/>
      </c>
      <c r="W308" s="26" t="inlineStr">
        <is>
          <t>Catalogue lists €610 (EU/national rate). Confirm whether non-EU surcharge applies.</t>
        </is>
      </c>
      <c r="X308" s="25" t="inlineStr">
        <is>
          <t>Medium</t>
        </is>
      </c>
      <c r="Y308" s="25" t="inlineStr">
        <is>
          <t>610</t>
        </is>
      </c>
      <c r="Z308" s="26" t="n"/>
      <c r="AA308" s="26" t="n"/>
      <c r="AB308" s="25" t="n"/>
      <c r="AC308" s="25" t="inlineStr">
        <is>
          <t>Open</t>
        </is>
      </c>
      <c r="AD308" s="25" t="inlineStr">
        <is>
          <t>2026-10-01</t>
        </is>
      </c>
      <c r="AE308" s="25" t="inlineStr">
        <is>
          <t>2027-03-15</t>
        </is>
      </c>
      <c r="AF308" s="25" t="inlineStr">
        <is>
          <t>Yes</t>
        </is>
      </c>
      <c r="AG308" s="28" t="inlineStr">
        <is>
          <t>http://www.polytech.upmc.fr</t>
        </is>
      </c>
      <c r="AH308" s="26" t="n"/>
      <c r="AI308" s="28" t="inlineStr">
        <is>
          <t>Open in EEF</t>
        </is>
      </c>
    </row>
    <row r="309" ht="22.35" customHeight="1" s="19">
      <c r="A309" s="25" t="n">
        <v>308</v>
      </c>
      <c r="B309" s="25" t="inlineStr">
        <is>
          <t>★★★★☆</t>
        </is>
      </c>
      <c r="C309" s="25" t="inlineStr">
        <is>
          <t>4 – Strong fit (electronics/signal/robotics/IoT/sensors)</t>
        </is>
      </c>
      <c r="D309" s="25" t="inlineStr">
        <is>
          <t>Electrical energy</t>
        </is>
      </c>
      <c r="E309" s="26" t="inlineStr">
        <is>
          <t>Diplôme d'ingénieur de l'Ecole d'ingénieurs de l'Artois parcours Génie Électrique</t>
        </is>
      </c>
      <c r="F309" s="26" t="inlineStr">
        <is>
          <t>Engineering diploma of School of Engineers of l'Artois – track: Electrical Engineering</t>
        </is>
      </c>
      <c r="G309" s="25" t="inlineStr">
        <is>
          <t>Diplôme d'ingénieur</t>
        </is>
      </c>
      <c r="H309" s="25" t="inlineStr">
        <is>
          <t>Ecole d'ingénieurs de l'Artois (EIA)</t>
        </is>
      </c>
      <c r="I309" s="25" t="inlineStr">
        <is>
          <t>Université d'Artois</t>
        </is>
      </c>
      <c r="J309" s="25" t="inlineStr">
        <is>
          <t>Site de Béthune</t>
        </is>
      </c>
      <c r="K309" s="25" t="n"/>
      <c r="L309" s="25" t="inlineStr">
        <is>
          <t>Public school / institute</t>
        </is>
      </c>
      <c r="M309" s="25" t="inlineStr">
        <is>
          <t>French</t>
        </is>
      </c>
      <c r="N309" s="25" t="inlineStr">
        <is>
          <t>General</t>
        </is>
      </c>
      <c r="O309" s="25" t="inlineStr">
        <is>
          <t>Bac +3</t>
        </is>
      </c>
      <c r="P309" s="26" t="inlineStr">
        <is>
          <t>Eligible on level (4-yr BS ≈ Bac+4)</t>
        </is>
      </c>
      <c r="Q309" s="25" t="inlineStr">
        <is>
          <t>1</t>
        </is>
      </c>
      <c r="R309" s="25" t="inlineStr">
        <is>
          <t>36</t>
        </is>
      </c>
      <c r="S309" s="27" t="n">
        <v>618</v>
      </c>
      <c r="T309" s="27" t="n"/>
      <c r="U309" s="25" t="n">
        <v>2</v>
      </c>
      <c r="V309" s="27">
        <f>IF(S309="","",S309*U309)</f>
        <v/>
      </c>
      <c r="W309" s="26" t="inlineStr">
        <is>
          <t>Catalogue lists €618 (EU/national rate). Confirm whether non-EU surcharge applies.</t>
        </is>
      </c>
      <c r="X309" s="25" t="inlineStr">
        <is>
          <t>Medium</t>
        </is>
      </c>
      <c r="Y309" s="25" t="inlineStr">
        <is>
          <t>618</t>
        </is>
      </c>
      <c r="Z309" s="26" t="n"/>
      <c r="AA309" s="26" t="n"/>
      <c r="AB309" s="25" t="n"/>
      <c r="AC309" s="25" t="inlineStr">
        <is>
          <t>Open</t>
        </is>
      </c>
      <c r="AD309" s="25" t="inlineStr">
        <is>
          <t>2026-10-01</t>
        </is>
      </c>
      <c r="AE309" s="25" t="inlineStr">
        <is>
          <t>2027-03-15</t>
        </is>
      </c>
      <c r="AF309" s="25" t="inlineStr">
        <is>
          <t>No</t>
        </is>
      </c>
      <c r="AG309" s="28" t="inlineStr">
        <is>
          <t>http://www.eia.univ-artois.fr</t>
        </is>
      </c>
      <c r="AH309" s="26" t="inlineStr">
        <is>
          <t>Le candidat doit être titulaire d'un diplôme BAC + 2 scientifique. De plus, il doit justifier de : - niveau C1 en Français - niveau B2 en anglais</t>
        </is>
      </c>
      <c r="AI309" s="28" t="inlineStr">
        <is>
          <t>Open in EEF</t>
        </is>
      </c>
    </row>
    <row r="310" ht="22.35" customHeight="1" s="19">
      <c r="A310" s="25" t="n">
        <v>309</v>
      </c>
      <c r="B310" s="25" t="inlineStr">
        <is>
          <t>★★★★☆</t>
        </is>
      </c>
      <c r="C310" s="25" t="inlineStr">
        <is>
          <t>4 – Strong fit (electronics/signal/robotics/IoT/sensors)</t>
        </is>
      </c>
      <c r="D310" s="25" t="inlineStr">
        <is>
          <t>IoT / Telecom / Networks</t>
        </is>
      </c>
      <c r="E310" s="26" t="inlineStr">
        <is>
          <t>diplôme d'ingénieur de l'Université Sorbonne Paris Nord spécialité télécommunications et réseaux</t>
        </is>
      </c>
      <c r="F310" s="26" t="inlineStr">
        <is>
          <t>Engineering diploma of University Sorbonne Paris Nord – specialisation: Telecommunications &amp; Networks</t>
        </is>
      </c>
      <c r="G310" s="25" t="inlineStr">
        <is>
          <t>Diplôme d'ingénieur</t>
        </is>
      </c>
      <c r="H310" s="25" t="inlineStr">
        <is>
          <t>Institut Galilée</t>
        </is>
      </c>
      <c r="I310" s="25" t="inlineStr">
        <is>
          <t>Université Sorbonne Paris Nord</t>
        </is>
      </c>
      <c r="J310" s="25" t="inlineStr">
        <is>
          <t>Site de Villetaneuse</t>
        </is>
      </c>
      <c r="K310" s="25" t="n"/>
      <c r="L310" s="25" t="inlineStr">
        <is>
          <t>Public school / institute</t>
        </is>
      </c>
      <c r="M310" s="25" t="inlineStr">
        <is>
          <t>French</t>
        </is>
      </c>
      <c r="N310" s="25" t="inlineStr">
        <is>
          <t>General</t>
        </is>
      </c>
      <c r="O310" s="25" t="inlineStr">
        <is>
          <t>Bac +3 / Bac +4</t>
        </is>
      </c>
      <c r="P310" s="26" t="inlineStr">
        <is>
          <t>Eligible on level (4-yr BS ≈ Bac+4)</t>
        </is>
      </c>
      <c r="Q310" s="25" t="inlineStr">
        <is>
          <t>3/4</t>
        </is>
      </c>
      <c r="R310" s="25" t="n"/>
      <c r="S310" s="27" t="n">
        <v>628</v>
      </c>
      <c r="T310" s="27" t="n"/>
      <c r="U310" s="25" t="n">
        <v>2</v>
      </c>
      <c r="V310" s="27">
        <f>IF(S310="","",S310*U310)</f>
        <v/>
      </c>
      <c r="W310" s="26" t="inlineStr">
        <is>
          <t>Catalogue lists €628 (EU/national rate). Confirm whether non-EU surcharge applies.</t>
        </is>
      </c>
      <c r="X310" s="25" t="inlineStr">
        <is>
          <t>Medium</t>
        </is>
      </c>
      <c r="Y310" s="25" t="inlineStr">
        <is>
          <t>628</t>
        </is>
      </c>
      <c r="Z310" s="26" t="n"/>
      <c r="AA310" s="26" t="n"/>
      <c r="AB310" s="25" t="n"/>
      <c r="AC310" s="25" t="inlineStr">
        <is>
          <t>Open</t>
        </is>
      </c>
      <c r="AD310" s="25" t="inlineStr">
        <is>
          <t>2026-10-01</t>
        </is>
      </c>
      <c r="AE310" s="25" t="inlineStr">
        <is>
          <t>2027-03-15</t>
        </is>
      </c>
      <c r="AF310" s="25" t="inlineStr">
        <is>
          <t>No</t>
        </is>
      </c>
      <c r="AG310" s="28" t="inlineStr">
        <is>
          <t>http://www.sup-galilee.univ-paris13.fr/</t>
        </is>
      </c>
      <c r="AH310" s="26" t="n"/>
      <c r="AI310" s="28" t="inlineStr">
        <is>
          <t>Open in EEF</t>
        </is>
      </c>
    </row>
    <row r="311" ht="32.8" customHeight="1" s="19">
      <c r="A311" s="25" t="n">
        <v>310</v>
      </c>
      <c r="B311" s="25" t="inlineStr">
        <is>
          <t>★★★★☆</t>
        </is>
      </c>
      <c r="C311" s="25" t="inlineStr">
        <is>
          <t>4 – Strong fit (electronics/signal/robotics/IoT/sensors)</t>
        </is>
      </c>
      <c r="D311" s="25" t="inlineStr">
        <is>
          <t>Embedded systems / Electronics</t>
        </is>
      </c>
      <c r="E311" s="26" t="inlineStr">
        <is>
          <t>diplôme d'ingénieur de l'Institut national des sciences appliquées de Rennes spécialité Électronique et Informatique Industrielle</t>
        </is>
      </c>
      <c r="F311" s="26" t="inlineStr">
        <is>
          <t>Engineering diploma of INSA of Rennes – specialisation: Electronics &amp; Industrial Computing</t>
        </is>
      </c>
      <c r="G311" s="25" t="inlineStr">
        <is>
          <t>Diplôme d'ingénieur</t>
        </is>
      </c>
      <c r="H311" s="25" t="inlineStr">
        <is>
          <t>Institut national des sciences appliquées de Rennes</t>
        </is>
      </c>
      <c r="I311" s="25" t="n"/>
      <c r="J311" s="25" t="inlineStr">
        <is>
          <t>Site de Rennes</t>
        </is>
      </c>
      <c r="K311" s="25" t="n"/>
      <c r="L311" s="25" t="inlineStr">
        <is>
          <t>Public school / institute</t>
        </is>
      </c>
      <c r="M311" s="25" t="inlineStr">
        <is>
          <t>French &amp; English</t>
        </is>
      </c>
      <c r="N311" s="25" t="inlineStr">
        <is>
          <t>General</t>
        </is>
      </c>
      <c r="O311" s="25" t="inlineStr">
        <is>
          <t>Bac +3 / Bac +4</t>
        </is>
      </c>
      <c r="P311" s="26" t="inlineStr">
        <is>
          <t>Eligible on level (4-yr BS ≈ Bac+4)</t>
        </is>
      </c>
      <c r="Q311" s="25" t="inlineStr">
        <is>
          <t>3/4</t>
        </is>
      </c>
      <c r="R311" s="25" t="n"/>
      <c r="S311" s="27" t="n">
        <v>3950</v>
      </c>
      <c r="T311" s="27" t="n">
        <v>628</v>
      </c>
      <c r="U311" s="25" t="n">
        <v>2</v>
      </c>
      <c r="V311" s="27">
        <f>IF(S311="","",S311*U311)</f>
        <v/>
      </c>
      <c r="W311" s="26" t="inlineStr">
        <is>
          <t>Not in catalogue. Public engineering diploma: national rate ~€601-628; many schools charge non-EU up to ~€3,950. Verify.</t>
        </is>
      </c>
      <c r="X311" s="25" t="inlineStr">
        <is>
          <t>Low</t>
        </is>
      </c>
      <c r="Y311" s="25" t="n"/>
      <c r="Z311" s="26" t="n"/>
      <c r="AA311" s="26" t="n"/>
      <c r="AB311" s="25" t="n"/>
      <c r="AC311" s="25" t="inlineStr">
        <is>
          <t>Open</t>
        </is>
      </c>
      <c r="AD311" s="25" t="inlineStr">
        <is>
          <t>2026-10-01</t>
        </is>
      </c>
      <c r="AE311" s="25" t="inlineStr">
        <is>
          <t>2027-03-15</t>
        </is>
      </c>
      <c r="AF311" s="25" t="inlineStr">
        <is>
          <t>Yes</t>
        </is>
      </c>
      <c r="AG311" s="28" t="inlineStr">
        <is>
          <t>http://www.insa-rennes.fr</t>
        </is>
      </c>
      <c r="AH311" s="26" t="inlineStr">
        <is>
          <t>Admissions en 3ème année du cycle ingénieur : candidatures à faire sur le site du groupe INSA : www.groupe-insa.fr/comment-candidater du 20 janvier au 22 mars Admission en 4ème année du cycle ingénieur à l'INSA de Rennes</t>
        </is>
      </c>
      <c r="AI311" s="28" t="inlineStr">
        <is>
          <t>Open in EEF</t>
        </is>
      </c>
    </row>
    <row r="312" ht="32.8" customHeight="1" s="19">
      <c r="A312" s="25" t="n">
        <v>311</v>
      </c>
      <c r="B312" s="25" t="inlineStr">
        <is>
          <t>★★★★☆</t>
        </is>
      </c>
      <c r="C312" s="25" t="inlineStr">
        <is>
          <t>4 – Strong fit (electronics/signal/robotics/IoT/sensors)</t>
        </is>
      </c>
      <c r="D312" s="25" t="inlineStr">
        <is>
          <t>Embedded systems / Electronics</t>
        </is>
      </c>
      <c r="E312" s="26" t="inlineStr">
        <is>
          <t>diplôme d'ingénieur de l'Institut national des sciences appliquées de Rennes spécialité Electronique et Télécommunications</t>
        </is>
      </c>
      <c r="F312" s="26" t="inlineStr">
        <is>
          <t>Engineering diploma of INSA of Rennes – specialisation: Electronics &amp; Telecommunications</t>
        </is>
      </c>
      <c r="G312" s="25" t="inlineStr">
        <is>
          <t>Diplôme d'ingénieur</t>
        </is>
      </c>
      <c r="H312" s="25" t="inlineStr">
        <is>
          <t>Institut national des sciences appliquées de Rennes</t>
        </is>
      </c>
      <c r="I312" s="25" t="n"/>
      <c r="J312" s="25" t="inlineStr">
        <is>
          <t>Site de Rennes</t>
        </is>
      </c>
      <c r="K312" s="25" t="n"/>
      <c r="L312" s="25" t="inlineStr">
        <is>
          <t>Public school / institute</t>
        </is>
      </c>
      <c r="M312" s="25" t="inlineStr">
        <is>
          <t>French &amp; English</t>
        </is>
      </c>
      <c r="N312" s="25" t="inlineStr">
        <is>
          <t>General</t>
        </is>
      </c>
      <c r="O312" s="25" t="inlineStr">
        <is>
          <t>Bac +3 / Bac +4</t>
        </is>
      </c>
      <c r="P312" s="26" t="inlineStr">
        <is>
          <t>Eligible on level (4-yr BS ≈ Bac+4)</t>
        </is>
      </c>
      <c r="Q312" s="25" t="inlineStr">
        <is>
          <t>3/4</t>
        </is>
      </c>
      <c r="R312" s="25" t="n"/>
      <c r="S312" s="27" t="n">
        <v>3950</v>
      </c>
      <c r="T312" s="27" t="n">
        <v>628</v>
      </c>
      <c r="U312" s="25" t="n">
        <v>2</v>
      </c>
      <c r="V312" s="27">
        <f>IF(S312="","",S312*U312)</f>
        <v/>
      </c>
      <c r="W312" s="26" t="inlineStr">
        <is>
          <t>Not in catalogue. Public engineering diploma: national rate ~€601-628; many schools charge non-EU up to ~€3,950. Verify.</t>
        </is>
      </c>
      <c r="X312" s="25" t="inlineStr">
        <is>
          <t>Low</t>
        </is>
      </c>
      <c r="Y312" s="25" t="n"/>
      <c r="Z312" s="26" t="n"/>
      <c r="AA312" s="26" t="n"/>
      <c r="AB312" s="25" t="n"/>
      <c r="AC312" s="25" t="inlineStr">
        <is>
          <t>Open</t>
        </is>
      </c>
      <c r="AD312" s="25" t="inlineStr">
        <is>
          <t>2026-10-01</t>
        </is>
      </c>
      <c r="AE312" s="25" t="inlineStr">
        <is>
          <t>2027-03-15</t>
        </is>
      </c>
      <c r="AF312" s="25" t="inlineStr">
        <is>
          <t>Yes</t>
        </is>
      </c>
      <c r="AG312" s="28" t="inlineStr">
        <is>
          <t>http://www.insa-rennes.fr</t>
        </is>
      </c>
      <c r="AH312" s="26" t="inlineStr">
        <is>
          <t>Admissions en 3ème année du cycle ingénieur : candidatures à faire sur le site du groupe INSA : www.groupe-insa.fr/comment-candidater du 20 janvier au 22 mars Admission en 4ème année du cycle ingénieur à l'INSA de Rennes</t>
        </is>
      </c>
      <c r="AI312" s="28" t="inlineStr">
        <is>
          <t>Open in EEF</t>
        </is>
      </c>
    </row>
    <row r="313" ht="32.8" customHeight="1" s="19">
      <c r="A313" s="25" t="n">
        <v>312</v>
      </c>
      <c r="B313" s="25" t="inlineStr">
        <is>
          <t>★★★★☆</t>
        </is>
      </c>
      <c r="C313" s="25" t="inlineStr">
        <is>
          <t>4 – Strong fit (electronics/signal/robotics/IoT/sensors)</t>
        </is>
      </c>
      <c r="D313" s="25" t="inlineStr">
        <is>
          <t>Robotics / Automation / Mechatronics</t>
        </is>
      </c>
      <c r="E313" s="26" t="inlineStr">
        <is>
          <t>diplôme d'ingénieur de l'Institut national des sciences appliquées de Rennes spécialité Génie Mécanique et Automatique</t>
        </is>
      </c>
      <c r="F313" s="26" t="inlineStr">
        <is>
          <t>Engineering diploma of INSA of Rennes – specialisation: Engineering Mechanics &amp; Automation</t>
        </is>
      </c>
      <c r="G313" s="25" t="inlineStr">
        <is>
          <t>Diplôme d'ingénieur</t>
        </is>
      </c>
      <c r="H313" s="25" t="inlineStr">
        <is>
          <t>Institut national des sciences appliquées de Rennes</t>
        </is>
      </c>
      <c r="I313" s="25" t="n"/>
      <c r="J313" s="25" t="inlineStr">
        <is>
          <t>Site de Rennes</t>
        </is>
      </c>
      <c r="K313" s="25" t="n"/>
      <c r="L313" s="25" t="inlineStr">
        <is>
          <t>Public school / institute</t>
        </is>
      </c>
      <c r="M313" s="25" t="inlineStr">
        <is>
          <t>French &amp; English</t>
        </is>
      </c>
      <c r="N313" s="25" t="inlineStr">
        <is>
          <t>General</t>
        </is>
      </c>
      <c r="O313" s="25" t="inlineStr">
        <is>
          <t>Bac +3 / Bac +4</t>
        </is>
      </c>
      <c r="P313" s="26" t="inlineStr">
        <is>
          <t>Eligible on level (4-yr BS ≈ Bac+4)</t>
        </is>
      </c>
      <c r="Q313" s="25" t="inlineStr">
        <is>
          <t>3/4</t>
        </is>
      </c>
      <c r="R313" s="25" t="n"/>
      <c r="S313" s="27" t="n">
        <v>3950</v>
      </c>
      <c r="T313" s="27" t="n">
        <v>628</v>
      </c>
      <c r="U313" s="25" t="n">
        <v>2</v>
      </c>
      <c r="V313" s="27">
        <f>IF(S313="","",S313*U313)</f>
        <v/>
      </c>
      <c r="W313" s="26" t="inlineStr">
        <is>
          <t>Not in catalogue. Public engineering diploma: national rate ~€601-628; many schools charge non-EU up to ~€3,950. Verify.</t>
        </is>
      </c>
      <c r="X313" s="25" t="inlineStr">
        <is>
          <t>Low</t>
        </is>
      </c>
      <c r="Y313" s="25" t="n"/>
      <c r="Z313" s="26" t="n"/>
      <c r="AA313" s="26" t="n"/>
      <c r="AB313" s="25" t="n"/>
      <c r="AC313" s="25" t="inlineStr">
        <is>
          <t>Open</t>
        </is>
      </c>
      <c r="AD313" s="25" t="inlineStr">
        <is>
          <t>2026-10-01</t>
        </is>
      </c>
      <c r="AE313" s="25" t="inlineStr">
        <is>
          <t>2027-03-15</t>
        </is>
      </c>
      <c r="AF313" s="25" t="inlineStr">
        <is>
          <t>Yes</t>
        </is>
      </c>
      <c r="AG313" s="28" t="inlineStr">
        <is>
          <t>http://www.insa-rennes.fr</t>
        </is>
      </c>
      <c r="AH313" s="26" t="inlineStr">
        <is>
          <t>Admissions en 3ème année du cycle ingénieur : candidatures à faire sur le site du groupe INSA : www.groupe-insa.fr/comment-candidater du 20 janvier au 22 mars Admission en 4ème année du cycle ingénieur à l'INSA de Rennes</t>
        </is>
      </c>
      <c r="AI313" s="28" t="inlineStr">
        <is>
          <t>Open in EEF</t>
        </is>
      </c>
    </row>
    <row r="314" ht="32.8" customHeight="1" s="19">
      <c r="A314" s="25" t="n">
        <v>313</v>
      </c>
      <c r="B314" s="25" t="inlineStr">
        <is>
          <t>★★★★☆</t>
        </is>
      </c>
      <c r="C314" s="25" t="inlineStr">
        <is>
          <t>4 – Strong fit (electronics/signal/robotics/IoT/sensors)</t>
        </is>
      </c>
      <c r="D314" s="25" t="inlineStr">
        <is>
          <t>IoT / Telecom / Networks</t>
        </is>
      </c>
      <c r="E314" s="26" t="inlineStr">
        <is>
          <t>Diplôme d'Ingénieur de l'Université de Technologie de Troyes spécialité Réseaux et Télécommunications</t>
        </is>
      </c>
      <c r="F314" s="26" t="inlineStr">
        <is>
          <t>Engineering diploma of University of Technology of Troyes – specialisation: Networks &amp; Telecommunications</t>
        </is>
      </c>
      <c r="G314" s="25" t="inlineStr">
        <is>
          <t>Diplôme d'ingénieur</t>
        </is>
      </c>
      <c r="H314" s="25" t="inlineStr">
        <is>
          <t>Université de technologie de Troyes</t>
        </is>
      </c>
      <c r="I314" s="25" t="n"/>
      <c r="J314" s="25" t="inlineStr">
        <is>
          <t>Site de Troyes</t>
        </is>
      </c>
      <c r="K314" s="25" t="n"/>
      <c r="L314" s="25" t="inlineStr">
        <is>
          <t>Public university</t>
        </is>
      </c>
      <c r="M314" s="25" t="inlineStr">
        <is>
          <t>French &amp; English</t>
        </is>
      </c>
      <c r="N314" s="25" t="inlineStr">
        <is>
          <t>General</t>
        </is>
      </c>
      <c r="O314" s="25" t="inlineStr">
        <is>
          <t>Bac +3 / Bac +4 / Bac +5</t>
        </is>
      </c>
      <c r="P314" s="26" t="inlineStr">
        <is>
          <t>Eligible on level (4-yr BS ≈ Bac+4)</t>
        </is>
      </c>
      <c r="Q314" s="25" t="inlineStr">
        <is>
          <t>3/4/5</t>
        </is>
      </c>
      <c r="R314" s="25" t="inlineStr">
        <is>
          <t>12</t>
        </is>
      </c>
      <c r="S314" s="27" t="n">
        <v>3950</v>
      </c>
      <c r="T314" s="27" t="n">
        <v>628</v>
      </c>
      <c r="U314" s="25" t="n">
        <v>2</v>
      </c>
      <c r="V314" s="27">
        <f>IF(S314="","",S314*U314)</f>
        <v/>
      </c>
      <c r="W314" s="26" t="inlineStr">
        <is>
          <t>Not in catalogue. Public engineering diploma: national rate ~€601-628; many schools charge non-EU up to ~€3,950. Verify.</t>
        </is>
      </c>
      <c r="X314" s="25" t="inlineStr">
        <is>
          <t>Low</t>
        </is>
      </c>
      <c r="Y314" s="25" t="n"/>
      <c r="Z314" s="26" t="n"/>
      <c r="AA314" s="26" t="n"/>
      <c r="AB314" s="25" t="n"/>
      <c r="AC314" s="25" t="inlineStr">
        <is>
          <t>Open</t>
        </is>
      </c>
      <c r="AD314" s="25" t="inlineStr">
        <is>
          <t>2026-10-01</t>
        </is>
      </c>
      <c r="AE314" s="25" t="inlineStr">
        <is>
          <t>2027-03-15</t>
        </is>
      </c>
      <c r="AF314" s="25" t="inlineStr">
        <is>
          <t>Yes</t>
        </is>
      </c>
      <c r="AG314" s="28" t="inlineStr">
        <is>
          <t>http://www.utt.fr</t>
        </is>
      </c>
      <c r="AH314" s="26" t="inlineStr">
        <is>
          <t>Admission en 1ère année de branche : La formation est ouverte, en 3ème année d'igénieur, aux titulaires d’un diplôme national conférant le grade de bac +2 minimum, d'un titre étranger ou français admis par équivalence, L</t>
        </is>
      </c>
      <c r="AI314" s="28" t="inlineStr">
        <is>
          <t>Open in EEF</t>
        </is>
      </c>
    </row>
    <row r="315" ht="22.35" customHeight="1" s="19">
      <c r="A315" s="25" t="n">
        <v>314</v>
      </c>
      <c r="B315" s="25" t="inlineStr">
        <is>
          <t>★★★★☆</t>
        </is>
      </c>
      <c r="C315" s="25" t="inlineStr">
        <is>
          <t>4 – Strong fit (electronics/signal/robotics/IoT/sensors)</t>
        </is>
      </c>
      <c r="D315" s="25" t="inlineStr">
        <is>
          <t>Embedded systems / Electronics</t>
        </is>
      </c>
      <c r="E315" s="26" t="inlineStr">
        <is>
          <t>diplôme d'ingénieur de l'Ecole nationale supérieure de l'électronique et de ses applications</t>
        </is>
      </c>
      <c r="F315" s="26" t="inlineStr">
        <is>
          <t>Engineering diploma of the National Graduate School of Electronics &amp; of its Applications</t>
        </is>
      </c>
      <c r="G315" s="25" t="inlineStr">
        <is>
          <t>Diplôme d'ingénieur</t>
        </is>
      </c>
      <c r="H315" s="25" t="inlineStr">
        <is>
          <t>Ecole nationale supérieure de l'électronique et de ses applications</t>
        </is>
      </c>
      <c r="I315" s="25" t="n"/>
      <c r="J315" s="25" t="inlineStr">
        <is>
          <t>Site de Cergy</t>
        </is>
      </c>
      <c r="K315" s="25" t="n"/>
      <c r="L315" s="25" t="inlineStr">
        <is>
          <t>Public school / institute</t>
        </is>
      </c>
      <c r="M315" s="25" t="inlineStr">
        <is>
          <t>French</t>
        </is>
      </c>
      <c r="N315" s="25" t="inlineStr">
        <is>
          <t>General</t>
        </is>
      </c>
      <c r="O315" s="25" t="inlineStr">
        <is>
          <t>Bac +3 / Bac +4 / Bac +5</t>
        </is>
      </c>
      <c r="P315" s="26" t="inlineStr">
        <is>
          <t>Eligible on level (4-yr BS ≈ Bac+4)</t>
        </is>
      </c>
      <c r="Q315" s="25" t="inlineStr">
        <is>
          <t>1/2/3</t>
        </is>
      </c>
      <c r="R315" s="25" t="n"/>
      <c r="S315" s="27" t="n">
        <v>3950</v>
      </c>
      <c r="T315" s="27" t="n">
        <v>628</v>
      </c>
      <c r="U315" s="25" t="n">
        <v>2</v>
      </c>
      <c r="V315" s="27">
        <f>IF(S315="","",S315*U315)</f>
        <v/>
      </c>
      <c r="W315" s="26" t="inlineStr">
        <is>
          <t>Not in catalogue. Public engineering diploma: national rate ~€601-628; many schools charge non-EU up to ~€3,950. Verify.</t>
        </is>
      </c>
      <c r="X315" s="25" t="inlineStr">
        <is>
          <t>Low</t>
        </is>
      </c>
      <c r="Y315" s="25" t="n"/>
      <c r="Z315" s="26" t="n"/>
      <c r="AA315" s="26" t="n"/>
      <c r="AB315" s="25" t="n"/>
      <c r="AC315" s="25" t="inlineStr">
        <is>
          <t>Closed</t>
        </is>
      </c>
      <c r="AD315" s="25" t="n"/>
      <c r="AE315" s="25" t="n"/>
      <c r="AF315" s="25" t="inlineStr">
        <is>
          <t>No</t>
        </is>
      </c>
      <c r="AG315" s="28" t="inlineStr">
        <is>
          <t>http://www.ensea.fr</t>
        </is>
      </c>
      <c r="AH315" s="26" t="n"/>
      <c r="AI315" s="28" t="inlineStr">
        <is>
          <t>Open in EEF</t>
        </is>
      </c>
    </row>
    <row r="316" ht="22.35" customHeight="1" s="19">
      <c r="A316" s="25" t="n">
        <v>315</v>
      </c>
      <c r="B316" s="25" t="inlineStr">
        <is>
          <t>★★★★☆</t>
        </is>
      </c>
      <c r="C316" s="25" t="inlineStr">
        <is>
          <t>4 – Strong fit (electronics/signal/robotics/IoT/sensors)</t>
        </is>
      </c>
      <c r="D316" s="25" t="inlineStr">
        <is>
          <t>Embedded systems / Electronics</t>
        </is>
      </c>
      <c r="E316" s="26" t="inlineStr">
        <is>
          <t>diplôme d'ingénieur de l'Ecole nationale supérieure des mines de Saint-Etienne spécialité micro-électronique et applications</t>
        </is>
      </c>
      <c r="F316" s="26" t="inlineStr">
        <is>
          <t>Engineering diploma of the National Graduate School of mines of Saint-Etienne – specialisation: micro-électronique &amp; Applications</t>
        </is>
      </c>
      <c r="G316" s="25" t="inlineStr">
        <is>
          <t>Diplôme d'ingénieur</t>
        </is>
      </c>
      <c r="H316" s="25" t="inlineStr">
        <is>
          <t>Ecole des Mines de Saint-Etienne - cycle ingénieur spec. en microélectronique informatique et nouv technologies</t>
        </is>
      </c>
      <c r="I316" s="25" t="n"/>
      <c r="J316" s="25" t="inlineStr">
        <is>
          <t>Site de Gardanne</t>
        </is>
      </c>
      <c r="K316" s="25" t="n"/>
      <c r="L316" s="25" t="inlineStr">
        <is>
          <t>Public school / institute</t>
        </is>
      </c>
      <c r="M316" s="25" t="inlineStr">
        <is>
          <t>French</t>
        </is>
      </c>
      <c r="N316" s="25" t="inlineStr">
        <is>
          <t>General</t>
        </is>
      </c>
      <c r="O316" s="25" t="inlineStr">
        <is>
          <t>Bac +3 / Bac +4 / Bac +5</t>
        </is>
      </c>
      <c r="P316" s="26" t="inlineStr">
        <is>
          <t>Eligible on level (4-yr BS ≈ Bac+4)</t>
        </is>
      </c>
      <c r="Q316" s="25" t="inlineStr">
        <is>
          <t>1/2/3</t>
        </is>
      </c>
      <c r="R316" s="25" t="n"/>
      <c r="S316" s="27" t="n">
        <v>3950</v>
      </c>
      <c r="T316" s="27" t="n">
        <v>628</v>
      </c>
      <c r="U316" s="25" t="n">
        <v>2</v>
      </c>
      <c r="V316" s="27">
        <f>IF(S316="","",S316*U316)</f>
        <v/>
      </c>
      <c r="W316" s="26" t="inlineStr">
        <is>
          <t>Not in catalogue. Public engineering diploma: national rate ~€601-628; many schools charge non-EU up to ~€3,950. Verify.</t>
        </is>
      </c>
      <c r="X316" s="25" t="inlineStr">
        <is>
          <t>Low</t>
        </is>
      </c>
      <c r="Y316" s="25" t="n"/>
      <c r="Z316" s="26" t="n"/>
      <c r="AA316" s="26" t="n"/>
      <c r="AB316" s="25" t="n"/>
      <c r="AC316" s="25" t="inlineStr">
        <is>
          <t>Closed</t>
        </is>
      </c>
      <c r="AD316" s="25" t="n"/>
      <c r="AE316" s="25" t="n"/>
      <c r="AF316" s="25" t="inlineStr">
        <is>
          <t>No</t>
        </is>
      </c>
      <c r="AG316" s="28" t="inlineStr">
        <is>
          <t>http://www.ismin.fr</t>
        </is>
      </c>
      <c r="AH316" s="26" t="n"/>
      <c r="AI316" s="28" t="inlineStr">
        <is>
          <t>Open in EEF</t>
        </is>
      </c>
    </row>
    <row r="317" ht="22.35" customHeight="1" s="19">
      <c r="A317" s="25" t="n">
        <v>316</v>
      </c>
      <c r="B317" s="25" t="inlineStr">
        <is>
          <t>★★★★☆</t>
        </is>
      </c>
      <c r="C317" s="25" t="inlineStr">
        <is>
          <t>4 – Strong fit (electronics/signal/robotics/IoT/sensors)</t>
        </is>
      </c>
      <c r="D317" s="25" t="inlineStr">
        <is>
          <t>Robotics / Automation / Mechatronics</t>
        </is>
      </c>
      <c r="E317" s="26" t="inlineStr">
        <is>
          <t>diplôme d'ingénieur de l'Ecole nationale supérieure d'ingénieurs Sud Alsace de l'université de Mulhouse spécialité automatique et systèmes</t>
        </is>
      </c>
      <c r="F317" s="26" t="inlineStr">
        <is>
          <t>Engineering diploma of the National Graduate School of Engineers Sud Alsace of University of Mulhouse – specialisation: Automation &amp; Systems</t>
        </is>
      </c>
      <c r="G317" s="25" t="inlineStr">
        <is>
          <t>Diplôme d'ingénieur</t>
        </is>
      </c>
      <c r="H317" s="25" t="inlineStr">
        <is>
          <t>Ecole nationale supérieure d'ingénieurs Sud Alsace</t>
        </is>
      </c>
      <c r="I317" s="25" t="inlineStr">
        <is>
          <t>Université de Haute Alsace Mulhouse</t>
        </is>
      </c>
      <c r="J317" s="25" t="inlineStr">
        <is>
          <t>Site de Mulhouse</t>
        </is>
      </c>
      <c r="K317" s="25" t="n"/>
      <c r="L317" s="25" t="inlineStr">
        <is>
          <t>Public school / institute</t>
        </is>
      </c>
      <c r="M317" s="25" t="inlineStr">
        <is>
          <t>French</t>
        </is>
      </c>
      <c r="N317" s="25" t="inlineStr">
        <is>
          <t>General</t>
        </is>
      </c>
      <c r="O317" s="25" t="inlineStr">
        <is>
          <t>Bac +3 / Bac +4</t>
        </is>
      </c>
      <c r="P317" s="26" t="inlineStr">
        <is>
          <t>Eligible on level (4-yr BS ≈ Bac+4)</t>
        </is>
      </c>
      <c r="Q317" s="25" t="inlineStr">
        <is>
          <t>1/2</t>
        </is>
      </c>
      <c r="R317" s="25" t="n"/>
      <c r="S317" s="27" t="n">
        <v>3950</v>
      </c>
      <c r="T317" s="27" t="n">
        <v>628</v>
      </c>
      <c r="U317" s="25" t="n">
        <v>2</v>
      </c>
      <c r="V317" s="27">
        <f>IF(S317="","",S317*U317)</f>
        <v/>
      </c>
      <c r="W317" s="26" t="inlineStr">
        <is>
          <t>Not in catalogue. Public engineering diploma: national rate ~€601-628; many schools charge non-EU up to ~€3,950. Verify.</t>
        </is>
      </c>
      <c r="X317" s="25" t="inlineStr">
        <is>
          <t>Low</t>
        </is>
      </c>
      <c r="Y317" s="25" t="n"/>
      <c r="Z317" s="26" t="n"/>
      <c r="AA317" s="26" t="n"/>
      <c r="AB317" s="25" t="n"/>
      <c r="AC317" s="25" t="inlineStr">
        <is>
          <t>Open</t>
        </is>
      </c>
      <c r="AD317" s="25" t="inlineStr">
        <is>
          <t>2026-10-01</t>
        </is>
      </c>
      <c r="AE317" s="25" t="inlineStr">
        <is>
          <t>2027-03-15</t>
        </is>
      </c>
      <c r="AF317" s="25" t="inlineStr">
        <is>
          <t>No</t>
        </is>
      </c>
      <c r="AG317" s="28" t="inlineStr">
        <is>
          <t>http://www.ensisa.uha.fr</t>
        </is>
      </c>
      <c r="AH317" s="26" t="inlineStr">
        <is>
          <t>Niveau de français exigé : B2</t>
        </is>
      </c>
      <c r="AI317" s="28" t="inlineStr">
        <is>
          <t>Open in EEF</t>
        </is>
      </c>
    </row>
    <row r="318" ht="22.35" customHeight="1" s="19">
      <c r="A318" s="25" t="n">
        <v>317</v>
      </c>
      <c r="B318" s="25" t="inlineStr">
        <is>
          <t>★★★★☆</t>
        </is>
      </c>
      <c r="C318" s="25" t="inlineStr">
        <is>
          <t>4 – Strong fit (electronics/signal/robotics/IoT/sensors)</t>
        </is>
      </c>
      <c r="D318" s="25" t="inlineStr">
        <is>
          <t>Sensors / Instrumentation / Micro-Nano / Photonics</t>
        </is>
      </c>
      <c r="E318" s="26" t="inlineStr">
        <is>
          <t>diplôme d'ingénieur de l'Ecole polytechnique de l'université Paris Paris-Saclay parcours Photonique et Systèmes Optroniques</t>
        </is>
      </c>
      <c r="F318" s="26" t="inlineStr">
        <is>
          <t>Engineering diploma of School polytechnique of University Paris Paris-Saclay – track: Photonics &amp; Systems Optroniques</t>
        </is>
      </c>
      <c r="G318" s="25" t="inlineStr">
        <is>
          <t>Diplôme d'ingénieur</t>
        </is>
      </c>
      <c r="H318" s="25" t="inlineStr">
        <is>
          <t>Polytech Paris-Saclay</t>
        </is>
      </c>
      <c r="I318" s="25" t="inlineStr">
        <is>
          <t>Groupement Polytech</t>
        </is>
      </c>
      <c r="J318" s="25" t="inlineStr">
        <is>
          <t>Site d'Orsay</t>
        </is>
      </c>
      <c r="K318" s="25" t="inlineStr">
        <is>
          <t>91400 Orsay</t>
        </is>
      </c>
      <c r="L318" s="25" t="inlineStr">
        <is>
          <t>Public school / institute</t>
        </is>
      </c>
      <c r="M318" s="25" t="inlineStr">
        <is>
          <t>French</t>
        </is>
      </c>
      <c r="N318" s="25" t="inlineStr">
        <is>
          <t>General</t>
        </is>
      </c>
      <c r="O318" s="25" t="inlineStr">
        <is>
          <t>Bac +3 / Bac +4</t>
        </is>
      </c>
      <c r="P318" s="26" t="inlineStr">
        <is>
          <t>Eligible on level (4-yr BS ≈ Bac+4)</t>
        </is>
      </c>
      <c r="Q318" s="25" t="inlineStr">
        <is>
          <t>3/4</t>
        </is>
      </c>
      <c r="R318" s="25" t="inlineStr">
        <is>
          <t>12</t>
        </is>
      </c>
      <c r="S318" s="27" t="n">
        <v>3950</v>
      </c>
      <c r="T318" s="27" t="n">
        <v>628</v>
      </c>
      <c r="U318" s="25" t="n">
        <v>2</v>
      </c>
      <c r="V318" s="27">
        <f>IF(S318="","",S318*U318)</f>
        <v/>
      </c>
      <c r="W318" s="26" t="inlineStr">
        <is>
          <t>Not in catalogue. Public engineering diploma: national rate ~€601-628; many schools charge non-EU up to ~€3,950. Verify.</t>
        </is>
      </c>
      <c r="X318" s="25" t="inlineStr">
        <is>
          <t>Low</t>
        </is>
      </c>
      <c r="Y318" s="25" t="n"/>
      <c r="Z318" s="26" t="n"/>
      <c r="AA318" s="26" t="n"/>
      <c r="AB318" s="25" t="n"/>
      <c r="AC318" s="25" t="inlineStr">
        <is>
          <t>Open</t>
        </is>
      </c>
      <c r="AD318" s="25" t="inlineStr">
        <is>
          <t>2026-10-01</t>
        </is>
      </c>
      <c r="AE318" s="25" t="inlineStr">
        <is>
          <t>2027-03-15</t>
        </is>
      </c>
      <c r="AF318" s="25" t="inlineStr">
        <is>
          <t>Yes</t>
        </is>
      </c>
      <c r="AG318" s="25" t="n"/>
      <c r="AH318" s="26" t="n"/>
      <c r="AI318" s="28" t="inlineStr">
        <is>
          <t>Open in EEF</t>
        </is>
      </c>
    </row>
    <row r="319" ht="43.25" customHeight="1" s="19">
      <c r="A319" s="25" t="n">
        <v>318</v>
      </c>
      <c r="B319" s="25" t="inlineStr">
        <is>
          <t>★★★★☆</t>
        </is>
      </c>
      <c r="C319" s="25" t="inlineStr">
        <is>
          <t>4 – Strong fit (electronics/signal/robotics/IoT/sensors)</t>
        </is>
      </c>
      <c r="D319" s="25" t="inlineStr">
        <is>
          <t>Sensors / Instrumentation / Micro-Nano / Photonics</t>
        </is>
      </c>
      <c r="E319" s="26" t="inlineStr">
        <is>
          <t>diplôme d'ingénieur de l'Ecole polytechnique universitaire de Lille, Université Lille I, sciences et technologies spécialité Instrumentation et Ingénierie d'Affaires</t>
        </is>
      </c>
      <c r="F319" s="26" t="inlineStr">
        <is>
          <t>Engineering diploma of the University Polytechnic School of Lille, University Lille I, Science &amp; Technology – specialisation: Instrumentation &amp; Engineering d'Affaires</t>
        </is>
      </c>
      <c r="G319" s="25" t="inlineStr">
        <is>
          <t>Diplôme d'ingénieur</t>
        </is>
      </c>
      <c r="H319" s="25" t="inlineStr">
        <is>
          <t>Polytech Lille</t>
        </is>
      </c>
      <c r="I319" s="25" t="inlineStr">
        <is>
          <t>Groupement Polytech</t>
        </is>
      </c>
      <c r="J319" s="25" t="inlineStr">
        <is>
          <t>Site de Villeneuve-d'Ascq</t>
        </is>
      </c>
      <c r="K319" s="25" t="n"/>
      <c r="L319" s="25" t="inlineStr">
        <is>
          <t>Public school / institute</t>
        </is>
      </c>
      <c r="M319" s="25" t="inlineStr">
        <is>
          <t>French</t>
        </is>
      </c>
      <c r="N319" s="25" t="inlineStr">
        <is>
          <t>General</t>
        </is>
      </c>
      <c r="O319" s="25" t="inlineStr">
        <is>
          <t>Bac +3 / Bac +4</t>
        </is>
      </c>
      <c r="P319" s="26" t="inlineStr">
        <is>
          <t>Eligible on level (4-yr BS ≈ Bac+4)</t>
        </is>
      </c>
      <c r="Q319" s="25" t="inlineStr">
        <is>
          <t>3/4</t>
        </is>
      </c>
      <c r="R319" s="25" t="inlineStr">
        <is>
          <t>12</t>
        </is>
      </c>
      <c r="S319" s="27" t="n">
        <v>3950</v>
      </c>
      <c r="T319" s="27" t="n">
        <v>628</v>
      </c>
      <c r="U319" s="25" t="n">
        <v>2</v>
      </c>
      <c r="V319" s="27">
        <f>IF(S319="","",S319*U319)</f>
        <v/>
      </c>
      <c r="W319" s="26" t="inlineStr">
        <is>
          <t>Not in catalogue. Public engineering diploma: national rate ~€601-628; many schools charge non-EU up to ~€3,950. Verify.</t>
        </is>
      </c>
      <c r="X319" s="25" t="inlineStr">
        <is>
          <t>Low</t>
        </is>
      </c>
      <c r="Y319" s="25" t="n"/>
      <c r="Z319" s="26" t="n"/>
      <c r="AA319" s="26" t="n"/>
      <c r="AB319" s="25" t="n"/>
      <c r="AC319" s="25" t="inlineStr">
        <is>
          <t>Open</t>
        </is>
      </c>
      <c r="AD319" s="25" t="inlineStr">
        <is>
          <t>2026-10-01</t>
        </is>
      </c>
      <c r="AE319" s="25" t="inlineStr">
        <is>
          <t>2027-03-15</t>
        </is>
      </c>
      <c r="AF319" s="25" t="inlineStr">
        <is>
          <t>Yes</t>
        </is>
      </c>
      <c r="AG319" s="28" t="inlineStr">
        <is>
          <t>https://www.polytech-lille.fr/formation/instrumentation-et-ingenierie-d-affaires/</t>
        </is>
      </c>
      <c r="AH319" s="26" t="inlineStr">
        <is>
          <t>Cette spécialité forme des ingénieurs exerçant dans le domaine de l’instrumentation, capables de comprendre, mettre en œuvre, tester, gérer et concevoir des systèmes de mesure électronique, chimique et optique. Ces ingén</t>
        </is>
      </c>
      <c r="AI319" s="28" t="inlineStr">
        <is>
          <t>Open in EEF</t>
        </is>
      </c>
    </row>
    <row r="320" ht="32.8" customHeight="1" s="19">
      <c r="A320" s="25" t="n">
        <v>319</v>
      </c>
      <c r="B320" s="25" t="inlineStr">
        <is>
          <t>★★★★☆</t>
        </is>
      </c>
      <c r="C320" s="25" t="inlineStr">
        <is>
          <t>4 – Strong fit (electronics/signal/robotics/IoT/sensors)</t>
        </is>
      </c>
      <c r="D320" s="25" t="inlineStr">
        <is>
          <t>Embedded systems / Electronics</t>
        </is>
      </c>
      <c r="E320" s="26" t="inlineStr">
        <is>
          <t>diplôme d'ingénieur de l'École polytechnique universitaire de Marseille de l'Université d'Aix-Marseille spécialité microélectronique et télécommunications</t>
        </is>
      </c>
      <c r="F320" s="26" t="inlineStr">
        <is>
          <t>Engineering diploma of the University Polytechnic School of Marseille of University d'Aix-Marseille – specialisation: Microelectronics &amp; Telecommunications</t>
        </is>
      </c>
      <c r="G320" s="25" t="inlineStr">
        <is>
          <t>Diplôme d'ingénieur</t>
        </is>
      </c>
      <c r="H320" s="25" t="inlineStr">
        <is>
          <t>Polytech Marseille</t>
        </is>
      </c>
      <c r="I320" s="25" t="inlineStr">
        <is>
          <t>Groupement Polytech</t>
        </is>
      </c>
      <c r="J320" s="25" t="inlineStr">
        <is>
          <t>Site de l'Etoile (St Jérôme - Château Gombert)</t>
        </is>
      </c>
      <c r="K320" s="25" t="n"/>
      <c r="L320" s="25" t="inlineStr">
        <is>
          <t>Public school / institute</t>
        </is>
      </c>
      <c r="M320" s="25" t="inlineStr">
        <is>
          <t>French</t>
        </is>
      </c>
      <c r="N320" s="25" t="inlineStr">
        <is>
          <t>General</t>
        </is>
      </c>
      <c r="O320" s="25" t="inlineStr">
        <is>
          <t>Bac +3 / Bac +4</t>
        </is>
      </c>
      <c r="P320" s="26" t="inlineStr">
        <is>
          <t>Eligible on level (4-yr BS ≈ Bac+4)</t>
        </is>
      </c>
      <c r="Q320" s="25" t="inlineStr">
        <is>
          <t>3/4</t>
        </is>
      </c>
      <c r="R320" s="25" t="n"/>
      <c r="S320" s="27" t="n">
        <v>3950</v>
      </c>
      <c r="T320" s="27" t="n">
        <v>628</v>
      </c>
      <c r="U320" s="25" t="n">
        <v>2</v>
      </c>
      <c r="V320" s="27">
        <f>IF(S320="","",S320*U320)</f>
        <v/>
      </c>
      <c r="W320" s="26" t="inlineStr">
        <is>
          <t>Not in catalogue. Public engineering diploma: national rate ~€601-628; many schools charge non-EU up to ~€3,950. Verify.</t>
        </is>
      </c>
      <c r="X320" s="25" t="inlineStr">
        <is>
          <t>Low</t>
        </is>
      </c>
      <c r="Y320" s="25" t="n"/>
      <c r="Z320" s="26" t="n"/>
      <c r="AA320" s="26" t="inlineStr">
        <is>
          <t>AMU 2026-27: limited exemptions (≈1,800 of 5,500 students) – priority to continuing students, conflict zones, excellence scholarships. New master entrants usually pay €3,950.</t>
        </is>
      </c>
      <c r="AB320" s="28" t="inlineStr">
        <is>
          <t>https://www.univ-amu.fr/fr/actualites/aix-marseille-universite-mobilise-pleinement-capacite-dexoneration-continuer-accueillir</t>
        </is>
      </c>
      <c r="AC320" s="25" t="inlineStr">
        <is>
          <t>Open</t>
        </is>
      </c>
      <c r="AD320" s="25" t="inlineStr">
        <is>
          <t>2026-10-01</t>
        </is>
      </c>
      <c r="AE320" s="25" t="inlineStr">
        <is>
          <t>2027-03-15</t>
        </is>
      </c>
      <c r="AF320" s="25" t="inlineStr">
        <is>
          <t>Yes</t>
        </is>
      </c>
      <c r="AG320" s="28" t="inlineStr">
        <is>
          <t>https://polytech.univ-amu.fr/fr/formations/cycle-ingenieur/microelectronique-telecommunications</t>
        </is>
      </c>
      <c r="AH320" s="26" t="inlineStr">
        <is>
          <t>Les informations qui suivent, concernent la candidature en cycle ingénieur (diplôme niveau Bac+5) du réseau Polytech. Les candidatures sont possibles : - en 3ème année (1ère année cycle ingénieur) avec un niveau Bac+2/Ba</t>
        </is>
      </c>
      <c r="AI320" s="28" t="inlineStr">
        <is>
          <t>Open in EEF</t>
        </is>
      </c>
    </row>
    <row r="321" ht="32.8" customHeight="1" s="19">
      <c r="A321" s="25" t="n">
        <v>320</v>
      </c>
      <c r="B321" s="25" t="inlineStr">
        <is>
          <t>★★★★☆</t>
        </is>
      </c>
      <c r="C321" s="25" t="inlineStr">
        <is>
          <t>4 – Strong fit (electronics/signal/robotics/IoT/sensors)</t>
        </is>
      </c>
      <c r="D321" s="25" t="inlineStr">
        <is>
          <t>Robotics / Automation / Mechatronics</t>
        </is>
      </c>
      <c r="E321" s="26" t="inlineStr">
        <is>
          <t>diplôme d'ingénieur de l'Ecole polytechnique universitaire de Savoie de l'université de Chambéry spécialité mécanique mécatronique Matériaux Composites (MECA)</t>
        </is>
      </c>
      <c r="F321" s="26" t="inlineStr">
        <is>
          <t>Engineering diploma of the University Polytechnic School of Savoie of University of Chambéry – specialisation: Mechanics Mechatronics Materials Composites (MECA)</t>
        </is>
      </c>
      <c r="G321" s="25" t="inlineStr">
        <is>
          <t>Diplôme d'ingénieur</t>
        </is>
      </c>
      <c r="H321" s="25" t="inlineStr">
        <is>
          <t>Polytech Annecy-Chambéry</t>
        </is>
      </c>
      <c r="I321" s="25" t="inlineStr">
        <is>
          <t>Groupement Polytech</t>
        </is>
      </c>
      <c r="J321" s="25" t="inlineStr">
        <is>
          <t>Site d'Annecy</t>
        </is>
      </c>
      <c r="K321" s="25" t="n"/>
      <c r="L321" s="25" t="inlineStr">
        <is>
          <t>Public school / institute</t>
        </is>
      </c>
      <c r="M321" s="25" t="inlineStr">
        <is>
          <t>French</t>
        </is>
      </c>
      <c r="N321" s="25" t="inlineStr">
        <is>
          <t>General</t>
        </is>
      </c>
      <c r="O321" s="25" t="inlineStr">
        <is>
          <t>Bac +3 / Bac +4</t>
        </is>
      </c>
      <c r="P321" s="26" t="inlineStr">
        <is>
          <t>Eligible on level (4-yr BS ≈ Bac+4)</t>
        </is>
      </c>
      <c r="Q321" s="25" t="inlineStr">
        <is>
          <t>3/4</t>
        </is>
      </c>
      <c r="R321" s="25" t="inlineStr">
        <is>
          <t>12</t>
        </is>
      </c>
      <c r="S321" s="27" t="n">
        <v>3950</v>
      </c>
      <c r="T321" s="27" t="n">
        <v>628</v>
      </c>
      <c r="U321" s="25" t="n">
        <v>2</v>
      </c>
      <c r="V321" s="27">
        <f>IF(S321="","",S321*U321)</f>
        <v/>
      </c>
      <c r="W321" s="26" t="inlineStr">
        <is>
          <t>Not in catalogue. Public engineering diploma: national rate ~€601-628; many schools charge non-EU up to ~€3,950. Verify.</t>
        </is>
      </c>
      <c r="X321" s="25" t="inlineStr">
        <is>
          <t>Low</t>
        </is>
      </c>
      <c r="Y321" s="25" t="n"/>
      <c r="Z321" s="26" t="n"/>
      <c r="AA321" s="26" t="n"/>
      <c r="AB321" s="25" t="n"/>
      <c r="AC321" s="25" t="inlineStr">
        <is>
          <t>Open</t>
        </is>
      </c>
      <c r="AD321" s="25" t="inlineStr">
        <is>
          <t>2026-10-01</t>
        </is>
      </c>
      <c r="AE321" s="25" t="inlineStr">
        <is>
          <t>2027-03-15</t>
        </is>
      </c>
      <c r="AF321" s="25" t="inlineStr">
        <is>
          <t>Yes</t>
        </is>
      </c>
      <c r="AG321" s="28" t="inlineStr">
        <is>
          <t>https://www.univ-smb.fr/polytech/</t>
        </is>
      </c>
      <c r="AH321" s="26" t="inlineStr">
        <is>
          <t>Les informations qui suivent, concernent la candidature en cycle ingénieur (diplôme niveau Bac+5) du réseau Polytech. Les candidatures sont possibles : - en 3ème année (1ère année cycle ingénieur) avec un niveau Bac+2/Ba</t>
        </is>
      </c>
      <c r="AI321" s="28" t="inlineStr">
        <is>
          <t>Open in EEF</t>
        </is>
      </c>
    </row>
    <row r="322" ht="32.8" customHeight="1" s="19">
      <c r="A322" s="25" t="n">
        <v>321</v>
      </c>
      <c r="B322" s="25" t="inlineStr">
        <is>
          <t>★★★★☆</t>
        </is>
      </c>
      <c r="C322" s="25" t="inlineStr">
        <is>
          <t>4 – Strong fit (electronics/signal/robotics/IoT/sensors)</t>
        </is>
      </c>
      <c r="D322" s="25" t="inlineStr">
        <is>
          <t>Robotics / Automation / Mechatronics</t>
        </is>
      </c>
      <c r="E322" s="26" t="inlineStr">
        <is>
          <t>diplôme d'ingénieur de l'Ecole polytechnique universitaire de Savoie de l'université de Chambéry spécialité mécanique mécatronique Matériaux Composites (MECA)</t>
        </is>
      </c>
      <c r="F322" s="26" t="inlineStr">
        <is>
          <t>Engineering diploma of the University Polytechnic School of Savoie of University of Chambéry – specialisation: Mechanics Mechatronics Materials Composites (MECA)</t>
        </is>
      </c>
      <c r="G322" s="25" t="inlineStr">
        <is>
          <t>Diplôme d'ingénieur</t>
        </is>
      </c>
      <c r="H322" s="25" t="inlineStr">
        <is>
          <t>Polytech Annecy-Chambéry</t>
        </is>
      </c>
      <c r="I322" s="25" t="inlineStr">
        <is>
          <t>Groupement Polytech</t>
        </is>
      </c>
      <c r="J322" s="25" t="inlineStr">
        <is>
          <t>Site de Chambéry</t>
        </is>
      </c>
      <c r="K322" s="25" t="n"/>
      <c r="L322" s="25" t="inlineStr">
        <is>
          <t>Public school / institute</t>
        </is>
      </c>
      <c r="M322" s="25" t="inlineStr">
        <is>
          <t>French</t>
        </is>
      </c>
      <c r="N322" s="25" t="inlineStr">
        <is>
          <t>General</t>
        </is>
      </c>
      <c r="O322" s="25" t="inlineStr">
        <is>
          <t>Bac +3 / Bac +4</t>
        </is>
      </c>
      <c r="P322" s="26" t="inlineStr">
        <is>
          <t>Eligible on level (4-yr BS ≈ Bac+4)</t>
        </is>
      </c>
      <c r="Q322" s="25" t="inlineStr">
        <is>
          <t>3/4</t>
        </is>
      </c>
      <c r="R322" s="25" t="inlineStr">
        <is>
          <t>12</t>
        </is>
      </c>
      <c r="S322" s="27" t="n">
        <v>3950</v>
      </c>
      <c r="T322" s="27" t="n">
        <v>628</v>
      </c>
      <c r="U322" s="25" t="n">
        <v>2</v>
      </c>
      <c r="V322" s="27">
        <f>IF(S322="","",S322*U322)</f>
        <v/>
      </c>
      <c r="W322" s="26" t="inlineStr">
        <is>
          <t>Not in catalogue. Public engineering diploma: national rate ~€601-628; many schools charge non-EU up to ~€3,950. Verify.</t>
        </is>
      </c>
      <c r="X322" s="25" t="inlineStr">
        <is>
          <t>Low</t>
        </is>
      </c>
      <c r="Y322" s="25" t="n"/>
      <c r="Z322" s="26" t="n"/>
      <c r="AA322" s="26" t="n"/>
      <c r="AB322" s="25" t="n"/>
      <c r="AC322" s="25" t="inlineStr">
        <is>
          <t>Open</t>
        </is>
      </c>
      <c r="AD322" s="25" t="inlineStr">
        <is>
          <t>2026-10-01</t>
        </is>
      </c>
      <c r="AE322" s="25" t="inlineStr">
        <is>
          <t>2027-03-15</t>
        </is>
      </c>
      <c r="AF322" s="25" t="inlineStr">
        <is>
          <t>Yes</t>
        </is>
      </c>
      <c r="AG322" s="28" t="inlineStr">
        <is>
          <t>https://www.univ-smb.fr/polytech/</t>
        </is>
      </c>
      <c r="AH322" s="26" t="inlineStr">
        <is>
          <t>Les informations qui suivent, concernent la candidature en cycle ingénieur (diplôme niveau Bac+5) du réseau Polytech. Les candidatures sont possibles : - en 3ème année (1ère année cycle ingénieur) avec un niveau Bac+2/Ba</t>
        </is>
      </c>
      <c r="AI322" s="28" t="inlineStr">
        <is>
          <t>Open in EEF</t>
        </is>
      </c>
    </row>
    <row r="323" ht="22.35" customHeight="1" s="19">
      <c r="A323" s="25" t="n">
        <v>322</v>
      </c>
      <c r="B323" s="25" t="inlineStr">
        <is>
          <t>★★★★☆</t>
        </is>
      </c>
      <c r="C323" s="25" t="inlineStr">
        <is>
          <t>4 – Strong fit (electronics/signal/robotics/IoT/sensors)</t>
        </is>
      </c>
      <c r="D323" s="25" t="inlineStr">
        <is>
          <t>Embedded systems / Electronics</t>
        </is>
      </c>
      <c r="E323" s="26" t="inlineStr">
        <is>
          <t>diplôme d'ingénieur de l'Institut national des sciences appliquées de Rennes spécialité Électronique</t>
        </is>
      </c>
      <c r="F323" s="26" t="inlineStr">
        <is>
          <t>Engineering diploma of INSA of Rennes – specialisation: Electronics</t>
        </is>
      </c>
      <c r="G323" s="25" t="inlineStr">
        <is>
          <t>Diplôme d'ingénieur</t>
        </is>
      </c>
      <c r="H323" s="25" t="inlineStr">
        <is>
          <t>Institut national des sciences appliquées de Rennes</t>
        </is>
      </c>
      <c r="I323" s="25" t="n"/>
      <c r="J323" s="25" t="inlineStr">
        <is>
          <t>Site de Rennes</t>
        </is>
      </c>
      <c r="K323" s="25" t="n"/>
      <c r="L323" s="25" t="inlineStr">
        <is>
          <t>Public school / institute</t>
        </is>
      </c>
      <c r="M323" s="25" t="inlineStr">
        <is>
          <t>French</t>
        </is>
      </c>
      <c r="N323" s="25" t="inlineStr">
        <is>
          <t>General</t>
        </is>
      </c>
      <c r="O323" s="25" t="inlineStr">
        <is>
          <t>Bac +3</t>
        </is>
      </c>
      <c r="P323" s="26" t="inlineStr">
        <is>
          <t>Eligible on level (4-yr BS ≈ Bac+4)</t>
        </is>
      </c>
      <c r="Q323" s="25" t="inlineStr">
        <is>
          <t>1</t>
        </is>
      </c>
      <c r="R323" s="25" t="n"/>
      <c r="S323" s="27" t="n">
        <v>3950</v>
      </c>
      <c r="T323" s="27" t="n">
        <v>628</v>
      </c>
      <c r="U323" s="25" t="n">
        <v>2</v>
      </c>
      <c r="V323" s="27">
        <f>IF(S323="","",S323*U323)</f>
        <v/>
      </c>
      <c r="W323" s="26" t="inlineStr">
        <is>
          <t>Not in catalogue. Public engineering diploma: national rate ~€601-628; many schools charge non-EU up to ~€3,950. Verify.</t>
        </is>
      </c>
      <c r="X323" s="25" t="inlineStr">
        <is>
          <t>Low</t>
        </is>
      </c>
      <c r="Y323" s="25" t="n"/>
      <c r="Z323" s="26" t="n"/>
      <c r="AA323" s="26" t="n"/>
      <c r="AB323" s="25" t="n"/>
      <c r="AC323" s="25" t="inlineStr">
        <is>
          <t>Open</t>
        </is>
      </c>
      <c r="AD323" s="25" t="inlineStr">
        <is>
          <t>2026-10-01</t>
        </is>
      </c>
      <c r="AE323" s="25" t="inlineStr">
        <is>
          <t>2027-03-15</t>
        </is>
      </c>
      <c r="AF323" s="25" t="inlineStr">
        <is>
          <t>Yes</t>
        </is>
      </c>
      <c r="AG323" s="28" t="inlineStr">
        <is>
          <t>http://www.insa-rennes.fr</t>
        </is>
      </c>
      <c r="AH323" s="26" t="n"/>
      <c r="AI323" s="28" t="inlineStr">
        <is>
          <t>Open in EEF</t>
        </is>
      </c>
    </row>
    <row r="324" ht="22.35" customHeight="1" s="19">
      <c r="A324" s="25" t="n">
        <v>323</v>
      </c>
      <c r="B324" s="25" t="inlineStr">
        <is>
          <t>★★★★☆</t>
        </is>
      </c>
      <c r="C324" s="25" t="inlineStr">
        <is>
          <t>4 – Strong fit (electronics/signal/robotics/IoT/sensors)</t>
        </is>
      </c>
      <c r="D324" s="25" t="inlineStr">
        <is>
          <t>Electrical energy</t>
        </is>
      </c>
      <c r="E324" s="26" t="inlineStr">
        <is>
          <t>diplôme d'ingénieur de l'Institut national des sciences appliquées de Strasbourg spécialité génie électrique</t>
        </is>
      </c>
      <c r="F324" s="26" t="inlineStr">
        <is>
          <t>Engineering diploma of INSA of Strasbourg – specialisation: Electrical Engineering</t>
        </is>
      </c>
      <c r="G324" s="25" t="inlineStr">
        <is>
          <t>Diplôme d'ingénieur</t>
        </is>
      </c>
      <c r="H324" s="25" t="inlineStr">
        <is>
          <t>Institut national des sciences appliquées de Strasbourg</t>
        </is>
      </c>
      <c r="I324" s="25" t="n"/>
      <c r="J324" s="25" t="inlineStr">
        <is>
          <t>Site de Strasbourg</t>
        </is>
      </c>
      <c r="K324" s="25" t="n"/>
      <c r="L324" s="25" t="inlineStr">
        <is>
          <t>Public school / institute</t>
        </is>
      </c>
      <c r="M324" s="25" t="inlineStr">
        <is>
          <t>French</t>
        </is>
      </c>
      <c r="N324" s="25" t="inlineStr">
        <is>
          <t>General</t>
        </is>
      </c>
      <c r="O324" s="25" t="inlineStr">
        <is>
          <t>Bac +2 / Bac +3 / Bac +4</t>
        </is>
      </c>
      <c r="P324" s="26" t="inlineStr">
        <is>
          <t>Eligible on level (4-yr BS ≈ Bac+4)</t>
        </is>
      </c>
      <c r="Q324" s="25" t="inlineStr">
        <is>
          <t>2/3/4</t>
        </is>
      </c>
      <c r="R324" s="25" t="n"/>
      <c r="S324" s="27" t="n">
        <v>3950</v>
      </c>
      <c r="T324" s="27" t="n">
        <v>628</v>
      </c>
      <c r="U324" s="25" t="n">
        <v>2</v>
      </c>
      <c r="V324" s="27">
        <f>IF(S324="","",S324*U324)</f>
        <v/>
      </c>
      <c r="W324" s="26" t="inlineStr">
        <is>
          <t>Not in catalogue. Public engineering diploma: national rate ~€601-628; many schools charge non-EU up to ~€3,950. Verify.</t>
        </is>
      </c>
      <c r="X324" s="25" t="inlineStr">
        <is>
          <t>Low</t>
        </is>
      </c>
      <c r="Y324" s="25" t="n"/>
      <c r="Z324" s="26" t="n"/>
      <c r="AA324" s="26" t="inlineStr">
        <is>
          <t>Unistra: master entrants who did not do their licence at Unistra pay the differentiated fee (€3,950).</t>
        </is>
      </c>
      <c r="AB324" s="28" t="inlineStr">
        <is>
          <t>https://www.unistra.fr/fr/node/8168</t>
        </is>
      </c>
      <c r="AC324" s="25" t="inlineStr">
        <is>
          <t>Open</t>
        </is>
      </c>
      <c r="AD324" s="25" t="inlineStr">
        <is>
          <t>2026-10-01</t>
        </is>
      </c>
      <c r="AE324" s="25" t="inlineStr">
        <is>
          <t>2027-03-15</t>
        </is>
      </c>
      <c r="AF324" s="25" t="inlineStr">
        <is>
          <t>Yes</t>
        </is>
      </c>
      <c r="AG324" s="28" t="inlineStr">
        <is>
          <t>https://www.insa-strasbourg.fr/fr/candidats/</t>
        </is>
      </c>
      <c r="AH324" s="26" t="n"/>
      <c r="AI324" s="28" t="inlineStr">
        <is>
          <t>Open in EEF</t>
        </is>
      </c>
    </row>
    <row r="325" ht="22.35" customHeight="1" s="19">
      <c r="A325" s="25" t="n">
        <v>324</v>
      </c>
      <c r="B325" s="25" t="inlineStr">
        <is>
          <t>★★★★☆</t>
        </is>
      </c>
      <c r="C325" s="25" t="inlineStr">
        <is>
          <t>4 – Strong fit (electronics/signal/robotics/IoT/sensors)</t>
        </is>
      </c>
      <c r="D325" s="25" t="inlineStr">
        <is>
          <t>Robotics / Automation / Mechatronics</t>
        </is>
      </c>
      <c r="E325" s="26" t="inlineStr">
        <is>
          <t>diplôme d'ingénieur de l'Institut national des sciences appliquées de Strasbourg spécialité mécatronique</t>
        </is>
      </c>
      <c r="F325" s="26" t="inlineStr">
        <is>
          <t>Engineering diploma of INSA of Strasbourg – specialisation: Mechatronics</t>
        </is>
      </c>
      <c r="G325" s="25" t="inlineStr">
        <is>
          <t>Diplôme d'ingénieur</t>
        </is>
      </c>
      <c r="H325" s="25" t="inlineStr">
        <is>
          <t>Institut national des sciences appliquées de Strasbourg</t>
        </is>
      </c>
      <c r="I325" s="25" t="n"/>
      <c r="J325" s="25" t="inlineStr">
        <is>
          <t>Site de Strasbourg</t>
        </is>
      </c>
      <c r="K325" s="25" t="n"/>
      <c r="L325" s="25" t="inlineStr">
        <is>
          <t>Public school / institute</t>
        </is>
      </c>
      <c r="M325" s="25" t="inlineStr">
        <is>
          <t>French</t>
        </is>
      </c>
      <c r="N325" s="25" t="inlineStr">
        <is>
          <t>General</t>
        </is>
      </c>
      <c r="O325" s="25" t="inlineStr">
        <is>
          <t>Bac +2 / Bac +3 / Bac +4</t>
        </is>
      </c>
      <c r="P325" s="26" t="inlineStr">
        <is>
          <t>Eligible on level (4-yr BS ≈ Bac+4)</t>
        </is>
      </c>
      <c r="Q325" s="25" t="inlineStr">
        <is>
          <t>2/3/4</t>
        </is>
      </c>
      <c r="R325" s="25" t="n"/>
      <c r="S325" s="27" t="n">
        <v>3950</v>
      </c>
      <c r="T325" s="27" t="n">
        <v>628</v>
      </c>
      <c r="U325" s="25" t="n">
        <v>2</v>
      </c>
      <c r="V325" s="27">
        <f>IF(S325="","",S325*U325)</f>
        <v/>
      </c>
      <c r="W325" s="26" t="inlineStr">
        <is>
          <t>Not in catalogue. Public engineering diploma: national rate ~€601-628; many schools charge non-EU up to ~€3,950. Verify.</t>
        </is>
      </c>
      <c r="X325" s="25" t="inlineStr">
        <is>
          <t>Low</t>
        </is>
      </c>
      <c r="Y325" s="25" t="n"/>
      <c r="Z325" s="26" t="n"/>
      <c r="AA325" s="26" t="inlineStr">
        <is>
          <t>Unistra: master entrants who did not do their licence at Unistra pay the differentiated fee (€3,950).</t>
        </is>
      </c>
      <c r="AB325" s="28" t="inlineStr">
        <is>
          <t>https://www.unistra.fr/fr/node/8168</t>
        </is>
      </c>
      <c r="AC325" s="25" t="inlineStr">
        <is>
          <t>Open</t>
        </is>
      </c>
      <c r="AD325" s="25" t="inlineStr">
        <is>
          <t>2026-10-01</t>
        </is>
      </c>
      <c r="AE325" s="25" t="inlineStr">
        <is>
          <t>2027-03-15</t>
        </is>
      </c>
      <c r="AF325" s="25" t="inlineStr">
        <is>
          <t>Yes</t>
        </is>
      </c>
      <c r="AG325" s="28" t="inlineStr">
        <is>
          <t>https://www.insa-strasbourg.fr/fr/candidats/</t>
        </is>
      </c>
      <c r="AH325" s="26" t="n"/>
      <c r="AI325" s="28" t="inlineStr">
        <is>
          <t>Open in EEF</t>
        </is>
      </c>
    </row>
    <row r="326" ht="43.25" customHeight="1" s="19">
      <c r="A326" s="25" t="n">
        <v>325</v>
      </c>
      <c r="B326" s="25" t="inlineStr">
        <is>
          <t>★★★★☆</t>
        </is>
      </c>
      <c r="C326" s="25" t="inlineStr">
        <is>
          <t>4 – Strong fit (electronics/signal/robotics/IoT/sensors)</t>
        </is>
      </c>
      <c r="D326" s="25" t="inlineStr">
        <is>
          <t>Embedded systems / Electronics</t>
        </is>
      </c>
      <c r="E326" s="26" t="inlineStr">
        <is>
          <t>diplôme d'ingénieur de l'Institut polytechnique de Grenoble - Ecole nationale supérieure de physique électronique et matériaux</t>
        </is>
      </c>
      <c r="F326" s="26" t="inlineStr">
        <is>
          <t>Engineering diploma of Institute polytechnique of Grenoble - National Graduate School of Physics Electronics &amp; Materials</t>
        </is>
      </c>
      <c r="G326" s="25" t="inlineStr">
        <is>
          <t>Diplôme d'ingénieur</t>
        </is>
      </c>
      <c r="H326" s="25" t="inlineStr">
        <is>
          <t>Ecole nationale supérieure de physique, électronique, matériaux - Grenoble INP</t>
        </is>
      </c>
      <c r="I326" s="25" t="inlineStr">
        <is>
          <t>Grenoble INP</t>
        </is>
      </c>
      <c r="J326" s="25" t="inlineStr">
        <is>
          <t>Site de Grenoble</t>
        </is>
      </c>
      <c r="K326" s="25" t="n"/>
      <c r="L326" s="25" t="inlineStr">
        <is>
          <t>Public school / institute</t>
        </is>
      </c>
      <c r="M326" s="25" t="inlineStr">
        <is>
          <t>French</t>
        </is>
      </c>
      <c r="N326" s="25" t="inlineStr">
        <is>
          <t>General</t>
        </is>
      </c>
      <c r="O326" s="25" t="inlineStr">
        <is>
          <t>Bac +3 / Bac +4</t>
        </is>
      </c>
      <c r="P326" s="26" t="inlineStr">
        <is>
          <t>Eligible on level (4-yr BS ≈ Bac+4)</t>
        </is>
      </c>
      <c r="Q326" s="25" t="inlineStr">
        <is>
          <t>1/2</t>
        </is>
      </c>
      <c r="R326" s="25" t="n"/>
      <c r="S326" s="27" t="n">
        <v>3950</v>
      </c>
      <c r="T326" s="27" t="n">
        <v>628</v>
      </c>
      <c r="U326" s="25" t="n">
        <v>2</v>
      </c>
      <c r="V326" s="27">
        <f>IF(S326="","",S326*U326)</f>
        <v/>
      </c>
      <c r="W326" s="26" t="inlineStr">
        <is>
          <t>Not in catalogue. Public engineering diploma: national rate ~€601-628; many schools charge non-EU up to ~€3,950. Verify.</t>
        </is>
      </c>
      <c r="X326" s="25" t="inlineStr">
        <is>
          <t>Low</t>
        </is>
      </c>
      <c r="Y326" s="25" t="n"/>
      <c r="Z326" s="26" t="inlineStr">
        <is>
          <t>A SAVOIR : Une participation de 100 euros est demandée pour tout dépôt de candidatures en c … fr/fr/formation/admission A SAVOIR : Une participation de 100 euros est demandée pour tout dépôt de candidatures en c</t>
        </is>
      </c>
      <c r="AA326" s="26" t="inlineStr">
        <is>
          <t>UGA (incl. Grenoble INP masters): 2026-27 broad exemptions on request (pay national €254). From 2027-28 the decree caps apply; exemptions based on resources.</t>
        </is>
      </c>
      <c r="AB326" s="28" t="inlineStr">
        <is>
          <t>https://www.univ-grenoble-alpes.fr/actualites/a-la-une/actualites-universite/etudiants-internationaux-ce-que-change-le-nouveau-decret-sur-les-droits-d-inscription-a-l-uga-1775870.kjsp</t>
        </is>
      </c>
      <c r="AC326" s="25" t="inlineStr">
        <is>
          <t>Open</t>
        </is>
      </c>
      <c r="AD326" s="25" t="inlineStr">
        <is>
          <t>2026-10-01</t>
        </is>
      </c>
      <c r="AE326" s="25" t="inlineStr">
        <is>
          <t>2027-03-15</t>
        </is>
      </c>
      <c r="AF326" s="25" t="inlineStr">
        <is>
          <t>Yes</t>
        </is>
      </c>
      <c r="AG326" s="28" t="inlineStr">
        <is>
          <t>https://phelma.grenoble-inp.fr/fr/formation/admission</t>
        </is>
      </c>
      <c r="AH326" s="26" t="inlineStr">
        <is>
          <t>***PAGE EN COURS D'ACTUALISATION POUR LA RENTREE UNIVERSITAIRE 2027- 2028 **** (PAGE CURRENTLY BEING UPDATED FOR THE 2027–2028 ACADEMIC YEAR) Avant de candidater, il est important de vérifier le coût de la formation et l</t>
        </is>
      </c>
      <c r="AI326" s="28" t="inlineStr">
        <is>
          <t>Open in EEF</t>
        </is>
      </c>
    </row>
    <row r="327" ht="22.35" customHeight="1" s="19">
      <c r="A327" s="25" t="n">
        <v>326</v>
      </c>
      <c r="B327" s="25" t="inlineStr">
        <is>
          <t>★★★★☆</t>
        </is>
      </c>
      <c r="C327" s="25" t="inlineStr">
        <is>
          <t>4 – Strong fit (electronics/signal/robotics/IoT/sensors)</t>
        </is>
      </c>
      <c r="D327" s="25" t="inlineStr">
        <is>
          <t>Embedded systems / Electronics</t>
        </is>
      </c>
      <c r="E327" s="26" t="inlineStr">
        <is>
          <t>diplôme d'ingénieur de l'Institut supérieur de l'électronique et du numérique de Brest</t>
        </is>
      </c>
      <c r="F327" s="26" t="inlineStr">
        <is>
          <t>Engineering diploma of Institute Higher of Electronics &amp; of Digital of Brest</t>
        </is>
      </c>
      <c r="G327" s="25" t="inlineStr">
        <is>
          <t>Diplôme d'ingénieur</t>
        </is>
      </c>
      <c r="H327" s="25" t="inlineStr">
        <is>
          <t>Institut des techniques d'ingénieur de l'industrie de Bretagne</t>
        </is>
      </c>
      <c r="I327" s="25" t="n"/>
      <c r="J327" s="25" t="inlineStr">
        <is>
          <t>Site de Plérin</t>
        </is>
      </c>
      <c r="K327" s="25" t="n"/>
      <c r="L327" s="25" t="inlineStr">
        <is>
          <t>Public school / institute</t>
        </is>
      </c>
      <c r="M327" s="25" t="inlineStr">
        <is>
          <t>French</t>
        </is>
      </c>
      <c r="N327" s="25" t="inlineStr">
        <is>
          <t>General</t>
        </is>
      </c>
      <c r="O327" s="25" t="inlineStr">
        <is>
          <t>Bac +3 / Bac +4</t>
        </is>
      </c>
      <c r="P327" s="26" t="inlineStr">
        <is>
          <t>Eligible on level (4-yr BS ≈ Bac+4)</t>
        </is>
      </c>
      <c r="Q327" s="25" t="inlineStr">
        <is>
          <t>1/2</t>
        </is>
      </c>
      <c r="R327" s="25" t="n"/>
      <c r="S327" s="27" t="n">
        <v>3950</v>
      </c>
      <c r="T327" s="27" t="n">
        <v>628</v>
      </c>
      <c r="U327" s="25" t="n">
        <v>2</v>
      </c>
      <c r="V327" s="27">
        <f>IF(S327="","",S327*U327)</f>
        <v/>
      </c>
      <c r="W327" s="26" t="inlineStr">
        <is>
          <t>Not in catalogue. Public engineering diploma: national rate ~€601-628; many schools charge non-EU up to ~€3,950. Verify.</t>
        </is>
      </c>
      <c r="X327" s="25" t="inlineStr">
        <is>
          <t>Low</t>
        </is>
      </c>
      <c r="Y327" s="25" t="n"/>
      <c r="Z327" s="26" t="n"/>
      <c r="AA327" s="26" t="n"/>
      <c r="AB327" s="25" t="n"/>
      <c r="AC327" s="25" t="inlineStr">
        <is>
          <t>Closed</t>
        </is>
      </c>
      <c r="AD327" s="25" t="n"/>
      <c r="AE327" s="25" t="n"/>
      <c r="AF327" s="25" t="inlineStr">
        <is>
          <t>No</t>
        </is>
      </c>
      <c r="AG327" s="28" t="inlineStr">
        <is>
          <t>http://www.itiibretagne.fr</t>
        </is>
      </c>
      <c r="AH327" s="26" t="n"/>
      <c r="AI327" s="28" t="inlineStr">
        <is>
          <t>Open in EEF</t>
        </is>
      </c>
    </row>
    <row r="328" ht="32.8" customHeight="1" s="19">
      <c r="A328" s="25" t="n">
        <v>327</v>
      </c>
      <c r="B328" s="25" t="inlineStr">
        <is>
          <t>★★★★☆</t>
        </is>
      </c>
      <c r="C328" s="25" t="inlineStr">
        <is>
          <t>4 – Strong fit (electronics/signal/robotics/IoT/sensors)</t>
        </is>
      </c>
      <c r="D328" s="25" t="inlineStr">
        <is>
          <t>Robotics / Automation / Mechatronics</t>
        </is>
      </c>
      <c r="E328" s="26" t="inlineStr">
        <is>
          <t>diplôme d'ingénieur de Polytech Angers de l'université d'Angers spécialité Automatique et Informatique : Systèmes automatisés et génie informatique (SAGI)</t>
        </is>
      </c>
      <c r="F328" s="26" t="inlineStr">
        <is>
          <t>Engineering diploma of Polytech Angers of University d'Angers – specialisation: Automation &amp; Computer Science : Systems Automated &amp; Engineering Computer Science (SAGI)</t>
        </is>
      </c>
      <c r="G328" s="25" t="inlineStr">
        <is>
          <t>Diplôme d'ingénieur</t>
        </is>
      </c>
      <c r="H328" s="25" t="inlineStr">
        <is>
          <t>Polytech Angers</t>
        </is>
      </c>
      <c r="I328" s="25" t="inlineStr">
        <is>
          <t>Groupement Polytech</t>
        </is>
      </c>
      <c r="J328" s="25" t="inlineStr">
        <is>
          <t>Campus Belle-Beille</t>
        </is>
      </c>
      <c r="K328" s="25" t="n"/>
      <c r="L328" s="25" t="inlineStr">
        <is>
          <t>Public school / institute</t>
        </is>
      </c>
      <c r="M328" s="25" t="inlineStr">
        <is>
          <t>French</t>
        </is>
      </c>
      <c r="N328" s="25" t="inlineStr">
        <is>
          <t>General</t>
        </is>
      </c>
      <c r="O328" s="25" t="inlineStr">
        <is>
          <t>Bac +3 / Bac +4</t>
        </is>
      </c>
      <c r="P328" s="26" t="inlineStr">
        <is>
          <t>Eligible on level (4-yr BS ≈ Bac+4)</t>
        </is>
      </c>
      <c r="Q328" s="25" t="inlineStr">
        <is>
          <t>3/4</t>
        </is>
      </c>
      <c r="R328" s="25" t="inlineStr">
        <is>
          <t>12</t>
        </is>
      </c>
      <c r="S328" s="27" t="n">
        <v>3950</v>
      </c>
      <c r="T328" s="27" t="n">
        <v>628</v>
      </c>
      <c r="U328" s="25" t="n">
        <v>2</v>
      </c>
      <c r="V328" s="27">
        <f>IF(S328="","",S328*U328)</f>
        <v/>
      </c>
      <c r="W328" s="26" t="inlineStr">
        <is>
          <t>Not in catalogue. Public engineering diploma: national rate ~€601-628; many schools charge non-EU up to ~€3,950. Verify.</t>
        </is>
      </c>
      <c r="X328" s="25" t="inlineStr">
        <is>
          <t>Low</t>
        </is>
      </c>
      <c r="Y328" s="25" t="n"/>
      <c r="Z328" s="26" t="n"/>
      <c r="AA328" s="26" t="n"/>
      <c r="AB328" s="25" t="n"/>
      <c r="AC328" s="25" t="inlineStr">
        <is>
          <t>Open</t>
        </is>
      </c>
      <c r="AD328" s="25" t="inlineStr">
        <is>
          <t>2026-10-01</t>
        </is>
      </c>
      <c r="AE328" s="25" t="inlineStr">
        <is>
          <t>2027-03-15</t>
        </is>
      </c>
      <c r="AF328" s="25" t="inlineStr">
        <is>
          <t>Yes</t>
        </is>
      </c>
      <c r="AG328" s="28" t="inlineStr">
        <is>
          <t>http://www.polytech-angers.fr</t>
        </is>
      </c>
      <c r="AH328" s="26" t="inlineStr">
        <is>
          <t>Les informations qui suivent, concernent la candidature en cycle ingénieur (diplôme niveau Bac+5) du réseau Polytech. Les candidatures sont possibles : - en 3ème année (1ère année cycle ingénieur) avec un niveau Bac+2/Ba</t>
        </is>
      </c>
      <c r="AI328" s="28" t="inlineStr">
        <is>
          <t>Open in EEF</t>
        </is>
      </c>
    </row>
    <row r="329" ht="32.8" customHeight="1" s="19">
      <c r="A329" s="25" t="n">
        <v>328</v>
      </c>
      <c r="B329" s="25" t="inlineStr">
        <is>
          <t>★★★★☆</t>
        </is>
      </c>
      <c r="C329" s="25" t="inlineStr">
        <is>
          <t>4 – Strong fit (electronics/signal/robotics/IoT/sensors)</t>
        </is>
      </c>
      <c r="D329" s="25" t="inlineStr">
        <is>
          <t>Robotics / Automation / Mechatronics</t>
        </is>
      </c>
      <c r="E329" s="26" t="inlineStr">
        <is>
          <t>Diplôme d Ingénieur de Polytech Dijon de l Université de Dijon spécialité Robotique et Instrumentation - Polytech Dijon</t>
        </is>
      </c>
      <c r="F329" s="26" t="inlineStr">
        <is>
          <t>Diplôme d Engineer of Polytech Dijon of l University of Dijon – specialisation: Robotics &amp; Instrumentation - Polytech Dijon</t>
        </is>
      </c>
      <c r="G329" s="25" t="inlineStr">
        <is>
          <t>Diplôme d'ingénieur</t>
        </is>
      </c>
      <c r="H329" s="25" t="inlineStr">
        <is>
          <t>Polytech Dijon</t>
        </is>
      </c>
      <c r="I329" s="25" t="inlineStr">
        <is>
          <t>Groupement Polytech</t>
        </is>
      </c>
      <c r="J329" s="25" t="inlineStr">
        <is>
          <t>Campus Le Creusot</t>
        </is>
      </c>
      <c r="K329" s="25" t="n"/>
      <c r="L329" s="25" t="inlineStr">
        <is>
          <t>Public school / institute</t>
        </is>
      </c>
      <c r="M329" s="25" t="inlineStr">
        <is>
          <t>French</t>
        </is>
      </c>
      <c r="N329" s="25" t="inlineStr">
        <is>
          <t>General</t>
        </is>
      </c>
      <c r="O329" s="25" t="inlineStr">
        <is>
          <t>Bac +3 / Bac +4</t>
        </is>
      </c>
      <c r="P329" s="26" t="inlineStr">
        <is>
          <t>Eligible on level (4-yr BS ≈ Bac+4)</t>
        </is>
      </c>
      <c r="Q329" s="25" t="inlineStr">
        <is>
          <t>3/4</t>
        </is>
      </c>
      <c r="R329" s="25" t="inlineStr">
        <is>
          <t>36/24</t>
        </is>
      </c>
      <c r="S329" s="27" t="n">
        <v>3950</v>
      </c>
      <c r="T329" s="27" t="n">
        <v>628</v>
      </c>
      <c r="U329" s="25" t="n">
        <v>2</v>
      </c>
      <c r="V329" s="27">
        <f>IF(S329="","",S329*U329)</f>
        <v/>
      </c>
      <c r="W329" s="26" t="inlineStr">
        <is>
          <t>Not in catalogue. Public engineering diploma: national rate ~€601-628; many schools charge non-EU up to ~€3,950. Verify.</t>
        </is>
      </c>
      <c r="X329" s="25" t="inlineStr">
        <is>
          <t>Low</t>
        </is>
      </c>
      <c r="Y329" s="25" t="n"/>
      <c r="Z329" s="26" t="n"/>
      <c r="AA329" s="26" t="n"/>
      <c r="AB329" s="25" t="n"/>
      <c r="AC329" s="25" t="inlineStr">
        <is>
          <t>Open</t>
        </is>
      </c>
      <c r="AD329" s="25" t="inlineStr">
        <is>
          <t>2026-10-01</t>
        </is>
      </c>
      <c r="AE329" s="25" t="inlineStr">
        <is>
          <t>2027-03-15</t>
        </is>
      </c>
      <c r="AF329" s="25" t="inlineStr">
        <is>
          <t>Yes</t>
        </is>
      </c>
      <c r="AG329" s="28" t="inlineStr">
        <is>
          <t>https://polytech.u-bourgogne.fr/robotique-cobotique</t>
        </is>
      </c>
      <c r="AH329" s="26" t="inlineStr">
        <is>
          <t>Les informations qui suivent concernent la candidature en cycle ingénieur (diplôme niveau BAC+5). Le niveau minimal de formation des candidats requis pour l'entrée dans la spécialité Robotique et Instrumentation est : -</t>
        </is>
      </c>
      <c r="AI329" s="28" t="inlineStr">
        <is>
          <t>Open in EEF</t>
        </is>
      </c>
    </row>
    <row r="330" ht="32.8" customHeight="1" s="19">
      <c r="A330" s="25" t="n">
        <v>329</v>
      </c>
      <c r="B330" s="25" t="inlineStr">
        <is>
          <t>★★★★☆</t>
        </is>
      </c>
      <c r="C330" s="25" t="inlineStr">
        <is>
          <t>4 – Strong fit (electronics/signal/robotics/IoT/sensors)</t>
        </is>
      </c>
      <c r="D330" s="25" t="inlineStr">
        <is>
          <t>IoT / Telecom / Networks</t>
        </is>
      </c>
      <c r="E330" s="26" t="inlineStr">
        <is>
          <t>Diplôme d'ingénieur de spécialité IMT Nord Europe : Télécommunication et Informatique</t>
        </is>
      </c>
      <c r="F330" s="26" t="inlineStr">
        <is>
          <t>Engineering diploma of – specialisation: IMT Nord Europe : Telecommunication &amp; Computer Science</t>
        </is>
      </c>
      <c r="G330" s="25" t="inlineStr">
        <is>
          <t>Diplôme d'ingénieur</t>
        </is>
      </c>
      <c r="H330" s="25" t="inlineStr">
        <is>
          <t>IMT Nord Europe</t>
        </is>
      </c>
      <c r="I330" s="25" t="inlineStr">
        <is>
          <t>IMT Lille Douai</t>
        </is>
      </c>
      <c r="J330" s="25" t="inlineStr">
        <is>
          <t>IMT Nord Europe - Villeneuve d'Ascq Campus</t>
        </is>
      </c>
      <c r="K330" s="25" t="n"/>
      <c r="L330" s="25" t="inlineStr">
        <is>
          <t>Public school / institute</t>
        </is>
      </c>
      <c r="M330" s="25" t="inlineStr">
        <is>
          <t>French</t>
        </is>
      </c>
      <c r="N330" s="25" t="inlineStr">
        <is>
          <t>General</t>
        </is>
      </c>
      <c r="O330" s="25" t="inlineStr">
        <is>
          <t>Bac +3</t>
        </is>
      </c>
      <c r="P330" s="26" t="inlineStr">
        <is>
          <t>Eligible on level (4-yr BS ≈ Bac+4)</t>
        </is>
      </c>
      <c r="Q330" s="25" t="inlineStr">
        <is>
          <t>1</t>
        </is>
      </c>
      <c r="R330" s="25" t="n"/>
      <c r="S330" s="27" t="n">
        <v>3950</v>
      </c>
      <c r="T330" s="27" t="n">
        <v>628</v>
      </c>
      <c r="U330" s="25" t="n">
        <v>2</v>
      </c>
      <c r="V330" s="27">
        <f>IF(S330="","",S330*U330)</f>
        <v/>
      </c>
      <c r="W330" s="26" t="inlineStr">
        <is>
          <t>Not in catalogue. Public engineering diploma: national rate ~€601-628; many schools charge non-EU up to ~€3,950. Verify.</t>
        </is>
      </c>
      <c r="X330" s="25" t="inlineStr">
        <is>
          <t>Low</t>
        </is>
      </c>
      <c r="Y330" s="25" t="n"/>
      <c r="Z330" s="26" t="inlineStr">
        <is>
          <t>Les frais de dossier s’élèvent à 77 € pour la 1ère formation demandée et 22 € par formation supplémentaire (respectivement 22 € … et 11 € pour les candidats boursiers)</t>
        </is>
      </c>
      <c r="AA330" s="26" t="n"/>
      <c r="AB330" s="25" t="n"/>
      <c r="AC330" s="25" t="inlineStr">
        <is>
          <t>Open</t>
        </is>
      </c>
      <c r="AD330" s="25" t="inlineStr">
        <is>
          <t>2026-10-01</t>
        </is>
      </c>
      <c r="AE330" s="25" t="inlineStr">
        <is>
          <t>2027-03-15</t>
        </is>
      </c>
      <c r="AF330" s="25" t="inlineStr">
        <is>
          <t>No</t>
        </is>
      </c>
      <c r="AG330" s="28" t="inlineStr">
        <is>
          <t>https://imt-nord-europe.fr/annuaire-formations/telecommunications-et-informatique/</t>
        </is>
      </c>
      <c r="AH330" s="26" t="inlineStr">
        <is>
          <t>Les formations IMT Nord Europe sont ouvertes aux candidats ayant un diplôme ou un niveau BAC+2 : DUT, BTS, Licence, prépa ATS et Classe préparatoires aux grandes Ecoles.</t>
        </is>
      </c>
      <c r="AI330" s="28" t="inlineStr">
        <is>
          <t>Open in EEF</t>
        </is>
      </c>
    </row>
    <row r="331" ht="22.35" customHeight="1" s="19">
      <c r="A331" s="25" t="n">
        <v>330</v>
      </c>
      <c r="B331" s="25" t="inlineStr">
        <is>
          <t>★★★★☆</t>
        </is>
      </c>
      <c r="C331" s="25" t="inlineStr">
        <is>
          <t>4 – Strong fit (electronics/signal/robotics/IoT/sensors)</t>
        </is>
      </c>
      <c r="D331" s="25" t="inlineStr">
        <is>
          <t>Robotics / Automation / Mechatronics</t>
        </is>
      </c>
      <c r="E331" s="26" t="inlineStr">
        <is>
          <t>diplôme d'ingénieur du CNAM spécialité mécatronique en convention avec l'université de Poitiers</t>
        </is>
      </c>
      <c r="F331" s="26" t="inlineStr">
        <is>
          <t>Engineering diploma of CNAM – specialisation: Mechatronics in convention with University of Poitiers</t>
        </is>
      </c>
      <c r="G331" s="25" t="inlineStr">
        <is>
          <t>Diplôme d'ingénieur</t>
        </is>
      </c>
      <c r="H331" s="25" t="inlineStr">
        <is>
          <t>Ecole d'ingénieurs du Conservatoire national des arts et métiers de Poitou-Charentes Centre de Poitiers</t>
        </is>
      </c>
      <c r="I331" s="25" t="n"/>
      <c r="J331" s="25" t="inlineStr">
        <is>
          <t>Site de Chasseneuil-du-Poitou</t>
        </is>
      </c>
      <c r="K331" s="25" t="n"/>
      <c r="L331" s="25" t="inlineStr">
        <is>
          <t>Public school / institute</t>
        </is>
      </c>
      <c r="M331" s="25" t="inlineStr">
        <is>
          <t>French</t>
        </is>
      </c>
      <c r="N331" s="25" t="inlineStr">
        <is>
          <t>General</t>
        </is>
      </c>
      <c r="O331" s="25" t="inlineStr">
        <is>
          <t>Bac +3 / Bac +4 / Bac +5</t>
        </is>
      </c>
      <c r="P331" s="26" t="inlineStr">
        <is>
          <t>Eligible on level (4-yr BS ≈ Bac+4)</t>
        </is>
      </c>
      <c r="Q331" s="25" t="inlineStr">
        <is>
          <t>1/2/3</t>
        </is>
      </c>
      <c r="R331" s="25" t="n"/>
      <c r="S331" s="27" t="n">
        <v>3950</v>
      </c>
      <c r="T331" s="27" t="n">
        <v>628</v>
      </c>
      <c r="U331" s="25" t="n">
        <v>2</v>
      </c>
      <c r="V331" s="27">
        <f>IF(S331="","",S331*U331)</f>
        <v/>
      </c>
      <c r="W331" s="26" t="inlineStr">
        <is>
          <t>Not in catalogue. Public engineering diploma: national rate ~€601-628; many schools charge non-EU up to ~€3,950. Verify.</t>
        </is>
      </c>
      <c r="X331" s="25" t="inlineStr">
        <is>
          <t>Low</t>
        </is>
      </c>
      <c r="Y331" s="25" t="n"/>
      <c r="Z331" s="26" t="n"/>
      <c r="AA331" s="26" t="n"/>
      <c r="AB331" s="25" t="n"/>
      <c r="AC331" s="25" t="inlineStr">
        <is>
          <t>Closed</t>
        </is>
      </c>
      <c r="AD331" s="25" t="n"/>
      <c r="AE331" s="25" t="n"/>
      <c r="AF331" s="25" t="inlineStr">
        <is>
          <t>No</t>
        </is>
      </c>
      <c r="AG331" s="28" t="inlineStr">
        <is>
          <t>http://www.cnam-poitou-charentes.fr</t>
        </is>
      </c>
      <c r="AH331" s="26" t="n"/>
      <c r="AI331" s="28" t="inlineStr">
        <is>
          <t>Open in EEF</t>
        </is>
      </c>
    </row>
    <row r="332" ht="22.35" customHeight="1" s="19">
      <c r="A332" s="25" t="n">
        <v>331</v>
      </c>
      <c r="B332" s="25" t="inlineStr">
        <is>
          <t>★★★★☆</t>
        </is>
      </c>
      <c r="C332" s="25" t="inlineStr">
        <is>
          <t>4 – Strong fit (electronics/signal/robotics/IoT/sensors)</t>
        </is>
      </c>
      <c r="D332" s="25" t="inlineStr">
        <is>
          <t>Embedded systems / Electronics</t>
        </is>
      </c>
      <c r="E332" s="26" t="inlineStr">
        <is>
          <t>Ingenieur Spécialité Microélectronique et Informatique de l'Ecole des Mines de St-Etienne</t>
        </is>
      </c>
      <c r="F332" s="26" t="inlineStr">
        <is>
          <t>Ingenieur – specialisation: Microelectronics &amp; Computer Science of School of Mines of St-Etienne</t>
        </is>
      </c>
      <c r="G332" s="25" t="inlineStr">
        <is>
          <t>Diplôme d'ingénieur</t>
        </is>
      </c>
      <c r="H332" s="25" t="inlineStr">
        <is>
          <t>Ecole nationale supérieure des mines de Saint-Etienne</t>
        </is>
      </c>
      <c r="I332" s="25" t="n"/>
      <c r="J332" s="25" t="inlineStr">
        <is>
          <t>Campus Georges Charpak Provence</t>
        </is>
      </c>
      <c r="K332" s="25" t="n"/>
      <c r="L332" s="25" t="inlineStr">
        <is>
          <t>Public school / institute</t>
        </is>
      </c>
      <c r="M332" s="25" t="inlineStr">
        <is>
          <t>French</t>
        </is>
      </c>
      <c r="N332" s="25" t="inlineStr">
        <is>
          <t>General</t>
        </is>
      </c>
      <c r="O332" s="25" t="inlineStr">
        <is>
          <t>Bac +3 / Bac +4 / Bac +5</t>
        </is>
      </c>
      <c r="P332" s="26" t="inlineStr">
        <is>
          <t>Eligible on level (4-yr BS ≈ Bac+4)</t>
        </is>
      </c>
      <c r="Q332" s="25" t="inlineStr">
        <is>
          <t>1/2/3</t>
        </is>
      </c>
      <c r="R332" s="25" t="n"/>
      <c r="S332" s="27" t="n">
        <v>3950</v>
      </c>
      <c r="T332" s="27" t="n">
        <v>628</v>
      </c>
      <c r="U332" s="25" t="n">
        <v>2</v>
      </c>
      <c r="V332" s="27">
        <f>IF(S332="","",S332*U332)</f>
        <v/>
      </c>
      <c r="W332" s="26" t="inlineStr">
        <is>
          <t>Not in catalogue. Public engineering diploma: national rate ~€601-628; many schools charge non-EU up to ~€3,950. Verify.</t>
        </is>
      </c>
      <c r="X332" s="25" t="inlineStr">
        <is>
          <t>Low</t>
        </is>
      </c>
      <c r="Y332" s="25" t="n"/>
      <c r="Z332" s="26" t="n"/>
      <c r="AA332" s="26" t="n"/>
      <c r="AB332" s="25" t="n"/>
      <c r="AC332" s="25" t="inlineStr">
        <is>
          <t>Open</t>
        </is>
      </c>
      <c r="AD332" s="25" t="inlineStr">
        <is>
          <t>2026-10-01</t>
        </is>
      </c>
      <c r="AE332" s="25" t="inlineStr">
        <is>
          <t>2027-03-15</t>
        </is>
      </c>
      <c r="AF332" s="25" t="inlineStr">
        <is>
          <t>No</t>
        </is>
      </c>
      <c r="AG332" s="25" t="n"/>
      <c r="AH332" s="26" t="n"/>
      <c r="AI332" s="28" t="inlineStr">
        <is>
          <t>Open in EEF</t>
        </is>
      </c>
    </row>
    <row r="333" ht="22.35" customHeight="1" s="19">
      <c r="A333" s="25" t="n">
        <v>332</v>
      </c>
      <c r="B333" s="25" t="inlineStr">
        <is>
          <t>★★★★☆</t>
        </is>
      </c>
      <c r="C333" s="25" t="inlineStr">
        <is>
          <t>4 – Strong fit (electronics/signal/robotics/IoT/sensors)</t>
        </is>
      </c>
      <c r="D333" s="25" t="inlineStr">
        <is>
          <t>Embedded systems / Electronics</t>
        </is>
      </c>
      <c r="E333" s="26" t="inlineStr">
        <is>
          <t>Ingenieur Spécialité Microélectronique et Informatique de l'Ecole des Mines de St-Etienne</t>
        </is>
      </c>
      <c r="F333" s="26" t="inlineStr">
        <is>
          <t>Ingenieur – specialisation: Microelectronics &amp; Computer Science of School of Mines of St-Etienne</t>
        </is>
      </c>
      <c r="G333" s="25" t="inlineStr">
        <is>
          <t>Diplôme d'ingénieur</t>
        </is>
      </c>
      <c r="H333" s="25" t="inlineStr">
        <is>
          <t>Ecole nationale supérieure des mines de Saint-Etienne</t>
        </is>
      </c>
      <c r="I333" s="25" t="n"/>
      <c r="J333" s="25" t="inlineStr">
        <is>
          <t>Campus Georges Charpak Provence</t>
        </is>
      </c>
      <c r="K333" s="25" t="n"/>
      <c r="L333" s="25" t="inlineStr">
        <is>
          <t>Public school / institute</t>
        </is>
      </c>
      <c r="M333" s="25" t="inlineStr">
        <is>
          <t>French</t>
        </is>
      </c>
      <c r="N333" s="25" t="inlineStr">
        <is>
          <t>General</t>
        </is>
      </c>
      <c r="O333" s="25" t="inlineStr">
        <is>
          <t>Bac +4</t>
        </is>
      </c>
      <c r="P333" s="26" t="inlineStr">
        <is>
          <t>Eligible on level (4-yr BS ≈ Bac+4)</t>
        </is>
      </c>
      <c r="Q333" s="25" t="inlineStr">
        <is>
          <t>2</t>
        </is>
      </c>
      <c r="R333" s="25" t="inlineStr">
        <is>
          <t>12</t>
        </is>
      </c>
      <c r="S333" s="27" t="n">
        <v>3950</v>
      </c>
      <c r="T333" s="27" t="n">
        <v>628</v>
      </c>
      <c r="U333" s="25" t="n">
        <v>2</v>
      </c>
      <c r="V333" s="27">
        <f>IF(S333="","",S333*U333)</f>
        <v/>
      </c>
      <c r="W333" s="26" t="inlineStr">
        <is>
          <t>Not in catalogue. Public engineering diploma: national rate ~€601-628; many schools charge non-EU up to ~€3,950. Verify.</t>
        </is>
      </c>
      <c r="X333" s="25" t="inlineStr">
        <is>
          <t>Low</t>
        </is>
      </c>
      <c r="Y333" s="25" t="n"/>
      <c r="Z333" s="26" t="n"/>
      <c r="AA333" s="26" t="n"/>
      <c r="AB333" s="25" t="n"/>
      <c r="AC333" s="25" t="inlineStr">
        <is>
          <t>Open</t>
        </is>
      </c>
      <c r="AD333" s="25" t="inlineStr">
        <is>
          <t>2026-10-01</t>
        </is>
      </c>
      <c r="AE333" s="25" t="inlineStr">
        <is>
          <t>2027-03-15</t>
        </is>
      </c>
      <c r="AF333" s="25" t="inlineStr">
        <is>
          <t>No</t>
        </is>
      </c>
      <c r="AG333" s="25" t="n"/>
      <c r="AH333" s="26" t="n"/>
      <c r="AI333" s="28" t="inlineStr">
        <is>
          <t>Open in EEF</t>
        </is>
      </c>
    </row>
    <row r="334" ht="22.35" customHeight="1" s="19">
      <c r="A334" s="25" t="n">
        <v>333</v>
      </c>
      <c r="B334" s="25" t="inlineStr">
        <is>
          <t>★★★★☆</t>
        </is>
      </c>
      <c r="C334" s="25" t="inlineStr">
        <is>
          <t>4 – Strong fit (electronics/signal/robotics/IoT/sensors)</t>
        </is>
      </c>
      <c r="D334" s="25" t="inlineStr">
        <is>
          <t>Embedded systems / Electronics</t>
        </is>
      </c>
      <c r="E334" s="26" t="inlineStr">
        <is>
          <t>Ingenieur Spécialité Microélectronique et Informatique de l'Ecole des Mines de St-Etienne</t>
        </is>
      </c>
      <c r="F334" s="26" t="inlineStr">
        <is>
          <t>Ingenieur – specialisation: Microelectronics &amp; Computer Science of School of Mines of St-Etienne</t>
        </is>
      </c>
      <c r="G334" s="25" t="inlineStr">
        <is>
          <t>Diplôme d'ingénieur</t>
        </is>
      </c>
      <c r="H334" s="25" t="inlineStr">
        <is>
          <t>Ecole nationale supérieure des mines de Saint-Etienne</t>
        </is>
      </c>
      <c r="I334" s="25" t="n"/>
      <c r="J334" s="25" t="inlineStr">
        <is>
          <t>Site de Saint-Etienne</t>
        </is>
      </c>
      <c r="K334" s="25" t="n"/>
      <c r="L334" s="25" t="inlineStr">
        <is>
          <t>Public school / institute</t>
        </is>
      </c>
      <c r="M334" s="25" t="inlineStr">
        <is>
          <t>French</t>
        </is>
      </c>
      <c r="N334" s="25" t="inlineStr">
        <is>
          <t>General</t>
        </is>
      </c>
      <c r="O334" s="25" t="inlineStr">
        <is>
          <t>Bac +3 / Bac +4</t>
        </is>
      </c>
      <c r="P334" s="26" t="inlineStr">
        <is>
          <t>Eligible on level (4-yr BS ≈ Bac+4)</t>
        </is>
      </c>
      <c r="Q334" s="25" t="inlineStr">
        <is>
          <t>1/2</t>
        </is>
      </c>
      <c r="R334" s="25" t="inlineStr">
        <is>
          <t>36/24</t>
        </is>
      </c>
      <c r="S334" s="27" t="n">
        <v>3950</v>
      </c>
      <c r="T334" s="27" t="n">
        <v>628</v>
      </c>
      <c r="U334" s="25" t="n">
        <v>2</v>
      </c>
      <c r="V334" s="27">
        <f>IF(S334="","",S334*U334)</f>
        <v/>
      </c>
      <c r="W334" s="26" t="inlineStr">
        <is>
          <t>Not in catalogue. Public engineering diploma: national rate ~€601-628; many schools charge non-EU up to ~€3,950. Verify.</t>
        </is>
      </c>
      <c r="X334" s="25" t="inlineStr">
        <is>
          <t>Low</t>
        </is>
      </c>
      <c r="Y334" s="25" t="n"/>
      <c r="Z334" s="26" t="n"/>
      <c r="AA334" s="26" t="n"/>
      <c r="AB334" s="25" t="n"/>
      <c r="AC334" s="25" t="inlineStr">
        <is>
          <t>Open</t>
        </is>
      </c>
      <c r="AD334" s="25" t="inlineStr">
        <is>
          <t>2026-10-01</t>
        </is>
      </c>
      <c r="AE334" s="25" t="inlineStr">
        <is>
          <t>2027-03-15</t>
        </is>
      </c>
      <c r="AF334" s="25" t="inlineStr">
        <is>
          <t>Yes</t>
        </is>
      </c>
      <c r="AG334" s="28" t="inlineStr">
        <is>
          <t>http://www.mines-stetienne.fr/formation-mines-saint-etienne/</t>
        </is>
      </c>
      <c r="AH334" s="26" t="n"/>
      <c r="AI334" s="28" t="inlineStr">
        <is>
          <t>Open in EEF</t>
        </is>
      </c>
    </row>
    <row r="335" ht="32.8" customHeight="1" s="19">
      <c r="A335" s="25" t="n">
        <v>334</v>
      </c>
      <c r="B335" s="25" t="inlineStr">
        <is>
          <t>★★★★☆</t>
        </is>
      </c>
      <c r="C335" s="25" t="inlineStr">
        <is>
          <t>4 – Strong fit (electronics/signal/robotics/IoT/sensors)</t>
        </is>
      </c>
      <c r="D335" s="25" t="inlineStr">
        <is>
          <t>Embedded systems / Electronics</t>
        </is>
      </c>
      <c r="E335" s="26" t="inlineStr">
        <is>
          <t>mention Diplôme d'Ingénieur de Polytech Dijon de l'Université de Dijon parcours Electronique et Systèmes Numériques - Polytech Dijon</t>
        </is>
      </c>
      <c r="F335" s="26" t="inlineStr">
        <is>
          <t>major: Engineering diploma of Polytech Dijon of University of Dijon – track: Electronics &amp; Systems Digital - Polytech Dijon</t>
        </is>
      </c>
      <c r="G335" s="25" t="inlineStr">
        <is>
          <t>Diplôme d'ingénieur</t>
        </is>
      </c>
      <c r="H335" s="25" t="inlineStr">
        <is>
          <t>Polytech Dijon</t>
        </is>
      </c>
      <c r="I335" s="25" t="inlineStr">
        <is>
          <t>Groupement Polytech</t>
        </is>
      </c>
      <c r="J335" s="25" t="inlineStr">
        <is>
          <t>Campus Dijon</t>
        </is>
      </c>
      <c r="K335" s="25" t="n"/>
      <c r="L335" s="25" t="inlineStr">
        <is>
          <t>Public school / institute</t>
        </is>
      </c>
      <c r="M335" s="25" t="inlineStr">
        <is>
          <t>French</t>
        </is>
      </c>
      <c r="N335" s="25" t="inlineStr">
        <is>
          <t>General</t>
        </is>
      </c>
      <c r="O335" s="25" t="inlineStr">
        <is>
          <t>Bac +3 / Bac +4</t>
        </is>
      </c>
      <c r="P335" s="26" t="inlineStr">
        <is>
          <t>Eligible on level (4-yr BS ≈ Bac+4)</t>
        </is>
      </c>
      <c r="Q335" s="25" t="inlineStr">
        <is>
          <t>3/4</t>
        </is>
      </c>
      <c r="R335" s="25" t="inlineStr">
        <is>
          <t>36/24</t>
        </is>
      </c>
      <c r="S335" s="27" t="n">
        <v>3950</v>
      </c>
      <c r="T335" s="27" t="n">
        <v>628</v>
      </c>
      <c r="U335" s="25" t="n">
        <v>2</v>
      </c>
      <c r="V335" s="27">
        <f>IF(S335="","",S335*U335)</f>
        <v/>
      </c>
      <c r="W335" s="26" t="inlineStr">
        <is>
          <t>Not in catalogue. Public engineering diploma: national rate ~€601-628; many schools charge non-EU up to ~€3,950. Verify.</t>
        </is>
      </c>
      <c r="X335" s="25" t="inlineStr">
        <is>
          <t>Low</t>
        </is>
      </c>
      <c r="Y335" s="25" t="n"/>
      <c r="Z335" s="26" t="n"/>
      <c r="AA335" s="26" t="n"/>
      <c r="AB335" s="25" t="n"/>
      <c r="AC335" s="25" t="inlineStr">
        <is>
          <t>Open</t>
        </is>
      </c>
      <c r="AD335" s="25" t="inlineStr">
        <is>
          <t>2026-10-01</t>
        </is>
      </c>
      <c r="AE335" s="25" t="inlineStr">
        <is>
          <t>2027-03-15</t>
        </is>
      </c>
      <c r="AF335" s="25" t="inlineStr">
        <is>
          <t>Yes</t>
        </is>
      </c>
      <c r="AG335" s="28" t="inlineStr">
        <is>
          <t>https://polytech.u-bourgogne.fr/electronique-systemes-numeriques</t>
        </is>
      </c>
      <c r="AH335" s="26" t="inlineStr">
        <is>
          <t>Les informations qui suivent concernent la candidature en cycle ingénieur (diplôme niveau BAC+5). Le niveau minimal de formation des candidats requis pour l'entrée dans la spécialité Electronique et Systèmes Numériques e</t>
        </is>
      </c>
      <c r="AI335" s="28" t="inlineStr">
        <is>
          <t>Open in EEF</t>
        </is>
      </c>
    </row>
    <row r="336" ht="32.8" customHeight="1" s="19">
      <c r="A336" s="25" t="n">
        <v>335</v>
      </c>
      <c r="B336" s="25" t="inlineStr">
        <is>
          <t>★★★★☆</t>
        </is>
      </c>
      <c r="C336" s="25" t="inlineStr">
        <is>
          <t>4 – Strong fit (electronics/signal/robotics/IoT/sensors)</t>
        </is>
      </c>
      <c r="D336" s="25" t="inlineStr">
        <is>
          <t>Embedded systems / Electronics</t>
        </is>
      </c>
      <c r="E336" s="26" t="inlineStr">
        <is>
          <t>Diplôme d'ingénieur de l'Ecole d'Ingénieurs ENSIL-ENSCI de l'Université de Limoges parcours Electronique et Télécommunications</t>
        </is>
      </c>
      <c r="F336" s="26" t="inlineStr">
        <is>
          <t>Engineering diploma of School of Engineers ENSIL-ENSCI of University of Limoges – track: Electronics &amp; Telecommunications</t>
        </is>
      </c>
      <c r="G336" s="25" t="inlineStr">
        <is>
          <t>Diplôme d'ingénieur</t>
        </is>
      </c>
      <c r="H336" s="25" t="inlineStr">
        <is>
          <t>ENSIL-ENSCI</t>
        </is>
      </c>
      <c r="I336" s="25" t="inlineStr">
        <is>
          <t>Université de Limoges</t>
        </is>
      </c>
      <c r="J336" s="25" t="inlineStr">
        <is>
          <t>Limoges</t>
        </is>
      </c>
      <c r="K336" s="25" t="inlineStr">
        <is>
          <t>87280 Limoges</t>
        </is>
      </c>
      <c r="L336" s="25" t="inlineStr">
        <is>
          <t>Public university</t>
        </is>
      </c>
      <c r="M336" s="25" t="inlineStr">
        <is>
          <t>French</t>
        </is>
      </c>
      <c r="N336" s="25" t="inlineStr">
        <is>
          <t>General</t>
        </is>
      </c>
      <c r="O336" s="25" t="inlineStr">
        <is>
          <t>Bac +3 / Bac +4</t>
        </is>
      </c>
      <c r="P336" s="26" t="inlineStr">
        <is>
          <t>Eligible on level (4-yr BS ≈ Bac+4)</t>
        </is>
      </c>
      <c r="Q336" s="25" t="inlineStr">
        <is>
          <t>1/2</t>
        </is>
      </c>
      <c r="R336" s="25" t="n"/>
      <c r="S336" s="27" t="n">
        <v>630</v>
      </c>
      <c r="T336" s="27" t="n"/>
      <c r="U336" s="25" t="n">
        <v>2</v>
      </c>
      <c r="V336" s="27">
        <f>IF(S336="","",S336*U336)</f>
        <v/>
      </c>
      <c r="W336" s="26" t="inlineStr">
        <is>
          <t>Catalogue lists €630 (EU/national rate). Confirm whether non-EU surcharge applies.</t>
        </is>
      </c>
      <c r="X336" s="25" t="inlineStr">
        <is>
          <t>Medium</t>
        </is>
      </c>
      <c r="Y336" s="25" t="inlineStr">
        <is>
          <t>630</t>
        </is>
      </c>
      <c r="Z336" s="26" t="n"/>
      <c r="AA336" s="26" t="n"/>
      <c r="AB336" s="25" t="n"/>
      <c r="AC336" s="25" t="inlineStr">
        <is>
          <t>Open</t>
        </is>
      </c>
      <c r="AD336" s="25" t="inlineStr">
        <is>
          <t>2026-10-01</t>
        </is>
      </c>
      <c r="AE336" s="25" t="inlineStr">
        <is>
          <t>2027-03-15</t>
        </is>
      </c>
      <c r="AF336" s="25" t="inlineStr">
        <is>
          <t>Yes</t>
        </is>
      </c>
      <c r="AG336" s="28" t="inlineStr">
        <is>
          <t>http://www.ensil-ensci.unilim.fr/accueil/admissions/cycle-ingenieur/</t>
        </is>
      </c>
      <c r="AH336" s="26" t="inlineStr">
        <is>
          <t>Titulaire d’un diplôme étranger : Admission sur dossier Inscription uniquement sur Internet à partir du mois de février Date limite de remise des dossiers : fin mai Oral : Entretien de motivation fin juin – début ju</t>
        </is>
      </c>
      <c r="AI336" s="28" t="inlineStr">
        <is>
          <t>Open in EEF</t>
        </is>
      </c>
    </row>
    <row r="337" ht="32.8" customHeight="1" s="19">
      <c r="A337" s="25" t="n">
        <v>336</v>
      </c>
      <c r="B337" s="25" t="inlineStr">
        <is>
          <t>★★★★☆</t>
        </is>
      </c>
      <c r="C337" s="25" t="inlineStr">
        <is>
          <t>4 – Strong fit (electronics/signal/robotics/IoT/sensors)</t>
        </is>
      </c>
      <c r="D337" s="25" t="inlineStr">
        <is>
          <t>Robotics / Automation / Mechatronics</t>
        </is>
      </c>
      <c r="E337" s="26" t="inlineStr">
        <is>
          <t>Diplôme d'ingénieur de l'Ecole d'Ingénieurs ENSIL-ENSCI de l'Université de Limoges spécialité Mécatronique</t>
        </is>
      </c>
      <c r="F337" s="26" t="inlineStr">
        <is>
          <t>Engineering diploma of School of Engineers ENSIL-ENSCI of University of Limoges – specialisation: Mechatronics</t>
        </is>
      </c>
      <c r="G337" s="25" t="inlineStr">
        <is>
          <t>Diplôme d'ingénieur</t>
        </is>
      </c>
      <c r="H337" s="25" t="inlineStr">
        <is>
          <t>ENSIL-ENSCI</t>
        </is>
      </c>
      <c r="I337" s="25" t="inlineStr">
        <is>
          <t>Université de Limoges</t>
        </is>
      </c>
      <c r="J337" s="25" t="inlineStr">
        <is>
          <t>Limoges</t>
        </is>
      </c>
      <c r="K337" s="25" t="inlineStr">
        <is>
          <t>87280 Limoges</t>
        </is>
      </c>
      <c r="L337" s="25" t="inlineStr">
        <is>
          <t>Public university</t>
        </is>
      </c>
      <c r="M337" s="25" t="inlineStr">
        <is>
          <t>French</t>
        </is>
      </c>
      <c r="N337" s="25" t="inlineStr">
        <is>
          <t>General</t>
        </is>
      </c>
      <c r="O337" s="25" t="inlineStr">
        <is>
          <t>Bac +3 / Bac +4</t>
        </is>
      </c>
      <c r="P337" s="26" t="inlineStr">
        <is>
          <t>Eligible on level (4-yr BS ≈ Bac+4)</t>
        </is>
      </c>
      <c r="Q337" s="25" t="inlineStr">
        <is>
          <t>1/2</t>
        </is>
      </c>
      <c r="R337" s="25" t="n"/>
      <c r="S337" s="27" t="n">
        <v>630</v>
      </c>
      <c r="T337" s="27" t="n"/>
      <c r="U337" s="25" t="n">
        <v>2</v>
      </c>
      <c r="V337" s="27">
        <f>IF(S337="","",S337*U337)</f>
        <v/>
      </c>
      <c r="W337" s="26" t="inlineStr">
        <is>
          <t>Catalogue lists €630 (EU/national rate). Confirm whether non-EU surcharge applies.</t>
        </is>
      </c>
      <c r="X337" s="25" t="inlineStr">
        <is>
          <t>Medium</t>
        </is>
      </c>
      <c r="Y337" s="25" t="inlineStr">
        <is>
          <t>630</t>
        </is>
      </c>
      <c r="Z337" s="26" t="n"/>
      <c r="AA337" s="26" t="n"/>
      <c r="AB337" s="25" t="n"/>
      <c r="AC337" s="25" t="inlineStr">
        <is>
          <t>Open</t>
        </is>
      </c>
      <c r="AD337" s="25" t="inlineStr">
        <is>
          <t>2026-10-01</t>
        </is>
      </c>
      <c r="AE337" s="25" t="inlineStr">
        <is>
          <t>2027-03-15</t>
        </is>
      </c>
      <c r="AF337" s="25" t="inlineStr">
        <is>
          <t>Yes</t>
        </is>
      </c>
      <c r="AG337" s="28" t="inlineStr">
        <is>
          <t>http://www.ensil-ensci.unilim.fr/accueil/admissions/cycle-ingenieur/</t>
        </is>
      </c>
      <c r="AH337" s="26" t="inlineStr">
        <is>
          <t>Titulaire d’un diplôme étranger : Admission sur dossier Inscription uniquement sur Internet à partir du mois de février Date limite de remise des dossiers : fin mai Oral : Entretien de motivation fin juin – début ju</t>
        </is>
      </c>
      <c r="AI337" s="28" t="inlineStr">
        <is>
          <t>Open in EEF</t>
        </is>
      </c>
    </row>
    <row r="338" ht="32.8" customHeight="1" s="19">
      <c r="A338" s="25" t="n">
        <v>337</v>
      </c>
      <c r="B338" s="25" t="inlineStr">
        <is>
          <t>★★★★☆</t>
        </is>
      </c>
      <c r="C338" s="25" t="inlineStr">
        <is>
          <t>4 – Strong fit (electronics/signal/robotics/IoT/sensors)</t>
        </is>
      </c>
      <c r="D338" s="25" t="inlineStr">
        <is>
          <t>Sensors / Instrumentation / Micro-Nano / Photonics</t>
        </is>
      </c>
      <c r="E338" s="26" t="inlineStr">
        <is>
          <t>Diplôme d ingénieur de l Ecole d Ingénieurs ENSIL-ENSCI Université de Limoges Photonique</t>
        </is>
      </c>
      <c r="F338" s="26" t="inlineStr">
        <is>
          <t>Diplôme d Engineer of l School d Engineers ENSIL-ENSCI University of Limoges Photonics</t>
        </is>
      </c>
      <c r="G338" s="25" t="inlineStr">
        <is>
          <t>Diplôme d'ingénieur</t>
        </is>
      </c>
      <c r="H338" s="25" t="inlineStr">
        <is>
          <t>ENSIL-ENSCI</t>
        </is>
      </c>
      <c r="I338" s="25" t="inlineStr">
        <is>
          <t>Université de Limoges</t>
        </is>
      </c>
      <c r="J338" s="25" t="inlineStr">
        <is>
          <t>Limoges</t>
        </is>
      </c>
      <c r="K338" s="25" t="inlineStr">
        <is>
          <t>87280 Limoges</t>
        </is>
      </c>
      <c r="L338" s="25" t="inlineStr">
        <is>
          <t>Public university</t>
        </is>
      </c>
      <c r="M338" s="25" t="inlineStr">
        <is>
          <t>French</t>
        </is>
      </c>
      <c r="N338" s="25" t="inlineStr">
        <is>
          <t>General</t>
        </is>
      </c>
      <c r="O338" s="25" t="inlineStr">
        <is>
          <t>Bac +3 / Bac +4</t>
        </is>
      </c>
      <c r="P338" s="26" t="inlineStr">
        <is>
          <t>Eligible on level (4-yr BS ≈ Bac+4)</t>
        </is>
      </c>
      <c r="Q338" s="25" t="inlineStr">
        <is>
          <t>1/2</t>
        </is>
      </c>
      <c r="R338" s="25" t="n"/>
      <c r="S338" s="27" t="n">
        <v>630</v>
      </c>
      <c r="T338" s="27" t="n"/>
      <c r="U338" s="25" t="n">
        <v>2</v>
      </c>
      <c r="V338" s="27">
        <f>IF(S338="","",S338*U338)</f>
        <v/>
      </c>
      <c r="W338" s="26" t="inlineStr">
        <is>
          <t>Catalogue lists €630 (EU/national rate). Confirm whether non-EU surcharge applies.</t>
        </is>
      </c>
      <c r="X338" s="25" t="inlineStr">
        <is>
          <t>Medium</t>
        </is>
      </c>
      <c r="Y338" s="25" t="inlineStr">
        <is>
          <t>630</t>
        </is>
      </c>
      <c r="Z338" s="26" t="n"/>
      <c r="AA338" s="26" t="n"/>
      <c r="AB338" s="25" t="n"/>
      <c r="AC338" s="25" t="inlineStr">
        <is>
          <t>Open</t>
        </is>
      </c>
      <c r="AD338" s="25" t="inlineStr">
        <is>
          <t>2026-10-01</t>
        </is>
      </c>
      <c r="AE338" s="25" t="inlineStr">
        <is>
          <t>2027-03-15</t>
        </is>
      </c>
      <c r="AF338" s="25" t="inlineStr">
        <is>
          <t>Yes</t>
        </is>
      </c>
      <c r="AG338" s="28" t="inlineStr">
        <is>
          <t>https://www.ensil-ensci.unilim.fr/</t>
        </is>
      </c>
      <c r="AH338" s="26" t="inlineStr">
        <is>
          <t>Titulaire d’un diplôme étranger : Admission sur dossier Inscription uniquement sur Internet à partir du mois de février Date limite de remise des dossiers : fin mai Oral : Entretien de motivation fin juin – début ju</t>
        </is>
      </c>
      <c r="AI338" s="28" t="inlineStr">
        <is>
          <t>Open in EEF</t>
        </is>
      </c>
    </row>
    <row r="339" ht="22.35" customHeight="1" s="19">
      <c r="A339" s="25" t="n">
        <v>338</v>
      </c>
      <c r="B339" s="25" t="inlineStr">
        <is>
          <t>★★★★☆</t>
        </is>
      </c>
      <c r="C339" s="25" t="inlineStr">
        <is>
          <t>4 – Strong fit (electronics/signal/robotics/IoT/sensors)</t>
        </is>
      </c>
      <c r="D339" s="25" t="inlineStr">
        <is>
          <t>Electrical energy</t>
        </is>
      </c>
      <c r="E339" s="26" t="inlineStr">
        <is>
          <t>diplôme d'ingénieur de l'Ecole polytechnique de l'université de Nantes spécialité génie électrique</t>
        </is>
      </c>
      <c r="F339" s="26" t="inlineStr">
        <is>
          <t>Engineering diploma of School polytechnique of University of Nantes – specialisation: Electrical Engineering</t>
        </is>
      </c>
      <c r="G339" s="25" t="inlineStr">
        <is>
          <t>Diplôme d'ingénieur</t>
        </is>
      </c>
      <c r="H339" s="25" t="inlineStr">
        <is>
          <t>Polytech Nantes</t>
        </is>
      </c>
      <c r="I339" s="25" t="inlineStr">
        <is>
          <t>Groupement Polytech</t>
        </is>
      </c>
      <c r="J339" s="25" t="inlineStr">
        <is>
          <t>Site de St Nazaire</t>
        </is>
      </c>
      <c r="K339" s="25" t="n"/>
      <c r="L339" s="25" t="inlineStr">
        <is>
          <t>Public school / institute</t>
        </is>
      </c>
      <c r="M339" s="25" t="inlineStr">
        <is>
          <t>French</t>
        </is>
      </c>
      <c r="N339" s="25" t="inlineStr">
        <is>
          <t>General</t>
        </is>
      </c>
      <c r="O339" s="25" t="inlineStr">
        <is>
          <t>Bac +3 / Bac +4</t>
        </is>
      </c>
      <c r="P339" s="26" t="inlineStr">
        <is>
          <t>Eligible on level (4-yr BS ≈ Bac+4)</t>
        </is>
      </c>
      <c r="Q339" s="25" t="inlineStr">
        <is>
          <t>3/4</t>
        </is>
      </c>
      <c r="R339" s="25" t="inlineStr">
        <is>
          <t>12</t>
        </is>
      </c>
      <c r="S339" s="27" t="n">
        <v>630</v>
      </c>
      <c r="T339" s="27" t="n"/>
      <c r="U339" s="25" t="n">
        <v>2</v>
      </c>
      <c r="V339" s="27">
        <f>IF(S339="","",S339*U339)</f>
        <v/>
      </c>
      <c r="W339" s="26" t="inlineStr">
        <is>
          <t>Catalogue lists €630 (EU/national rate). Confirm whether non-EU surcharge applies.</t>
        </is>
      </c>
      <c r="X339" s="25" t="inlineStr">
        <is>
          <t>Medium</t>
        </is>
      </c>
      <c r="Y339" s="25" t="inlineStr">
        <is>
          <t>630</t>
        </is>
      </c>
      <c r="Z339" s="26" t="n"/>
      <c r="AA339" s="26" t="n"/>
      <c r="AB339" s="25" t="n"/>
      <c r="AC339" s="25" t="inlineStr">
        <is>
          <t>Open</t>
        </is>
      </c>
      <c r="AD339" s="25" t="inlineStr">
        <is>
          <t>2026-10-01</t>
        </is>
      </c>
      <c r="AE339" s="25" t="inlineStr">
        <is>
          <t>2027-03-15</t>
        </is>
      </c>
      <c r="AF339" s="25" t="inlineStr">
        <is>
          <t>Yes</t>
        </is>
      </c>
      <c r="AG339" s="28" t="inlineStr">
        <is>
          <t>http://www.polytech.univ-nantes.fr</t>
        </is>
      </c>
      <c r="AH339" s="26" t="n"/>
      <c r="AI339" s="28" t="inlineStr">
        <is>
          <t>Open in EEF</t>
        </is>
      </c>
    </row>
    <row r="340" ht="32.8" customHeight="1" s="19">
      <c r="A340" s="25" t="n">
        <v>339</v>
      </c>
      <c r="B340" s="25" t="inlineStr">
        <is>
          <t>★★★★☆</t>
        </is>
      </c>
      <c r="C340" s="25" t="inlineStr">
        <is>
          <t>4 – Strong fit (electronics/signal/robotics/IoT/sensors)</t>
        </is>
      </c>
      <c r="D340" s="25" t="inlineStr">
        <is>
          <t>Embedded systems / Electronics</t>
        </is>
      </c>
      <c r="E340" s="26" t="inlineStr">
        <is>
          <t>diplôme d'ingénieur de l'Ecole polytechnique de l'université de Tours parcours électronique et génie électrique</t>
        </is>
      </c>
      <c r="F340" s="26" t="inlineStr">
        <is>
          <t>Engineering diploma of School polytechnique of University of Tours – track: Electronics &amp; Electrical Engineering</t>
        </is>
      </c>
      <c r="G340" s="25" t="inlineStr">
        <is>
          <t>Diplôme d'ingénieur</t>
        </is>
      </c>
      <c r="H340" s="25" t="inlineStr">
        <is>
          <t>Polytech Tours</t>
        </is>
      </c>
      <c r="I340" s="25" t="inlineStr">
        <is>
          <t>Groupement Polytech</t>
        </is>
      </c>
      <c r="J340" s="25" t="inlineStr">
        <is>
          <t>Site de Tours</t>
        </is>
      </c>
      <c r="K340" s="25" t="inlineStr">
        <is>
          <t>37200 Tours</t>
        </is>
      </c>
      <c r="L340" s="25" t="inlineStr">
        <is>
          <t>Public school / institute</t>
        </is>
      </c>
      <c r="M340" s="25" t="inlineStr">
        <is>
          <t>French</t>
        </is>
      </c>
      <c r="N340" s="25" t="inlineStr">
        <is>
          <t>General</t>
        </is>
      </c>
      <c r="O340" s="25" t="inlineStr">
        <is>
          <t>Bac +3 / Bac +4</t>
        </is>
      </c>
      <c r="P340" s="26" t="inlineStr">
        <is>
          <t>Eligible on level (4-yr BS ≈ Bac+4)</t>
        </is>
      </c>
      <c r="Q340" s="25" t="inlineStr">
        <is>
          <t>3/4</t>
        </is>
      </c>
      <c r="R340" s="25" t="n"/>
      <c r="S340" s="27" t="n">
        <v>630</v>
      </c>
      <c r="T340" s="27" t="n"/>
      <c r="U340" s="25" t="n">
        <v>2</v>
      </c>
      <c r="V340" s="27">
        <f>IF(S340="","",S340*U340)</f>
        <v/>
      </c>
      <c r="W340" s="26" t="inlineStr">
        <is>
          <t>Catalogue lists €630 (EU/national rate). Confirm whether non-EU surcharge applies.</t>
        </is>
      </c>
      <c r="X340" s="25" t="inlineStr">
        <is>
          <t>Medium</t>
        </is>
      </c>
      <c r="Y340" s="25" t="inlineStr">
        <is>
          <t>630</t>
        </is>
      </c>
      <c r="Z340" s="26" t="n"/>
      <c r="AA340" s="26" t="inlineStr">
        <is>
          <t>Tours: exemptions capped at 30% of non-EU students (2026-27); exempted students pay €255.</t>
        </is>
      </c>
      <c r="AB340" s="28" t="inlineStr">
        <is>
          <t>https://www.univ-tours.fr/international/etudes-stages-a-tours/droits-dinscription-differencies-pour-les-etudiants-extra-communautaires-2026-2027</t>
        </is>
      </c>
      <c r="AC340" s="25" t="inlineStr">
        <is>
          <t>Open</t>
        </is>
      </c>
      <c r="AD340" s="25" t="inlineStr">
        <is>
          <t>2026-10-01</t>
        </is>
      </c>
      <c r="AE340" s="25" t="inlineStr">
        <is>
          <t>2027-03-15</t>
        </is>
      </c>
      <c r="AF340" s="25" t="inlineStr">
        <is>
          <t>Yes</t>
        </is>
      </c>
      <c r="AG340" s="28" t="inlineStr">
        <is>
          <t>http://polytech.univ-tours.fr/electronique</t>
        </is>
      </c>
      <c r="AH340" s="26" t="inlineStr">
        <is>
          <t>Les informations qui suivent, concernent la candidature en cycle ingénieur (diplôme de niveau Bac+5) du réseau Polytech. Les candidatures sont possibles : - en 3ème année (1ère année cycle ingénieur) avec un niveau Bac+2</t>
        </is>
      </c>
      <c r="AI340" s="28" t="inlineStr">
        <is>
          <t>Open in EEF</t>
        </is>
      </c>
    </row>
    <row r="341" ht="22.35" customHeight="1" s="19">
      <c r="A341" s="25" t="n">
        <v>340</v>
      </c>
      <c r="B341" s="25" t="inlineStr">
        <is>
          <t>★★★★☆</t>
        </is>
      </c>
      <c r="C341" s="25" t="inlineStr">
        <is>
          <t>4 – Strong fit (electronics/signal/robotics/IoT/sensors)</t>
        </is>
      </c>
      <c r="D341" s="25" t="inlineStr">
        <is>
          <t>Embedded systems / Electronics</t>
        </is>
      </c>
      <c r="E341" s="26" t="inlineStr">
        <is>
          <t>diplôme d'ingénieur de l'Ecole polytechnique de l'université de Nantes spécialité électronique et technologies numériques</t>
        </is>
      </c>
      <c r="F341" s="26" t="inlineStr">
        <is>
          <t>Engineering diploma of School polytechnique of University of Nantes – specialisation: Electronics &amp; Technologies Digital</t>
        </is>
      </c>
      <c r="G341" s="25" t="inlineStr">
        <is>
          <t>Diplôme d'ingénieur</t>
        </is>
      </c>
      <c r="H341" s="25" t="inlineStr">
        <is>
          <t>Polytech Nantes</t>
        </is>
      </c>
      <c r="I341" s="25" t="inlineStr">
        <is>
          <t>Groupement Polytech</t>
        </is>
      </c>
      <c r="J341" s="25" t="inlineStr">
        <is>
          <t>Site de Nantes</t>
        </is>
      </c>
      <c r="K341" s="25" t="n"/>
      <c r="L341" s="25" t="inlineStr">
        <is>
          <t>Public school / institute</t>
        </is>
      </c>
      <c r="M341" s="25" t="inlineStr">
        <is>
          <t>French</t>
        </is>
      </c>
      <c r="N341" s="25" t="inlineStr">
        <is>
          <t>General</t>
        </is>
      </c>
      <c r="O341" s="25" t="inlineStr">
        <is>
          <t>Bac +3 / Bac +4</t>
        </is>
      </c>
      <c r="P341" s="26" t="inlineStr">
        <is>
          <t>Eligible on level (4-yr BS ≈ Bac+4)</t>
        </is>
      </c>
      <c r="Q341" s="25" t="inlineStr">
        <is>
          <t>3/4</t>
        </is>
      </c>
      <c r="R341" s="25" t="inlineStr">
        <is>
          <t>12</t>
        </is>
      </c>
      <c r="S341" s="27" t="n">
        <v>630</v>
      </c>
      <c r="T341" s="27" t="n"/>
      <c r="U341" s="25" t="n">
        <v>2</v>
      </c>
      <c r="V341" s="27">
        <f>IF(S341="","",S341*U341)</f>
        <v/>
      </c>
      <c r="W341" s="26" t="inlineStr">
        <is>
          <t>Catalogue lists €630 (EU/national rate). Confirm whether non-EU surcharge applies.</t>
        </is>
      </c>
      <c r="X341" s="25" t="inlineStr">
        <is>
          <t>Medium</t>
        </is>
      </c>
      <c r="Y341" s="25" t="inlineStr">
        <is>
          <t>630</t>
        </is>
      </c>
      <c r="Z341" s="26" t="n"/>
      <c r="AA341" s="26" t="n"/>
      <c r="AB341" s="25" t="n"/>
      <c r="AC341" s="25" t="inlineStr">
        <is>
          <t>Open</t>
        </is>
      </c>
      <c r="AD341" s="25" t="inlineStr">
        <is>
          <t>2026-10-01</t>
        </is>
      </c>
      <c r="AE341" s="25" t="inlineStr">
        <is>
          <t>2027-03-15</t>
        </is>
      </c>
      <c r="AF341" s="25" t="inlineStr">
        <is>
          <t>Yes</t>
        </is>
      </c>
      <c r="AG341" s="28" t="inlineStr">
        <is>
          <t>http://www.polytech.univ-nantes.fr</t>
        </is>
      </c>
      <c r="AH341" s="26" t="n"/>
      <c r="AI341" s="28" t="inlineStr">
        <is>
          <t>Open in EEF</t>
        </is>
      </c>
    </row>
    <row r="342" ht="32.8" customHeight="1" s="19">
      <c r="A342" s="25" t="n">
        <v>341</v>
      </c>
      <c r="B342" s="25" t="inlineStr">
        <is>
          <t>★★★★☆</t>
        </is>
      </c>
      <c r="C342" s="25" t="inlineStr">
        <is>
          <t>4 – Strong fit (electronics/signal/robotics/IoT/sensors)</t>
        </is>
      </c>
      <c r="D342" s="25" t="inlineStr">
        <is>
          <t>Embedded systems / Electronics</t>
        </is>
      </c>
      <c r="E342" s="26" t="inlineStr">
        <is>
          <t>diplôme d'ingénieur de l'Ecole polytechnique universitaire de Montpellier de l'université Montpellier spécialité Microélectronique et automatique</t>
        </is>
      </c>
      <c r="F342" s="26" t="inlineStr">
        <is>
          <t>Engineering diploma of the University Polytechnic School of Montpellier of University Montpellier – specialisation: Microelectronics &amp; Automation</t>
        </is>
      </c>
      <c r="G342" s="25" t="inlineStr">
        <is>
          <t>Diplôme d'ingénieur</t>
        </is>
      </c>
      <c r="H342" s="25" t="inlineStr">
        <is>
          <t>Polytech Montpellier</t>
        </is>
      </c>
      <c r="I342" s="25" t="inlineStr">
        <is>
          <t>Groupement Polytech</t>
        </is>
      </c>
      <c r="J342" s="25" t="inlineStr">
        <is>
          <t>Site de Montpellier</t>
        </is>
      </c>
      <c r="K342" s="25" t="n"/>
      <c r="L342" s="25" t="inlineStr">
        <is>
          <t>Public school / institute</t>
        </is>
      </c>
      <c r="M342" s="25" t="inlineStr">
        <is>
          <t>French</t>
        </is>
      </c>
      <c r="N342" s="25" t="inlineStr">
        <is>
          <t>General</t>
        </is>
      </c>
      <c r="O342" s="25" t="inlineStr">
        <is>
          <t>Bac +3 / Bac +4</t>
        </is>
      </c>
      <c r="P342" s="26" t="inlineStr">
        <is>
          <t>Eligible on level (4-yr BS ≈ Bac+4)</t>
        </is>
      </c>
      <c r="Q342" s="25" t="inlineStr">
        <is>
          <t>3/4</t>
        </is>
      </c>
      <c r="R342" s="25" t="n"/>
      <c r="S342" s="27" t="n">
        <v>630</v>
      </c>
      <c r="T342" s="27" t="n"/>
      <c r="U342" s="25" t="n">
        <v>2</v>
      </c>
      <c r="V342" s="27">
        <f>IF(S342="","",S342*U342)</f>
        <v/>
      </c>
      <c r="W342" s="26" t="inlineStr">
        <is>
          <t>Catalogue lists €630 (EU/national rate). Confirm whether non-EU surcharge applies.</t>
        </is>
      </c>
      <c r="X342" s="25" t="inlineStr">
        <is>
          <t>Medium</t>
        </is>
      </c>
      <c r="Y342" s="25" t="inlineStr">
        <is>
          <t>630</t>
        </is>
      </c>
      <c r="Z342" s="26" t="n"/>
      <c r="AA342" s="26" t="n"/>
      <c r="AB342" s="25" t="n"/>
      <c r="AC342" s="25" t="inlineStr">
        <is>
          <t>Open</t>
        </is>
      </c>
      <c r="AD342" s="25" t="inlineStr">
        <is>
          <t>2026-10-01</t>
        </is>
      </c>
      <c r="AE342" s="25" t="inlineStr">
        <is>
          <t>2027-03-15</t>
        </is>
      </c>
      <c r="AF342" s="25" t="inlineStr">
        <is>
          <t>Yes</t>
        </is>
      </c>
      <c r="AG342" s="28" t="inlineStr">
        <is>
          <t>http://www.polytech.umontpellier.fr/</t>
        </is>
      </c>
      <c r="AH342" s="26" t="inlineStr">
        <is>
          <t>Les informations qui suivent, concernent la candidature en cycle ingénieur (diplôme niveau Bac+5) du réseau Polytech. Les candidatures sont possibles : - en 3ème année (1ère année cycle ingénieur) avec un niveau Bac+2/Ba</t>
        </is>
      </c>
      <c r="AI342" s="28" t="inlineStr">
        <is>
          <t>Open in EEF</t>
        </is>
      </c>
    </row>
    <row r="343" ht="32.8" customHeight="1" s="19">
      <c r="A343" s="25" t="n">
        <v>342</v>
      </c>
      <c r="B343" s="25" t="inlineStr">
        <is>
          <t>★★★★☆</t>
        </is>
      </c>
      <c r="C343" s="25" t="inlineStr">
        <is>
          <t>4 – Strong fit (electronics/signal/robotics/IoT/sensors)</t>
        </is>
      </c>
      <c r="D343" s="25" t="inlineStr">
        <is>
          <t>Robotics / Automation / Mechatronics</t>
        </is>
      </c>
      <c r="E343" s="26" t="inlineStr">
        <is>
          <t>diplôme d'ingénieur de l'Ecole polytechnique de l'université d'Orléans parcours Matériaux, Mécanique, Mécatronique</t>
        </is>
      </c>
      <c r="F343" s="26" t="inlineStr">
        <is>
          <t>Engineering diploma of School polytechnique of University d'Orléans – track: Materials, Mechanics, Mechatronics</t>
        </is>
      </c>
      <c r="G343" s="25" t="inlineStr">
        <is>
          <t>Diplôme d'ingénieur</t>
        </is>
      </c>
      <c r="H343" s="25" t="inlineStr">
        <is>
          <t>Polytech Orléans</t>
        </is>
      </c>
      <c r="I343" s="25" t="inlineStr">
        <is>
          <t>Groupement Polytech</t>
        </is>
      </c>
      <c r="J343" s="25" t="inlineStr">
        <is>
          <t>Site d'Orléans</t>
        </is>
      </c>
      <c r="K343" s="25" t="inlineStr">
        <is>
          <t>45100 Orléans</t>
        </is>
      </c>
      <c r="L343" s="25" t="inlineStr">
        <is>
          <t>Public school / institute</t>
        </is>
      </c>
      <c r="M343" s="25" t="inlineStr">
        <is>
          <t>French</t>
        </is>
      </c>
      <c r="N343" s="25" t="inlineStr">
        <is>
          <t>General</t>
        </is>
      </c>
      <c r="O343" s="25" t="inlineStr">
        <is>
          <t>Bac +3 / Bac +4</t>
        </is>
      </c>
      <c r="P343" s="26" t="inlineStr">
        <is>
          <t>Eligible on level (4-yr BS ≈ Bac+4)</t>
        </is>
      </c>
      <c r="Q343" s="25" t="inlineStr">
        <is>
          <t>3/4</t>
        </is>
      </c>
      <c r="R343" s="25" t="inlineStr">
        <is>
          <t>12</t>
        </is>
      </c>
      <c r="S343" s="27" t="n">
        <v>635</v>
      </c>
      <c r="T343" s="27" t="n"/>
      <c r="U343" s="25" t="n">
        <v>2</v>
      </c>
      <c r="V343" s="27">
        <f>IF(S343="","",S343*U343)</f>
        <v/>
      </c>
      <c r="W343" s="26" t="inlineStr">
        <is>
          <t>Catalogue lists €635 (EU/national rate). Confirm whether non-EU surcharge applies.</t>
        </is>
      </c>
      <c r="X343" s="25" t="inlineStr">
        <is>
          <t>Medium</t>
        </is>
      </c>
      <c r="Y343" s="25" t="inlineStr">
        <is>
          <t>635</t>
        </is>
      </c>
      <c r="Z343" s="26" t="n"/>
      <c r="AA343" s="26" t="n"/>
      <c r="AB343" s="25" t="n"/>
      <c r="AC343" s="25" t="inlineStr">
        <is>
          <t>Open</t>
        </is>
      </c>
      <c r="AD343" s="25" t="inlineStr">
        <is>
          <t>2026-10-01</t>
        </is>
      </c>
      <c r="AE343" s="25" t="inlineStr">
        <is>
          <t>2027-03-15</t>
        </is>
      </c>
      <c r="AF343" s="25" t="inlineStr">
        <is>
          <t>Yes</t>
        </is>
      </c>
      <c r="AG343" s="28" t="inlineStr">
        <is>
          <t>http://www.polytech-orleans.fr</t>
        </is>
      </c>
      <c r="AH343" s="26" t="inlineStr">
        <is>
          <t>Les informations qui suivent, concernent la candidature en cycle ingénieur (diplôme niveau Bac+5) du réseau Polytech. Les candidatures sont possibles : - en 3ème année (1ère année cycle ingénieur) avec un niveau Bac+2/Ba</t>
        </is>
      </c>
      <c r="AI343" s="28" t="inlineStr">
        <is>
          <t>Open in EEF</t>
        </is>
      </c>
    </row>
    <row r="344" ht="32.8" customHeight="1" s="19">
      <c r="A344" s="25" t="n">
        <v>343</v>
      </c>
      <c r="B344" s="25" t="inlineStr">
        <is>
          <t>★★★★☆</t>
        </is>
      </c>
      <c r="C344" s="25" t="inlineStr">
        <is>
          <t>4 – Strong fit (electronics/signal/robotics/IoT/sensors)</t>
        </is>
      </c>
      <c r="D344" s="25" t="inlineStr">
        <is>
          <t>Embedded systems / Electronics</t>
        </is>
      </c>
      <c r="E344" s="26" t="inlineStr">
        <is>
          <t>diplôme d'ingénieur de l'ENS d'électrotechnique d'électronique d'informatique d'hydraulique et des télécommunications de l'INP de Toulouse spécialité Electronique et Génie Electrique</t>
        </is>
      </c>
      <c r="F344" s="26" t="inlineStr">
        <is>
          <t>Engineering diploma of l'ENS of Electrotechnics of Electronics of Computer Science of Hydraulics &amp; of Telecommunications of l'INP of Toulouse – specialisation: Electronics &amp; Electrical Engineering</t>
        </is>
      </c>
      <c r="G344" s="25" t="inlineStr">
        <is>
          <t>Diplôme d'ingénieur</t>
        </is>
      </c>
      <c r="H344" s="25" t="inlineStr">
        <is>
          <t>École nationale supérieure d'électrotechnique, d'électronique, d'informatique, d'hydraulique et des télécommunications</t>
        </is>
      </c>
      <c r="I344" s="25" t="inlineStr">
        <is>
          <t>Institut national polytechnique de Toulouse</t>
        </is>
      </c>
      <c r="J344" s="25" t="inlineStr">
        <is>
          <t>Site de Toulouse</t>
        </is>
      </c>
      <c r="K344" s="25" t="inlineStr">
        <is>
          <t>31071 Toulouse Cedex</t>
        </is>
      </c>
      <c r="L344" s="25" t="inlineStr">
        <is>
          <t>Public school / institute</t>
        </is>
      </c>
      <c r="M344" s="25" t="inlineStr">
        <is>
          <t>French</t>
        </is>
      </c>
      <c r="N344" s="25" t="inlineStr">
        <is>
          <t>General</t>
        </is>
      </c>
      <c r="O344" s="25" t="inlineStr">
        <is>
          <t>Bac +3 / Bac +4</t>
        </is>
      </c>
      <c r="P344" s="26" t="inlineStr">
        <is>
          <t>Eligible on level (4-yr BS ≈ Bac+4)</t>
        </is>
      </c>
      <c r="Q344" s="25" t="inlineStr">
        <is>
          <t>1/2</t>
        </is>
      </c>
      <c r="R344" s="25" t="inlineStr">
        <is>
          <t>12</t>
        </is>
      </c>
      <c r="S344" s="27" t="n">
        <v>691</v>
      </c>
      <c r="T344" s="27" t="n"/>
      <c r="U344" s="25" t="n">
        <v>2</v>
      </c>
      <c r="V344" s="27">
        <f>IF(S344="","",S344*U344)</f>
        <v/>
      </c>
      <c r="W344" s="26" t="inlineStr">
        <is>
          <t>Catalogue lists €691 (EU/national rate). Confirm whether non-EU surcharge applies.</t>
        </is>
      </c>
      <c r="X344" s="25" t="inlineStr">
        <is>
          <t>Medium</t>
        </is>
      </c>
      <c r="Y344" s="25" t="inlineStr">
        <is>
          <t>691</t>
        </is>
      </c>
      <c r="Z344" s="26" t="n"/>
      <c r="AA344" s="26" t="n"/>
      <c r="AB344" s="25" t="n"/>
      <c r="AC344" s="25" t="inlineStr">
        <is>
          <t>Open</t>
        </is>
      </c>
      <c r="AD344" s="25" t="inlineStr">
        <is>
          <t>2026-10-01</t>
        </is>
      </c>
      <c r="AE344" s="25" t="inlineStr">
        <is>
          <t>2027-03-15</t>
        </is>
      </c>
      <c r="AF344" s="25" t="inlineStr">
        <is>
          <t>Yes</t>
        </is>
      </c>
      <c r="AG344" s="28" t="inlineStr">
        <is>
          <t>http://www.enseeiht.fr</t>
        </is>
      </c>
      <c r="AH344" s="26" t="inlineStr">
        <is>
          <t>Statut Etudiant : Niveau L2 / DUT / BTS+ATS Statut Apprenti : Niveau DUT / BTS</t>
        </is>
      </c>
      <c r="AI344" s="28" t="inlineStr">
        <is>
          <t>Open in EEF</t>
        </is>
      </c>
    </row>
    <row r="345" ht="32.8" customHeight="1" s="19">
      <c r="A345" s="25" t="n">
        <v>344</v>
      </c>
      <c r="B345" s="25" t="inlineStr">
        <is>
          <t>★★★★☆</t>
        </is>
      </c>
      <c r="C345" s="25" t="inlineStr">
        <is>
          <t>4 – Strong fit (electronics/signal/robotics/IoT/sensors)</t>
        </is>
      </c>
      <c r="D345" s="25" t="inlineStr">
        <is>
          <t>Embedded systems / Electronics</t>
        </is>
      </c>
      <c r="E345" s="26" t="inlineStr">
        <is>
          <t>diplôme d'ingénieur de l'ENS d'électrotechnique d'électronique d'informatique d'hydraulique et des télécommunications de l'INP de Toulouse spécialité Mécanique et Génie Hydraulique</t>
        </is>
      </c>
      <c r="F345" s="26" t="inlineStr">
        <is>
          <t>Engineering diploma of l'ENS of Electrotechnics of Electronics of Computer Science of Hydraulics &amp; of Telecommunications of l'INP of Toulouse – specialisation: Mechanics &amp; Engineering Hydraulics</t>
        </is>
      </c>
      <c r="G345" s="25" t="inlineStr">
        <is>
          <t>Diplôme d'ingénieur</t>
        </is>
      </c>
      <c r="H345" s="25" t="inlineStr">
        <is>
          <t>École nationale supérieure d'électrotechnique, d'électronique, d'informatique, d'hydraulique et des télécommunications</t>
        </is>
      </c>
      <c r="I345" s="25" t="inlineStr">
        <is>
          <t>Institut national polytechnique de Toulouse</t>
        </is>
      </c>
      <c r="J345" s="25" t="inlineStr">
        <is>
          <t>Site de Toulouse</t>
        </is>
      </c>
      <c r="K345" s="25" t="inlineStr">
        <is>
          <t>31071 Toulouse Cedex</t>
        </is>
      </c>
      <c r="L345" s="25" t="inlineStr">
        <is>
          <t>Public school / institute</t>
        </is>
      </c>
      <c r="M345" s="25" t="inlineStr">
        <is>
          <t>French</t>
        </is>
      </c>
      <c r="N345" s="25" t="inlineStr">
        <is>
          <t>General</t>
        </is>
      </c>
      <c r="O345" s="25" t="inlineStr">
        <is>
          <t>Bac +3 / Bac +4</t>
        </is>
      </c>
      <c r="P345" s="26" t="inlineStr">
        <is>
          <t>Eligible on level (4-yr BS ≈ Bac+4)</t>
        </is>
      </c>
      <c r="Q345" s="25" t="inlineStr">
        <is>
          <t>1/2</t>
        </is>
      </c>
      <c r="R345" s="25" t="n"/>
      <c r="S345" s="27" t="n">
        <v>691</v>
      </c>
      <c r="T345" s="27" t="n"/>
      <c r="U345" s="25" t="n">
        <v>2</v>
      </c>
      <c r="V345" s="27">
        <f>IF(S345="","",S345*U345)</f>
        <v/>
      </c>
      <c r="W345" s="26" t="inlineStr">
        <is>
          <t>Catalogue lists €691 (EU/national rate). Confirm whether non-EU surcharge applies.</t>
        </is>
      </c>
      <c r="X345" s="25" t="inlineStr">
        <is>
          <t>Medium</t>
        </is>
      </c>
      <c r="Y345" s="25" t="inlineStr">
        <is>
          <t>691</t>
        </is>
      </c>
      <c r="Z345" s="26" t="n"/>
      <c r="AA345" s="26" t="n"/>
      <c r="AB345" s="25" t="n"/>
      <c r="AC345" s="25" t="inlineStr">
        <is>
          <t>Open</t>
        </is>
      </c>
      <c r="AD345" s="25" t="inlineStr">
        <is>
          <t>2026-10-01</t>
        </is>
      </c>
      <c r="AE345" s="25" t="inlineStr">
        <is>
          <t>2027-03-15</t>
        </is>
      </c>
      <c r="AF345" s="25" t="inlineStr">
        <is>
          <t>Yes</t>
        </is>
      </c>
      <c r="AG345" s="28" t="inlineStr">
        <is>
          <t>http://www.enseeiht.fr</t>
        </is>
      </c>
      <c r="AH345" s="26" t="inlineStr">
        <is>
          <t>Statut Etudiant : Niveau L2 / DUT / BTS+ATS Statut Apprenti : DUT / BTS</t>
        </is>
      </c>
      <c r="AI345" s="28" t="inlineStr">
        <is>
          <t>Open in EEF</t>
        </is>
      </c>
    </row>
    <row r="346" ht="32.8" customHeight="1" s="19">
      <c r="A346" s="25" t="n">
        <v>345</v>
      </c>
      <c r="B346" s="25" t="inlineStr">
        <is>
          <t>★★★★☆</t>
        </is>
      </c>
      <c r="C346" s="25" t="inlineStr">
        <is>
          <t>4 – Strong fit (electronics/signal/robotics/IoT/sensors)</t>
        </is>
      </c>
      <c r="D346" s="25" t="inlineStr">
        <is>
          <t>Embedded systems / Electronics</t>
        </is>
      </c>
      <c r="E346" s="26" t="inlineStr">
        <is>
          <t>diplôme d'ingénieur de l'ENS d'électrotechnique d'électronique d'informatique d'hydraulique et des télécommunications de l'INP de Toulouse spécialité Informatique et Télécommunications</t>
        </is>
      </c>
      <c r="F346" s="26" t="inlineStr">
        <is>
          <t>Engineering diploma of l'ENS of Electrotechnics of Electronics of Computer Science of Hydraulics &amp; of Telecommunications of l'INP of Toulouse – specialisation: Computer Science &amp; Telecommunications</t>
        </is>
      </c>
      <c r="G346" s="25" t="inlineStr">
        <is>
          <t>Diplôme d'ingénieur</t>
        </is>
      </c>
      <c r="H346" s="25" t="inlineStr">
        <is>
          <t>École nationale supérieure d'électrotechnique, d'électronique, d'informatique, d'hydraulique et des télécommunications</t>
        </is>
      </c>
      <c r="I346" s="25" t="inlineStr">
        <is>
          <t>Institut national polytechnique de Toulouse</t>
        </is>
      </c>
      <c r="J346" s="25" t="inlineStr">
        <is>
          <t>Site de Toulouse</t>
        </is>
      </c>
      <c r="K346" s="25" t="inlineStr">
        <is>
          <t>31071 Toulouse Cedex</t>
        </is>
      </c>
      <c r="L346" s="25" t="inlineStr">
        <is>
          <t>Public school / institute</t>
        </is>
      </c>
      <c r="M346" s="25" t="inlineStr">
        <is>
          <t>French</t>
        </is>
      </c>
      <c r="N346" s="25" t="inlineStr">
        <is>
          <t>General</t>
        </is>
      </c>
      <c r="O346" s="25" t="inlineStr">
        <is>
          <t>Bac +3 / Bac +4</t>
        </is>
      </c>
      <c r="P346" s="26" t="inlineStr">
        <is>
          <t>Eligible on level (4-yr BS ≈ Bac+4)</t>
        </is>
      </c>
      <c r="Q346" s="25" t="inlineStr">
        <is>
          <t>1/2</t>
        </is>
      </c>
      <c r="R346" s="25" t="inlineStr">
        <is>
          <t>12</t>
        </is>
      </c>
      <c r="S346" s="27" t="n">
        <v>691</v>
      </c>
      <c r="T346" s="27" t="n"/>
      <c r="U346" s="25" t="n">
        <v>2</v>
      </c>
      <c r="V346" s="27">
        <f>IF(S346="","",S346*U346)</f>
        <v/>
      </c>
      <c r="W346" s="26" t="inlineStr">
        <is>
          <t>Catalogue lists €691 (EU/national rate). Confirm whether non-EU surcharge applies.</t>
        </is>
      </c>
      <c r="X346" s="25" t="inlineStr">
        <is>
          <t>Medium</t>
        </is>
      </c>
      <c r="Y346" s="25" t="inlineStr">
        <is>
          <t>691</t>
        </is>
      </c>
      <c r="Z346" s="26" t="n"/>
      <c r="AA346" s="26" t="n"/>
      <c r="AB346" s="25" t="n"/>
      <c r="AC346" s="25" t="inlineStr">
        <is>
          <t>Open</t>
        </is>
      </c>
      <c r="AD346" s="25" t="inlineStr">
        <is>
          <t>2026-10-01</t>
        </is>
      </c>
      <c r="AE346" s="25" t="inlineStr">
        <is>
          <t>2027-03-15</t>
        </is>
      </c>
      <c r="AF346" s="25" t="inlineStr">
        <is>
          <t>Yes</t>
        </is>
      </c>
      <c r="AG346" s="28" t="inlineStr">
        <is>
          <t>http://www.enseeiht.fr</t>
        </is>
      </c>
      <c r="AH346" s="26" t="inlineStr">
        <is>
          <t>Statut étudiant : Niveau L2 / DUT / BTS+ATS Statut Apprenti : DUT / BTS</t>
        </is>
      </c>
      <c r="AI346" s="28" t="inlineStr">
        <is>
          <t>Open in EEF</t>
        </is>
      </c>
    </row>
    <row r="347" ht="32.8" customHeight="1" s="19">
      <c r="A347" s="25" t="n">
        <v>346</v>
      </c>
      <c r="B347" s="25" t="inlineStr">
        <is>
          <t>★★★★☆</t>
        </is>
      </c>
      <c r="C347" s="25" t="inlineStr">
        <is>
          <t>4 – Strong fit (electronics/signal/robotics/IoT/sensors)</t>
        </is>
      </c>
      <c r="D347" s="25" t="inlineStr">
        <is>
          <t>Robotics / Automation / Mechatronics</t>
        </is>
      </c>
      <c r="E347" s="26" t="inlineStr">
        <is>
          <t>Master indifférencié (recherche et professionnel) Sciences, technologies, santé mention Ingénierie des systèmes complexes parcours Mécatronique, Procédés et Microtechniques</t>
        </is>
      </c>
      <c r="F347" s="26" t="inlineStr">
        <is>
          <t>Science, Technology, Health (STS) – major: Complex Systems Engineering – track: Mechatronics, Procédés &amp; Microtechniques</t>
        </is>
      </c>
      <c r="G347" s="25" t="inlineStr">
        <is>
          <t>Master indifférencié (recherche et professionnel)</t>
        </is>
      </c>
      <c r="H347" s="25" t="inlineStr">
        <is>
          <t>Ecole nationale supérieure de mécanique et des microtechniques</t>
        </is>
      </c>
      <c r="I347" s="25" t="n"/>
      <c r="J347" s="25" t="inlineStr">
        <is>
          <t>Site de Besançon</t>
        </is>
      </c>
      <c r="K347" s="25" t="n"/>
      <c r="L347" s="25" t="inlineStr">
        <is>
          <t>Public school / institute</t>
        </is>
      </c>
      <c r="M347" s="25" t="inlineStr">
        <is>
          <t>French</t>
        </is>
      </c>
      <c r="N347" s="25" t="inlineStr">
        <is>
          <t>General</t>
        </is>
      </c>
      <c r="O347" s="25" t="inlineStr">
        <is>
          <t>Bac +4</t>
        </is>
      </c>
      <c r="P347" s="26" t="inlineStr">
        <is>
          <t>Eligible on level (4-yr BS ≈ Bac+4)</t>
        </is>
      </c>
      <c r="Q347" s="25" t="inlineStr">
        <is>
          <t>1</t>
        </is>
      </c>
      <c r="R347" s="25" t="inlineStr">
        <is>
          <t>24</t>
        </is>
      </c>
      <c r="S347" s="27" t="n">
        <v>1114</v>
      </c>
      <c r="T347" s="27" t="n"/>
      <c r="U347" s="25" t="n">
        <v>2</v>
      </c>
      <c r="V347" s="27">
        <f>IF(S347="","",S347*U347)</f>
        <v/>
      </c>
      <c r="W347" s="26" t="inlineStr">
        <is>
          <t>Catalogue fee €1,114/yr (entered by institution).</t>
        </is>
      </c>
      <c r="X347" s="25" t="inlineStr">
        <is>
          <t>High</t>
        </is>
      </c>
      <c r="Y347" s="25" t="inlineStr">
        <is>
          <t>1114</t>
        </is>
      </c>
      <c r="Z347" s="26" t="n"/>
      <c r="AA347" s="26" t="n"/>
      <c r="AB347" s="25" t="n"/>
      <c r="AC347" s="25" t="inlineStr">
        <is>
          <t>Open</t>
        </is>
      </c>
      <c r="AD347" s="25" t="inlineStr">
        <is>
          <t>2026-10-01</t>
        </is>
      </c>
      <c r="AE347" s="25" t="inlineStr">
        <is>
          <t>2027-03-15</t>
        </is>
      </c>
      <c r="AF347" s="25" t="inlineStr">
        <is>
          <t>No</t>
        </is>
      </c>
      <c r="AG347" s="28" t="inlineStr">
        <is>
          <t>https://www.ens2m.fr/</t>
        </is>
      </c>
      <c r="AH347" s="26" t="inlineStr">
        <is>
          <t>Niveau requis en Français pour l'admission : TCF niveau B2</t>
        </is>
      </c>
      <c r="AI347" s="28" t="inlineStr">
        <is>
          <t>Open in EEF</t>
        </is>
      </c>
    </row>
    <row r="348" ht="32.8" customHeight="1" s="19">
      <c r="A348" s="25" t="n">
        <v>347</v>
      </c>
      <c r="B348" s="25" t="inlineStr">
        <is>
          <t>★★★★☆</t>
        </is>
      </c>
      <c r="C348" s="25" t="inlineStr">
        <is>
          <t>4 – Strong fit (electronics/signal/robotics/IoT/sensors)</t>
        </is>
      </c>
      <c r="D348" s="25" t="inlineStr">
        <is>
          <t>Embedded systems / Electronics</t>
        </is>
      </c>
      <c r="E348" s="26" t="inlineStr">
        <is>
          <t>CPE Lyon : Sciences et Technologies du Numérique (diplôme d'ingénieur - Grade de Master) - Électronique, télécommunications, informatique, robotique, image, réseaux</t>
        </is>
      </c>
      <c r="F348" s="26" t="inlineStr">
        <is>
          <t>CPE Lyon : Science &amp; Technology of Digital (Engineering diploma - Grade of Master) - Electronics, Telecommunications, Computer Science, Robotics, Image, Networks</t>
        </is>
      </c>
      <c r="G348" s="25" t="inlineStr">
        <is>
          <t>Diplôme d'ingénieur</t>
        </is>
      </c>
      <c r="H348" s="25" t="inlineStr">
        <is>
          <t>Ecole supérieure de Chimie, Physique, Electronique de Lyon</t>
        </is>
      </c>
      <c r="I348" s="25" t="n"/>
      <c r="J348" s="25" t="inlineStr">
        <is>
          <t>Villeurbanne</t>
        </is>
      </c>
      <c r="K348" s="25" t="n"/>
      <c r="L348" s="25" t="inlineStr">
        <is>
          <t>Public school / institute</t>
        </is>
      </c>
      <c r="M348" s="25" t="inlineStr">
        <is>
          <t>French</t>
        </is>
      </c>
      <c r="N348" s="25" t="inlineStr">
        <is>
          <t>General</t>
        </is>
      </c>
      <c r="O348" s="25" t="inlineStr">
        <is>
          <t>Bac +1 / Bac +2 / Bac +3 / Bac +4 / Bac +5</t>
        </is>
      </c>
      <c r="P348" s="26" t="inlineStr">
        <is>
          <t>Eligible on level (4-yr BS ≈ Bac+4)</t>
        </is>
      </c>
      <c r="Q348" s="25" t="inlineStr">
        <is>
          <t>1/2/3/4/5</t>
        </is>
      </c>
      <c r="R348" s="25" t="inlineStr">
        <is>
          <t>10</t>
        </is>
      </c>
      <c r="S348" s="27" t="n">
        <v>3180</v>
      </c>
      <c r="T348" s="27" t="n"/>
      <c r="U348" s="25" t="n">
        <v>2</v>
      </c>
      <c r="V348" s="27">
        <f>IF(S348="","",S348*U348)</f>
        <v/>
      </c>
      <c r="W348" s="26" t="inlineStr">
        <is>
          <t>Catalogue fee €3,180/yr (entered by institution).</t>
        </is>
      </c>
      <c r="X348" s="25" t="inlineStr">
        <is>
          <t>High</t>
        </is>
      </c>
      <c r="Y348" s="25" t="inlineStr">
        <is>
          <t>3180/8950</t>
        </is>
      </c>
      <c r="Z348" s="26" t="n"/>
      <c r="AA348" s="26" t="n"/>
      <c r="AB348" s="25" t="n"/>
      <c r="AC348" s="25" t="inlineStr">
        <is>
          <t>Open</t>
        </is>
      </c>
      <c r="AD348" s="25" t="inlineStr">
        <is>
          <t>2026-10-01</t>
        </is>
      </c>
      <c r="AE348" s="25" t="inlineStr">
        <is>
          <t>2027-03-15</t>
        </is>
      </c>
      <c r="AF348" s="25" t="inlineStr">
        <is>
          <t>No</t>
        </is>
      </c>
      <c r="AG348" s="28" t="inlineStr">
        <is>
          <t>https://www.cpe.fr/</t>
        </is>
      </c>
      <c r="AH348" s="26" t="inlineStr">
        <is>
          <t>Prérequis: Entrée en année 1/2 : Le candidat doit être titulaire d’un baccalauréat scientifique ou d’un diplôme équivalent à forte dominante scientifique. Entrée en année 3 ou 4 : Le candidat doit être titulaire d’un DUT</t>
        </is>
      </c>
      <c r="AI348" s="28" t="inlineStr">
        <is>
          <t>Open in EEF</t>
        </is>
      </c>
    </row>
    <row r="349" ht="43.25" customHeight="1" s="19">
      <c r="A349" s="25" t="n">
        <v>348</v>
      </c>
      <c r="B349" s="25" t="inlineStr">
        <is>
          <t>★★★★☆</t>
        </is>
      </c>
      <c r="C349" s="25" t="inlineStr">
        <is>
          <t>4 – Strong fit (electronics/signal/robotics/IoT/sensors)</t>
        </is>
      </c>
      <c r="D349" s="25" t="inlineStr">
        <is>
          <t>Embedded systems / Electronics</t>
        </is>
      </c>
      <c r="E349" s="26" t="inlineStr">
        <is>
          <t>diplôme d'ingénieur de l'Institut national polytechnique de Bordeaux - École nationale supérieure d'électronique, informatique, télécommunications, mathématique et mécanique de Bordeaux spécialité informatique</t>
        </is>
      </c>
      <c r="F349" s="26" t="inlineStr">
        <is>
          <t>Engineering diploma of Institute National polytechnique of Bordeaux - National Graduate School of Electronics, Computer Science, Telecommunications, Mathematical &amp; Mechanics of Bordeaux – specialisation: Computer Science</t>
        </is>
      </c>
      <c r="G349" s="25" t="inlineStr">
        <is>
          <t>Diplôme d'ingénieur</t>
        </is>
      </c>
      <c r="H349" s="25" t="inlineStr">
        <is>
          <t>ENS d'électronique, informatique, télécommunications, mathématiques et mécanique de Bordeaux</t>
        </is>
      </c>
      <c r="I349" s="25" t="inlineStr">
        <is>
          <t>Institut national polytechnique de Bordeaux</t>
        </is>
      </c>
      <c r="J349" s="25" t="inlineStr">
        <is>
          <t>Site de Talence</t>
        </is>
      </c>
      <c r="K349" s="25" t="n"/>
      <c r="L349" s="25" t="inlineStr">
        <is>
          <t>Public school / institute</t>
        </is>
      </c>
      <c r="M349" s="25" t="inlineStr">
        <is>
          <t>French</t>
        </is>
      </c>
      <c r="N349" s="25" t="inlineStr">
        <is>
          <t>General</t>
        </is>
      </c>
      <c r="O349" s="25" t="inlineStr">
        <is>
          <t>Bac +3 / Bac +4 / Bac +5</t>
        </is>
      </c>
      <c r="P349" s="26" t="inlineStr">
        <is>
          <t>Eligible on level (4-yr BS ≈ Bac+4)</t>
        </is>
      </c>
      <c r="Q349" s="25" t="inlineStr">
        <is>
          <t>1/2/3</t>
        </is>
      </c>
      <c r="R349" s="25" t="inlineStr">
        <is>
          <t>36/24</t>
        </is>
      </c>
      <c r="S349" s="27" t="n">
        <v>3770</v>
      </c>
      <c r="T349" s="27" t="n"/>
      <c r="U349" s="25" t="n">
        <v>2</v>
      </c>
      <c r="V349" s="27">
        <f>IF(S349="","",S349*U349)</f>
        <v/>
      </c>
      <c r="W349" s="26" t="inlineStr">
        <is>
          <t>Catalogue fee €3,770/yr (entered by institution).</t>
        </is>
      </c>
      <c r="X349" s="25" t="inlineStr">
        <is>
          <t>High</t>
        </is>
      </c>
      <c r="Y349" s="25" t="inlineStr">
        <is>
          <t>3770</t>
        </is>
      </c>
      <c r="Z349" s="26" t="n"/>
      <c r="AA349" s="26" t="n"/>
      <c r="AB349" s="25" t="n"/>
      <c r="AC349" s="25" t="inlineStr">
        <is>
          <t>Open</t>
        </is>
      </c>
      <c r="AD349" s="25" t="inlineStr">
        <is>
          <t>2026-10-01</t>
        </is>
      </c>
      <c r="AE349" s="25" t="inlineStr">
        <is>
          <t>2027-03-15</t>
        </is>
      </c>
      <c r="AF349" s="25" t="inlineStr">
        <is>
          <t>No</t>
        </is>
      </c>
      <c r="AG349" s="28" t="inlineStr">
        <is>
          <t>http://www.enseirb-matmeca.fr</t>
        </is>
      </c>
      <c r="AH349" s="26" t="n"/>
      <c r="AI349" s="28" t="inlineStr">
        <is>
          <t>Open in EEF</t>
        </is>
      </c>
    </row>
    <row r="350" ht="43.25" customHeight="1" s="19">
      <c r="A350" s="25" t="n">
        <v>349</v>
      </c>
      <c r="B350" s="25" t="inlineStr">
        <is>
          <t>★★★★☆</t>
        </is>
      </c>
      <c r="C350" s="25" t="inlineStr">
        <is>
          <t>4 – Strong fit (electronics/signal/robotics/IoT/sensors)</t>
        </is>
      </c>
      <c r="D350" s="25" t="inlineStr">
        <is>
          <t>Embedded systems / Electronics</t>
        </is>
      </c>
      <c r="E350" s="26" t="inlineStr">
        <is>
          <t>diplôme d'ingénieur de l'Institut national polytechnique de Bordeaux - École nationale supérieure d'électronique, informatique, télécommunications, mathématique et mécanique de Bordeaux spécialité électronique</t>
        </is>
      </c>
      <c r="F350" s="26" t="inlineStr">
        <is>
          <t>Engineering diploma of Institute National polytechnique of Bordeaux - National Graduate School of Electronics, Computer Science, Telecommunications, Mathematical &amp; Mechanics of Bordeaux – specialisation: Electronics</t>
        </is>
      </c>
      <c r="G350" s="25" t="inlineStr">
        <is>
          <t>Diplôme d'ingénieur</t>
        </is>
      </c>
      <c r="H350" s="25" t="inlineStr">
        <is>
          <t>ENS d'électronique, informatique, télécommunications, mathématiques et mécanique de Bordeaux</t>
        </is>
      </c>
      <c r="I350" s="25" t="inlineStr">
        <is>
          <t>Institut national polytechnique de Bordeaux</t>
        </is>
      </c>
      <c r="J350" s="25" t="inlineStr">
        <is>
          <t>Site de Talence</t>
        </is>
      </c>
      <c r="K350" s="25" t="n"/>
      <c r="L350" s="25" t="inlineStr">
        <is>
          <t>Public school / institute</t>
        </is>
      </c>
      <c r="M350" s="25" t="inlineStr">
        <is>
          <t>French</t>
        </is>
      </c>
      <c r="N350" s="25" t="inlineStr">
        <is>
          <t>General</t>
        </is>
      </c>
      <c r="O350" s="25" t="inlineStr">
        <is>
          <t>Bac +3 / Bac +4 / Bac +5</t>
        </is>
      </c>
      <c r="P350" s="26" t="inlineStr">
        <is>
          <t>Eligible on level (4-yr BS ≈ Bac+4)</t>
        </is>
      </c>
      <c r="Q350" s="25" t="inlineStr">
        <is>
          <t>1/2/3</t>
        </is>
      </c>
      <c r="R350" s="25" t="inlineStr">
        <is>
          <t>36/24</t>
        </is>
      </c>
      <c r="S350" s="27" t="n">
        <v>3770</v>
      </c>
      <c r="T350" s="27" t="n"/>
      <c r="U350" s="25" t="n">
        <v>2</v>
      </c>
      <c r="V350" s="27">
        <f>IF(S350="","",S350*U350)</f>
        <v/>
      </c>
      <c r="W350" s="26" t="inlineStr">
        <is>
          <t>Catalogue fee €3,770/yr (entered by institution).</t>
        </is>
      </c>
      <c r="X350" s="25" t="inlineStr">
        <is>
          <t>High</t>
        </is>
      </c>
      <c r="Y350" s="25" t="inlineStr">
        <is>
          <t>3770</t>
        </is>
      </c>
      <c r="Z350" s="26" t="n"/>
      <c r="AA350" s="26" t="n"/>
      <c r="AB350" s="25" t="n"/>
      <c r="AC350" s="25" t="inlineStr">
        <is>
          <t>Open</t>
        </is>
      </c>
      <c r="AD350" s="25" t="inlineStr">
        <is>
          <t>2026-10-01</t>
        </is>
      </c>
      <c r="AE350" s="25" t="inlineStr">
        <is>
          <t>2027-03-15</t>
        </is>
      </c>
      <c r="AF350" s="25" t="inlineStr">
        <is>
          <t>No</t>
        </is>
      </c>
      <c r="AG350" s="28" t="inlineStr">
        <is>
          <t>http://www.enseirb-matmeca.fr</t>
        </is>
      </c>
      <c r="AH350" s="26" t="n"/>
      <c r="AI350" s="28" t="inlineStr">
        <is>
          <t>Open in EEF</t>
        </is>
      </c>
    </row>
    <row r="351" ht="43.25" customHeight="1" s="19">
      <c r="A351" s="25" t="n">
        <v>350</v>
      </c>
      <c r="B351" s="25" t="inlineStr">
        <is>
          <t>★★★★☆</t>
        </is>
      </c>
      <c r="C351" s="25" t="inlineStr">
        <is>
          <t>4 – Strong fit (electronics/signal/robotics/IoT/sensors)</t>
        </is>
      </c>
      <c r="D351" s="25" t="inlineStr">
        <is>
          <t>Embedded systems / Electronics</t>
        </is>
      </c>
      <c r="E351" s="26" t="inlineStr">
        <is>
          <t>diplôme d'ingénieur de l'Institut national polytechnique de Bordeaux - École nationale supérieure d'électronique, informatique, télécommunications, mathématique et mécanique de Bordeaux spécialité mathématique et mécanique</t>
        </is>
      </c>
      <c r="F351" s="26" t="inlineStr">
        <is>
          <t>Engineering diploma of Institute National polytechnique of Bordeaux - National Graduate School of Electronics, Computer Science, Telecommunications, Mathematical &amp; Mechanics of Bordeaux – specialisation: Mathematical &amp; Mechanics</t>
        </is>
      </c>
      <c r="G351" s="25" t="inlineStr">
        <is>
          <t>Diplôme d'ingénieur</t>
        </is>
      </c>
      <c r="H351" s="25" t="inlineStr">
        <is>
          <t>ENS d'électronique, informatique, télécommunications, mathématiques et mécanique de Bordeaux</t>
        </is>
      </c>
      <c r="I351" s="25" t="inlineStr">
        <is>
          <t>Institut national polytechnique de Bordeaux</t>
        </is>
      </c>
      <c r="J351" s="25" t="inlineStr">
        <is>
          <t>Site de Talence</t>
        </is>
      </c>
      <c r="K351" s="25" t="n"/>
      <c r="L351" s="25" t="inlineStr">
        <is>
          <t>Public school / institute</t>
        </is>
      </c>
      <c r="M351" s="25" t="inlineStr">
        <is>
          <t>French</t>
        </is>
      </c>
      <c r="N351" s="25" t="inlineStr">
        <is>
          <t>General</t>
        </is>
      </c>
      <c r="O351" s="25" t="inlineStr">
        <is>
          <t>Bac +3 / Bac +4 / Bac +5</t>
        </is>
      </c>
      <c r="P351" s="26" t="inlineStr">
        <is>
          <t>Eligible on level (4-yr BS ≈ Bac+4)</t>
        </is>
      </c>
      <c r="Q351" s="25" t="inlineStr">
        <is>
          <t>1/2/3</t>
        </is>
      </c>
      <c r="R351" s="25" t="inlineStr">
        <is>
          <t>36/24</t>
        </is>
      </c>
      <c r="S351" s="27" t="n">
        <v>3770</v>
      </c>
      <c r="T351" s="27" t="n"/>
      <c r="U351" s="25" t="n">
        <v>2</v>
      </c>
      <c r="V351" s="27">
        <f>IF(S351="","",S351*U351)</f>
        <v/>
      </c>
      <c r="W351" s="26" t="inlineStr">
        <is>
          <t>Catalogue fee €3,770/yr (entered by institution).</t>
        </is>
      </c>
      <c r="X351" s="25" t="inlineStr">
        <is>
          <t>High</t>
        </is>
      </c>
      <c r="Y351" s="25" t="inlineStr">
        <is>
          <t>3770</t>
        </is>
      </c>
      <c r="Z351" s="26" t="n"/>
      <c r="AA351" s="26" t="n"/>
      <c r="AB351" s="25" t="n"/>
      <c r="AC351" s="25" t="inlineStr">
        <is>
          <t>Open</t>
        </is>
      </c>
      <c r="AD351" s="25" t="inlineStr">
        <is>
          <t>2026-10-01</t>
        </is>
      </c>
      <c r="AE351" s="25" t="inlineStr">
        <is>
          <t>2027-03-15</t>
        </is>
      </c>
      <c r="AF351" s="25" t="inlineStr">
        <is>
          <t>No</t>
        </is>
      </c>
      <c r="AG351" s="28" t="inlineStr">
        <is>
          <t>http://www.enseirb-matmeca.fr</t>
        </is>
      </c>
      <c r="AH351" s="26" t="n"/>
      <c r="AI351" s="28" t="inlineStr">
        <is>
          <t>Open in EEF</t>
        </is>
      </c>
    </row>
    <row r="352" ht="43.25" customHeight="1" s="19">
      <c r="A352" s="25" t="n">
        <v>351</v>
      </c>
      <c r="B352" s="25" t="inlineStr">
        <is>
          <t>★★★★☆</t>
        </is>
      </c>
      <c r="C352" s="25" t="inlineStr">
        <is>
          <t>4 – Strong fit (electronics/signal/robotics/IoT/sensors)</t>
        </is>
      </c>
      <c r="D352" s="25" t="inlineStr">
        <is>
          <t>Embedded systems / Electronics</t>
        </is>
      </c>
      <c r="E352" s="26" t="inlineStr">
        <is>
          <t>diplôme d'ingénieur de l'Institut national polytechnique de Bordeaux - École nationale supérieure d'électronique, informatique, télécommunications, mathématique et mécanique de Bordeaux spécialité télécommunications</t>
        </is>
      </c>
      <c r="F352" s="26" t="inlineStr">
        <is>
          <t>Engineering diploma of Institute National polytechnique of Bordeaux - National Graduate School of Electronics, Computer Science, Telecommunications, Mathematical &amp; Mechanics of Bordeaux – specialisation: Telecommunications</t>
        </is>
      </c>
      <c r="G352" s="25" t="inlineStr">
        <is>
          <t>Diplôme d'ingénieur</t>
        </is>
      </c>
      <c r="H352" s="25" t="inlineStr">
        <is>
          <t>ENS d'électronique, informatique, télécommunications, mathématiques et mécanique de Bordeaux</t>
        </is>
      </c>
      <c r="I352" s="25" t="inlineStr">
        <is>
          <t>Institut national polytechnique de Bordeaux</t>
        </is>
      </c>
      <c r="J352" s="25" t="inlineStr">
        <is>
          <t>Site de Talence</t>
        </is>
      </c>
      <c r="K352" s="25" t="n"/>
      <c r="L352" s="25" t="inlineStr">
        <is>
          <t>Public school / institute</t>
        </is>
      </c>
      <c r="M352" s="25" t="inlineStr">
        <is>
          <t>French</t>
        </is>
      </c>
      <c r="N352" s="25" t="inlineStr">
        <is>
          <t>General</t>
        </is>
      </c>
      <c r="O352" s="25" t="inlineStr">
        <is>
          <t>Bac +3 / Bac +4 / Bac +5</t>
        </is>
      </c>
      <c r="P352" s="26" t="inlineStr">
        <is>
          <t>Eligible on level (4-yr BS ≈ Bac+4)</t>
        </is>
      </c>
      <c r="Q352" s="25" t="inlineStr">
        <is>
          <t>1/2/3</t>
        </is>
      </c>
      <c r="R352" s="25" t="inlineStr">
        <is>
          <t>36/24</t>
        </is>
      </c>
      <c r="S352" s="27" t="n">
        <v>3770</v>
      </c>
      <c r="T352" s="27" t="n"/>
      <c r="U352" s="25" t="n">
        <v>2</v>
      </c>
      <c r="V352" s="27">
        <f>IF(S352="","",S352*U352)</f>
        <v/>
      </c>
      <c r="W352" s="26" t="inlineStr">
        <is>
          <t>Catalogue fee €3,770/yr (entered by institution).</t>
        </is>
      </c>
      <c r="X352" s="25" t="inlineStr">
        <is>
          <t>High</t>
        </is>
      </c>
      <c r="Y352" s="25" t="inlineStr">
        <is>
          <t>3770</t>
        </is>
      </c>
      <c r="Z352" s="26" t="n"/>
      <c r="AA352" s="26" t="n"/>
      <c r="AB352" s="25" t="n"/>
      <c r="AC352" s="25" t="inlineStr">
        <is>
          <t>Open</t>
        </is>
      </c>
      <c r="AD352" s="25" t="inlineStr">
        <is>
          <t>2026-10-01</t>
        </is>
      </c>
      <c r="AE352" s="25" t="inlineStr">
        <is>
          <t>2027-03-15</t>
        </is>
      </c>
      <c r="AF352" s="25" t="inlineStr">
        <is>
          <t>No</t>
        </is>
      </c>
      <c r="AG352" s="28" t="inlineStr">
        <is>
          <t>http://www.enseirb-matmeca.fr</t>
        </is>
      </c>
      <c r="AH352" s="26" t="n"/>
      <c r="AI352" s="28" t="inlineStr">
        <is>
          <t>Open in EEF</t>
        </is>
      </c>
    </row>
    <row r="353" ht="22.35" customHeight="1" s="19">
      <c r="A353" s="25" t="n">
        <v>352</v>
      </c>
      <c r="B353" s="25" t="inlineStr">
        <is>
          <t>★★★★☆</t>
        </is>
      </c>
      <c r="C353" s="25" t="inlineStr">
        <is>
          <t>4 – Strong fit (electronics/signal/robotics/IoT/sensors)</t>
        </is>
      </c>
      <c r="D353" s="25" t="inlineStr">
        <is>
          <t>IoT / Telecom / Networks</t>
        </is>
      </c>
      <c r="E353" s="26" t="inlineStr">
        <is>
          <t>diplôme d'ingénieur de l'École polytechnique universitaire de l'université de lorraine parcours Informatique Automatique Robotique Réseaux (IA2R)</t>
        </is>
      </c>
      <c r="F353" s="26" t="inlineStr">
        <is>
          <t>Engineering diploma of the University Polytechnic School of University of lorraine – track: Computer Science Automation Robotics Networks (IA2R)</t>
        </is>
      </c>
      <c r="G353" s="25" t="inlineStr">
        <is>
          <t>Diplôme d'ingénieur</t>
        </is>
      </c>
      <c r="H353" s="25" t="inlineStr">
        <is>
          <t>Polytech Nancy</t>
        </is>
      </c>
      <c r="I353" s="25" t="inlineStr">
        <is>
          <t>Groupement Polytech</t>
        </is>
      </c>
      <c r="J353" s="25" t="inlineStr">
        <is>
          <t>Site de Vandoeuvre-lès-Nancy</t>
        </is>
      </c>
      <c r="K353" s="25" t="n"/>
      <c r="L353" s="25" t="inlineStr">
        <is>
          <t>Public school / institute</t>
        </is>
      </c>
      <c r="M353" s="25" t="inlineStr">
        <is>
          <t>French</t>
        </is>
      </c>
      <c r="N353" s="25" t="inlineStr">
        <is>
          <t>General</t>
        </is>
      </c>
      <c r="O353" s="25" t="inlineStr">
        <is>
          <t>Bac +3 / Bac +4</t>
        </is>
      </c>
      <c r="P353" s="26" t="inlineStr">
        <is>
          <t>Eligible on level (4-yr BS ≈ Bac+4)</t>
        </is>
      </c>
      <c r="Q353" s="25" t="inlineStr">
        <is>
          <t>3/4</t>
        </is>
      </c>
      <c r="R353" s="25" t="inlineStr">
        <is>
          <t>12</t>
        </is>
      </c>
      <c r="S353" s="27" t="n">
        <v>3792</v>
      </c>
      <c r="T353" s="27" t="n"/>
      <c r="U353" s="25" t="n">
        <v>2</v>
      </c>
      <c r="V353" s="27">
        <f>IF(S353="","",S353*U353)</f>
        <v/>
      </c>
      <c r="W353" s="26" t="inlineStr">
        <is>
          <t>Catalogue fee €3,792/yr (entered by institution).</t>
        </is>
      </c>
      <c r="X353" s="25" t="inlineStr">
        <is>
          <t>High</t>
        </is>
      </c>
      <c r="Y353" s="25" t="inlineStr">
        <is>
          <t>3792</t>
        </is>
      </c>
      <c r="Z353" s="26" t="n"/>
      <c r="AA353" s="26" t="n"/>
      <c r="AB353" s="25" t="n"/>
      <c r="AC353" s="25" t="inlineStr">
        <is>
          <t>Open</t>
        </is>
      </c>
      <c r="AD353" s="25" t="inlineStr">
        <is>
          <t>2026-10-01</t>
        </is>
      </c>
      <c r="AE353" s="25" t="inlineStr">
        <is>
          <t>2027-03-15</t>
        </is>
      </c>
      <c r="AF353" s="25" t="inlineStr">
        <is>
          <t>Yes</t>
        </is>
      </c>
      <c r="AG353" s="25" t="n"/>
      <c r="AH353" s="26" t="n"/>
      <c r="AI353" s="28" t="inlineStr">
        <is>
          <t>Open in EEF</t>
        </is>
      </c>
    </row>
    <row r="354" ht="32.8" customHeight="1" s="19">
      <c r="A354" s="25" t="n">
        <v>353</v>
      </c>
      <c r="B354" s="25" t="inlineStr">
        <is>
          <t>★★★★☆</t>
        </is>
      </c>
      <c r="C354" s="25" t="inlineStr">
        <is>
          <t>4 – Strong fit (electronics/signal/robotics/IoT/sensors)</t>
        </is>
      </c>
      <c r="D354" s="25" t="inlineStr">
        <is>
          <t>Embedded systems / Electronics</t>
        </is>
      </c>
      <c r="E354" s="26" t="inlineStr">
        <is>
          <t>diplôme d'ingénieur de l'Ecole supérieure d'ingénieurs en électronique et électrotechnique d'Amiens</t>
        </is>
      </c>
      <c r="F354" s="26" t="inlineStr">
        <is>
          <t>Engineering diploma of School Higher of Engineers in Electronics &amp; Electrotechnics d'Amiens</t>
        </is>
      </c>
      <c r="G354" s="25" t="inlineStr">
        <is>
          <t>Diplôme d'ingénieur</t>
        </is>
      </c>
      <c r="H354" s="25" t="inlineStr">
        <is>
          <t>Ecole supérieure d'ingénieur en électronique et électrotechnique</t>
        </is>
      </c>
      <c r="I354" s="25" t="inlineStr">
        <is>
          <t>ESIEE - École Supérieure d'Ingénieurs en Électronique et Électrotechnique</t>
        </is>
      </c>
      <c r="J354" s="25" t="inlineStr">
        <is>
          <t>Site de Amiens</t>
        </is>
      </c>
      <c r="K354" s="25" t="n"/>
      <c r="L354" s="25" t="inlineStr">
        <is>
          <t>Private / EESPIG</t>
        </is>
      </c>
      <c r="M354" s="25" t="inlineStr">
        <is>
          <t>French</t>
        </is>
      </c>
      <c r="N354" s="25" t="inlineStr">
        <is>
          <t>General</t>
        </is>
      </c>
      <c r="O354" s="25" t="inlineStr">
        <is>
          <t>Bac +1 / Bac +2 / Bac +3 / Bac +4</t>
        </is>
      </c>
      <c r="P354" s="26" t="inlineStr">
        <is>
          <t>Eligible on level (4-yr BS ≈ Bac+4)</t>
        </is>
      </c>
      <c r="Q354" s="25" t="inlineStr">
        <is>
          <t>1/2/3/4</t>
        </is>
      </c>
      <c r="R354" s="25" t="n"/>
      <c r="S354" s="27" t="n">
        <v>3875</v>
      </c>
      <c r="T354" s="27" t="n"/>
      <c r="U354" s="25" t="n">
        <v>2</v>
      </c>
      <c r="V354" s="27">
        <f>IF(S354="","",S354*U354)</f>
        <v/>
      </c>
      <c r="W354" s="26" t="inlineStr">
        <is>
          <t>Catalogue fee €3,875/yr (entered by institution).</t>
        </is>
      </c>
      <c r="X354" s="25" t="inlineStr">
        <is>
          <t>High</t>
        </is>
      </c>
      <c r="Y354" s="25" t="inlineStr">
        <is>
          <t>3875/5100</t>
        </is>
      </c>
      <c r="Z354" s="26" t="n"/>
      <c r="AA354" s="26" t="n"/>
      <c r="AB354" s="25" t="n"/>
      <c r="AC354" s="25" t="inlineStr">
        <is>
          <t>Open</t>
        </is>
      </c>
      <c r="AD354" s="25" t="inlineStr">
        <is>
          <t>2026-10-01</t>
        </is>
      </c>
      <c r="AE354" s="25" t="inlineStr">
        <is>
          <t>2027-03-15</t>
        </is>
      </c>
      <c r="AF354" s="25" t="inlineStr">
        <is>
          <t>No</t>
        </is>
      </c>
      <c r="AG354" s="28" t="inlineStr">
        <is>
          <t>http://www.esiee-amiens.fr</t>
        </is>
      </c>
      <c r="AH354" s="26" t="inlineStr">
        <is>
          <t>L'ESIEE-Amiens forme des ingénieurs aux techniques et à la maîtrise de la double transition énergétique et numérique. Elle ouvre les portes des domaines de l'énergie (électrique, thermique ou renouvelable), des réseaux e</t>
        </is>
      </c>
      <c r="AI354" s="28" t="inlineStr">
        <is>
          <t>Open in EEF</t>
        </is>
      </c>
    </row>
    <row r="355" ht="32.8" customHeight="1" s="19">
      <c r="A355" s="25" t="n">
        <v>354</v>
      </c>
      <c r="B355" s="25" t="inlineStr">
        <is>
          <t>★★★★☆</t>
        </is>
      </c>
      <c r="C355" s="25" t="inlineStr">
        <is>
          <t>4 – Strong fit (electronics/signal/robotics/IoT/sensors)</t>
        </is>
      </c>
      <c r="D355" s="25" t="inlineStr">
        <is>
          <t>Robotics / Automation / Mechatronics</t>
        </is>
      </c>
      <c r="E355" s="26" t="inlineStr">
        <is>
          <t>diplôme d'ingénieur de l'Ecole Polytechnique d'Université Côte d'Azur spécialité robotique systèmes autonomes</t>
        </is>
      </c>
      <c r="F355" s="26" t="inlineStr">
        <is>
          <t>Engineering diploma of School Polytechnique of University Côte d'Azur – specialisation: Robotics Systems Autonomous</t>
        </is>
      </c>
      <c r="G355" s="25" t="inlineStr">
        <is>
          <t>Diplôme d'ingénieur</t>
        </is>
      </c>
      <c r="H355" s="25" t="inlineStr">
        <is>
          <t>Polytech Nice-Sophia</t>
        </is>
      </c>
      <c r="I355" s="25" t="inlineStr">
        <is>
          <t>Groupement Polytech</t>
        </is>
      </c>
      <c r="J355" s="25" t="inlineStr">
        <is>
          <t>Site de Biot</t>
        </is>
      </c>
      <c r="K355" s="25" t="n"/>
      <c r="L355" s="25" t="inlineStr">
        <is>
          <t>Public school / institute</t>
        </is>
      </c>
      <c r="M355" s="25" t="inlineStr">
        <is>
          <t>French</t>
        </is>
      </c>
      <c r="N355" s="25" t="inlineStr">
        <is>
          <t>General</t>
        </is>
      </c>
      <c r="O355" s="25" t="inlineStr">
        <is>
          <t>Bac +3 / Bac +4</t>
        </is>
      </c>
      <c r="P355" s="26" t="inlineStr">
        <is>
          <t>Eligible on level (4-yr BS ≈ Bac+4)</t>
        </is>
      </c>
      <c r="Q355" s="25" t="inlineStr">
        <is>
          <t>3/4</t>
        </is>
      </c>
      <c r="R355" s="25" t="inlineStr">
        <is>
          <t>36</t>
        </is>
      </c>
      <c r="S355" s="27" t="n">
        <v>3879</v>
      </c>
      <c r="T355" s="27" t="n"/>
      <c r="U355" s="25" t="n">
        <v>2</v>
      </c>
      <c r="V355" s="27">
        <f>IF(S355="","",S355*U355)</f>
        <v/>
      </c>
      <c r="W355" s="26" t="inlineStr">
        <is>
          <t>Catalogue fee €3,879/yr (entered by institution).</t>
        </is>
      </c>
      <c r="X355" s="25" t="inlineStr">
        <is>
          <t>High</t>
        </is>
      </c>
      <c r="Y355" s="25" t="inlineStr">
        <is>
          <t>3879</t>
        </is>
      </c>
      <c r="Z355" s="26" t="n"/>
      <c r="AA355" s="26" t="n"/>
      <c r="AB355" s="25" t="n"/>
      <c r="AC355" s="25" t="inlineStr">
        <is>
          <t>Open</t>
        </is>
      </c>
      <c r="AD355" s="25" t="inlineStr">
        <is>
          <t>2026-10-01</t>
        </is>
      </c>
      <c r="AE355" s="25" t="inlineStr">
        <is>
          <t>2027-03-15</t>
        </is>
      </c>
      <c r="AF355" s="25" t="inlineStr">
        <is>
          <t>Yes</t>
        </is>
      </c>
      <c r="AG355" s="28" t="inlineStr">
        <is>
          <t>https://polytech.univ-cotedazur.fr/</t>
        </is>
      </c>
      <c r="AH355" s="26" t="inlineStr">
        <is>
          <t>Le curriculum de la formation se trouve sur Internet : http://www.polytech.univ-cotedazur.fr/ Frais d'inscription : Etudiants français ou d'un pays de l'union européenne, de l'espace économique européen ou de la Suisse :</t>
        </is>
      </c>
      <c r="AI355" s="28" t="inlineStr">
        <is>
          <t>Open in EEF</t>
        </is>
      </c>
    </row>
    <row r="356" ht="43.25" customHeight="1" s="19">
      <c r="A356" s="25" t="n">
        <v>355</v>
      </c>
      <c r="B356" s="25" t="inlineStr">
        <is>
          <t>★★★★☆</t>
        </is>
      </c>
      <c r="C356" s="25" t="inlineStr">
        <is>
          <t>4 – Strong fit (electronics/signal/robotics/IoT/sensors)</t>
        </is>
      </c>
      <c r="D356" s="25" t="inlineStr">
        <is>
          <t>IoT / Telecom / Networks</t>
        </is>
      </c>
      <c r="E356" s="26" t="inlineStr">
        <is>
          <t>diplôme d'ingénieur de l'Institut national des sciences appliquées de Lyon spécialité télécommunications</t>
        </is>
      </c>
      <c r="F356" s="26" t="inlineStr">
        <is>
          <t>Engineering diploma of INSA of Lyon – specialisation: Telecommunications</t>
        </is>
      </c>
      <c r="G356" s="25" t="inlineStr">
        <is>
          <t>Diplôme d'ingénieur</t>
        </is>
      </c>
      <c r="H356" s="25" t="inlineStr">
        <is>
          <t>Institut national des sciences appliquées de Lyon</t>
        </is>
      </c>
      <c r="I356" s="25" t="n"/>
      <c r="J356" s="25" t="inlineStr">
        <is>
          <t>Site de Villeurbanne</t>
        </is>
      </c>
      <c r="K356" s="25" t="n"/>
      <c r="L356" s="25" t="inlineStr">
        <is>
          <t>Public school / institute</t>
        </is>
      </c>
      <c r="M356" s="25" t="inlineStr">
        <is>
          <t>French</t>
        </is>
      </c>
      <c r="N356" s="25" t="inlineStr">
        <is>
          <t>General</t>
        </is>
      </c>
      <c r="O356" s="25" t="inlineStr">
        <is>
          <t>Bac +3 / Bac +4</t>
        </is>
      </c>
      <c r="P356" s="26" t="inlineStr">
        <is>
          <t>Eligible on level (4-yr BS ≈ Bac+4)</t>
        </is>
      </c>
      <c r="Q356" s="25" t="inlineStr">
        <is>
          <t>3/4</t>
        </is>
      </c>
      <c r="R356" s="25" t="inlineStr">
        <is>
          <t>12</t>
        </is>
      </c>
      <c r="S356" s="27" t="n">
        <v>3879</v>
      </c>
      <c r="T356" s="27" t="n"/>
      <c r="U356" s="25" t="n">
        <v>2</v>
      </c>
      <c r="V356" s="27">
        <f>IF(S356="","",S356*U356)</f>
        <v/>
      </c>
      <c r="W356" s="26" t="inlineStr">
        <is>
          <t>Catalogue fee €3,879/yr (entered by institution).</t>
        </is>
      </c>
      <c r="X356" s="25" t="inlineStr">
        <is>
          <t>High</t>
        </is>
      </c>
      <c r="Y356" s="25" t="inlineStr">
        <is>
          <t>3941/3879</t>
        </is>
      </c>
      <c r="Z356" s="26" t="inlineStr">
        <is>
          <t>sa-en-3e-annee Période de candidature: 19/01/2026 au 19/03/2026 Droits de candidature 105 euros (candidats boursiers exonérés) C1 français requis … on de l'arrêté ministériel) : - pour les étudiants nationaux et intra-co</t>
        </is>
      </c>
      <c r="AA356" s="26" t="n"/>
      <c r="AB356" s="25" t="n"/>
      <c r="AC356" s="25" t="inlineStr">
        <is>
          <t>Open</t>
        </is>
      </c>
      <c r="AD356" s="25" t="inlineStr">
        <is>
          <t>2026-10-01</t>
        </is>
      </c>
      <c r="AE356" s="25" t="inlineStr">
        <is>
          <t>2027-03-15</t>
        </is>
      </c>
      <c r="AF356" s="25" t="inlineStr">
        <is>
          <t>Yes</t>
        </is>
      </c>
      <c r="AG356" s="28" t="inlineStr">
        <is>
          <t>https://www.insa-lyon.fr/fr/formation/</t>
        </is>
      </c>
      <c r="AH356" s="26" t="inlineStr">
        <is>
          <t>La spécialité du diplôme n'est accessible qu'en troisième et quatrième année du cycle d'ingénieur. Le département Télécommunications, avec des promotions de 75 élèves-ingénieurs, répond au formidable développement des Te</t>
        </is>
      </c>
      <c r="AI356" s="28" t="inlineStr">
        <is>
          <t>Open in EEF</t>
        </is>
      </c>
    </row>
    <row r="357" ht="43.25" customHeight="1" s="19">
      <c r="A357" s="25" t="n">
        <v>356</v>
      </c>
      <c r="B357" s="25" t="inlineStr">
        <is>
          <t>★★★★☆</t>
        </is>
      </c>
      <c r="C357" s="25" t="inlineStr">
        <is>
          <t>4 – Strong fit (electronics/signal/robotics/IoT/sensors)</t>
        </is>
      </c>
      <c r="D357" s="25" t="inlineStr">
        <is>
          <t>Robotics / Automation / Mechatronics</t>
        </is>
      </c>
      <c r="E357" s="26" t="inlineStr">
        <is>
          <t>Diplôme d'Ingénieur de l'INSA Hauts-de-France - Formation Ingénieur sous Statut Etudiant (FISE) parcours Mécatronique (MT)</t>
        </is>
      </c>
      <c r="F357" s="26" t="inlineStr">
        <is>
          <t>Engineering diploma of l'INSA Hauts-de-France - Training Engineer under status Etudiant (FISE) – track: Mechatronics (MT)</t>
        </is>
      </c>
      <c r="G357" s="25" t="inlineStr">
        <is>
          <t>Diplôme d'ingénieur</t>
        </is>
      </c>
      <c r="H357" s="25" t="inlineStr">
        <is>
          <t>INSA HAUTS-DE-FRANCE</t>
        </is>
      </c>
      <c r="I357" s="25" t="inlineStr">
        <is>
          <t>Université polytechnique Hauts-de-France (UPHF)</t>
        </is>
      </c>
      <c r="J357" s="25" t="inlineStr">
        <is>
          <t>Site de Valenciennes</t>
        </is>
      </c>
      <c r="K357" s="25" t="n"/>
      <c r="L357" s="25" t="inlineStr">
        <is>
          <t>Public school / institute</t>
        </is>
      </c>
      <c r="M357" s="25" t="inlineStr">
        <is>
          <t>French</t>
        </is>
      </c>
      <c r="N357" s="25" t="inlineStr">
        <is>
          <t>General</t>
        </is>
      </c>
      <c r="O357" s="25" t="inlineStr">
        <is>
          <t>Bac +3 / Bac +4</t>
        </is>
      </c>
      <c r="P357" s="26" t="inlineStr">
        <is>
          <t>Eligible on level (4-yr BS ≈ Bac+4)</t>
        </is>
      </c>
      <c r="Q357" s="25" t="inlineStr">
        <is>
          <t>3/4</t>
        </is>
      </c>
      <c r="R357" s="25" t="n"/>
      <c r="S357" s="27" t="n">
        <v>3941</v>
      </c>
      <c r="T357" s="27" t="n"/>
      <c r="U357" s="25" t="n">
        <v>2</v>
      </c>
      <c r="V357" s="27">
        <f>IF(S357="","",S357*U357)</f>
        <v/>
      </c>
      <c r="W357" s="26" t="inlineStr">
        <is>
          <t>Catalogue fee €3,941/yr (entered by institution).</t>
        </is>
      </c>
      <c r="X357" s="25" t="inlineStr">
        <is>
          <t>High</t>
        </is>
      </c>
      <c r="Y357" s="25" t="inlineStr">
        <is>
          <t>3941</t>
        </is>
      </c>
      <c r="Z357" s="26" t="inlineStr">
        <is>
          <t>te du groupe INSA sont assujetties à des frais de dossier obligatoires qui s’élèvent à 105€ … TUDIEE QUE SI CES DEUX DEMARCHES SONT EFFECTUEES Frais à prévoir : Frais de dossier : 105 € , non remboursables même en cas de</t>
        </is>
      </c>
      <c r="AA357" s="26" t="n"/>
      <c r="AB357" s="25" t="n"/>
      <c r="AC357" s="25" t="inlineStr">
        <is>
          <t>Open</t>
        </is>
      </c>
      <c r="AD357" s="25" t="inlineStr">
        <is>
          <t>2026-10-01</t>
        </is>
      </c>
      <c r="AE357" s="25" t="inlineStr">
        <is>
          <t>2027-03-15</t>
        </is>
      </c>
      <c r="AF357" s="25" t="inlineStr">
        <is>
          <t>Yes</t>
        </is>
      </c>
      <c r="AG357" s="28" t="inlineStr">
        <is>
          <t>https://www.insa-hautsdefrance.fr/formation-ingenieurs</t>
        </is>
      </c>
      <c r="AH357" s="26" t="inlineStr">
        <is>
          <t>Entrée en année 3 : Etre titulaire d'un diplôme à BAC+2 dans une spécialité compatible Entrée en année 4 : Etre titulaire d'un diplôme à BAC+4 dans une spécialité compatible Niveau certifié en langues : - C1 en français</t>
        </is>
      </c>
      <c r="AI357" s="28" t="inlineStr">
        <is>
          <t>Open in EEF</t>
        </is>
      </c>
    </row>
    <row r="358" ht="43.25" customHeight="1" s="19">
      <c r="A358" s="25" t="n">
        <v>357</v>
      </c>
      <c r="B358" s="25" t="inlineStr">
        <is>
          <t>★★★★☆</t>
        </is>
      </c>
      <c r="C358" s="25" t="inlineStr">
        <is>
          <t>4 – Strong fit (electronics/signal/robotics/IoT/sensors)</t>
        </is>
      </c>
      <c r="D358" s="25" t="inlineStr">
        <is>
          <t>Electrical energy</t>
        </is>
      </c>
      <c r="E358" s="26" t="inlineStr">
        <is>
          <t>diplôme d'ingénieur de l'Institut national des sciences appliquées de Lyon spécialité génie électrique</t>
        </is>
      </c>
      <c r="F358" s="26" t="inlineStr">
        <is>
          <t>Engineering diploma of INSA of Lyon – specialisation: Electrical Engineering</t>
        </is>
      </c>
      <c r="G358" s="25" t="inlineStr">
        <is>
          <t>Diplôme d'ingénieur</t>
        </is>
      </c>
      <c r="H358" s="25" t="inlineStr">
        <is>
          <t>Institut national des sciences appliquées de Lyon</t>
        </is>
      </c>
      <c r="I358" s="25" t="n"/>
      <c r="J358" s="25" t="inlineStr">
        <is>
          <t>Site de Villeurbanne</t>
        </is>
      </c>
      <c r="K358" s="25" t="n"/>
      <c r="L358" s="25" t="inlineStr">
        <is>
          <t>Public school / institute</t>
        </is>
      </c>
      <c r="M358" s="25" t="inlineStr">
        <is>
          <t>French</t>
        </is>
      </c>
      <c r="N358" s="25" t="inlineStr">
        <is>
          <t>General</t>
        </is>
      </c>
      <c r="O358" s="25" t="inlineStr">
        <is>
          <t>Bac +3 / Bac +4</t>
        </is>
      </c>
      <c r="P358" s="26" t="inlineStr">
        <is>
          <t>Eligible on level (4-yr BS ≈ Bac+4)</t>
        </is>
      </c>
      <c r="Q358" s="25" t="inlineStr">
        <is>
          <t>3/4</t>
        </is>
      </c>
      <c r="R358" s="25" t="inlineStr">
        <is>
          <t>12</t>
        </is>
      </c>
      <c r="S358" s="27" t="n">
        <v>3941</v>
      </c>
      <c r="T358" s="27" t="n"/>
      <c r="U358" s="25" t="n">
        <v>2</v>
      </c>
      <c r="V358" s="27">
        <f>IF(S358="","",S358*U358)</f>
        <v/>
      </c>
      <c r="W358" s="26" t="inlineStr">
        <is>
          <t>Catalogue fee €3,941/yr (entered by institution).</t>
        </is>
      </c>
      <c r="X358" s="25" t="inlineStr">
        <is>
          <t>High</t>
        </is>
      </c>
      <c r="Y358" s="25" t="inlineStr">
        <is>
          <t>3941</t>
        </is>
      </c>
      <c r="Z358" s="26" t="inlineStr">
        <is>
          <t>sa-en-3e-annee Période de candidature: 19/01/2026 au 19/03/2026 Droits de candidature 105 euros (candidats boursiers exonérés) C1 français requis … on de l'arrêté ministériel) : - pour les étudiants nationaux et intra-co</t>
        </is>
      </c>
      <c r="AA358" s="26" t="n"/>
      <c r="AB358" s="25" t="n"/>
      <c r="AC358" s="25" t="inlineStr">
        <is>
          <t>Open</t>
        </is>
      </c>
      <c r="AD358" s="25" t="inlineStr">
        <is>
          <t>2026-10-01</t>
        </is>
      </c>
      <c r="AE358" s="25" t="inlineStr">
        <is>
          <t>2027-03-15</t>
        </is>
      </c>
      <c r="AF358" s="25" t="inlineStr">
        <is>
          <t>Yes</t>
        </is>
      </c>
      <c r="AG358" s="28" t="inlineStr">
        <is>
          <t>https://www.insa-lyon.fr/fr/formation/</t>
        </is>
      </c>
      <c r="AH358" s="26" t="inlineStr">
        <is>
          <t>La spécialité du diplôme n'est accessible qu'en troisième et quatrième année du cycle d'ingénieur. Le Département de Génie Electrique de l’INSA assure une formation d’ingénieurs pluridisciplinaires dans le domaine des sy</t>
        </is>
      </c>
      <c r="AI358" s="28" t="inlineStr">
        <is>
          <t>Open in EEF</t>
        </is>
      </c>
    </row>
    <row r="359" ht="43.25" customHeight="1" s="19">
      <c r="A359" s="25" t="n">
        <v>358</v>
      </c>
      <c r="B359" s="25" t="inlineStr">
        <is>
          <t>★★★★☆</t>
        </is>
      </c>
      <c r="C359" s="25" t="inlineStr">
        <is>
          <t>4 – Strong fit (electronics/signal/robotics/IoT/sensors)</t>
        </is>
      </c>
      <c r="D359" s="25" t="inlineStr">
        <is>
          <t>Robotics / Automation / Mechatronics</t>
        </is>
      </c>
      <c r="E359" s="26" t="inlineStr">
        <is>
          <t>diplôme d'ingénieur de l'Institut National des Sciences Appliquées Hauts-de-France Informatique Industrielle et Automatique (IIA)</t>
        </is>
      </c>
      <c r="F359" s="26" t="inlineStr">
        <is>
          <t>Engineering diploma of INSA Hauts-de-France Industrial Computing &amp; Automation (IIA)</t>
        </is>
      </c>
      <c r="G359" s="25" t="inlineStr">
        <is>
          <t>Diplôme d'ingénieur</t>
        </is>
      </c>
      <c r="H359" s="25" t="inlineStr">
        <is>
          <t>INSA HAUTS-DE-FRANCE</t>
        </is>
      </c>
      <c r="I359" s="25" t="inlineStr">
        <is>
          <t>Université polytechnique Hauts-de-France (UPHF)</t>
        </is>
      </c>
      <c r="J359" s="25" t="inlineStr">
        <is>
          <t>Site de Valenciennes</t>
        </is>
      </c>
      <c r="K359" s="25" t="n"/>
      <c r="L359" s="25" t="inlineStr">
        <is>
          <t>Public school / institute</t>
        </is>
      </c>
      <c r="M359" s="25" t="inlineStr">
        <is>
          <t>French</t>
        </is>
      </c>
      <c r="N359" s="25" t="inlineStr">
        <is>
          <t>General</t>
        </is>
      </c>
      <c r="O359" s="25" t="inlineStr">
        <is>
          <t>Bac +3 / Bac +4</t>
        </is>
      </c>
      <c r="P359" s="26" t="inlineStr">
        <is>
          <t>Eligible on level (4-yr BS ≈ Bac+4)</t>
        </is>
      </c>
      <c r="Q359" s="25" t="inlineStr">
        <is>
          <t>3/4</t>
        </is>
      </c>
      <c r="R359" s="25" t="n"/>
      <c r="S359" s="27" t="n">
        <v>3941</v>
      </c>
      <c r="T359" s="27" t="n"/>
      <c r="U359" s="25" t="n">
        <v>2</v>
      </c>
      <c r="V359" s="27">
        <f>IF(S359="","",S359*U359)</f>
        <v/>
      </c>
      <c r="W359" s="26" t="inlineStr">
        <is>
          <t>Catalogue fee €3,941/yr (entered by institution).</t>
        </is>
      </c>
      <c r="X359" s="25" t="inlineStr">
        <is>
          <t>High</t>
        </is>
      </c>
      <c r="Y359" s="25" t="inlineStr">
        <is>
          <t>3941</t>
        </is>
      </c>
      <c r="Z359" s="26" t="inlineStr">
        <is>
          <t>te du groupe INSA sont assujetties à des frais de dossier obligatoires qui s’élèvent à 105€ … TUDIEE QUE SI CES DEUX DEMARCHES SONT EFFECTUEES Frais à prévoir : Frais de dossier : 105 € , non remboursables même en cas de</t>
        </is>
      </c>
      <c r="AA359" s="26" t="n"/>
      <c r="AB359" s="25" t="n"/>
      <c r="AC359" s="25" t="inlineStr">
        <is>
          <t>Open</t>
        </is>
      </c>
      <c r="AD359" s="25" t="inlineStr">
        <is>
          <t>2026-10-01</t>
        </is>
      </c>
      <c r="AE359" s="25" t="inlineStr">
        <is>
          <t>2027-03-15</t>
        </is>
      </c>
      <c r="AF359" s="25" t="inlineStr">
        <is>
          <t>Yes</t>
        </is>
      </c>
      <c r="AG359" s="28" t="inlineStr">
        <is>
          <t>https://www.insa-hautsdefrance.fr/formation-ingenieurs</t>
        </is>
      </c>
      <c r="AH359" s="26" t="inlineStr">
        <is>
          <t>Entrée en année 3 : Etre titulaire d'un diplôme à BAC+2 dans une spécialité compatible Entrée en année 4 : Etre titulaire d'un diplôme à BAC+4 dans une spécialité compatible Niveau certifié en langues : - C1 en français</t>
        </is>
      </c>
      <c r="AI359" s="28" t="inlineStr">
        <is>
          <t>Open in EEF</t>
        </is>
      </c>
    </row>
    <row r="360" ht="43.25" customHeight="1" s="19">
      <c r="A360" s="25" t="n">
        <v>359</v>
      </c>
      <c r="B360" s="25" t="inlineStr">
        <is>
          <t>★★★★☆</t>
        </is>
      </c>
      <c r="C360" s="25" t="inlineStr">
        <is>
          <t>4 – Strong fit (electronics/signal/robotics/IoT/sensors)</t>
        </is>
      </c>
      <c r="D360" s="25" t="inlineStr">
        <is>
          <t>Embedded systems / Electronics</t>
        </is>
      </c>
      <c r="E360" s="26" t="inlineStr">
        <is>
          <t>diplôme d'ingénieur de l'Institut National des Sciences Appliquées Hauts-de-France Systèmes Electroniques et Télécommunications (SET)</t>
        </is>
      </c>
      <c r="F360" s="26" t="inlineStr">
        <is>
          <t>Engineering diploma of INSA Hauts-de-France Systems Electroniques &amp; Telecommunications (SET)</t>
        </is>
      </c>
      <c r="G360" s="25" t="inlineStr">
        <is>
          <t>Diplôme d'ingénieur</t>
        </is>
      </c>
      <c r="H360" s="25" t="inlineStr">
        <is>
          <t>INSA HAUTS-DE-FRANCE</t>
        </is>
      </c>
      <c r="I360" s="25" t="inlineStr">
        <is>
          <t>Université polytechnique Hauts-de-France (UPHF)</t>
        </is>
      </c>
      <c r="J360" s="25" t="inlineStr">
        <is>
          <t>Site de Valenciennes</t>
        </is>
      </c>
      <c r="K360" s="25" t="n"/>
      <c r="L360" s="25" t="inlineStr">
        <is>
          <t>Public school / institute</t>
        </is>
      </c>
      <c r="M360" s="25" t="inlineStr">
        <is>
          <t>French</t>
        </is>
      </c>
      <c r="N360" s="25" t="inlineStr">
        <is>
          <t>General</t>
        </is>
      </c>
      <c r="O360" s="25" t="inlineStr">
        <is>
          <t>Bac +3 / Bac +4</t>
        </is>
      </c>
      <c r="P360" s="26" t="inlineStr">
        <is>
          <t>Eligible on level (4-yr BS ≈ Bac+4)</t>
        </is>
      </c>
      <c r="Q360" s="25" t="inlineStr">
        <is>
          <t>3/4</t>
        </is>
      </c>
      <c r="R360" s="25" t="n"/>
      <c r="S360" s="27" t="n">
        <v>3941</v>
      </c>
      <c r="T360" s="27" t="n"/>
      <c r="U360" s="25" t="n">
        <v>2</v>
      </c>
      <c r="V360" s="27">
        <f>IF(S360="","",S360*U360)</f>
        <v/>
      </c>
      <c r="W360" s="26" t="inlineStr">
        <is>
          <t>Catalogue fee €3,941/yr (entered by institution).</t>
        </is>
      </c>
      <c r="X360" s="25" t="inlineStr">
        <is>
          <t>High</t>
        </is>
      </c>
      <c r="Y360" s="25" t="inlineStr">
        <is>
          <t>3941</t>
        </is>
      </c>
      <c r="Z360" s="26" t="inlineStr">
        <is>
          <t>te du groupe INSA sont assujetties à des frais de dossier obligatoires qui s’élèvent à 105€ … TUDIEE QUE SI CES DEUX DEMARCHES SONT EFFECTUEES Frais à prévoir : Frais de dossier : 105 € , non remboursables même en cas de</t>
        </is>
      </c>
      <c r="AA360" s="26" t="n"/>
      <c r="AB360" s="25" t="n"/>
      <c r="AC360" s="25" t="inlineStr">
        <is>
          <t>Open</t>
        </is>
      </c>
      <c r="AD360" s="25" t="inlineStr">
        <is>
          <t>2026-10-01</t>
        </is>
      </c>
      <c r="AE360" s="25" t="inlineStr">
        <is>
          <t>2027-03-15</t>
        </is>
      </c>
      <c r="AF360" s="25" t="inlineStr">
        <is>
          <t>Yes</t>
        </is>
      </c>
      <c r="AG360" s="28" t="inlineStr">
        <is>
          <t>https://www.insa-hautsdefrance.fr/formation-ingenieurs</t>
        </is>
      </c>
      <c r="AH360" s="26" t="inlineStr">
        <is>
          <t>Entrée en année 3 : Etre titulaire d'un diplôme à BAC+2 dans une spécialité compatible Entrée en année 4 : Etre titulaire d'un diplôme à BAC+4 dans une spécialité compatible Niveau certifié en langues : - C1 en français</t>
        </is>
      </c>
      <c r="AI360" s="28" t="inlineStr">
        <is>
          <t>Open in EEF</t>
        </is>
      </c>
    </row>
    <row r="361" ht="43.25" customHeight="1" s="19">
      <c r="A361" s="25" t="n">
        <v>360</v>
      </c>
      <c r="B361" s="25" t="inlineStr">
        <is>
          <t>★★★★☆</t>
        </is>
      </c>
      <c r="C361" s="25" t="inlineStr">
        <is>
          <t>4 – Strong fit (electronics/signal/robotics/IoT/sensors)</t>
        </is>
      </c>
      <c r="D361" s="25" t="inlineStr">
        <is>
          <t>Electrical energy</t>
        </is>
      </c>
      <c r="E361" s="26" t="inlineStr">
        <is>
          <t>diplôme d'ingénieur de l'université de technologie de Belfort-Montbéliard parcours Energie et Génie électrique</t>
        </is>
      </c>
      <c r="F361" s="26" t="inlineStr">
        <is>
          <t>Engineering diploma of University of Technology of Belfort-Montbéliard – track: Energy &amp; Electrical Engineering</t>
        </is>
      </c>
      <c r="G361" s="25" t="inlineStr">
        <is>
          <t>Diplôme d'ingénieur</t>
        </is>
      </c>
      <c r="H361" s="25" t="inlineStr">
        <is>
          <t>Université de technologie de Belfort-Montbéliard</t>
        </is>
      </c>
      <c r="I361" s="25" t="n"/>
      <c r="J361" s="25" t="inlineStr">
        <is>
          <t>Site de Belfort</t>
        </is>
      </c>
      <c r="K361" s="25" t="n"/>
      <c r="L361" s="25" t="inlineStr">
        <is>
          <t>Public university</t>
        </is>
      </c>
      <c r="M361" s="25" t="inlineStr">
        <is>
          <t>French</t>
        </is>
      </c>
      <c r="N361" s="25" t="inlineStr">
        <is>
          <t>General</t>
        </is>
      </c>
      <c r="O361" s="25" t="inlineStr">
        <is>
          <t>Bac +3 / Bac +4</t>
        </is>
      </c>
      <c r="P361" s="26" t="inlineStr">
        <is>
          <t>Eligible on level (4-yr BS ≈ Bac+4)</t>
        </is>
      </c>
      <c r="Q361" s="25" t="inlineStr">
        <is>
          <t>3/4</t>
        </is>
      </c>
      <c r="R361" s="25" t="n"/>
      <c r="S361" s="27" t="n">
        <v>3950</v>
      </c>
      <c r="T361" s="27" t="n"/>
      <c r="U361" s="25" t="n">
        <v>2</v>
      </c>
      <c r="V361" s="27">
        <f>IF(S361="","",S361*U361)</f>
        <v/>
      </c>
      <c r="W361" s="26" t="inlineStr">
        <is>
          <t>Catalogue fee €3,950/yr (entered by institution).</t>
        </is>
      </c>
      <c r="X361" s="25" t="inlineStr">
        <is>
          <t>High</t>
        </is>
      </c>
      <c r="Y361" s="25" t="inlineStr">
        <is>
          <t>3950</t>
        </is>
      </c>
      <c r="Z361" s="26" t="inlineStr">
        <is>
          <t>n différenciés, pour une année , appliqués à un étudiant extracommunautaire sont de 3 950 € pour une entrée en cycle ingénieur (coût 2026/202 … scription pour les étudiants extracommunautaires en cycle ingénieur ont été</t>
        </is>
      </c>
      <c r="AA361" s="26" t="n"/>
      <c r="AB361" s="25" t="n"/>
      <c r="AC361" s="25" t="inlineStr">
        <is>
          <t>Open</t>
        </is>
      </c>
      <c r="AD361" s="25" t="inlineStr">
        <is>
          <t>2026-10-01</t>
        </is>
      </c>
      <c r="AE361" s="25" t="inlineStr">
        <is>
          <t>2027-03-15</t>
        </is>
      </c>
      <c r="AF361" s="25" t="inlineStr">
        <is>
          <t>Yes</t>
        </is>
      </c>
      <c r="AG361" s="28" t="inlineStr">
        <is>
          <t>https://www.utbm.fr/formations/ingenieur/energie-genie-electrique/</t>
        </is>
      </c>
      <c r="AH361" s="26" t="inlineStr">
        <is>
          <t>Sélection sur dossier et entretien en visio Pour connaître la procédure d'admission : S'inscrire en formation d'ingénieur à l'UTBM | Université de Technologie | UTBM En parallèle de votre inscription auprès de Campus Fra</t>
        </is>
      </c>
      <c r="AI361" s="28" t="inlineStr">
        <is>
          <t>Open in EEF</t>
        </is>
      </c>
    </row>
    <row r="362" ht="15" customHeight="1" s="19">
      <c r="A362" s="25" t="n">
        <v>361</v>
      </c>
      <c r="B362" s="25" t="inlineStr">
        <is>
          <t>★★★★☆</t>
        </is>
      </c>
      <c r="C362" s="25" t="inlineStr">
        <is>
          <t>4 – Strong fit (electronics/signal/robotics/IoT/sensors)</t>
        </is>
      </c>
      <c r="D362" s="25" t="inlineStr">
        <is>
          <t>IoT / Telecom / Networks</t>
        </is>
      </c>
      <c r="E362" s="26" t="inlineStr">
        <is>
          <t>diplôme d'ingénieur de Telecom Nancy de l'Université de Lorraine</t>
        </is>
      </c>
      <c r="F362" s="26" t="inlineStr">
        <is>
          <t>Engineering diploma of Telecom Nancy of University of Lorraine</t>
        </is>
      </c>
      <c r="G362" s="25" t="inlineStr">
        <is>
          <t>Diplôme d'ingénieur</t>
        </is>
      </c>
      <c r="H362" s="25" t="inlineStr">
        <is>
          <t>TELECOM Nancy</t>
        </is>
      </c>
      <c r="I362" s="25" t="inlineStr">
        <is>
          <t>Université de Lorraine</t>
        </is>
      </c>
      <c r="J362" s="25" t="inlineStr">
        <is>
          <t>Site de Villers-lès-Nancy</t>
        </is>
      </c>
      <c r="K362" s="25" t="n"/>
      <c r="L362" s="25" t="inlineStr">
        <is>
          <t>Public university</t>
        </is>
      </c>
      <c r="M362" s="25" t="inlineStr">
        <is>
          <t>French</t>
        </is>
      </c>
      <c r="N362" s="25" t="inlineStr">
        <is>
          <t>General</t>
        </is>
      </c>
      <c r="O362" s="25" t="inlineStr">
        <is>
          <t>Bac +3 / Bac +4</t>
        </is>
      </c>
      <c r="P362" s="26" t="inlineStr">
        <is>
          <t>Eligible on level (4-yr BS ≈ Bac+4)</t>
        </is>
      </c>
      <c r="Q362" s="25" t="inlineStr">
        <is>
          <t>1/2</t>
        </is>
      </c>
      <c r="R362" s="25" t="n"/>
      <c r="S362" s="27" t="n">
        <v>3950</v>
      </c>
      <c r="T362" s="27" t="n"/>
      <c r="U362" s="25" t="n">
        <v>2</v>
      </c>
      <c r="V362" s="27">
        <f>IF(S362="","",S362*U362)</f>
        <v/>
      </c>
      <c r="W362" s="26" t="inlineStr">
        <is>
          <t>Catalogue fee €3,950/yr (entered by institution).</t>
        </is>
      </c>
      <c r="X362" s="25" t="inlineStr">
        <is>
          <t>High</t>
        </is>
      </c>
      <c r="Y362" s="25" t="inlineStr">
        <is>
          <t>3950</t>
        </is>
      </c>
      <c r="Z362" s="26" t="n"/>
      <c r="AA362" s="26" t="n"/>
      <c r="AB362" s="25" t="n"/>
      <c r="AC362" s="25" t="inlineStr">
        <is>
          <t>Open</t>
        </is>
      </c>
      <c r="AD362" s="25" t="inlineStr">
        <is>
          <t>2026-10-01</t>
        </is>
      </c>
      <c r="AE362" s="25" t="inlineStr">
        <is>
          <t>2027-03-15</t>
        </is>
      </c>
      <c r="AF362" s="25" t="inlineStr">
        <is>
          <t>No</t>
        </is>
      </c>
      <c r="AG362" s="28" t="inlineStr">
        <is>
          <t>http://www.telecomnancy.eu</t>
        </is>
      </c>
      <c r="AH362" s="26" t="inlineStr">
        <is>
          <t>BAC+2/3 Informatique Niveau C1 Français</t>
        </is>
      </c>
      <c r="AI362" s="28" t="inlineStr">
        <is>
          <t>Open in EEF</t>
        </is>
      </c>
    </row>
    <row r="363" ht="22.35" customHeight="1" s="19">
      <c r="A363" s="25" t="n">
        <v>362</v>
      </c>
      <c r="B363" s="25" t="inlineStr">
        <is>
          <t>★★★★☆</t>
        </is>
      </c>
      <c r="C363" s="25" t="inlineStr">
        <is>
          <t>4 – Strong fit (electronics/signal/robotics/IoT/sensors)</t>
        </is>
      </c>
      <c r="D363" s="25" t="inlineStr">
        <is>
          <t>IoT / Telecom / Networks</t>
        </is>
      </c>
      <c r="E363" s="26" t="inlineStr">
        <is>
          <t>Diplôme d'ingénieur de l'Institut Mines Télécom Lille Douai (IMT Nord Europe)</t>
        </is>
      </c>
      <c r="F363" s="26" t="inlineStr">
        <is>
          <t>Engineering diploma of Institute Mines Télécom Lille Douai (IMT Nord Europe)</t>
        </is>
      </c>
      <c r="G363" s="25" t="inlineStr">
        <is>
          <t>Diplôme d'ingénieur</t>
        </is>
      </c>
      <c r="H363" s="25" t="inlineStr">
        <is>
          <t>IMT Nord Europe</t>
        </is>
      </c>
      <c r="I363" s="25" t="inlineStr">
        <is>
          <t>IMT Lille Douai</t>
        </is>
      </c>
      <c r="J363" s="25" t="inlineStr">
        <is>
          <t>IMT Nord Europe - Douai Campus</t>
        </is>
      </c>
      <c r="K363" s="25" t="n"/>
      <c r="L363" s="25" t="inlineStr">
        <is>
          <t>Public school / institute</t>
        </is>
      </c>
      <c r="M363" s="25" t="inlineStr">
        <is>
          <t>French</t>
        </is>
      </c>
      <c r="N363" s="25" t="inlineStr">
        <is>
          <t>General</t>
        </is>
      </c>
      <c r="O363" s="25" t="inlineStr">
        <is>
          <t>Bac +3 / Bac +4</t>
        </is>
      </c>
      <c r="P363" s="26" t="inlineStr">
        <is>
          <t>Eligible on level (4-yr BS ≈ Bac+4)</t>
        </is>
      </c>
      <c r="Q363" s="25" t="inlineStr">
        <is>
          <t>3/4</t>
        </is>
      </c>
      <c r="R363" s="25" t="n"/>
      <c r="S363" s="27" t="n">
        <v>4550</v>
      </c>
      <c r="T363" s="27" t="n"/>
      <c r="U363" s="25" t="n">
        <v>2</v>
      </c>
      <c r="V363" s="27">
        <f>IF(S363="","",S363*U363)</f>
        <v/>
      </c>
      <c r="W363" s="26" t="inlineStr">
        <is>
          <t>Catalogue fee €4,550/yr (entered by institution).</t>
        </is>
      </c>
      <c r="X363" s="25" t="inlineStr">
        <is>
          <t>High</t>
        </is>
      </c>
      <c r="Y363" s="25" t="inlineStr">
        <is>
          <t>4550</t>
        </is>
      </c>
      <c r="Z363" s="26" t="n"/>
      <c r="AA363" s="26" t="n"/>
      <c r="AB363" s="25" t="n"/>
      <c r="AC363" s="25" t="inlineStr">
        <is>
          <t>Open</t>
        </is>
      </c>
      <c r="AD363" s="25" t="inlineStr">
        <is>
          <t>2026-10-01</t>
        </is>
      </c>
      <c r="AE363" s="25" t="inlineStr">
        <is>
          <t>2027-03-15</t>
        </is>
      </c>
      <c r="AF363" s="25" t="inlineStr">
        <is>
          <t>Yes</t>
        </is>
      </c>
      <c r="AG363" s="28" t="inlineStr">
        <is>
          <t>http://imt-nord-europe.fr</t>
        </is>
      </c>
      <c r="AH363" s="26" t="n"/>
      <c r="AI363" s="28" t="inlineStr">
        <is>
          <t>Open in EEF</t>
        </is>
      </c>
    </row>
    <row r="364" ht="32.8" customHeight="1" s="19">
      <c r="A364" s="25" t="n">
        <v>363</v>
      </c>
      <c r="B364" s="25" t="inlineStr">
        <is>
          <t>★★★★☆</t>
        </is>
      </c>
      <c r="C364" s="25" t="inlineStr">
        <is>
          <t>4 – Strong fit (electronics/signal/robotics/IoT/sensors)</t>
        </is>
      </c>
      <c r="D364" s="25" t="inlineStr">
        <is>
          <t>Neuroscience / Neuro-engineering</t>
        </is>
      </c>
      <c r="E364" s="26" t="inlineStr">
        <is>
          <t>Master of Science (MSc) Modeling of neuronal and cognitive systems</t>
        </is>
      </c>
      <c r="F364" s="26" t="inlineStr">
        <is>
          <t>Master of Science (MSc) Modeling of neuronal and cognitive systems</t>
        </is>
      </c>
      <c r="G364" s="25" t="inlineStr">
        <is>
          <t>Master of Science (MSc)</t>
        </is>
      </c>
      <c r="H364" s="25" t="inlineStr">
        <is>
          <t>MSc</t>
        </is>
      </c>
      <c r="I364" s="25" t="inlineStr">
        <is>
          <t>Université Côte d'Azur</t>
        </is>
      </c>
      <c r="J364" s="25" t="inlineStr">
        <is>
          <t>UniCA</t>
        </is>
      </c>
      <c r="K364" s="25" t="inlineStr">
        <is>
          <t>06100 Nice cedex</t>
        </is>
      </c>
      <c r="L364" s="25" t="inlineStr">
        <is>
          <t>Public university</t>
        </is>
      </c>
      <c r="M364" s="25" t="inlineStr">
        <is>
          <t>English</t>
        </is>
      </c>
      <c r="N364" s="25" t="inlineStr">
        <is>
          <t>Taught in English</t>
        </is>
      </c>
      <c r="O364" s="25" t="inlineStr">
        <is>
          <t>Bac +3</t>
        </is>
      </c>
      <c r="P364" s="26" t="inlineStr">
        <is>
          <t>Eligible on level (4-yr BS ≈ Bac+4)</t>
        </is>
      </c>
      <c r="Q364" s="25" t="inlineStr">
        <is>
          <t>1</t>
        </is>
      </c>
      <c r="R364" s="25" t="inlineStr">
        <is>
          <t>12</t>
        </is>
      </c>
      <c r="S364" s="27" t="n">
        <v>5000</v>
      </c>
      <c r="T364" s="27" t="n"/>
      <c r="U364" s="25" t="n">
        <v>1</v>
      </c>
      <c r="V364" s="27">
        <f>IF(S364="","",S364*U364)</f>
        <v/>
      </c>
      <c r="W364" s="26" t="inlineStr">
        <is>
          <t>Catalogue fee €5,000/yr (entered by institution).</t>
        </is>
      </c>
      <c r="X364" s="25" t="inlineStr">
        <is>
          <t>High</t>
        </is>
      </c>
      <c r="Y364" s="25" t="inlineStr">
        <is>
          <t>5000</t>
        </is>
      </c>
      <c r="Z364" s="26" t="inlineStr">
        <is>
          <t>fr Fees: €5,000 per year for international students for the</t>
        </is>
      </c>
      <c r="AA364" s="26" t="n"/>
      <c r="AB364" s="25" t="n"/>
      <c r="AC364" s="25" t="inlineStr">
        <is>
          <t>Open</t>
        </is>
      </c>
      <c r="AD364" s="25" t="inlineStr">
        <is>
          <t>2026-10-01</t>
        </is>
      </c>
      <c r="AE364" s="25" t="inlineStr">
        <is>
          <t>2027-03-15</t>
        </is>
      </c>
      <c r="AF364" s="25" t="inlineStr">
        <is>
          <t>Yes</t>
        </is>
      </c>
      <c r="AG364" s="28" t="inlineStr">
        <is>
          <t>https://univ-cotedazur.eu/msc/modeling-for-neuronal-and-cognitive-systems</t>
        </is>
      </c>
      <c r="AH364" s="26" t="inlineStr">
        <is>
          <t>Candidates should have a bachelor or an equivalent degree in mathematics, computer science, biology, psychology, electrical engineering, economics or linguistic. In addition, they will have to provide evidence of their a</t>
        </is>
      </c>
      <c r="AI364" s="28" t="inlineStr">
        <is>
          <t>Open in EEF</t>
        </is>
      </c>
    </row>
    <row r="365" ht="43.25" customHeight="1" s="19">
      <c r="A365" s="25" t="n">
        <v>364</v>
      </c>
      <c r="B365" s="25" t="inlineStr">
        <is>
          <t>★★★★☆</t>
        </is>
      </c>
      <c r="C365" s="25" t="inlineStr">
        <is>
          <t>4 – Strong fit (electronics/signal/robotics/IoT/sensors)</t>
        </is>
      </c>
      <c r="D365" s="25" t="inlineStr">
        <is>
          <t>Sensors / Instrumentation / Micro-Nano / Photonics</t>
        </is>
      </c>
      <c r="E365" s="26" t="inlineStr">
        <is>
          <t>Master of Science Electrical and Optical Engineering (EOE)</t>
        </is>
      </c>
      <c r="F365" s="26" t="inlineStr">
        <is>
          <t>Master of Science Electrical and Optical Engineering (EOE)</t>
        </is>
      </c>
      <c r="G365" s="25" t="inlineStr">
        <is>
          <t>Master of Science (MSc)</t>
        </is>
      </c>
      <c r="H365" s="25" t="inlineStr">
        <is>
          <t>Télécom SudParis</t>
        </is>
      </c>
      <c r="I365" s="25" t="n"/>
      <c r="J365" s="25" t="inlineStr">
        <is>
          <t>Site de Evry</t>
        </is>
      </c>
      <c r="K365" s="25" t="n"/>
      <c r="L365" s="25" t="inlineStr">
        <is>
          <t>Public school / institute</t>
        </is>
      </c>
      <c r="M365" s="25" t="inlineStr">
        <is>
          <t>English</t>
        </is>
      </c>
      <c r="N365" s="25" t="inlineStr">
        <is>
          <t>Taught in English</t>
        </is>
      </c>
      <c r="O365" s="25" t="inlineStr">
        <is>
          <t>Bac +4</t>
        </is>
      </c>
      <c r="P365" s="26" t="inlineStr">
        <is>
          <t>Eligible on level (4-yr BS ≈ Bac+4)</t>
        </is>
      </c>
      <c r="Q365" s="25" t="inlineStr">
        <is>
          <t>1</t>
        </is>
      </c>
      <c r="R365" s="25" t="inlineStr">
        <is>
          <t>12</t>
        </is>
      </c>
      <c r="S365" s="27" t="n">
        <v>6000</v>
      </c>
      <c r="T365" s="27" t="n"/>
      <c r="U365" s="25" t="n">
        <v>1</v>
      </c>
      <c r="V365" s="27">
        <f>IF(S365="","",S365*U365)</f>
        <v/>
      </c>
      <c r="W365" s="26" t="inlineStr">
        <is>
          <t>Catalogue fee €6,000/yr (entered by institution).</t>
        </is>
      </c>
      <c r="X365" s="25" t="inlineStr">
        <is>
          <t>High</t>
        </is>
      </c>
      <c r="Y365" s="25" t="inlineStr">
        <is>
          <t>6000</t>
        </is>
      </c>
      <c r="Z365" s="26" t="n"/>
      <c r="AA365" s="26" t="n"/>
      <c r="AB365" s="25" t="n"/>
      <c r="AC365" s="25" t="inlineStr">
        <is>
          <t>Open</t>
        </is>
      </c>
      <c r="AD365" s="25" t="inlineStr">
        <is>
          <t>2026-10-01</t>
        </is>
      </c>
      <c r="AE365" s="25" t="inlineStr">
        <is>
          <t>2027-03-15</t>
        </is>
      </c>
      <c r="AF365" s="25" t="inlineStr">
        <is>
          <t>Yes</t>
        </is>
      </c>
      <c r="AG365" s="28" t="inlineStr">
        <is>
          <t>https://www.telecom-sudparis.eu/en/formation/master-of-science-electrical-and-optical-engineering/</t>
        </is>
      </c>
      <c r="AH365" s="26" t="inlineStr">
        <is>
          <t>Academic Prerequisites Master M1 in Electrical Engineering for Communications &amp; Information Processing https://www.telecom-sudparis.eu/en/formation/master-of-science-electrical-and-optical-engineering/ Physics: Electroma</t>
        </is>
      </c>
      <c r="AI365" s="28" t="inlineStr">
        <is>
          <t>Open in EEF</t>
        </is>
      </c>
    </row>
    <row r="366" ht="43.25" customHeight="1" s="19">
      <c r="A366" s="25" t="n">
        <v>365</v>
      </c>
      <c r="B366" s="25" t="inlineStr">
        <is>
          <t>★★★★☆</t>
        </is>
      </c>
      <c r="C366" s="25" t="inlineStr">
        <is>
          <t>4 – Strong fit (electronics/signal/robotics/IoT/sensors)</t>
        </is>
      </c>
      <c r="D366" s="25" t="inlineStr">
        <is>
          <t>Sensors / Instrumentation / Micro-Nano / Photonics</t>
        </is>
      </c>
      <c r="E366" s="26" t="inlineStr">
        <is>
          <t>Electrical and Optical Engineering (EOE)</t>
        </is>
      </c>
      <c r="F366" s="26" t="inlineStr">
        <is>
          <t>Electrical and Optical Engineering (EOE)</t>
        </is>
      </c>
      <c r="G366" s="25" t="inlineStr">
        <is>
          <t>Mastère en sciences (MSc)</t>
        </is>
      </c>
      <c r="H366" s="25" t="inlineStr">
        <is>
          <t>Télécom SudParis</t>
        </is>
      </c>
      <c r="I366" s="25" t="n"/>
      <c r="J366" s="25" t="inlineStr">
        <is>
          <t>Site de Evry</t>
        </is>
      </c>
      <c r="K366" s="25" t="n"/>
      <c r="L366" s="25" t="inlineStr">
        <is>
          <t>Public school / institute</t>
        </is>
      </c>
      <c r="M366" s="25" t="inlineStr">
        <is>
          <t>English</t>
        </is>
      </c>
      <c r="N366" s="25" t="inlineStr">
        <is>
          <t>General</t>
        </is>
      </c>
      <c r="O366" s="25" t="inlineStr">
        <is>
          <t>Bac +4</t>
        </is>
      </c>
      <c r="P366" s="26" t="inlineStr">
        <is>
          <t>Eligible on level (4-yr BS ≈ Bac+4)</t>
        </is>
      </c>
      <c r="Q366" s="25" t="inlineStr">
        <is>
          <t>1</t>
        </is>
      </c>
      <c r="R366" s="25" t="inlineStr">
        <is>
          <t>12</t>
        </is>
      </c>
      <c r="S366" s="27" t="n">
        <v>6000</v>
      </c>
      <c r="T366" s="27" t="n"/>
      <c r="U366" s="25" t="n">
        <v>1</v>
      </c>
      <c r="V366" s="27">
        <f>IF(S366="","",S366*U366)</f>
        <v/>
      </c>
      <c r="W366" s="26" t="inlineStr">
        <is>
          <t>Catalogue fee €6,000/yr (entered by institution).</t>
        </is>
      </c>
      <c r="X366" s="25" t="inlineStr">
        <is>
          <t>High</t>
        </is>
      </c>
      <c r="Y366" s="25" t="inlineStr">
        <is>
          <t>6000</t>
        </is>
      </c>
      <c r="Z366" s="26" t="n"/>
      <c r="AA366" s="26" t="n"/>
      <c r="AB366" s="25" t="n"/>
      <c r="AC366" s="25" t="inlineStr">
        <is>
          <t>Open</t>
        </is>
      </c>
      <c r="AD366" s="25" t="inlineStr">
        <is>
          <t>2026-10-01</t>
        </is>
      </c>
      <c r="AE366" s="25" t="inlineStr">
        <is>
          <t>2027-03-15</t>
        </is>
      </c>
      <c r="AF366" s="25" t="inlineStr">
        <is>
          <t>Yes</t>
        </is>
      </c>
      <c r="AG366" s="28" t="inlineStr">
        <is>
          <t>https://www.telecom-sudparis.eu/en/formation/master-of-science-electrical-and-optical-engineering/</t>
        </is>
      </c>
      <c r="AH366" s="26" t="inlineStr">
        <is>
          <t>Academic Prerequisites Master M1 in Electrical Engineering for Communications &amp; Information Processing https://www.ip-paris.fr/en/education/masters/electrical-engineering-program/master-year-1-electrical-engineering-comm</t>
        </is>
      </c>
      <c r="AI366" s="28" t="inlineStr">
        <is>
          <t>Open in EEF</t>
        </is>
      </c>
    </row>
    <row r="367" ht="32.8" customHeight="1" s="19">
      <c r="A367" s="25" t="n">
        <v>366</v>
      </c>
      <c r="B367" s="25" t="inlineStr">
        <is>
          <t>★★★★☆</t>
        </is>
      </c>
      <c r="C367" s="25" t="inlineStr">
        <is>
          <t>4 – Strong fit (electronics/signal/robotics/IoT/sensors)</t>
        </is>
      </c>
      <c r="D367" s="25" t="inlineStr">
        <is>
          <t>Embedded systems / Electronics</t>
        </is>
      </c>
      <c r="E367" s="26" t="inlineStr">
        <is>
          <t>diplôme d'ingénieur de l'Institut supérieur d'électronique de Paris</t>
        </is>
      </c>
      <c r="F367" s="26" t="inlineStr">
        <is>
          <t>Engineering diploma of Institute Higher of Electronics of Paris</t>
        </is>
      </c>
      <c r="G367" s="25" t="inlineStr">
        <is>
          <t>Diplôme d'ingénieur</t>
        </is>
      </c>
      <c r="H367" s="25" t="inlineStr">
        <is>
          <t>Institut supérieur d'électronique de Paris</t>
        </is>
      </c>
      <c r="I367" s="25" t="n"/>
      <c r="J367" s="25" t="inlineStr">
        <is>
          <t>Site de Paris</t>
        </is>
      </c>
      <c r="K367" s="25" t="n"/>
      <c r="L367" s="25" t="inlineStr">
        <is>
          <t>Private / EESPIG</t>
        </is>
      </c>
      <c r="M367" s="25" t="inlineStr">
        <is>
          <t>French &amp; English</t>
        </is>
      </c>
      <c r="N367" s="25" t="inlineStr">
        <is>
          <t>General</t>
        </is>
      </c>
      <c r="O367" s="25" t="inlineStr">
        <is>
          <t>Bac +1 / Bac +2 / Bac +3 / Bac +4 / Bac +5</t>
        </is>
      </c>
      <c r="P367" s="26" t="inlineStr">
        <is>
          <t>Eligible on level (4-yr BS ≈ Bac+4)</t>
        </is>
      </c>
      <c r="Q367" s="25" t="inlineStr">
        <is>
          <t>1/2/3/4/5</t>
        </is>
      </c>
      <c r="R367" s="25" t="inlineStr">
        <is>
          <t>12</t>
        </is>
      </c>
      <c r="S367" s="27" t="n">
        <v>9450</v>
      </c>
      <c r="T367" s="27" t="n"/>
      <c r="U367" s="25" t="n">
        <v>2</v>
      </c>
      <c r="V367" s="27">
        <f>IF(S367="","",S367*U367)</f>
        <v/>
      </c>
      <c r="W367" s="26" t="inlineStr">
        <is>
          <t>Catalogue fee €9,450/yr (entered by institution).</t>
        </is>
      </c>
      <c r="X367" s="25" t="inlineStr">
        <is>
          <t>High</t>
        </is>
      </c>
      <c r="Y367" s="25" t="inlineStr">
        <is>
          <t>9450/11520</t>
        </is>
      </c>
      <c r="Z367" s="26" t="n"/>
      <c r="AA367" s="26" t="n"/>
      <c r="AB367" s="25" t="n"/>
      <c r="AC367" s="25" t="inlineStr">
        <is>
          <t>Open</t>
        </is>
      </c>
      <c r="AD367" s="25" t="inlineStr">
        <is>
          <t>2026-10-01</t>
        </is>
      </c>
      <c r="AE367" s="25" t="inlineStr">
        <is>
          <t>2027-03-15</t>
        </is>
      </c>
      <c r="AF367" s="25" t="inlineStr">
        <is>
          <t>Yes</t>
        </is>
      </c>
      <c r="AG367" s="28" t="inlineStr">
        <is>
          <t>http://www.isep.fr</t>
        </is>
      </c>
      <c r="AH367" s="26" t="inlineStr">
        <is>
          <t>Notre programme CII (Cycle Intégré International) est ouvert aux candidats ayant réussi leur baccalauréat en sciences (par exemple, A Level, IB, AP, Huikao, Baccalauréat français...) et aux élèves de Terminale qui ont un</t>
        </is>
      </c>
      <c r="AI367" s="28" t="inlineStr">
        <is>
          <t>Open in EEF</t>
        </is>
      </c>
    </row>
    <row r="368" ht="32.8" customHeight="1" s="19">
      <c r="A368" s="25" t="n">
        <v>367</v>
      </c>
      <c r="B368" s="25" t="inlineStr">
        <is>
          <t>★★★★☆</t>
        </is>
      </c>
      <c r="C368" s="25" t="inlineStr">
        <is>
          <t>4 – Strong fit (electronics/signal/robotics/IoT/sensors)</t>
        </is>
      </c>
      <c r="D368" s="25" t="inlineStr">
        <is>
          <t>Signal / Image / Vision</t>
        </is>
      </c>
      <c r="E368" s="26" t="inlineStr">
        <is>
          <t>Cycle d'ingénieur généraliste ESEO - DATA INSTRUMENTATION, SIGNAL &amp; APPLICATIONS</t>
        </is>
      </c>
      <c r="F368" s="26" t="inlineStr">
        <is>
          <t>cycle of Engineer General ESEO - DATA Instrumentation, SIGNAL &amp; Applications</t>
        </is>
      </c>
      <c r="G368" s="25" t="inlineStr">
        <is>
          <t>Diplôme d'ingénieur</t>
        </is>
      </c>
      <c r="H368" s="25" t="inlineStr">
        <is>
          <t>ESEO</t>
        </is>
      </c>
      <c r="I368" s="25" t="n"/>
      <c r="J368" s="25" t="inlineStr">
        <is>
          <t>ESEO site d'Angers</t>
        </is>
      </c>
      <c r="K368" s="25" t="inlineStr">
        <is>
          <t>49100 Angers</t>
        </is>
      </c>
      <c r="L368" s="25" t="inlineStr">
        <is>
          <t>Private / EESPIG</t>
        </is>
      </c>
      <c r="M368" s="25" t="inlineStr">
        <is>
          <t>French</t>
        </is>
      </c>
      <c r="N368" s="25" t="inlineStr">
        <is>
          <t>General</t>
        </is>
      </c>
      <c r="O368" s="25" t="inlineStr">
        <is>
          <t>Bac +4</t>
        </is>
      </c>
      <c r="P368" s="26" t="inlineStr">
        <is>
          <t>Eligible on level (4-yr BS ≈ Bac+4)</t>
        </is>
      </c>
      <c r="Q368" s="25" t="inlineStr">
        <is>
          <t>4</t>
        </is>
      </c>
      <c r="R368" s="25" t="inlineStr">
        <is>
          <t>12</t>
        </is>
      </c>
      <c r="S368" s="27" t="n">
        <v>10890</v>
      </c>
      <c r="T368" s="27" t="n"/>
      <c r="U368" s="25" t="n">
        <v>2</v>
      </c>
      <c r="V368" s="27">
        <f>IF(S368="","",S368*U368)</f>
        <v/>
      </c>
      <c r="W368" s="26" t="inlineStr">
        <is>
          <t>Catalogue fee €10,890/yr (entered by institution).</t>
        </is>
      </c>
      <c r="X368" s="25" t="inlineStr">
        <is>
          <t>High</t>
        </is>
      </c>
      <c r="Y368" s="25" t="inlineStr">
        <is>
          <t>10890</t>
        </is>
      </c>
      <c r="Z368" s="26" t="n"/>
      <c r="AA368" s="26" t="n"/>
      <c r="AB368" s="25" t="n"/>
      <c r="AC368" s="25" t="inlineStr">
        <is>
          <t>Open</t>
        </is>
      </c>
      <c r="AD368" s="25" t="inlineStr">
        <is>
          <t>2026-10-01</t>
        </is>
      </c>
      <c r="AE368" s="25" t="inlineStr">
        <is>
          <t>2027-03-15</t>
        </is>
      </c>
      <c r="AF368" s="25" t="inlineStr">
        <is>
          <t>No</t>
        </is>
      </c>
      <c r="AG368" s="25" t="n"/>
      <c r="AH368" s="26" t="inlineStr">
        <is>
          <t>Cette option forme des ingénieurs capables de maîtriser les différentes étapes de la chaîne de la donnée, de l’acquisition par les capteurs jusqu’à son traitement et son exploitation . Elle permet de développer des compé</t>
        </is>
      </c>
      <c r="AI368" s="28" t="inlineStr">
        <is>
          <t>Open in EEF</t>
        </is>
      </c>
    </row>
    <row r="369" ht="32.8" customHeight="1" s="19">
      <c r="A369" s="25" t="n">
        <v>368</v>
      </c>
      <c r="B369" s="25" t="inlineStr">
        <is>
          <t>★★★★☆</t>
        </is>
      </c>
      <c r="C369" s="25" t="inlineStr">
        <is>
          <t>4 – Strong fit (electronics/signal/robotics/IoT/sensors)</t>
        </is>
      </c>
      <c r="D369" s="25" t="inlineStr">
        <is>
          <t>Electrical energy</t>
        </is>
      </c>
      <c r="E369" s="26" t="inlineStr">
        <is>
          <t>Cycle d'ingénieur généraliste ESEO - GÉNIE ÉLECTRIQUE &amp; TRANSITIONS ÉNERGÉTIQUES</t>
        </is>
      </c>
      <c r="F369" s="26" t="inlineStr">
        <is>
          <t>cycle of Engineer General ESEO - Electrical Engineering &amp; TRANSITIONS ÉNERGÉTIQUES</t>
        </is>
      </c>
      <c r="G369" s="25" t="inlineStr">
        <is>
          <t>Diplôme d'ingénieur</t>
        </is>
      </c>
      <c r="H369" s="25" t="inlineStr">
        <is>
          <t>ESEO</t>
        </is>
      </c>
      <c r="I369" s="25" t="n"/>
      <c r="J369" s="25" t="inlineStr">
        <is>
          <t>ESEO site d'Angers</t>
        </is>
      </c>
      <c r="K369" s="25" t="inlineStr">
        <is>
          <t>49100 Angers</t>
        </is>
      </c>
      <c r="L369" s="25" t="inlineStr">
        <is>
          <t>Private / EESPIG</t>
        </is>
      </c>
      <c r="M369" s="25" t="inlineStr">
        <is>
          <t>French</t>
        </is>
      </c>
      <c r="N369" s="25" t="inlineStr">
        <is>
          <t>General</t>
        </is>
      </c>
      <c r="O369" s="25" t="inlineStr">
        <is>
          <t>Bac +4</t>
        </is>
      </c>
      <c r="P369" s="26" t="inlineStr">
        <is>
          <t>Eligible on level (4-yr BS ≈ Bac+4)</t>
        </is>
      </c>
      <c r="Q369" s="25" t="inlineStr">
        <is>
          <t>4</t>
        </is>
      </c>
      <c r="R369" s="25" t="inlineStr">
        <is>
          <t>12</t>
        </is>
      </c>
      <c r="S369" s="27" t="n">
        <v>10890</v>
      </c>
      <c r="T369" s="27" t="n"/>
      <c r="U369" s="25" t="n">
        <v>2</v>
      </c>
      <c r="V369" s="27">
        <f>IF(S369="","",S369*U369)</f>
        <v/>
      </c>
      <c r="W369" s="26" t="inlineStr">
        <is>
          <t>Catalogue fee €10,890/yr (entered by institution).</t>
        </is>
      </c>
      <c r="X369" s="25" t="inlineStr">
        <is>
          <t>High</t>
        </is>
      </c>
      <c r="Y369" s="25" t="inlineStr">
        <is>
          <t>10890</t>
        </is>
      </c>
      <c r="Z369" s="26" t="n"/>
      <c r="AA369" s="26" t="n"/>
      <c r="AB369" s="25" t="n"/>
      <c r="AC369" s="25" t="inlineStr">
        <is>
          <t>Open</t>
        </is>
      </c>
      <c r="AD369" s="25" t="inlineStr">
        <is>
          <t>2026-10-01</t>
        </is>
      </c>
      <c r="AE369" s="25" t="inlineStr">
        <is>
          <t>2027-03-15</t>
        </is>
      </c>
      <c r="AF369" s="25" t="inlineStr">
        <is>
          <t>No</t>
        </is>
      </c>
      <c r="AG369" s="25" t="n"/>
      <c r="AH369" s="26" t="inlineStr">
        <is>
          <t>Cette option forme des ingénieurs capables de répondre aux enjeux liés à l’énergie, au génie électrique et aux transitions énergétiques . Elle permet de développer des compétences pour comprendre les enjeux énergétiques</t>
        </is>
      </c>
      <c r="AI369" s="28" t="inlineStr">
        <is>
          <t>Open in EEF</t>
        </is>
      </c>
    </row>
    <row r="370" ht="15" customHeight="1" s="19">
      <c r="A370" s="25" t="n">
        <v>369</v>
      </c>
      <c r="B370" s="25" t="inlineStr">
        <is>
          <t>★★★★☆</t>
        </is>
      </c>
      <c r="C370" s="25" t="inlineStr">
        <is>
          <t>4 – Strong fit (electronics/signal/robotics/IoT/sensors)</t>
        </is>
      </c>
      <c r="D370" s="25" t="inlineStr">
        <is>
          <t>IoT / Telecom / Networks</t>
        </is>
      </c>
      <c r="E370" s="26" t="inlineStr">
        <is>
          <t>Diplôme d'ingénieur de Télécom SudParis de l'Institut Mines-Télécom</t>
        </is>
      </c>
      <c r="F370" s="26" t="inlineStr">
        <is>
          <t>Engineering diploma of Télécom SudParis of Institute Mines-Télécom</t>
        </is>
      </c>
      <c r="G370" s="25" t="inlineStr">
        <is>
          <t>Diplôme d'ingénieur</t>
        </is>
      </c>
      <c r="H370" s="25" t="inlineStr">
        <is>
          <t>Télécom SudParis</t>
        </is>
      </c>
      <c r="I370" s="25" t="n"/>
      <c r="J370" s="25" t="inlineStr">
        <is>
          <t>Site de Evry</t>
        </is>
      </c>
      <c r="K370" s="25" t="n"/>
      <c r="L370" s="25" t="inlineStr">
        <is>
          <t>Public school / institute</t>
        </is>
      </c>
      <c r="M370" s="25" t="inlineStr">
        <is>
          <t>French &amp; English</t>
        </is>
      </c>
      <c r="N370" s="25" t="inlineStr">
        <is>
          <t>General</t>
        </is>
      </c>
      <c r="O370" s="25" t="inlineStr">
        <is>
          <t>Bac +3 / Bac +4</t>
        </is>
      </c>
      <c r="P370" s="26" t="inlineStr">
        <is>
          <t>Eligible on level (4-yr BS ≈ Bac+4)</t>
        </is>
      </c>
      <c r="Q370" s="25" t="inlineStr">
        <is>
          <t>1/2</t>
        </is>
      </c>
      <c r="R370" s="25" t="inlineStr">
        <is>
          <t>36/24</t>
        </is>
      </c>
      <c r="S370" s="27" t="n">
        <v>11400</v>
      </c>
      <c r="T370" s="27" t="n"/>
      <c r="U370" s="25" t="n">
        <v>2</v>
      </c>
      <c r="V370" s="27">
        <f>IF(S370="","",S370*U370)</f>
        <v/>
      </c>
      <c r="W370" s="26" t="inlineStr">
        <is>
          <t>Catalogue fee €11,400/yr (entered by institution).</t>
        </is>
      </c>
      <c r="X370" s="25" t="inlineStr">
        <is>
          <t>High</t>
        </is>
      </c>
      <c r="Y370" s="25" t="inlineStr">
        <is>
          <t>17100/11400</t>
        </is>
      </c>
      <c r="Z370" s="26" t="n"/>
      <c r="AA370" s="26" t="n"/>
      <c r="AB370" s="25" t="n"/>
      <c r="AC370" s="25" t="inlineStr">
        <is>
          <t>Open</t>
        </is>
      </c>
      <c r="AD370" s="25" t="inlineStr">
        <is>
          <t>2026-10-01</t>
        </is>
      </c>
      <c r="AE370" s="25" t="inlineStr">
        <is>
          <t>2027-03-15</t>
        </is>
      </c>
      <c r="AF370" s="25" t="inlineStr">
        <is>
          <t>Yes</t>
        </is>
      </c>
      <c r="AG370" s="28" t="inlineStr">
        <is>
          <t>http://www.telecom-sudparis.eu</t>
        </is>
      </c>
      <c r="AH370" s="26" t="inlineStr">
        <is>
          <t>Informations en ligne sur le site Télécom SudParis.</t>
        </is>
      </c>
      <c r="AI370" s="28" t="inlineStr">
        <is>
          <t>Open in EEF</t>
        </is>
      </c>
    </row>
    <row r="371" ht="32.8" customHeight="1" s="19">
      <c r="A371" s="25" t="n">
        <v>370</v>
      </c>
      <c r="B371" s="25" t="inlineStr">
        <is>
          <t>★★★★☆</t>
        </is>
      </c>
      <c r="C371" s="25" t="inlineStr">
        <is>
          <t>4 – Strong fit (electronics/signal/robotics/IoT/sensors)</t>
        </is>
      </c>
      <c r="D371" s="25" t="inlineStr">
        <is>
          <t>Cybersecurity</t>
        </is>
      </c>
      <c r="E371" s="26" t="inlineStr">
        <is>
          <t>Mastère Spécialisé® Cybersécurité et Smart Systems - RNCP40347</t>
        </is>
      </c>
      <c r="F371" s="26" t="inlineStr">
        <is>
          <t>Specialised Master (MS)® Cybersecurity &amp; Smart Systems - RNCP40347</t>
        </is>
      </c>
      <c r="G371" s="25" t="inlineStr">
        <is>
          <t>Mastère spécialisé</t>
        </is>
      </c>
      <c r="H371" s="25" t="inlineStr">
        <is>
          <t>CY Tech école d'ingénieur</t>
        </is>
      </c>
      <c r="I371" s="25" t="inlineStr">
        <is>
          <t>CY Cergy Paris Université</t>
        </is>
      </c>
      <c r="J371" s="25" t="inlineStr">
        <is>
          <t>Saint-Germain-en-Laye</t>
        </is>
      </c>
      <c r="K371" s="25" t="n"/>
      <c r="L371" s="25" t="inlineStr">
        <is>
          <t>Public school / institute</t>
        </is>
      </c>
      <c r="M371" s="25" t="inlineStr">
        <is>
          <t>French</t>
        </is>
      </c>
      <c r="N371" s="25" t="inlineStr">
        <is>
          <t>General</t>
        </is>
      </c>
      <c r="O371" s="25" t="inlineStr">
        <is>
          <t>Bac +5</t>
        </is>
      </c>
      <c r="P371" s="26" t="inlineStr">
        <is>
          <t>Possible – MS rules allow Bac+4 + ≥3 yrs work experience (you have 3)</t>
        </is>
      </c>
      <c r="Q371" s="25" t="inlineStr">
        <is>
          <t>1</t>
        </is>
      </c>
      <c r="R371" s="25" t="inlineStr">
        <is>
          <t>18</t>
        </is>
      </c>
      <c r="S371" s="27" t="n">
        <v>11500</v>
      </c>
      <c r="T371" s="27" t="n"/>
      <c r="U371" s="25" t="n">
        <v>1</v>
      </c>
      <c r="V371" s="27">
        <f>IF(S371="","",S371*U371)</f>
        <v/>
      </c>
      <c r="W371" s="26" t="inlineStr">
        <is>
          <t>Catalogue fee €11,500/yr (entered by institution).</t>
        </is>
      </c>
      <c r="X371" s="25" t="inlineStr">
        <is>
          <t>High</t>
        </is>
      </c>
      <c r="Y371" s="25" t="inlineStr">
        <is>
          <t>11500</t>
        </is>
      </c>
      <c r="Z371" s="26" t="n"/>
      <c r="AA371" s="26" t="n"/>
      <c r="AB371" s="25" t="n"/>
      <c r="AC371" s="25" t="inlineStr">
        <is>
          <t>Open</t>
        </is>
      </c>
      <c r="AD371" s="25" t="inlineStr">
        <is>
          <t>2026-10-01</t>
        </is>
      </c>
      <c r="AE371" s="25" t="inlineStr">
        <is>
          <t>2027-03-15</t>
        </is>
      </c>
      <c r="AF371" s="25" t="inlineStr">
        <is>
          <t>Yes</t>
        </is>
      </c>
      <c r="AG371" s="25" t="n"/>
      <c r="AH371" s="26" t="inlineStr">
        <is>
          <t>La formation s'adresse aussi bien aux professionnels qu'aux étudiants en poursuite d'études : Titulaires d’un Bac+5, Titulaires d’un Bac+ 4 avec 3 ans d’expérience professionnelle La maîtrise du fran est indispensable :</t>
        </is>
      </c>
      <c r="AI371" s="28" t="inlineStr">
        <is>
          <t>Open in EEF</t>
        </is>
      </c>
    </row>
    <row r="372" ht="32.8" customHeight="1" s="19">
      <c r="A372" s="25" t="n">
        <v>371</v>
      </c>
      <c r="B372" s="25" t="inlineStr">
        <is>
          <t>★★★★☆</t>
        </is>
      </c>
      <c r="C372" s="25" t="inlineStr">
        <is>
          <t>4 – Strong fit (electronics/signal/robotics/IoT/sensors)</t>
        </is>
      </c>
      <c r="D372" s="25" t="inlineStr">
        <is>
          <t>Robotics / Automation / Mechatronics</t>
        </is>
      </c>
      <c r="E372" s="26" t="inlineStr">
        <is>
          <t>MSc Control and Robotics - Advanced Robotics</t>
        </is>
      </c>
      <c r="F372" s="26" t="inlineStr">
        <is>
          <t>MSc Control and Robotics - Advanced Robotics</t>
        </is>
      </c>
      <c r="G372" s="25" t="inlineStr">
        <is>
          <t>Master of Science (MSc)</t>
        </is>
      </c>
      <c r="H372" s="25" t="inlineStr">
        <is>
          <t>Ecole centrale de Nantes</t>
        </is>
      </c>
      <c r="I372" s="25" t="n"/>
      <c r="J372" s="25" t="inlineStr">
        <is>
          <t>Site de Nantes</t>
        </is>
      </c>
      <c r="K372" s="25" t="n"/>
      <c r="L372" s="25" t="inlineStr">
        <is>
          <t>Public school / institute</t>
        </is>
      </c>
      <c r="M372" s="25" t="inlineStr">
        <is>
          <t>English</t>
        </is>
      </c>
      <c r="N372" s="25" t="inlineStr">
        <is>
          <t>Taught in English</t>
        </is>
      </c>
      <c r="O372" s="25" t="inlineStr">
        <is>
          <t>Bac +4 / Bac +5</t>
        </is>
      </c>
      <c r="P372" s="26" t="inlineStr">
        <is>
          <t>Eligible on level (4-yr BS ≈ Bac+4)</t>
        </is>
      </c>
      <c r="Q372" s="25" t="inlineStr">
        <is>
          <t>1/2</t>
        </is>
      </c>
      <c r="R372" s="25" t="inlineStr">
        <is>
          <t>12</t>
        </is>
      </c>
      <c r="S372" s="27" t="n">
        <v>12000</v>
      </c>
      <c r="T372" s="27" t="n"/>
      <c r="U372" s="25" t="n">
        <v>1</v>
      </c>
      <c r="V372" s="27">
        <f>IF(S372="","",S372*U372)</f>
        <v/>
      </c>
      <c r="W372" s="26" t="inlineStr">
        <is>
          <t>Catalogue fee €12,000/yr (entered by institution).</t>
        </is>
      </c>
      <c r="X372" s="25" t="inlineStr">
        <is>
          <t>High</t>
        </is>
      </c>
      <c r="Y372" s="25" t="inlineStr">
        <is>
          <t>12000</t>
        </is>
      </c>
      <c r="Z372" s="26" t="n"/>
      <c r="AA372" s="26" t="n"/>
      <c r="AB372" s="25" t="n"/>
      <c r="AC372" s="25" t="inlineStr">
        <is>
          <t>Open</t>
        </is>
      </c>
      <c r="AD372" s="25" t="inlineStr">
        <is>
          <t>2026-10-01</t>
        </is>
      </c>
      <c r="AE372" s="25" t="inlineStr">
        <is>
          <t>2027-03-15</t>
        </is>
      </c>
      <c r="AF372" s="25" t="inlineStr">
        <is>
          <t>Yes</t>
        </is>
      </c>
      <c r="AG372" s="25" t="n"/>
      <c r="AH372" s="26" t="inlineStr">
        <is>
          <t>For any information regarding the application procedure on the MSc Control and Robotics - Advanced Robotics, please click on this LINK . For any questions, please feel free to send your request to admission@ec-nantes.fr</t>
        </is>
      </c>
      <c r="AI372" s="28" t="inlineStr">
        <is>
          <t>Open in EEF</t>
        </is>
      </c>
    </row>
    <row r="373" ht="32.8" customHeight="1" s="19">
      <c r="A373" s="25" t="n">
        <v>372</v>
      </c>
      <c r="B373" s="25" t="inlineStr">
        <is>
          <t>★★★★☆</t>
        </is>
      </c>
      <c r="C373" s="25" t="inlineStr">
        <is>
          <t>4 – Strong fit (electronics/signal/robotics/IoT/sensors)</t>
        </is>
      </c>
      <c r="D373" s="25" t="inlineStr">
        <is>
          <t>Signal / Image / Vision</t>
        </is>
      </c>
      <c r="E373" s="26" t="inlineStr">
        <is>
          <t>MSc Control and Robotics - Data Science, Signal and Image Processing</t>
        </is>
      </c>
      <c r="F373" s="26" t="inlineStr">
        <is>
          <t>MSc Control and Robotics - Data Science, Signal and Image Processing</t>
        </is>
      </c>
      <c r="G373" s="25" t="inlineStr">
        <is>
          <t>Master of Science (MSc)</t>
        </is>
      </c>
      <c r="H373" s="25" t="inlineStr">
        <is>
          <t>Ecole centrale de Nantes</t>
        </is>
      </c>
      <c r="I373" s="25" t="n"/>
      <c r="J373" s="25" t="inlineStr">
        <is>
          <t>Site de Nantes</t>
        </is>
      </c>
      <c r="K373" s="25" t="n"/>
      <c r="L373" s="25" t="inlineStr">
        <is>
          <t>Public school / institute</t>
        </is>
      </c>
      <c r="M373" s="25" t="inlineStr">
        <is>
          <t>English</t>
        </is>
      </c>
      <c r="N373" s="25" t="inlineStr">
        <is>
          <t>Taught in English</t>
        </is>
      </c>
      <c r="O373" s="25" t="inlineStr">
        <is>
          <t>Bac +4 / Bac +5</t>
        </is>
      </c>
      <c r="P373" s="26" t="inlineStr">
        <is>
          <t>Eligible on level (4-yr BS ≈ Bac+4)</t>
        </is>
      </c>
      <c r="Q373" s="25" t="inlineStr">
        <is>
          <t>1/2</t>
        </is>
      </c>
      <c r="R373" s="25" t="inlineStr">
        <is>
          <t>12</t>
        </is>
      </c>
      <c r="S373" s="27" t="n">
        <v>12000</v>
      </c>
      <c r="T373" s="27" t="n"/>
      <c r="U373" s="25" t="n">
        <v>1</v>
      </c>
      <c r="V373" s="27">
        <f>IF(S373="","",S373*U373)</f>
        <v/>
      </c>
      <c r="W373" s="26" t="inlineStr">
        <is>
          <t>Catalogue fee €12,000/yr (entered by institution).</t>
        </is>
      </c>
      <c r="X373" s="25" t="inlineStr">
        <is>
          <t>High</t>
        </is>
      </c>
      <c r="Y373" s="25" t="inlineStr">
        <is>
          <t>12000</t>
        </is>
      </c>
      <c r="Z373" s="26" t="n"/>
      <c r="AA373" s="26" t="n"/>
      <c r="AB373" s="25" t="n"/>
      <c r="AC373" s="25" t="inlineStr">
        <is>
          <t>Open</t>
        </is>
      </c>
      <c r="AD373" s="25" t="inlineStr">
        <is>
          <t>2026-10-01</t>
        </is>
      </c>
      <c r="AE373" s="25" t="inlineStr">
        <is>
          <t>2027-03-15</t>
        </is>
      </c>
      <c r="AF373" s="25" t="inlineStr">
        <is>
          <t>Yes</t>
        </is>
      </c>
      <c r="AG373" s="28" t="inlineStr">
        <is>
          <t>https://www.ec-nantes.fr/study/masters/data-science-signal-and-image-processing</t>
        </is>
      </c>
      <c r="AH373" s="26" t="inlineStr">
        <is>
          <t>For any information regarding the application procedure on the MSc Control and Robotics - Data Science,, please click on this LINK . For any questions, please feel free to send your request to admission@ec-nantes.fr The</t>
        </is>
      </c>
      <c r="AI373" s="28" t="inlineStr">
        <is>
          <t>Open in EEF</t>
        </is>
      </c>
    </row>
    <row r="374" ht="22.35" customHeight="1" s="19">
      <c r="A374" s="25" t="n">
        <v>373</v>
      </c>
      <c r="B374" s="25" t="inlineStr">
        <is>
          <t>★★★★☆</t>
        </is>
      </c>
      <c r="C374" s="25" t="inlineStr">
        <is>
          <t>4 – Strong fit (electronics/signal/robotics/IoT/sensors)</t>
        </is>
      </c>
      <c r="D374" s="25" t="inlineStr">
        <is>
          <t>Sensors / Instrumentation / Micro-Nano / Photonics</t>
        </is>
      </c>
      <c r="E374" s="26" t="inlineStr">
        <is>
          <t>mastère spé. Capteurs, géolocalisation, navigation</t>
        </is>
      </c>
      <c r="F374" s="26" t="inlineStr">
        <is>
          <t>Specialised Master (MS) Sensors, géolocalisation, navigation</t>
        </is>
      </c>
      <c r="G374" s="25" t="inlineStr">
        <is>
          <t>Mastère spécialisé</t>
        </is>
      </c>
      <c r="H374" s="25" t="inlineStr">
        <is>
          <t>Ecole nationale supérieure de techniques avancées</t>
        </is>
      </c>
      <c r="I374" s="25" t="n"/>
      <c r="J374" s="25" t="inlineStr">
        <is>
          <t>Site de Palaiseau</t>
        </is>
      </c>
      <c r="K374" s="25" t="n"/>
      <c r="L374" s="25" t="inlineStr">
        <is>
          <t>Public school / institute</t>
        </is>
      </c>
      <c r="M374" s="25" t="inlineStr">
        <is>
          <t>French</t>
        </is>
      </c>
      <c r="N374" s="25" t="inlineStr">
        <is>
          <t>General</t>
        </is>
      </c>
      <c r="O374" s="25" t="n"/>
      <c r="P374" s="26" t="inlineStr">
        <is>
          <t>Possible – MS rules allow Bac+4 + ≥3 yrs work experience (you have 3)</t>
        </is>
      </c>
      <c r="Q374" s="25" t="inlineStr">
        <is>
          <t>1</t>
        </is>
      </c>
      <c r="R374" s="25" t="n"/>
      <c r="S374" s="27" t="n">
        <v>12000</v>
      </c>
      <c r="T374" s="27" t="n"/>
      <c r="U374" s="25" t="n">
        <v>1</v>
      </c>
      <c r="V374" s="27">
        <f>IF(S374="","",S374*U374)</f>
        <v/>
      </c>
      <c r="W374" s="26" t="inlineStr">
        <is>
          <t>Not in catalogue. Mastère Spécialisé programmes typically cost €9k–€23k. Verify.</t>
        </is>
      </c>
      <c r="X374" s="25" t="inlineStr">
        <is>
          <t>Low</t>
        </is>
      </c>
      <c r="Y374" s="25" t="n"/>
      <c r="Z374" s="26" t="n"/>
      <c r="AA374" s="26" t="n"/>
      <c r="AB374" s="25" t="n"/>
      <c r="AC374" s="25" t="inlineStr">
        <is>
          <t>Closed</t>
        </is>
      </c>
      <c r="AD374" s="25" t="n"/>
      <c r="AE374" s="25" t="n"/>
      <c r="AF374" s="25" t="inlineStr">
        <is>
          <t>No</t>
        </is>
      </c>
      <c r="AG374" s="28" t="inlineStr">
        <is>
          <t>http://www.ensta-paristech.fr</t>
        </is>
      </c>
      <c r="AH374" s="26" t="n"/>
      <c r="AI374" s="28" t="inlineStr">
        <is>
          <t>Open in EEF</t>
        </is>
      </c>
    </row>
    <row r="375" ht="32.8" customHeight="1" s="19">
      <c r="A375" s="25" t="n">
        <v>374</v>
      </c>
      <c r="B375" s="25" t="inlineStr">
        <is>
          <t>★★★★☆</t>
        </is>
      </c>
      <c r="C375" s="25" t="inlineStr">
        <is>
          <t>4 – Strong fit (electronics/signal/robotics/IoT/sensors)</t>
        </is>
      </c>
      <c r="D375" s="25" t="inlineStr">
        <is>
          <t>IoT / Telecom / Networks</t>
        </is>
      </c>
      <c r="E375" s="26" t="inlineStr">
        <is>
          <t>Master of Science Aerospace Systems Navigation and Telecommunications</t>
        </is>
      </c>
      <c r="F375" s="26" t="inlineStr">
        <is>
          <t>Master of Science Aerospace Systems Navigation and Telecommunications</t>
        </is>
      </c>
      <c r="G375" s="25" t="inlineStr">
        <is>
          <t>Master indifférencié (recherche et professionnel)</t>
        </is>
      </c>
      <c r="H375" s="25" t="inlineStr">
        <is>
          <t>Ecole nationale de l'aviation civile</t>
        </is>
      </c>
      <c r="I375" s="25" t="n"/>
      <c r="J375" s="25" t="inlineStr">
        <is>
          <t>Site de Toulouse</t>
        </is>
      </c>
      <c r="K375" s="25" t="n"/>
      <c r="L375" s="25" t="inlineStr">
        <is>
          <t>Public school / institute</t>
        </is>
      </c>
      <c r="M375" s="25" t="inlineStr">
        <is>
          <t>English</t>
        </is>
      </c>
      <c r="N375" s="25" t="inlineStr">
        <is>
          <t>Taught in English</t>
        </is>
      </c>
      <c r="O375" s="25" t="inlineStr">
        <is>
          <t>Bac +4 / Bac +5</t>
        </is>
      </c>
      <c r="P375" s="26" t="inlineStr">
        <is>
          <t>Eligible on level (4-yr BS ≈ Bac+4)</t>
        </is>
      </c>
      <c r="Q375" s="25" t="inlineStr">
        <is>
          <t>1/2</t>
        </is>
      </c>
      <c r="R375" s="25" t="inlineStr">
        <is>
          <t>24</t>
        </is>
      </c>
      <c r="S375" s="27" t="n">
        <v>16860</v>
      </c>
      <c r="T375" s="27" t="n"/>
      <c r="U375" s="25" t="n">
        <v>2</v>
      </c>
      <c r="V375" s="27">
        <f>IF(S375="","",S375*U375)</f>
        <v/>
      </c>
      <c r="W375" s="26" t="inlineStr">
        <is>
          <t>Catalogue fee €16,860/yr (entered by institution).</t>
        </is>
      </c>
      <c r="X375" s="25" t="inlineStr">
        <is>
          <t>High</t>
        </is>
      </c>
      <c r="Y375" s="25" t="inlineStr">
        <is>
          <t>16860</t>
        </is>
      </c>
      <c r="Z375" s="26" t="n"/>
      <c r="AA375" s="26" t="n"/>
      <c r="AB375" s="25" t="n"/>
      <c r="AC375" s="25" t="inlineStr">
        <is>
          <t>Open</t>
        </is>
      </c>
      <c r="AD375" s="25" t="inlineStr">
        <is>
          <t>2026-10-01</t>
        </is>
      </c>
      <c r="AE375" s="25" t="inlineStr">
        <is>
          <t>2027-03-15</t>
        </is>
      </c>
      <c r="AF375" s="25" t="inlineStr">
        <is>
          <t>Yes</t>
        </is>
      </c>
      <c r="AG375" s="28" t="inlineStr">
        <is>
          <t>http://www.tsaae.fr</t>
        </is>
      </c>
      <c r="AH375" s="26" t="inlineStr">
        <is>
          <t>English test required (B2 level) Valid English test result with the following minimum scores required IELTS (academics) 6 TOEFL IBT 87 (4.5) TOEIC 785 (Listening, Speaking, Reading and Writing) Cambridge 170 Linguaskill</t>
        </is>
      </c>
      <c r="AI375" s="28" t="inlineStr">
        <is>
          <t>Open in EEF</t>
        </is>
      </c>
    </row>
    <row r="376" ht="32.8" customHeight="1" s="19">
      <c r="A376" s="25" t="n">
        <v>375</v>
      </c>
      <c r="B376" s="25" t="inlineStr">
        <is>
          <t>★★★★☆</t>
        </is>
      </c>
      <c r="C376" s="25" t="inlineStr">
        <is>
          <t>4 – Strong fit (electronics/signal/robotics/IoT/sensors)</t>
        </is>
      </c>
      <c r="D376" s="25" t="inlineStr">
        <is>
          <t>Biomedical / Health tech</t>
        </is>
      </c>
      <c r="E376" s="26" t="inlineStr">
        <is>
          <t>Master Sciences, Technologies &amp; Health, in Networks &amp; Telecommunication - Intelligent Communication Systems track</t>
        </is>
      </c>
      <c r="F376" s="26" t="inlineStr">
        <is>
          <t>Master Sciences, Technologies &amp; Health, in Networks &amp; Telecommunication - Intelligent Communication Systems track</t>
        </is>
      </c>
      <c r="G376" s="25" t="inlineStr">
        <is>
          <t>Master indifférencié (recherche et professionnel)</t>
        </is>
      </c>
      <c r="H376" s="25" t="inlineStr">
        <is>
          <t>EURECOM</t>
        </is>
      </c>
      <c r="I376" s="25" t="n"/>
      <c r="J376" s="25" t="inlineStr">
        <is>
          <t>EURECOM</t>
        </is>
      </c>
      <c r="K376" s="25" t="inlineStr">
        <is>
          <t>06410 Biot - Sophia Antipolis</t>
        </is>
      </c>
      <c r="L376" s="25" t="inlineStr">
        <is>
          <t>Private / EESPIG</t>
        </is>
      </c>
      <c r="M376" s="25" t="inlineStr">
        <is>
          <t>English</t>
        </is>
      </c>
      <c r="N376" s="25" t="inlineStr">
        <is>
          <t>Taught in English</t>
        </is>
      </c>
      <c r="O376" s="25" t="inlineStr">
        <is>
          <t>Bac +4</t>
        </is>
      </c>
      <c r="P376" s="26" t="inlineStr">
        <is>
          <t>Eligible on level (4-yr BS ≈ Bac+4)</t>
        </is>
      </c>
      <c r="Q376" s="25" t="inlineStr">
        <is>
          <t>1</t>
        </is>
      </c>
      <c r="R376" s="25" t="inlineStr">
        <is>
          <t>24</t>
        </is>
      </c>
      <c r="S376" s="27" t="n">
        <v>18000</v>
      </c>
      <c r="T376" s="27" t="n"/>
      <c r="U376" s="25" t="n">
        <v>2</v>
      </c>
      <c r="V376" s="27">
        <f>IF(S376="","",S376*U376)</f>
        <v/>
      </c>
      <c r="W376" s="26" t="inlineStr">
        <is>
          <t>Catalogue fee €18,000/yr (entered by institution).</t>
        </is>
      </c>
      <c r="X376" s="25" t="inlineStr">
        <is>
          <t>High</t>
        </is>
      </c>
      <c r="Y376" s="25" t="inlineStr">
        <is>
          <t>18000</t>
        </is>
      </c>
      <c r="Z376" s="26" t="inlineStr">
        <is>
          <t>h or French Final admission to the program is contingent upon the receipt of a deposit of €1000 on tuition fees</t>
        </is>
      </c>
      <c r="AA376" s="26" t="n"/>
      <c r="AB376" s="25" t="n"/>
      <c r="AC376" s="25" t="inlineStr">
        <is>
          <t>Open</t>
        </is>
      </c>
      <c r="AD376" s="25" t="inlineStr">
        <is>
          <t>2026-10-01</t>
        </is>
      </c>
      <c r="AE376" s="25" t="inlineStr">
        <is>
          <t>2027-03-15</t>
        </is>
      </c>
      <c r="AF376" s="25" t="inlineStr">
        <is>
          <t>Yes</t>
        </is>
      </c>
      <c r="AG376" s="28" t="inlineStr">
        <is>
          <t>https://www.eurecom.fr/en/teaching/master-networks-and-telecommunication/msc-networks-and-telecommunication-intelligent</t>
        </is>
      </c>
      <c r="AH376" s="26" t="inlineStr">
        <is>
          <t>To be eligible, candidates must hold: a Bachelor's degree or diploma equivalent to at least 3 years of higher education from a reputable university in the field of information and communication technologies. (Computer sc</t>
        </is>
      </c>
      <c r="AI376" s="28" t="inlineStr">
        <is>
          <t>Open in EEF</t>
        </is>
      </c>
    </row>
    <row r="377" ht="32.8" customHeight="1" s="19">
      <c r="A377" s="25" t="n">
        <v>376</v>
      </c>
      <c r="B377" s="25" t="inlineStr">
        <is>
          <t>★★★★☆</t>
        </is>
      </c>
      <c r="C377" s="25" t="inlineStr">
        <is>
          <t>4 – Strong fit (electronics/signal/robotics/IoT/sensors)</t>
        </is>
      </c>
      <c r="D377" s="25" t="inlineStr">
        <is>
          <t>IoT / Telecom / Networks</t>
        </is>
      </c>
      <c r="E377" s="26" t="inlineStr">
        <is>
          <t>Master Sciences, technologies, santé mention Réseaux &amp; Télécommunication parcours Systèmes de Communication Intelligents</t>
        </is>
      </c>
      <c r="F377" s="26" t="inlineStr">
        <is>
          <t>Master Science, Technology, Health (STS) – major: Networks &amp; Telecommunication – track: Systems of Communication Intelligent</t>
        </is>
      </c>
      <c r="G377" s="25" t="inlineStr">
        <is>
          <t>Master indifférencié (recherche et professionnel)</t>
        </is>
      </c>
      <c r="H377" s="25" t="inlineStr">
        <is>
          <t>EURECOM</t>
        </is>
      </c>
      <c r="I377" s="25" t="n"/>
      <c r="J377" s="25" t="inlineStr">
        <is>
          <t>EURECOM</t>
        </is>
      </c>
      <c r="K377" s="25" t="inlineStr">
        <is>
          <t>06410 Biot - Sophia Antipolis</t>
        </is>
      </c>
      <c r="L377" s="25" t="inlineStr">
        <is>
          <t>Private / EESPIG</t>
        </is>
      </c>
      <c r="M377" s="25" t="inlineStr">
        <is>
          <t>English</t>
        </is>
      </c>
      <c r="N377" s="25" t="inlineStr">
        <is>
          <t>General</t>
        </is>
      </c>
      <c r="O377" s="25" t="inlineStr">
        <is>
          <t>Bac +4</t>
        </is>
      </c>
      <c r="P377" s="26" t="inlineStr">
        <is>
          <t>Eligible on level (4-yr BS ≈ Bac+4)</t>
        </is>
      </c>
      <c r="Q377" s="25" t="inlineStr">
        <is>
          <t>1</t>
        </is>
      </c>
      <c r="R377" s="25" t="inlineStr">
        <is>
          <t>24</t>
        </is>
      </c>
      <c r="S377" s="27" t="n">
        <v>18000</v>
      </c>
      <c r="T377" s="27" t="n"/>
      <c r="U377" s="25" t="n">
        <v>2</v>
      </c>
      <c r="V377" s="27">
        <f>IF(S377="","",S377*U377)</f>
        <v/>
      </c>
      <c r="W377" s="26" t="inlineStr">
        <is>
          <t>Catalogue fee €18,000/yr (entered by institution).</t>
        </is>
      </c>
      <c r="X377" s="25" t="inlineStr">
        <is>
          <t>High</t>
        </is>
      </c>
      <c r="Y377" s="25" t="inlineStr">
        <is>
          <t>18000</t>
        </is>
      </c>
      <c r="Z377" s="26" t="inlineStr">
        <is>
          <t>dmission définitive dans le programme est conditionnée à la réception d’un acompte de 1000€ sur les frais de formation</t>
        </is>
      </c>
      <c r="AA377" s="26" t="n"/>
      <c r="AB377" s="25" t="n"/>
      <c r="AC377" s="25" t="inlineStr">
        <is>
          <t>Open</t>
        </is>
      </c>
      <c r="AD377" s="25" t="inlineStr">
        <is>
          <t>2026-10-01</t>
        </is>
      </c>
      <c r="AE377" s="25" t="inlineStr">
        <is>
          <t>2027-03-15</t>
        </is>
      </c>
      <c r="AF377" s="25" t="inlineStr">
        <is>
          <t>Yes</t>
        </is>
      </c>
      <c r="AG377" s="28" t="inlineStr">
        <is>
          <t>https://www.eurecom.fr/fr/les-formations/master-en-reseaux-et-telecommunication/master-en-reseaux-et-telecommunication</t>
        </is>
      </c>
      <c r="AH377" s="26" t="inlineStr">
        <is>
          <t>Pour être éligibles, les candidats doivent être titulaires: un diplôme de grade de Licence/Bachelor ou diplôme équivalent à 3 années minimum d'études supérieures d'une université réputée dans le domaine des technologies</t>
        </is>
      </c>
      <c r="AI377" s="28" t="inlineStr">
        <is>
          <t>Open in EEF</t>
        </is>
      </c>
    </row>
    <row r="378" ht="32.8" customHeight="1" s="19">
      <c r="A378" s="25" t="n">
        <v>377</v>
      </c>
      <c r="B378" s="25" t="inlineStr">
        <is>
          <t>★★★★☆</t>
        </is>
      </c>
      <c r="C378" s="25" t="inlineStr">
        <is>
          <t>4 – Strong fit (electronics/signal/robotics/IoT/sensors)</t>
        </is>
      </c>
      <c r="D378" s="25" t="inlineStr">
        <is>
          <t>Robotics / Automation / Mechatronics</t>
        </is>
      </c>
      <c r="E378" s="26" t="inlineStr">
        <is>
          <t>Master indifférencié (recherche et professionnel) Sciences et technologies mention informatique parcours Intelligence artificielle et apprentissage automatique (IAAA)</t>
        </is>
      </c>
      <c r="F378" s="26" t="inlineStr">
        <is>
          <t>Science &amp; Technology – major: Computer Science – track: Artificial Intelligence &amp; Machine Learning (IAAA)</t>
        </is>
      </c>
      <c r="G378" s="25" t="inlineStr">
        <is>
          <t>Master indifférencié (recherche et professionnel)</t>
        </is>
      </c>
      <c r="H378" s="25" t="inlineStr">
        <is>
          <t>UFR Sciences</t>
        </is>
      </c>
      <c r="I378" s="25" t="inlineStr">
        <is>
          <t>Université d'Aix-Marseille</t>
        </is>
      </c>
      <c r="J378" s="25" t="inlineStr">
        <is>
          <t>Site de Marseille - St Jérôme</t>
        </is>
      </c>
      <c r="K378" s="25" t="n"/>
      <c r="L378" s="25" t="inlineStr">
        <is>
          <t>Apprenticeship (CFA/ITII)</t>
        </is>
      </c>
      <c r="M378" s="25" t="inlineStr">
        <is>
          <t>French</t>
        </is>
      </c>
      <c r="N378" s="25" t="inlineStr">
        <is>
          <t>General</t>
        </is>
      </c>
      <c r="O378" s="25" t="inlineStr">
        <is>
          <t>Bac +5</t>
        </is>
      </c>
      <c r="P378" s="26" t="inlineStr">
        <is>
          <t>Requires Bac+5 (Master) – likely not eligible; ask if 4-yr BS + experience accepted</t>
        </is>
      </c>
      <c r="Q378" s="25" t="inlineStr">
        <is>
          <t>2</t>
        </is>
      </c>
      <c r="R378" s="25" t="inlineStr">
        <is>
          <t>12</t>
        </is>
      </c>
      <c r="S378" s="27" t="n">
        <v>0</v>
      </c>
      <c r="T378" s="27" t="n"/>
      <c r="U378" s="25" t="n">
        <v>1</v>
      </c>
      <c r="V378" s="27">
        <f>IF(S378="","",S378*U378)</f>
        <v/>
      </c>
      <c r="W378" s="26" t="inlineStr">
        <is>
          <t>Apprenticeship: tuition paid by employer (€0 to student) BUT requires a French employment contract + residence permit – practically not accessible from abroad.</t>
        </is>
      </c>
      <c r="X378" s="25" t="inlineStr">
        <is>
          <t>High</t>
        </is>
      </c>
      <c r="Y378" s="25" t="n"/>
      <c r="Z378" s="26" t="n"/>
      <c r="AA378" s="26" t="inlineStr">
        <is>
          <t>AMU 2026-27: limited exemptions (≈1,800 of 5,500 students) – priority to continuing students, conflict zones, excellence scholarships. New master entrants usually pay €3,950.</t>
        </is>
      </c>
      <c r="AB378" s="28" t="inlineStr">
        <is>
          <t>https://www.univ-amu.fr/fr/actualites/aix-marseille-universite-mobilise-pleinement-capacite-dexoneration-continuer-accueillir</t>
        </is>
      </c>
      <c r="AC378" s="25" t="inlineStr">
        <is>
          <t>Open</t>
        </is>
      </c>
      <c r="AD378" s="25" t="inlineStr">
        <is>
          <t>2026-10-01</t>
        </is>
      </c>
      <c r="AE378" s="25" t="inlineStr">
        <is>
          <t>2027-03-15</t>
        </is>
      </c>
      <c r="AF378" s="25" t="inlineStr">
        <is>
          <t>No</t>
        </is>
      </c>
      <c r="AG378" s="28" t="inlineStr">
        <is>
          <t>https://formations.univ-amu.fr/fr/master/5SIN/PRSIN5C5</t>
        </is>
      </c>
      <c r="AH378" s="26" t="inlineStr">
        <is>
          <t>Nous attirons votre attention sur 4 points importants pour votre candidature : Votre dossier doit être complet et validé par l’Espace Etudes en France La faculté des sciences examinera les dossiers de candidature en cohé</t>
        </is>
      </c>
      <c r="AI378" s="28" t="inlineStr">
        <is>
          <t>Open in EEF</t>
        </is>
      </c>
    </row>
    <row r="379" ht="32.8" customHeight="1" s="19">
      <c r="A379" s="25" t="n">
        <v>378</v>
      </c>
      <c r="B379" s="25" t="inlineStr">
        <is>
          <t>★★★★☆</t>
        </is>
      </c>
      <c r="C379" s="25" t="inlineStr">
        <is>
          <t>4 – Strong fit (electronics/signal/robotics/IoT/sensors)</t>
        </is>
      </c>
      <c r="D379" s="25" t="inlineStr">
        <is>
          <t>Embedded systems / Electronics</t>
        </is>
      </c>
      <c r="E379" s="26" t="inlineStr">
        <is>
          <t>Master indifférencié (recherche et professionnel), Master of science in Advanced Electronic Systems Engineering</t>
        </is>
      </c>
      <c r="F379" s="26" t="inlineStr">
        <is>
          <t>, Master of Science in Advanced Electronic Systems Engineering</t>
        </is>
      </c>
      <c r="G379" s="25" t="inlineStr">
        <is>
          <t>Master indifférencié (recherche et professionnel)</t>
        </is>
      </c>
      <c r="H379" s="25" t="inlineStr">
        <is>
          <t>UFR de Sciences et techniques</t>
        </is>
      </c>
      <c r="I379" s="25" t="inlineStr">
        <is>
          <t>Université Bourgogne Europe</t>
        </is>
      </c>
      <c r="J379" s="25" t="inlineStr">
        <is>
          <t>Site de Dijon</t>
        </is>
      </c>
      <c r="K379" s="25" t="n"/>
      <c r="L379" s="25" t="inlineStr">
        <is>
          <t>Public university</t>
        </is>
      </c>
      <c r="M379" s="25" t="inlineStr">
        <is>
          <t>English</t>
        </is>
      </c>
      <c r="N379" s="25" t="inlineStr">
        <is>
          <t>Taught in English</t>
        </is>
      </c>
      <c r="O379" s="25" t="inlineStr">
        <is>
          <t>Bac +5</t>
        </is>
      </c>
      <c r="P379" s="26" t="inlineStr">
        <is>
          <t>Requires Bac+5 (Master) – likely not eligible; ask if 4-yr BS + experience accepted</t>
        </is>
      </c>
      <c r="Q379" s="25" t="inlineStr">
        <is>
          <t>2</t>
        </is>
      </c>
      <c r="R379" s="25" t="inlineStr">
        <is>
          <t>12</t>
        </is>
      </c>
      <c r="S379" s="27" t="n">
        <v>3950</v>
      </c>
      <c r="T379" s="27" t="n">
        <v>255</v>
      </c>
      <c r="U379" s="25" t="n">
        <v>1</v>
      </c>
      <c r="V379" s="27">
        <f>IF(S379="","",S379*U379)</f>
        <v/>
      </c>
      <c r="W379" s="26" t="inlineStr">
        <is>
          <t>Catalogue: €3,950. = national differentiated master fee (2026-27: €3,950). Exemption to ~€255 possible (university quota).</t>
        </is>
      </c>
      <c r="X379" s="25" t="inlineStr">
        <is>
          <t>High</t>
        </is>
      </c>
      <c r="Y379" s="25" t="inlineStr">
        <is>
          <t>3950</t>
        </is>
      </c>
      <c r="Z379" s="26" t="n"/>
      <c r="AA379" s="26" t="n"/>
      <c r="AB379" s="25" t="n"/>
      <c r="AC379" s="25" t="inlineStr">
        <is>
          <t>Open</t>
        </is>
      </c>
      <c r="AD379" s="25" t="inlineStr">
        <is>
          <t>2026-10-01</t>
        </is>
      </c>
      <c r="AE379" s="25" t="inlineStr">
        <is>
          <t>2027-03-15</t>
        </is>
      </c>
      <c r="AF379" s="25" t="inlineStr">
        <is>
          <t>No</t>
        </is>
      </c>
      <c r="AG379" s="28" t="inlineStr">
        <is>
          <t>http://sciences-techniques.u-bourgogne.fr</t>
        </is>
      </c>
      <c r="AH379" s="26" t="inlineStr">
        <is>
          <t>English proficiency : level : B2 English language certificate required. French proficiency : Not necessary. At least first year of master's degree completed in electronic engineering.</t>
        </is>
      </c>
      <c r="AI379" s="28" t="inlineStr">
        <is>
          <t>Open in EEF</t>
        </is>
      </c>
    </row>
    <row r="380" ht="32.8" customHeight="1" s="19">
      <c r="A380" s="25" t="n">
        <v>379</v>
      </c>
      <c r="B380" s="25" t="inlineStr">
        <is>
          <t>★★★★☆</t>
        </is>
      </c>
      <c r="C380" s="25" t="inlineStr">
        <is>
          <t>4 – Strong fit (electronics/signal/robotics/IoT/sensors)</t>
        </is>
      </c>
      <c r="D380" s="25" t="inlineStr">
        <is>
          <t>Electrical energy</t>
        </is>
      </c>
      <c r="E380" s="26" t="inlineStr">
        <is>
          <t>Master indifférencié (recherche et professionnel) parcours Electrical engineering for sustainable development</t>
        </is>
      </c>
      <c r="F380" s="26" t="inlineStr">
        <is>
          <t>track: Electrical engineering for sustainable development</t>
        </is>
      </c>
      <c r="G380" s="25" t="inlineStr">
        <is>
          <t>Master indifférencié (recherche et professionnel)</t>
        </is>
      </c>
      <c r="H380" s="25" t="inlineStr">
        <is>
          <t>Faculté des sciences et technologies</t>
        </is>
      </c>
      <c r="I380" s="25" t="inlineStr">
        <is>
          <t>Université de Lille</t>
        </is>
      </c>
      <c r="J380" s="25" t="inlineStr">
        <is>
          <t>Département Electronique, électrotechnique et automatique</t>
        </is>
      </c>
      <c r="K380" s="25" t="n"/>
      <c r="L380" s="25" t="inlineStr">
        <is>
          <t>Public university</t>
        </is>
      </c>
      <c r="M380" s="25" t="inlineStr">
        <is>
          <t>English</t>
        </is>
      </c>
      <c r="N380" s="25" t="inlineStr">
        <is>
          <t>Taught in English</t>
        </is>
      </c>
      <c r="O380" s="25" t="inlineStr">
        <is>
          <t>Bac +5</t>
        </is>
      </c>
      <c r="P380" s="26" t="inlineStr">
        <is>
          <t>Requires Bac+5 (Master) – likely not eligible; ask if 4-yr BS + experience accepted</t>
        </is>
      </c>
      <c r="Q380" s="25" t="inlineStr">
        <is>
          <t>2</t>
        </is>
      </c>
      <c r="R380" s="25" t="inlineStr">
        <is>
          <t>12</t>
        </is>
      </c>
      <c r="S380" s="27" t="n">
        <v>3950</v>
      </c>
      <c r="T380" s="27" t="n">
        <v>255</v>
      </c>
      <c r="U380" s="25" t="n">
        <v>1</v>
      </c>
      <c r="V380" s="27">
        <f>IF(S380="","",S380*U380)</f>
        <v/>
      </c>
      <c r="W380" s="26" t="inlineStr">
        <is>
          <t>Catalogue: €3,950. = national differentiated master fee (2026-27: €3,950). Exemption to ~€255 possible (university quota).</t>
        </is>
      </c>
      <c r="X380" s="25" t="inlineStr">
        <is>
          <t>High</t>
        </is>
      </c>
      <c r="Y380" s="25" t="inlineStr">
        <is>
          <t>3950</t>
        </is>
      </c>
      <c r="Z380" s="26" t="n"/>
      <c r="AA380" s="26" t="inlineStr">
        <is>
          <t>Lille opposed the decree; continues exemptions for part of non-EU students (master €254 if exempted). Apply for exemption early.</t>
        </is>
      </c>
      <c r="AB380" s="28" t="inlineStr">
        <is>
          <t>https://observalgerie.com/2026/06/13/misc/frais-dinscription-en-france-lille-maintient-un-avantage-pour-les-etudiants-etrangers/</t>
        </is>
      </c>
      <c r="AC380" s="25" t="inlineStr">
        <is>
          <t>Open</t>
        </is>
      </c>
      <c r="AD380" s="25" t="inlineStr">
        <is>
          <t>2026-10-01</t>
        </is>
      </c>
      <c r="AE380" s="25" t="inlineStr">
        <is>
          <t>2027-03-15</t>
        </is>
      </c>
      <c r="AF380" s="25" t="inlineStr">
        <is>
          <t>No</t>
        </is>
      </c>
      <c r="AG380" s="28" t="inlineStr">
        <is>
          <t>https://formation.univ-lille.fr/fr/offre-de-formation/master-lmd-XB/master-nanosciences-et-nanotechnologies-MG035198/electronic-technologies-for-smart-communicating-systems-MX002031.html</t>
        </is>
      </c>
      <c r="AH380" s="26" t="inlineStr">
        <is>
          <t>M1 : Bachelor in Electronic, Electrical Engineering, applied physics, physics, Engineering school. Skills recommended on Physics of semiconductor or microelectronic-nanoelectronic or Electronic devices and circuits or mi</t>
        </is>
      </c>
      <c r="AI380" s="28" t="inlineStr">
        <is>
          <t>Open in EEF</t>
        </is>
      </c>
    </row>
    <row r="381" ht="32.8" customHeight="1" s="19">
      <c r="A381" s="25" t="n">
        <v>380</v>
      </c>
      <c r="B381" s="25" t="inlineStr">
        <is>
          <t>★★★★☆</t>
        </is>
      </c>
      <c r="C381" s="25" t="inlineStr">
        <is>
          <t>4 – Strong fit (electronics/signal/robotics/IoT/sensors)</t>
        </is>
      </c>
      <c r="D381" s="25" t="inlineStr">
        <is>
          <t>Sensors / Instrumentation / Micro-Nano / Photonics</t>
        </is>
      </c>
      <c r="E381" s="26" t="inlineStr">
        <is>
          <t>Master indifférencié (recherche et professionnel) Sciences, Technologie, Santé mention Physique fondamentale et applications parcours Nanosciences, nanomaterials and nanotechnologies</t>
        </is>
      </c>
      <c r="F381" s="26" t="inlineStr">
        <is>
          <t>Sciences, Technology, Health – major: Physics Fundamental &amp; Applications – track: Nanosciences, nanomaterials and Nanotechnologies</t>
        </is>
      </c>
      <c r="G381" s="25" t="inlineStr">
        <is>
          <t>Master indifférencié (recherche et professionnel)</t>
        </is>
      </c>
      <c r="H381" s="25" t="inlineStr">
        <is>
          <t>Campus scientifique de BEAULIEU</t>
        </is>
      </c>
      <c r="I381" s="25" t="inlineStr">
        <is>
          <t>Université de Rennes</t>
        </is>
      </c>
      <c r="J381" s="25" t="inlineStr">
        <is>
          <t>Site de Rennes - FDS Faculté des sciences</t>
        </is>
      </c>
      <c r="K381" s="25" t="n"/>
      <c r="L381" s="25" t="inlineStr">
        <is>
          <t>Public university</t>
        </is>
      </c>
      <c r="M381" s="25" t="inlineStr">
        <is>
          <t>English</t>
        </is>
      </c>
      <c r="N381" s="25" t="inlineStr">
        <is>
          <t>Taught in English</t>
        </is>
      </c>
      <c r="O381" s="25" t="inlineStr">
        <is>
          <t>Bac +5</t>
        </is>
      </c>
      <c r="P381" s="26" t="inlineStr">
        <is>
          <t>Requires Bac+5 (Master) – likely not eligible; ask if 4-yr BS + experience accepted</t>
        </is>
      </c>
      <c r="Q381" s="25" t="inlineStr">
        <is>
          <t>2</t>
        </is>
      </c>
      <c r="R381" s="25" t="inlineStr">
        <is>
          <t>12</t>
        </is>
      </c>
      <c r="S381" s="27" t="n">
        <v>3950</v>
      </c>
      <c r="T381" s="27" t="n">
        <v>255</v>
      </c>
      <c r="U381" s="25" t="n">
        <v>1</v>
      </c>
      <c r="V381" s="27">
        <f>IF(S381="","",S381*U381)</f>
        <v/>
      </c>
      <c r="W381" s="26" t="inlineStr">
        <is>
          <t>Catalogue: €3,950. = national differentiated master fee (2026-27: €3,950). Exemption to ~€255 possible (university quota).</t>
        </is>
      </c>
      <c r="X381" s="25" t="inlineStr">
        <is>
          <t>High</t>
        </is>
      </c>
      <c r="Y381" s="25" t="inlineStr">
        <is>
          <t>3950</t>
        </is>
      </c>
      <c r="Z381" s="26" t="n"/>
      <c r="AA381" s="26" t="n"/>
      <c r="AB381" s="25" t="n"/>
      <c r="AC381" s="25" t="inlineStr">
        <is>
          <t>Open</t>
        </is>
      </c>
      <c r="AD381" s="25" t="inlineStr">
        <is>
          <t>2026-10-01</t>
        </is>
      </c>
      <c r="AE381" s="25" t="inlineStr">
        <is>
          <t>2027-03-15</t>
        </is>
      </c>
      <c r="AF381" s="25" t="inlineStr">
        <is>
          <t>No</t>
        </is>
      </c>
      <c r="AG381" s="28" t="inlineStr">
        <is>
          <t>https://formations.univ-rennes.fr/</t>
        </is>
      </c>
      <c r="AH381" s="26" t="inlineStr">
        <is>
          <t>Admission requires a four-year degree in Physics or Materials Science, with solid foundations in solid-state physics and quantum mechanics. The program is conducted entirely in English. Applicants are expected to demonst</t>
        </is>
      </c>
      <c r="AI381" s="28" t="inlineStr">
        <is>
          <t>Open in EEF</t>
        </is>
      </c>
    </row>
    <row r="382" ht="32.8" customHeight="1" s="19">
      <c r="A382" s="25" t="n">
        <v>381</v>
      </c>
      <c r="B382" s="25" t="inlineStr">
        <is>
          <t>★★★★☆</t>
        </is>
      </c>
      <c r="C382" s="25" t="inlineStr">
        <is>
          <t>4 – Strong fit (electronics/signal/robotics/IoT/sensors)</t>
        </is>
      </c>
      <c r="D382" s="25" t="inlineStr">
        <is>
          <t>Embedded systems / Electronics</t>
        </is>
      </c>
      <c r="E382" s="26" t="inlineStr">
        <is>
          <t>Master indifférencié (recherche et professionnel) Sciences, technologies, santé Electronique, Energie électrique, automatique (EEEA) parcours Signal, Vision, Ondes, Systèmes (SiVOS) - Spécialité ICS (Intelligent Communicating Systems)</t>
        </is>
      </c>
      <c r="F382" s="26" t="inlineStr">
        <is>
          <t>Science, Technology, Health (STS) Electronics, Electrical Energy &amp; Automation (EEA) (EEEA) – track: Signal, Vision, Waves, Systems (SiVOS) - – specialisation: ICS (Intelligent Communicating Systems)</t>
        </is>
      </c>
      <c r="G382" s="25" t="inlineStr">
        <is>
          <t>Master indifférencié (recherche et professionnel)</t>
        </is>
      </c>
      <c r="H382" s="25" t="inlineStr">
        <is>
          <t>Campus scientifique de BEAULIEU</t>
        </is>
      </c>
      <c r="I382" s="25" t="inlineStr">
        <is>
          <t>Université de Rennes</t>
        </is>
      </c>
      <c r="J382" s="25" t="inlineStr">
        <is>
          <t>Site de Rennes - ISTIC</t>
        </is>
      </c>
      <c r="K382" s="25" t="inlineStr">
        <is>
          <t>35042 RENNES Cedex</t>
        </is>
      </c>
      <c r="L382" s="25" t="inlineStr">
        <is>
          <t>Public university</t>
        </is>
      </c>
      <c r="M382" s="25" t="inlineStr">
        <is>
          <t>English</t>
        </is>
      </c>
      <c r="N382" s="25" t="inlineStr">
        <is>
          <t>Taught in English</t>
        </is>
      </c>
      <c r="O382" s="25" t="inlineStr">
        <is>
          <t>Bac +5</t>
        </is>
      </c>
      <c r="P382" s="26" t="inlineStr">
        <is>
          <t>Requires Bac+5 (Master) – likely not eligible; ask if 4-yr BS + experience accepted</t>
        </is>
      </c>
      <c r="Q382" s="25" t="inlineStr">
        <is>
          <t>2</t>
        </is>
      </c>
      <c r="R382" s="25" t="inlineStr">
        <is>
          <t>12</t>
        </is>
      </c>
      <c r="S382" s="27" t="n">
        <v>3950</v>
      </c>
      <c r="T382" s="27" t="n">
        <v>255</v>
      </c>
      <c r="U382" s="25" t="n">
        <v>1</v>
      </c>
      <c r="V382" s="27">
        <f>IF(S382="","",S382*U382)</f>
        <v/>
      </c>
      <c r="W382" s="26" t="inlineStr">
        <is>
          <t>Catalogue: €3,950. = national differentiated master fee (2026-27: €3,950). Exemption to ~€255 possible (university quota).</t>
        </is>
      </c>
      <c r="X382" s="25" t="inlineStr">
        <is>
          <t>High</t>
        </is>
      </c>
      <c r="Y382" s="25" t="inlineStr">
        <is>
          <t>3950</t>
        </is>
      </c>
      <c r="Z382" s="26" t="inlineStr">
        <is>
          <t>ue, il faudra vous acquitter obligatoirement des frais d'inscription d'un montant de 3950 euros pour vous inscrire dans la formation</t>
        </is>
      </c>
      <c r="AA382" s="26" t="n"/>
      <c r="AB382" s="25" t="n"/>
      <c r="AC382" s="25" t="inlineStr">
        <is>
          <t>Open</t>
        </is>
      </c>
      <c r="AD382" s="25" t="inlineStr">
        <is>
          <t>2026-10-01</t>
        </is>
      </c>
      <c r="AE382" s="25" t="inlineStr">
        <is>
          <t>2027-03-15</t>
        </is>
      </c>
      <c r="AF382" s="25" t="inlineStr">
        <is>
          <t>No</t>
        </is>
      </c>
      <c r="AG382" s="28" t="inlineStr">
        <is>
          <t>https://istic.univ-rennes.fr/international-master-intelligent-communicating-systems-ics</t>
        </is>
      </c>
      <c r="AH382" s="26" t="inlineStr">
        <is>
          <t>Specialization in Intelligent Communicating Systems (ICS): This Master's program focuses on technologies for next-generation (xG) networks, including advanced digital communications, complex antenna systems, metasurfaces</t>
        </is>
      </c>
      <c r="AI382" s="28" t="inlineStr">
        <is>
          <t>Open in EEF</t>
        </is>
      </c>
    </row>
    <row r="383" ht="32.8" customHeight="1" s="19">
      <c r="A383" s="25" t="n">
        <v>382</v>
      </c>
      <c r="B383" s="25" t="inlineStr">
        <is>
          <t>★★★★☆</t>
        </is>
      </c>
      <c r="C383" s="25" t="inlineStr">
        <is>
          <t>4 – Strong fit (electronics/signal/robotics/IoT/sensors)</t>
        </is>
      </c>
      <c r="D383" s="25" t="inlineStr">
        <is>
          <t>Signal / Image / Vision</t>
        </is>
      </c>
      <c r="E383" s="26" t="inlineStr">
        <is>
          <t>Master indifférencié (recherche et professionnel) Sciences, technologies, santé mention Master of Physics parcours Radiation physics, detector, instrumentation and imaging</t>
        </is>
      </c>
      <c r="F383" s="26" t="inlineStr">
        <is>
          <t>Science, Technology, Health (STS) – major: Master of Physics – track: Radiation physics, detector, Instrumentation and imaging</t>
        </is>
      </c>
      <c r="G383" s="25" t="inlineStr">
        <is>
          <t>Master indifférencié (recherche et professionnel)</t>
        </is>
      </c>
      <c r="H383" s="25" t="inlineStr">
        <is>
          <t>Faculté de physique et ingénierie</t>
        </is>
      </c>
      <c r="I383" s="25" t="inlineStr">
        <is>
          <t>Université de Strasbourg</t>
        </is>
      </c>
      <c r="J383" s="25" t="inlineStr">
        <is>
          <t>Site de Strasbourg</t>
        </is>
      </c>
      <c r="K383" s="25" t="n"/>
      <c r="L383" s="25" t="inlineStr">
        <is>
          <t>Public university</t>
        </is>
      </c>
      <c r="M383" s="25" t="inlineStr">
        <is>
          <t>English</t>
        </is>
      </c>
      <c r="N383" s="25" t="inlineStr">
        <is>
          <t>General</t>
        </is>
      </c>
      <c r="O383" s="25" t="inlineStr">
        <is>
          <t>Bac +5</t>
        </is>
      </c>
      <c r="P383" s="26" t="inlineStr">
        <is>
          <t>Requires Bac+5 (Master) – likely not eligible; ask if 4-yr BS + experience accepted</t>
        </is>
      </c>
      <c r="Q383" s="25" t="inlineStr">
        <is>
          <t>2</t>
        </is>
      </c>
      <c r="R383" s="25" t="n"/>
      <c r="S383" s="27" t="n">
        <v>3950</v>
      </c>
      <c r="T383" s="27" t="n">
        <v>255</v>
      </c>
      <c r="U383" s="25" t="n">
        <v>1</v>
      </c>
      <c r="V383" s="27">
        <f>IF(S383="","",S383*U383)</f>
        <v/>
      </c>
      <c r="W383" s="26" t="inlineStr">
        <is>
          <t>Catalogue: €3,950. = national differentiated master fee (2026-27: €3,950). Exemption to ~€255 possible (university quota).</t>
        </is>
      </c>
      <c r="X383" s="25" t="inlineStr">
        <is>
          <t>High</t>
        </is>
      </c>
      <c r="Y383" s="25" t="inlineStr">
        <is>
          <t>3950</t>
        </is>
      </c>
      <c r="Z383" s="26" t="n"/>
      <c r="AA383" s="26" t="inlineStr">
        <is>
          <t>Unistra: master entrants who did not do their licence at Unistra pay the differentiated fee (€3,950).</t>
        </is>
      </c>
      <c r="AB383" s="28" t="inlineStr">
        <is>
          <t>https://www.unistra.fr/fr/node/8168</t>
        </is>
      </c>
      <c r="AC383" s="25" t="inlineStr">
        <is>
          <t>Open</t>
        </is>
      </c>
      <c r="AD383" s="25" t="inlineStr">
        <is>
          <t>2026-10-01</t>
        </is>
      </c>
      <c r="AE383" s="25" t="inlineStr">
        <is>
          <t>2027-03-15</t>
        </is>
      </c>
      <c r="AF383" s="25" t="inlineStr">
        <is>
          <t>No</t>
        </is>
      </c>
      <c r="AG383" s="28" t="inlineStr">
        <is>
          <t>http://physique-ingenierie.unistra.fr/</t>
        </is>
      </c>
      <c r="AH383" s="26" t="inlineStr">
        <is>
          <t>→ Niveau d’entrée : niveau M1 requis → Admission sur dossier Niveau B2 en anglais</t>
        </is>
      </c>
      <c r="AI383" s="28" t="inlineStr">
        <is>
          <t>Open in EEF</t>
        </is>
      </c>
    </row>
    <row r="384" ht="32.8" customHeight="1" s="19">
      <c r="A384" s="25" t="n">
        <v>383</v>
      </c>
      <c r="B384" s="25" t="inlineStr">
        <is>
          <t>★★★★☆</t>
        </is>
      </c>
      <c r="C384" s="25" t="inlineStr">
        <is>
          <t>4 – Strong fit (electronics/signal/robotics/IoT/sensors)</t>
        </is>
      </c>
      <c r="D384" s="25" t="inlineStr">
        <is>
          <t>Neuroscience / Neuro-engineering</t>
        </is>
      </c>
      <c r="E384" s="26" t="inlineStr">
        <is>
          <t>Master indifférencié (recherche et professionnel) Sciences, technologies, santé mention Neurosciences parcours Applied Sensory Neurosciences</t>
        </is>
      </c>
      <c r="F384" s="26" t="inlineStr">
        <is>
          <t>Science, Technology, Health (STS) – major: Neuroscience – track: Applied Sensory Neuroscience</t>
        </is>
      </c>
      <c r="G384" s="25" t="inlineStr">
        <is>
          <t>Master indifférencié (recherche et professionnel)</t>
        </is>
      </c>
      <c r="H384" s="25" t="inlineStr">
        <is>
          <t>UFR Biosciences (Biologie, Biochimie)</t>
        </is>
      </c>
      <c r="I384" s="25" t="inlineStr">
        <is>
          <t>Université Claude Bernard - Lyon 1</t>
        </is>
      </c>
      <c r="J384" s="25" t="inlineStr">
        <is>
          <t>Site de Villeurbanne</t>
        </is>
      </c>
      <c r="K384" s="25" t="n"/>
      <c r="L384" s="25" t="inlineStr">
        <is>
          <t>Public university</t>
        </is>
      </c>
      <c r="M384" s="25" t="inlineStr">
        <is>
          <t>English</t>
        </is>
      </c>
      <c r="N384" s="25" t="inlineStr">
        <is>
          <t>General</t>
        </is>
      </c>
      <c r="O384" s="25" t="inlineStr">
        <is>
          <t>Bac +5</t>
        </is>
      </c>
      <c r="P384" s="26" t="inlineStr">
        <is>
          <t>Requires Bac+5 (Master) – likely not eligible; ask if 4-yr BS + experience accepted</t>
        </is>
      </c>
      <c r="Q384" s="25" t="inlineStr">
        <is>
          <t>2</t>
        </is>
      </c>
      <c r="R384" s="25" t="n"/>
      <c r="S384" s="27" t="n">
        <v>3950</v>
      </c>
      <c r="T384" s="27" t="n">
        <v>255</v>
      </c>
      <c r="U384" s="25" t="n">
        <v>1</v>
      </c>
      <c r="V384" s="27">
        <f>IF(S384="","",S384*U384)</f>
        <v/>
      </c>
      <c r="W384" s="26" t="inlineStr">
        <is>
          <t>Catalogue: €3,950. = national differentiated master fee (2026-27: €3,950). Exemption to ~€255 possible (university quota).</t>
        </is>
      </c>
      <c r="X384" s="25" t="inlineStr">
        <is>
          <t>High</t>
        </is>
      </c>
      <c r="Y384" s="25" t="inlineStr">
        <is>
          <t>3950</t>
        </is>
      </c>
      <c r="Z384" s="26" t="n"/>
      <c r="AA384" s="26" t="inlineStr">
        <is>
          <t>Lyon 1: individual exemptions within the 30% quota (2026-27), apply via eCandidat.</t>
        </is>
      </c>
      <c r="AB384" s="28" t="inlineStr">
        <is>
          <t>https://www.univ-lyon1.fr/formation/inscription-et-scolarite/etudiantes-et-etudiants-internationaux-droits-dinscription-differencies-et-exonerations</t>
        </is>
      </c>
      <c r="AC384" s="25" t="inlineStr">
        <is>
          <t>Open</t>
        </is>
      </c>
      <c r="AD384" s="25" t="inlineStr">
        <is>
          <t>2026-10-01</t>
        </is>
      </c>
      <c r="AE384" s="25" t="inlineStr">
        <is>
          <t>2027-03-15</t>
        </is>
      </c>
      <c r="AF384" s="25" t="inlineStr">
        <is>
          <t>No</t>
        </is>
      </c>
      <c r="AG384" s="28" t="inlineStr">
        <is>
          <t>https://masterneuro.univ-lyon1.fr</t>
        </is>
      </c>
      <c r="AH384" s="26" t="inlineStr">
        <is>
          <t>La formation est intégralement en anglais et nécessite donc la justification d'un niveau B2 en Anglais. Pour les pré-requis, consulter le site web: https://masterneuro.univ-lyon1.fr/paths/m2sna-main/m2-sna-admission/ Il</t>
        </is>
      </c>
      <c r="AI384" s="28" t="inlineStr">
        <is>
          <t>Open in EEF</t>
        </is>
      </c>
    </row>
    <row r="385" ht="32.8" customHeight="1" s="19">
      <c r="A385" s="25" t="n">
        <v>384</v>
      </c>
      <c r="B385" s="25" t="inlineStr">
        <is>
          <t>★★★★☆</t>
        </is>
      </c>
      <c r="C385" s="25" t="inlineStr">
        <is>
          <t>4 – Strong fit (electronics/signal/robotics/IoT/sensors)</t>
        </is>
      </c>
      <c r="D385" s="25" t="inlineStr">
        <is>
          <t>Neuroscience / Neuro-engineering</t>
        </is>
      </c>
      <c r="E385" s="26" t="inlineStr">
        <is>
          <t>Master indifférencié (recherche et professionnel) Sciences, technologies, santé mention Neurosciences parcours Fundamental and Clinical Neurosciences</t>
        </is>
      </c>
      <c r="F385" s="26" t="inlineStr">
        <is>
          <t>Science, Technology, Health (STS) – major: Neuroscience – track: Fundamental and Clinical Neuroscience</t>
        </is>
      </c>
      <c r="G385" s="25" t="inlineStr">
        <is>
          <t>Master indifférencié (recherche et professionnel)</t>
        </is>
      </c>
      <c r="H385" s="25" t="inlineStr">
        <is>
          <t>UFR Biosciences (Biologie, Biochimie)</t>
        </is>
      </c>
      <c r="I385" s="25" t="inlineStr">
        <is>
          <t>Université Claude Bernard - Lyon 1</t>
        </is>
      </c>
      <c r="J385" s="25" t="inlineStr">
        <is>
          <t>Site de Villeurbanne</t>
        </is>
      </c>
      <c r="K385" s="25" t="n"/>
      <c r="L385" s="25" t="inlineStr">
        <is>
          <t>Public university</t>
        </is>
      </c>
      <c r="M385" s="25" t="inlineStr">
        <is>
          <t>English</t>
        </is>
      </c>
      <c r="N385" s="25" t="inlineStr">
        <is>
          <t>General</t>
        </is>
      </c>
      <c r="O385" s="25" t="inlineStr">
        <is>
          <t>Bac +5</t>
        </is>
      </c>
      <c r="P385" s="26" t="inlineStr">
        <is>
          <t>Requires Bac+5 (Master) – likely not eligible; ask if 4-yr BS + experience accepted</t>
        </is>
      </c>
      <c r="Q385" s="25" t="inlineStr">
        <is>
          <t>2</t>
        </is>
      </c>
      <c r="R385" s="25" t="n"/>
      <c r="S385" s="27" t="n">
        <v>3950</v>
      </c>
      <c r="T385" s="27" t="n">
        <v>255</v>
      </c>
      <c r="U385" s="25" t="n">
        <v>1</v>
      </c>
      <c r="V385" s="27">
        <f>IF(S385="","",S385*U385)</f>
        <v/>
      </c>
      <c r="W385" s="26" t="inlineStr">
        <is>
          <t>Catalogue: €3,950. = national differentiated master fee (2026-27: €3,950). Exemption to ~€255 possible (university quota).</t>
        </is>
      </c>
      <c r="X385" s="25" t="inlineStr">
        <is>
          <t>High</t>
        </is>
      </c>
      <c r="Y385" s="25" t="inlineStr">
        <is>
          <t>3950</t>
        </is>
      </c>
      <c r="Z385" s="26" t="inlineStr">
        <is>
          <t>iciency ; Candidates are referred to the website for further information : https://masterneuro</t>
        </is>
      </c>
      <c r="AA385" s="26" t="inlineStr">
        <is>
          <t>Lyon 1: individual exemptions within the 30% quota (2026-27), apply via eCandidat.</t>
        </is>
      </c>
      <c r="AB385" s="28" t="inlineStr">
        <is>
          <t>https://www.univ-lyon1.fr/formation/inscription-et-scolarite/etudiantes-et-etudiants-internationaux-droits-dinscription-differencies-et-exonerations</t>
        </is>
      </c>
      <c r="AC385" s="25" t="inlineStr">
        <is>
          <t>Open</t>
        </is>
      </c>
      <c r="AD385" s="25" t="inlineStr">
        <is>
          <t>2026-10-01</t>
        </is>
      </c>
      <c r="AE385" s="25" t="inlineStr">
        <is>
          <t>2027-03-15</t>
        </is>
      </c>
      <c r="AF385" s="25" t="inlineStr">
        <is>
          <t>No</t>
        </is>
      </c>
      <c r="AG385" s="28" t="inlineStr">
        <is>
          <t>https://ufr-biosciences.univ-lyon1.fr</t>
        </is>
      </c>
      <c r="AH385" s="26" t="inlineStr">
        <is>
          <t>La formation est intégralement en anglais et nécessite donc la justification d'un niveau B2 en Anglais. Pour les pré-requis, consulter le site web https://masterneuro.univ-lyon1.fr/paths/m2fcn-main/m2fcn-admission/ Prére</t>
        </is>
      </c>
      <c r="AI385" s="28" t="inlineStr">
        <is>
          <t>Open in EEF</t>
        </is>
      </c>
    </row>
    <row r="386" ht="32.8" customHeight="1" s="19">
      <c r="A386" s="25" t="n">
        <v>385</v>
      </c>
      <c r="B386" s="25" t="inlineStr">
        <is>
          <t>★★★★☆</t>
        </is>
      </c>
      <c r="C386" s="25" t="inlineStr">
        <is>
          <t>4 – Strong fit (electronics/signal/robotics/IoT/sensors)</t>
        </is>
      </c>
      <c r="D386" s="25" t="inlineStr">
        <is>
          <t>Signal / Image / Vision</t>
        </is>
      </c>
      <c r="E386" s="26" t="inlineStr">
        <is>
          <t>Master indifférencié (recherche et professionnel) Sciences, technologies, santé mention Optique, image, vision, multimédia parcours Photonique pour les nanosciences et le vivant</t>
        </is>
      </c>
      <c r="F386" s="26" t="inlineStr">
        <is>
          <t>Science, Technology, Health (STS) – major: Optics, Image, Vision, Multimedia – track: Photonics for the Nanosciences &amp; the Life</t>
        </is>
      </c>
      <c r="G386" s="25" t="inlineStr">
        <is>
          <t>Master indifférencié (recherche et professionnel)</t>
        </is>
      </c>
      <c r="H386" s="25" t="inlineStr">
        <is>
          <t>Télécom Physique Strasbourg</t>
        </is>
      </c>
      <c r="I386" s="25" t="inlineStr">
        <is>
          <t>Université de Strasbourg</t>
        </is>
      </c>
      <c r="J386" s="25" t="inlineStr">
        <is>
          <t>Site de Illkirch-Graffenstaden</t>
        </is>
      </c>
      <c r="K386" s="25" t="n"/>
      <c r="L386" s="25" t="inlineStr">
        <is>
          <t>Public university</t>
        </is>
      </c>
      <c r="M386" s="25" t="inlineStr">
        <is>
          <t>English</t>
        </is>
      </c>
      <c r="N386" s="25" t="inlineStr">
        <is>
          <t>General</t>
        </is>
      </c>
      <c r="O386" s="25" t="inlineStr">
        <is>
          <t>Bac +5</t>
        </is>
      </c>
      <c r="P386" s="26" t="inlineStr">
        <is>
          <t>Requires Bac+5 (Master) – likely not eligible; ask if 4-yr BS + experience accepted</t>
        </is>
      </c>
      <c r="Q386" s="25" t="inlineStr">
        <is>
          <t>2</t>
        </is>
      </c>
      <c r="R386" s="25" t="n"/>
      <c r="S386" s="27" t="n">
        <v>3950</v>
      </c>
      <c r="T386" s="27" t="n">
        <v>255</v>
      </c>
      <c r="U386" s="25" t="n">
        <v>1</v>
      </c>
      <c r="V386" s="27">
        <f>IF(S386="","",S386*U386)</f>
        <v/>
      </c>
      <c r="W386" s="26" t="inlineStr">
        <is>
          <t>Catalogue: €3,950. = national differentiated master fee (2026-27: €3,950). Exemption to ~€255 possible (university quota).</t>
        </is>
      </c>
      <c r="X386" s="25" t="inlineStr">
        <is>
          <t>High</t>
        </is>
      </c>
      <c r="Y386" s="25" t="inlineStr">
        <is>
          <t>3950</t>
        </is>
      </c>
      <c r="Z386" s="26" t="n"/>
      <c r="AA386" s="26" t="inlineStr">
        <is>
          <t>Unistra: master entrants who did not do their licence at Unistra pay the differentiated fee (€3,950).</t>
        </is>
      </c>
      <c r="AB386" s="28" t="inlineStr">
        <is>
          <t>https://www.unistra.fr/fr/node/8168</t>
        </is>
      </c>
      <c r="AC386" s="25" t="inlineStr">
        <is>
          <t>Open</t>
        </is>
      </c>
      <c r="AD386" s="25" t="inlineStr">
        <is>
          <t>2026-10-01</t>
        </is>
      </c>
      <c r="AE386" s="25" t="inlineStr">
        <is>
          <t>2027-03-15</t>
        </is>
      </c>
      <c r="AF386" s="25" t="inlineStr">
        <is>
          <t>No</t>
        </is>
      </c>
      <c r="AG386" s="28" t="inlineStr">
        <is>
          <t>https://www.master-iriv.fr</t>
        </is>
      </c>
      <c r="AH386" s="26" t="inlineStr">
        <is>
          <t>Il faut être titulaire d'un M1 dans le même champ disciplinaire que celui de la dominante PhyNano du master IRIV IMPORTANT Le calendrier complet ainsi que les pièces à joindre pour la constitution du dossier dématérialis</t>
        </is>
      </c>
      <c r="AI386" s="28" t="inlineStr">
        <is>
          <t>Open in EEF</t>
        </is>
      </c>
    </row>
    <row r="387" ht="32.8" customHeight="1" s="19">
      <c r="A387" s="25" t="n">
        <v>386</v>
      </c>
      <c r="B387" s="25" t="inlineStr">
        <is>
          <t>★★★★☆</t>
        </is>
      </c>
      <c r="C387" s="25" t="inlineStr">
        <is>
          <t>4 – Strong fit (electronics/signal/robotics/IoT/sensors)</t>
        </is>
      </c>
      <c r="D387" s="25" t="inlineStr">
        <is>
          <t>Robotics / Automation / Mechatronics</t>
        </is>
      </c>
      <c r="E387" s="26" t="inlineStr">
        <is>
          <t>Master indifférencié (recherche et professionnel) Sciences, technologies, santé mention Traitement Automatique des Langues</t>
        </is>
      </c>
      <c r="F387" s="26" t="inlineStr">
        <is>
          <t>Science, Technology, Health (STS) – major: Processing Automation of Languages</t>
        </is>
      </c>
      <c r="G387" s="25" t="inlineStr">
        <is>
          <t>Master indifférencié (recherche et professionnel)</t>
        </is>
      </c>
      <c r="H387" s="25" t="inlineStr">
        <is>
          <t>Institut des Sciences du Digital, Management et Cognition</t>
        </is>
      </c>
      <c r="I387" s="25" t="inlineStr">
        <is>
          <t>Université de Lorraine</t>
        </is>
      </c>
      <c r="J387" s="25" t="inlineStr">
        <is>
          <t>Site de Nancy</t>
        </is>
      </c>
      <c r="K387" s="25" t="n"/>
      <c r="L387" s="25" t="inlineStr">
        <is>
          <t>Public school / institute</t>
        </is>
      </c>
      <c r="M387" s="25" t="inlineStr">
        <is>
          <t>English</t>
        </is>
      </c>
      <c r="N387" s="25" t="inlineStr">
        <is>
          <t>Taught in English</t>
        </is>
      </c>
      <c r="O387" s="25" t="inlineStr">
        <is>
          <t>Bac +5</t>
        </is>
      </c>
      <c r="P387" s="26" t="inlineStr">
        <is>
          <t>Requires Bac+5 (Master) – likely not eligible; ask if 4-yr BS + experience accepted</t>
        </is>
      </c>
      <c r="Q387" s="25" t="inlineStr">
        <is>
          <t>2</t>
        </is>
      </c>
      <c r="R387" s="25" t="n"/>
      <c r="S387" s="27" t="n">
        <v>3950</v>
      </c>
      <c r="T387" s="27" t="n">
        <v>255</v>
      </c>
      <c r="U387" s="25" t="n">
        <v>1</v>
      </c>
      <c r="V387" s="27">
        <f>IF(S387="","",S387*U387)</f>
        <v/>
      </c>
      <c r="W387" s="26" t="inlineStr">
        <is>
          <t>Catalogue: €3,950. = national differentiated master fee (2026-27: €3,950). Exemption to ~€255 possible (university quota).</t>
        </is>
      </c>
      <c r="X387" s="25" t="inlineStr">
        <is>
          <t>High</t>
        </is>
      </c>
      <c r="Y387" s="25" t="inlineStr">
        <is>
          <t>3950</t>
        </is>
      </c>
      <c r="Z387" s="26" t="inlineStr">
        <is>
          <t>• Application fees for Msc 2 = 3950€ + Student Life and Campus Contribution (CVEC) whi … ch came to 105€ in 2026/2027</t>
        </is>
      </c>
      <c r="AA387" s="26" t="n"/>
      <c r="AB387" s="25" t="n"/>
      <c r="AC387" s="25" t="inlineStr">
        <is>
          <t>Open</t>
        </is>
      </c>
      <c r="AD387" s="25" t="inlineStr">
        <is>
          <t>2026-10-01</t>
        </is>
      </c>
      <c r="AE387" s="25" t="inlineStr">
        <is>
          <t>2027-03-15</t>
        </is>
      </c>
      <c r="AF387" s="25" t="inlineStr">
        <is>
          <t>No</t>
        </is>
      </c>
      <c r="AG387" s="28" t="inlineStr">
        <is>
          <t>https://idmc.univ-lorraine.fr/idmc-master-degree-in-natural-language-processing/</t>
        </is>
      </c>
      <c r="AH387" s="26" t="inlineStr">
        <is>
          <t>Deadline for transmitting the application form: to be confirmed by the ambassy Deadline for attending courses: September 01st 2027 Fluency in English required : C1 Admission to M2 is highly selective and reserved for can</t>
        </is>
      </c>
      <c r="AI387" s="28" t="inlineStr">
        <is>
          <t>Open in EEF</t>
        </is>
      </c>
    </row>
    <row r="388" ht="32.8" customHeight="1" s="19">
      <c r="A388" s="25" t="n">
        <v>387</v>
      </c>
      <c r="B388" s="25" t="inlineStr">
        <is>
          <t>★★★★☆</t>
        </is>
      </c>
      <c r="C388" s="25" t="inlineStr">
        <is>
          <t>4 – Strong fit (electronics/signal/robotics/IoT/sensors)</t>
        </is>
      </c>
      <c r="D388" s="25" t="inlineStr">
        <is>
          <t>Robotics / Automation / Mechatronics</t>
        </is>
      </c>
      <c r="E388" s="26" t="inlineStr">
        <is>
          <t>Master Sciences, technologies, santé mention automatique et systèmes électriques parcours Énergie électrique et développement durable / Electrical engineering for sustainable development</t>
        </is>
      </c>
      <c r="F388" s="26" t="inlineStr">
        <is>
          <t>Master Science, Technology, Health (STS) – major: Automation &amp; Systems Electrical – track: Energy Electrical &amp; Development Sustainable / Electrical engineering for sustainable development</t>
        </is>
      </c>
      <c r="G388" s="25" t="inlineStr">
        <is>
          <t>Master indifférencié (recherche et professionnel)</t>
        </is>
      </c>
      <c r="H388" s="25" t="inlineStr">
        <is>
          <t>Faculté des sciences et technologies</t>
        </is>
      </c>
      <c r="I388" s="25" t="inlineStr">
        <is>
          <t>Université de Lille</t>
        </is>
      </c>
      <c r="J388" s="25" t="inlineStr">
        <is>
          <t>Département Electronique, électrotechnique et automatique</t>
        </is>
      </c>
      <c r="K388" s="25" t="n"/>
      <c r="L388" s="25" t="inlineStr">
        <is>
          <t>Public university</t>
        </is>
      </c>
      <c r="M388" s="25" t="inlineStr">
        <is>
          <t>English</t>
        </is>
      </c>
      <c r="N388" s="25" t="inlineStr">
        <is>
          <t>General</t>
        </is>
      </c>
      <c r="O388" s="25" t="inlineStr">
        <is>
          <t>Bac +5</t>
        </is>
      </c>
      <c r="P388" s="26" t="inlineStr">
        <is>
          <t>Requires Bac+5 (Master) – likely not eligible; ask if 4-yr BS + experience accepted</t>
        </is>
      </c>
      <c r="Q388" s="25" t="inlineStr">
        <is>
          <t>2</t>
        </is>
      </c>
      <c r="R388" s="25" t="inlineStr">
        <is>
          <t>12</t>
        </is>
      </c>
      <c r="S388" s="27" t="n">
        <v>3950</v>
      </c>
      <c r="T388" s="27" t="n">
        <v>255</v>
      </c>
      <c r="U388" s="25" t="n">
        <v>1</v>
      </c>
      <c r="V388" s="27">
        <f>IF(S388="","",S388*U388)</f>
        <v/>
      </c>
      <c r="W388" s="26" t="inlineStr">
        <is>
          <t>Catalogue: €3,950. = national differentiated master fee (2026-27: €3,950). Exemption to ~€255 possible (university quota).</t>
        </is>
      </c>
      <c r="X388" s="25" t="inlineStr">
        <is>
          <t>High</t>
        </is>
      </c>
      <c r="Y388" s="25" t="inlineStr">
        <is>
          <t>3950</t>
        </is>
      </c>
      <c r="Z388" s="26" t="n"/>
      <c r="AA388" s="26" t="inlineStr">
        <is>
          <t>Lille opposed the decree; continues exemptions for part of non-EU students (master €254 if exempted). Apply for exemption early.</t>
        </is>
      </c>
      <c r="AB388" s="28" t="inlineStr">
        <is>
          <t>https://observalgerie.com/2026/06/13/misc/frais-dinscription-en-france-lille-maintient-un-avantage-pour-les-etudiants-etrangers/</t>
        </is>
      </c>
      <c r="AC388" s="25" t="inlineStr">
        <is>
          <t>Open</t>
        </is>
      </c>
      <c r="AD388" s="25" t="inlineStr">
        <is>
          <t>2026-10-01</t>
        </is>
      </c>
      <c r="AE388" s="25" t="inlineStr">
        <is>
          <t>2027-03-15</t>
        </is>
      </c>
      <c r="AF388" s="25" t="inlineStr">
        <is>
          <t>No</t>
        </is>
      </c>
      <c r="AG388" s="28" t="inlineStr">
        <is>
          <t>https://formation.univ-lille.fr/fr/offre-de-formation/master-lmd-XB/master-automatique-et-systemes-electriques-MG001978/energie-electrique-et-developpement-durable-electrical-engineering-for-sustainable-development-m2-MX002024.html</t>
        </is>
      </c>
      <c r="AH388" s="26" t="inlineStr">
        <is>
          <t>Le candidat doit avoir un niveau M1 ou équivalent en EEA (Electronique, Electrotechique et Automatique). Niveau d'anglais C1 exigé.</t>
        </is>
      </c>
      <c r="AI388" s="28" t="inlineStr">
        <is>
          <t>Open in EEF</t>
        </is>
      </c>
    </row>
    <row r="389" ht="32.8" customHeight="1" s="19">
      <c r="A389" s="25" t="n">
        <v>388</v>
      </c>
      <c r="B389" s="25" t="inlineStr">
        <is>
          <t>★★★★☆</t>
        </is>
      </c>
      <c r="C389" s="25" t="inlineStr">
        <is>
          <t>4 – Strong fit (electronics/signal/robotics/IoT/sensors)</t>
        </is>
      </c>
      <c r="D389" s="25" t="inlineStr">
        <is>
          <t>Signal / Image / Vision</t>
        </is>
      </c>
      <c r="E389" s="26" t="inlineStr">
        <is>
          <t>Master Sciences, technologies, santé mention - biologie santé parcours Tissue Biology and Imaging: Morphogenesis and Repair</t>
        </is>
      </c>
      <c r="F389" s="26" t="inlineStr">
        <is>
          <t>Master Science, Technology, Health (STS) – major: - Biology-Health – track: Tissue Biology and Imaging: Morphogenesis and Repair</t>
        </is>
      </c>
      <c r="G389" s="25" t="inlineStr">
        <is>
          <t>Master indifférencié (recherche et professionnel)</t>
        </is>
      </c>
      <c r="H389" s="25" t="inlineStr">
        <is>
          <t>UFR Biosciences (Biologie, Biochimie)</t>
        </is>
      </c>
      <c r="I389" s="25" t="inlineStr">
        <is>
          <t>Université Claude Bernard - Lyon 1</t>
        </is>
      </c>
      <c r="J389" s="25" t="inlineStr">
        <is>
          <t>Site de Villeurbanne</t>
        </is>
      </c>
      <c r="K389" s="25" t="n"/>
      <c r="L389" s="25" t="inlineStr">
        <is>
          <t>Public university</t>
        </is>
      </c>
      <c r="M389" s="25" t="inlineStr">
        <is>
          <t>English</t>
        </is>
      </c>
      <c r="N389" s="25" t="inlineStr">
        <is>
          <t>General</t>
        </is>
      </c>
      <c r="O389" s="25" t="inlineStr">
        <is>
          <t>Bac +5</t>
        </is>
      </c>
      <c r="P389" s="26" t="inlineStr">
        <is>
          <t>Requires Bac+5 (Master) – likely not eligible; ask if 4-yr BS + experience accepted</t>
        </is>
      </c>
      <c r="Q389" s="25" t="inlineStr">
        <is>
          <t>2</t>
        </is>
      </c>
      <c r="R389" s="25" t="n"/>
      <c r="S389" s="27" t="n">
        <v>3950</v>
      </c>
      <c r="T389" s="27" t="n">
        <v>255</v>
      </c>
      <c r="U389" s="25" t="n">
        <v>1</v>
      </c>
      <c r="V389" s="27">
        <f>IF(S389="","",S389*U389)</f>
        <v/>
      </c>
      <c r="W389" s="26" t="inlineStr">
        <is>
          <t>Catalogue: €3,950. = national differentiated master fee (2026-27: €3,950). Exemption to ~€255 possible (university quota).</t>
        </is>
      </c>
      <c r="X389" s="25" t="inlineStr">
        <is>
          <t>High</t>
        </is>
      </c>
      <c r="Y389" s="25" t="inlineStr">
        <is>
          <t>3950</t>
        </is>
      </c>
      <c r="Z389" s="26" t="n"/>
      <c r="AA389" s="26" t="inlineStr">
        <is>
          <t>Lyon 1: individual exemptions within the 30% quota (2026-27), apply via eCandidat.</t>
        </is>
      </c>
      <c r="AB389" s="28" t="inlineStr">
        <is>
          <t>https://www.univ-lyon1.fr/formation/inscription-et-scolarite/etudiantes-et-etudiants-internationaux-droits-dinscription-differencies-et-exonerations</t>
        </is>
      </c>
      <c r="AC389" s="25" t="inlineStr">
        <is>
          <t>Open</t>
        </is>
      </c>
      <c r="AD389" s="25" t="inlineStr">
        <is>
          <t>2026-10-01</t>
        </is>
      </c>
      <c r="AE389" s="25" t="inlineStr">
        <is>
          <t>2027-03-15</t>
        </is>
      </c>
      <c r="AF389" s="25" t="inlineStr">
        <is>
          <t>No</t>
        </is>
      </c>
      <c r="AG389" s="25" t="n"/>
      <c r="AH389" s="26" t="inlineStr">
        <is>
          <t>Niveau BAC+4 en Biologie Moléculaire et Biologie Cellulaire, éventuellement en Biochimie ou Biotechnologies. La formation est en anglais et nécessite donc la justification d'un niveau suffisant en anglais (fournir la lis</t>
        </is>
      </c>
      <c r="AI389" s="28" t="inlineStr">
        <is>
          <t>Open in EEF</t>
        </is>
      </c>
    </row>
    <row r="390" ht="32.8" customHeight="1" s="19">
      <c r="A390" s="25" t="n">
        <v>389</v>
      </c>
      <c r="B390" s="25" t="inlineStr">
        <is>
          <t>★★★★☆</t>
        </is>
      </c>
      <c r="C390" s="25" t="inlineStr">
        <is>
          <t>4 – Strong fit (electronics/signal/robotics/IoT/sensors)</t>
        </is>
      </c>
      <c r="D390" s="25" t="inlineStr">
        <is>
          <t>Embedded systems / Electronics</t>
        </is>
      </c>
      <c r="E390" s="26" t="inlineStr">
        <is>
          <t>Master Sciences, technologies, santé, mention Electronique, énergie électrique, automatique parcours Energie électrique</t>
        </is>
      </c>
      <c r="F390" s="26" t="inlineStr">
        <is>
          <t>Master Science, Technology, Health (STS), – major: Electronics, Electrical Energy &amp; Automation (EEA) – track: Energy Electrical</t>
        </is>
      </c>
      <c r="G390" s="25" t="inlineStr">
        <is>
          <t>Master indifférencié (recherche et professionnel)</t>
        </is>
      </c>
      <c r="H390" s="25" t="inlineStr">
        <is>
          <t>Polytech Nantes</t>
        </is>
      </c>
      <c r="I390" s="25" t="inlineStr">
        <is>
          <t>Groupement Polytech</t>
        </is>
      </c>
      <c r="J390" s="25" t="inlineStr">
        <is>
          <t>Masters Internationaux Polytech</t>
        </is>
      </c>
      <c r="K390" s="25" t="inlineStr">
        <is>
          <t>50609</t>
        </is>
      </c>
      <c r="L390" s="25" t="inlineStr">
        <is>
          <t>Public school / institute</t>
        </is>
      </c>
      <c r="M390" s="25" t="inlineStr">
        <is>
          <t>English</t>
        </is>
      </c>
      <c r="N390" s="25" t="inlineStr">
        <is>
          <t>General</t>
        </is>
      </c>
      <c r="O390" s="25" t="inlineStr">
        <is>
          <t>Bac +5</t>
        </is>
      </c>
      <c r="P390" s="26" t="inlineStr">
        <is>
          <t>Requires Bac+5 (Master) – likely not eligible; ask if 4-yr BS + experience accepted</t>
        </is>
      </c>
      <c r="Q390" s="25" t="inlineStr">
        <is>
          <t>2</t>
        </is>
      </c>
      <c r="R390" s="25" t="inlineStr">
        <is>
          <t>12</t>
        </is>
      </c>
      <c r="S390" s="27" t="n">
        <v>3950</v>
      </c>
      <c r="T390" s="27" t="n">
        <v>255</v>
      </c>
      <c r="U390" s="25" t="n">
        <v>1</v>
      </c>
      <c r="V390" s="27">
        <f>IF(S390="","",S390*U390)</f>
        <v/>
      </c>
      <c r="W390" s="26" t="inlineStr">
        <is>
          <t>Catalogue: €3,950. = national differentiated master fee (2026-27: €3,950). Exemption to ~€255 possible (university quota).</t>
        </is>
      </c>
      <c r="X390" s="25" t="inlineStr">
        <is>
          <t>High</t>
        </is>
      </c>
      <c r="Y390" s="25" t="inlineStr">
        <is>
          <t>3950</t>
        </is>
      </c>
      <c r="Z390" s="26" t="n"/>
      <c r="AA390" s="26" t="n"/>
      <c r="AB390" s="25" t="n"/>
      <c r="AC390" s="25" t="inlineStr">
        <is>
          <t>Open</t>
        </is>
      </c>
      <c r="AD390" s="25" t="inlineStr">
        <is>
          <t>2026-10-01</t>
        </is>
      </c>
      <c r="AE390" s="25" t="inlineStr">
        <is>
          <t>2027-03-15</t>
        </is>
      </c>
      <c r="AF390" s="25" t="inlineStr">
        <is>
          <t>No</t>
        </is>
      </c>
      <c r="AG390" s="25" t="n"/>
      <c r="AH390" s="26" t="inlineStr">
        <is>
          <t>The cursus is taught on the Heinlex Campus in Saint-Nazaire. Admission requirements: Applicants should hold a degree which is at least a 4-year degree in higher education equivalent to the first year of a master (i.e. 3-</t>
        </is>
      </c>
      <c r="AI390" s="28" t="inlineStr">
        <is>
          <t>Open in EEF</t>
        </is>
      </c>
    </row>
    <row r="391" ht="32.8" customHeight="1" s="19">
      <c r="A391" s="25" t="n">
        <v>390</v>
      </c>
      <c r="B391" s="25" t="inlineStr">
        <is>
          <t>★★★★☆</t>
        </is>
      </c>
      <c r="C391" s="25" t="inlineStr">
        <is>
          <t>4 – Strong fit (electronics/signal/robotics/IoT/sensors)</t>
        </is>
      </c>
      <c r="D391" s="25" t="inlineStr">
        <is>
          <t>Neuroscience / Neuro-engineering</t>
        </is>
      </c>
      <c r="E391" s="26" t="inlineStr">
        <is>
          <t>Master Sciences, technologies, santé, mention Neurosciences M2 Computational Neurosciences</t>
        </is>
      </c>
      <c r="F391" s="26" t="inlineStr">
        <is>
          <t>Master Science, Technology, Health (STS), – major: Neuroscience M2 Computational Neuroscience</t>
        </is>
      </c>
      <c r="G391" s="25" t="inlineStr">
        <is>
          <t>Master indifférencié (recherche et professionnel)</t>
        </is>
      </c>
      <c r="H391" s="25" t="inlineStr">
        <is>
          <t>UFR Biosciences (Biologie, Biochimie)</t>
        </is>
      </c>
      <c r="I391" s="25" t="inlineStr">
        <is>
          <t>Université Claude Bernard - Lyon 1</t>
        </is>
      </c>
      <c r="J391" s="25" t="inlineStr">
        <is>
          <t>Site de Villeurbanne</t>
        </is>
      </c>
      <c r="K391" s="25" t="n"/>
      <c r="L391" s="25" t="inlineStr">
        <is>
          <t>Public university</t>
        </is>
      </c>
      <c r="M391" s="25" t="inlineStr">
        <is>
          <t>English</t>
        </is>
      </c>
      <c r="N391" s="25" t="inlineStr">
        <is>
          <t>General</t>
        </is>
      </c>
      <c r="O391" s="25" t="inlineStr">
        <is>
          <t>Bac +5</t>
        </is>
      </c>
      <c r="P391" s="26" t="inlineStr">
        <is>
          <t>Requires Bac+5 (Master) – likely not eligible; ask if 4-yr BS + experience accepted</t>
        </is>
      </c>
      <c r="Q391" s="25" t="inlineStr">
        <is>
          <t>2</t>
        </is>
      </c>
      <c r="R391" s="25" t="n"/>
      <c r="S391" s="27" t="n">
        <v>3950</v>
      </c>
      <c r="T391" s="27" t="n">
        <v>255</v>
      </c>
      <c r="U391" s="25" t="n">
        <v>1</v>
      </c>
      <c r="V391" s="27">
        <f>IF(S391="","",S391*U391)</f>
        <v/>
      </c>
      <c r="W391" s="26" t="inlineStr">
        <is>
          <t>Catalogue: €3,950. = national differentiated master fee (2026-27: €3,950). Exemption to ~€255 possible (university quota).</t>
        </is>
      </c>
      <c r="X391" s="25" t="inlineStr">
        <is>
          <t>High</t>
        </is>
      </c>
      <c r="Y391" s="25" t="inlineStr">
        <is>
          <t>3950</t>
        </is>
      </c>
      <c r="Z391" s="26" t="n"/>
      <c r="AA391" s="26" t="inlineStr">
        <is>
          <t>Lyon 1: individual exemptions within the 30% quota (2026-27), apply via eCandidat.</t>
        </is>
      </c>
      <c r="AB391" s="28" t="inlineStr">
        <is>
          <t>https://www.univ-lyon1.fr/formation/inscription-et-scolarite/etudiantes-et-etudiants-internationaux-droits-dinscription-differencies-et-exonerations</t>
        </is>
      </c>
      <c r="AC391" s="25" t="inlineStr">
        <is>
          <t>Open</t>
        </is>
      </c>
      <c r="AD391" s="25" t="inlineStr">
        <is>
          <t>2026-10-01</t>
        </is>
      </c>
      <c r="AE391" s="25" t="inlineStr">
        <is>
          <t>2027-03-15</t>
        </is>
      </c>
      <c r="AF391" s="25" t="inlineStr">
        <is>
          <t>No</t>
        </is>
      </c>
      <c r="AG391" s="25" t="n"/>
      <c r="AH391" s="26" t="inlineStr">
        <is>
          <t>La formation est intégralement en anglais et nécessite donc la justification d'un niveau B2 en Anglais. Pour les pré-requis, consulter le site web https://masterneuro.univ-lyon1.fr/</t>
        </is>
      </c>
      <c r="AI391" s="28" t="inlineStr">
        <is>
          <t>Open in EEF</t>
        </is>
      </c>
    </row>
    <row r="392" ht="32.8" customHeight="1" s="19">
      <c r="A392" s="25" t="n">
        <v>391</v>
      </c>
      <c r="B392" s="25" t="inlineStr">
        <is>
          <t>★★★★☆</t>
        </is>
      </c>
      <c r="C392" s="25" t="inlineStr">
        <is>
          <t>4 – Strong fit (electronics/signal/robotics/IoT/sensors)</t>
        </is>
      </c>
      <c r="D392" s="25" t="inlineStr">
        <is>
          <t>Biomedical / Health tech</t>
        </is>
      </c>
      <c r="E392" s="26" t="inlineStr">
        <is>
          <t>Master Sciences, technologies, santé mention Optique, image, vision, multimédia parcours HealthTech</t>
        </is>
      </c>
      <c r="F392" s="26" t="inlineStr">
        <is>
          <t>Master Science, Technology, Health (STS) – major: Optics, Image, Vision, Multimedia – track: HealthTech</t>
        </is>
      </c>
      <c r="G392" s="25" t="inlineStr">
        <is>
          <t>Master indifférencié (recherche et professionnel)</t>
        </is>
      </c>
      <c r="H392" s="25" t="inlineStr">
        <is>
          <t>Télécom Physique Strasbourg</t>
        </is>
      </c>
      <c r="I392" s="25" t="inlineStr">
        <is>
          <t>Université de Strasbourg</t>
        </is>
      </c>
      <c r="J392" s="25" t="inlineStr">
        <is>
          <t>Site de Illkirch-Graffenstaden</t>
        </is>
      </c>
      <c r="K392" s="25" t="n"/>
      <c r="L392" s="25" t="inlineStr">
        <is>
          <t>Public university</t>
        </is>
      </c>
      <c r="M392" s="25" t="inlineStr">
        <is>
          <t>English</t>
        </is>
      </c>
      <c r="N392" s="25" t="inlineStr">
        <is>
          <t>General</t>
        </is>
      </c>
      <c r="O392" s="25" t="inlineStr">
        <is>
          <t>Bac +5</t>
        </is>
      </c>
      <c r="P392" s="26" t="inlineStr">
        <is>
          <t>Requires Bac+5 (Master) – likely not eligible; ask if 4-yr BS + experience accepted</t>
        </is>
      </c>
      <c r="Q392" s="25" t="inlineStr">
        <is>
          <t>2</t>
        </is>
      </c>
      <c r="R392" s="25" t="n"/>
      <c r="S392" s="27" t="n">
        <v>3950</v>
      </c>
      <c r="T392" s="27" t="n">
        <v>255</v>
      </c>
      <c r="U392" s="25" t="n">
        <v>1</v>
      </c>
      <c r="V392" s="27">
        <f>IF(S392="","",S392*U392)</f>
        <v/>
      </c>
      <c r="W392" s="26" t="inlineStr">
        <is>
          <t>Catalogue: €3,950. = national differentiated master fee (2026-27: €3,950). Exemption to ~€255 possible (university quota).</t>
        </is>
      </c>
      <c r="X392" s="25" t="inlineStr">
        <is>
          <t>High</t>
        </is>
      </c>
      <c r="Y392" s="25" t="inlineStr">
        <is>
          <t>3950</t>
        </is>
      </c>
      <c r="Z392" s="26" t="n"/>
      <c r="AA392" s="26" t="inlineStr">
        <is>
          <t>Unistra: master entrants who did not do their licence at Unistra pay the differentiated fee (€3,950).</t>
        </is>
      </c>
      <c r="AB392" s="28" t="inlineStr">
        <is>
          <t>https://www.unistra.fr/fr/node/8168</t>
        </is>
      </c>
      <c r="AC392" s="25" t="inlineStr">
        <is>
          <t>Open</t>
        </is>
      </c>
      <c r="AD392" s="25" t="inlineStr">
        <is>
          <t>2026-10-01</t>
        </is>
      </c>
      <c r="AE392" s="25" t="inlineStr">
        <is>
          <t>2027-03-15</t>
        </is>
      </c>
      <c r="AF392" s="25" t="inlineStr">
        <is>
          <t>No</t>
        </is>
      </c>
      <c r="AG392" s="28" t="inlineStr">
        <is>
          <t>https://www.master-iriv.fr</t>
        </is>
      </c>
      <c r="AH392" s="26" t="inlineStr">
        <is>
          <t>Il faut être titulaire d'un bachelor en 4 ans ou d'un M1 dans un domaine relevant des champs de recherche de l'ITI HealthTech. Profils acceptés par le passé (mais non-limitant): ingénierie, médecine, informatique, mathém</t>
        </is>
      </c>
      <c r="AI392" s="28" t="inlineStr">
        <is>
          <t>Open in EEF</t>
        </is>
      </c>
    </row>
    <row r="393" ht="32.8" customHeight="1" s="19">
      <c r="A393" s="25" t="n">
        <v>392</v>
      </c>
      <c r="B393" s="25" t="inlineStr">
        <is>
          <t>★★★★☆</t>
        </is>
      </c>
      <c r="C393" s="25" t="inlineStr">
        <is>
          <t>4 – Strong fit (electronics/signal/robotics/IoT/sensors)</t>
        </is>
      </c>
      <c r="D393" s="25" t="inlineStr">
        <is>
          <t>Embedded systems / Electronics</t>
        </is>
      </c>
      <c r="E393" s="26" t="inlineStr">
        <is>
          <t>Master recherche Nanosciences and Nanotechnologies parcours Electronic TECHnologies (E-TECH)</t>
        </is>
      </c>
      <c r="F393" s="26" t="inlineStr">
        <is>
          <t>Research Master Nanosciences and Nanotechnologies – track: Electronic Technologies (E-TECH)</t>
        </is>
      </c>
      <c r="G393" s="25" t="inlineStr">
        <is>
          <t>Master recherche</t>
        </is>
      </c>
      <c r="H393" s="25" t="inlineStr">
        <is>
          <t>Centrale Lille Institut</t>
        </is>
      </c>
      <c r="I393" s="25" t="inlineStr">
        <is>
          <t>Centrale Lille Institut</t>
        </is>
      </c>
      <c r="J393" s="25" t="inlineStr">
        <is>
          <t>Site de Villeneuve d'Ascq</t>
        </is>
      </c>
      <c r="K393" s="25" t="inlineStr">
        <is>
          <t>20048 F</t>
        </is>
      </c>
      <c r="L393" s="25" t="inlineStr">
        <is>
          <t>Public school / institute</t>
        </is>
      </c>
      <c r="M393" s="25" t="inlineStr">
        <is>
          <t>English</t>
        </is>
      </c>
      <c r="N393" s="25" t="inlineStr">
        <is>
          <t>Taught in English</t>
        </is>
      </c>
      <c r="O393" s="25" t="inlineStr">
        <is>
          <t>Bac +5</t>
        </is>
      </c>
      <c r="P393" s="26" t="inlineStr">
        <is>
          <t>Requires Bac+5 (Master) – likely not eligible; ask if 4-yr BS + experience accepted</t>
        </is>
      </c>
      <c r="Q393" s="25" t="inlineStr">
        <is>
          <t>2</t>
        </is>
      </c>
      <c r="R393" s="25" t="inlineStr">
        <is>
          <t>12</t>
        </is>
      </c>
      <c r="S393" s="27" t="n">
        <v>3950</v>
      </c>
      <c r="T393" s="27" t="n">
        <v>255</v>
      </c>
      <c r="U393" s="25" t="n">
        <v>1</v>
      </c>
      <c r="V393" s="27">
        <f>IF(S393="","",S393*U393)</f>
        <v/>
      </c>
      <c r="W393" s="26" t="inlineStr">
        <is>
          <t>Catalogue: €3,950. = national differentiated master fee (2026-27: €3,950). Exemption to ~€255 possible (university quota).</t>
        </is>
      </c>
      <c r="X393" s="25" t="inlineStr">
        <is>
          <t>High</t>
        </is>
      </c>
      <c r="Y393" s="25" t="inlineStr">
        <is>
          <t>3950</t>
        </is>
      </c>
      <c r="Z393" s="26" t="inlineStr">
        <is>
          <t>Tuition fees are defined each year by ministerial decree (2026–2027: €3,950)</t>
        </is>
      </c>
      <c r="AA393" s="26" t="n"/>
      <c r="AB393" s="25" t="n"/>
      <c r="AC393" s="25" t="inlineStr">
        <is>
          <t>Open</t>
        </is>
      </c>
      <c r="AD393" s="25" t="inlineStr">
        <is>
          <t>2026-10-01</t>
        </is>
      </c>
      <c r="AE393" s="25" t="inlineStr">
        <is>
          <t>2027-03-15</t>
        </is>
      </c>
      <c r="AF393" s="25" t="inlineStr">
        <is>
          <t>No</t>
        </is>
      </c>
      <c r="AG393" s="28" t="inlineStr">
        <is>
          <t>https://centralelille.fr/en/formation/masters/fiche-master-e-tech/</t>
        </is>
      </c>
      <c r="AH393" s="26" t="inlineStr">
        <is>
          <t>Applicants must meet the following prerequisites: - A good level of English (minimum B1/B2) is required; - A good level of Master’s 1 (minimum) is required; - A solid foundation in mathematics and physics is required; -</t>
        </is>
      </c>
      <c r="AI393" s="28" t="inlineStr">
        <is>
          <t>Open in EEF</t>
        </is>
      </c>
    </row>
    <row r="394" ht="32.8" customHeight="1" s="19">
      <c r="A394" s="25" t="n">
        <v>393</v>
      </c>
      <c r="B394" s="25" t="inlineStr">
        <is>
          <t>★★★★☆</t>
        </is>
      </c>
      <c r="C394" s="25" t="inlineStr">
        <is>
          <t>4 – Strong fit (electronics/signal/robotics/IoT/sensors)</t>
        </is>
      </c>
      <c r="D394" s="25" t="inlineStr">
        <is>
          <t>Robotics / Automation / Mechatronics</t>
        </is>
      </c>
      <c r="E394" s="26" t="inlineStr">
        <is>
          <t>Master recherche mention Master's in Automation and Electrical Systems parcours Electrical engineering for sustainable development (E2SD)</t>
        </is>
      </c>
      <c r="F394" s="26" t="inlineStr">
        <is>
          <t>Research Master – major: Master's in Automation and Electrical Systems – track: Electrical engineering for sustainable development (E2SD)</t>
        </is>
      </c>
      <c r="G394" s="25" t="inlineStr">
        <is>
          <t>Master recherche</t>
        </is>
      </c>
      <c r="H394" s="25" t="inlineStr">
        <is>
          <t>Centrale Lille Institut</t>
        </is>
      </c>
      <c r="I394" s="25" t="inlineStr">
        <is>
          <t>Centrale Lille Institut</t>
        </is>
      </c>
      <c r="J394" s="25" t="inlineStr">
        <is>
          <t>Site de Villeneuve d'Ascq</t>
        </is>
      </c>
      <c r="K394" s="25" t="inlineStr">
        <is>
          <t>20048 F</t>
        </is>
      </c>
      <c r="L394" s="25" t="inlineStr">
        <is>
          <t>Public school / institute</t>
        </is>
      </c>
      <c r="M394" s="25" t="inlineStr">
        <is>
          <t>English</t>
        </is>
      </c>
      <c r="N394" s="25" t="inlineStr">
        <is>
          <t>Taught in English</t>
        </is>
      </c>
      <c r="O394" s="25" t="inlineStr">
        <is>
          <t>Bac +5</t>
        </is>
      </c>
      <c r="P394" s="26" t="inlineStr">
        <is>
          <t>Requires Bac+5 (Master) – likely not eligible; ask if 4-yr BS + experience accepted</t>
        </is>
      </c>
      <c r="Q394" s="25" t="inlineStr">
        <is>
          <t>2</t>
        </is>
      </c>
      <c r="R394" s="25" t="inlineStr">
        <is>
          <t>12</t>
        </is>
      </c>
      <c r="S394" s="27" t="n">
        <v>3950</v>
      </c>
      <c r="T394" s="27" t="n">
        <v>255</v>
      </c>
      <c r="U394" s="25" t="n">
        <v>1</v>
      </c>
      <c r="V394" s="27">
        <f>IF(S394="","",S394*U394)</f>
        <v/>
      </c>
      <c r="W394" s="26" t="inlineStr">
        <is>
          <t>Catalogue: €3,950. = national differentiated master fee (2026-27: €3,950). Exemption to ~€255 possible (university quota).</t>
        </is>
      </c>
      <c r="X394" s="25" t="inlineStr">
        <is>
          <t>High</t>
        </is>
      </c>
      <c r="Y394" s="25" t="inlineStr">
        <is>
          <t>3950</t>
        </is>
      </c>
      <c r="Z394" s="26" t="inlineStr">
        <is>
          <t>Tuition fees are defined each year by ministerial decree (2026–2027: €3,950)</t>
        </is>
      </c>
      <c r="AA394" s="26" t="n"/>
      <c r="AB394" s="25" t="n"/>
      <c r="AC394" s="25" t="inlineStr">
        <is>
          <t>Open</t>
        </is>
      </c>
      <c r="AD394" s="25" t="inlineStr">
        <is>
          <t>2026-10-01</t>
        </is>
      </c>
      <c r="AE394" s="25" t="inlineStr">
        <is>
          <t>2027-03-15</t>
        </is>
      </c>
      <c r="AF394" s="25" t="inlineStr">
        <is>
          <t>No</t>
        </is>
      </c>
      <c r="AG394" s="28" t="inlineStr">
        <is>
          <t>https://centralelille.fr/en/formation/masters/fiche-master-e2sd/</t>
        </is>
      </c>
      <c r="AH394" s="26" t="inlineStr">
        <is>
          <t>French or international student with an M1 or M2 level with : • good level in initial master and in english • good level in applied physics or electrical engineering (electricity, electronics, automatisation…)</t>
        </is>
      </c>
      <c r="AI394" s="28" t="inlineStr">
        <is>
          <t>Open in EEF</t>
        </is>
      </c>
    </row>
    <row r="395" ht="32.8" customHeight="1" s="19">
      <c r="A395" s="25" t="n">
        <v>394</v>
      </c>
      <c r="B395" s="25" t="inlineStr">
        <is>
          <t>★★★★☆</t>
        </is>
      </c>
      <c r="C395" s="25" t="inlineStr">
        <is>
          <t>4 – Strong fit (electronics/signal/robotics/IoT/sensors)</t>
        </is>
      </c>
      <c r="D395" s="25" t="inlineStr">
        <is>
          <t>Sensors / Instrumentation / Micro-Nano / Photonics</t>
        </is>
      </c>
      <c r="E395" s="26" t="inlineStr">
        <is>
          <t>Master rech. Sciences, technologies, santé mention micro et nanotechnologies spécialité ingénierie à l'échelle nanométrique (nanoscale engineering)</t>
        </is>
      </c>
      <c r="F395" s="26" t="inlineStr">
        <is>
          <t>Research Master Science, Technology, Health (STS) – major: micro &amp; Nanotechnologies – specialisation: Engineering at l'échelle nanométrique (nanoscale engineering)</t>
        </is>
      </c>
      <c r="G395" s="25" t="inlineStr">
        <is>
          <t>Master recherche</t>
        </is>
      </c>
      <c r="H395" s="25" t="inlineStr">
        <is>
          <t>Institut national des sciences appliquées de Lyon</t>
        </is>
      </c>
      <c r="I395" s="25" t="n"/>
      <c r="J395" s="25" t="inlineStr">
        <is>
          <t>Site de Villeurbanne</t>
        </is>
      </c>
      <c r="K395" s="25" t="n"/>
      <c r="L395" s="25" t="inlineStr">
        <is>
          <t>Public school / institute</t>
        </is>
      </c>
      <c r="M395" s="25" t="inlineStr">
        <is>
          <t>English</t>
        </is>
      </c>
      <c r="N395" s="25" t="inlineStr">
        <is>
          <t>General</t>
        </is>
      </c>
      <c r="O395" s="25" t="inlineStr">
        <is>
          <t>Bac +5</t>
        </is>
      </c>
      <c r="P395" s="26" t="inlineStr">
        <is>
          <t>Requires Bac+5 (Master) – likely not eligible; ask if 4-yr BS + experience accepted</t>
        </is>
      </c>
      <c r="Q395" s="25" t="inlineStr">
        <is>
          <t>2</t>
        </is>
      </c>
      <c r="R395" s="25" t="inlineStr">
        <is>
          <t>12</t>
        </is>
      </c>
      <c r="S395" s="27" t="n">
        <v>3950</v>
      </c>
      <c r="T395" s="27" t="n">
        <v>255</v>
      </c>
      <c r="U395" s="25" t="n">
        <v>1</v>
      </c>
      <c r="V395" s="27">
        <f>IF(S395="","",S395*U395)</f>
        <v/>
      </c>
      <c r="W395" s="26" t="inlineStr">
        <is>
          <t>Catalogue: €3,770. = national differentiated master fee (2026-27: €3,950). Exemption to ~€255 possible (university quota).</t>
        </is>
      </c>
      <c r="X395" s="25" t="inlineStr">
        <is>
          <t>High</t>
        </is>
      </c>
      <c r="Y395" s="25" t="inlineStr">
        <is>
          <t>3770</t>
        </is>
      </c>
      <c r="Z395" s="26" t="n"/>
      <c r="AA395" s="26" t="n"/>
      <c r="AB395" s="25" t="n"/>
      <c r="AC395" s="25" t="inlineStr">
        <is>
          <t>Open</t>
        </is>
      </c>
      <c r="AD395" s="25" t="inlineStr">
        <is>
          <t>2026-10-01</t>
        </is>
      </c>
      <c r="AE395" s="25" t="inlineStr">
        <is>
          <t>2027-03-15</t>
        </is>
      </c>
      <c r="AF395" s="25" t="inlineStr">
        <is>
          <t>Yes</t>
        </is>
      </c>
      <c r="AG395" s="28" t="inlineStr">
        <is>
          <t>https://www.insa-lyon.fr/fr/formation/</t>
        </is>
      </c>
      <c r="AH395" s="26" t="inlineStr">
        <is>
          <t>Le Master est accessible en M1 à tous les étudiants titulaires d’une Licence de Sciences et Technologies (physique, chimie, sciences des matériaux, biologie…) ou directement au niveau M2 aux élèves-ingénieurs/étudiants a</t>
        </is>
      </c>
      <c r="AI395" s="28" t="inlineStr">
        <is>
          <t>Open in EEF</t>
        </is>
      </c>
    </row>
    <row r="396" ht="32.8" customHeight="1" s="19">
      <c r="A396" s="25" t="n">
        <v>395</v>
      </c>
      <c r="B396" s="25" t="inlineStr">
        <is>
          <t>★★★★☆</t>
        </is>
      </c>
      <c r="C396" s="25" t="inlineStr">
        <is>
          <t>4 – Strong fit (electronics/signal/robotics/IoT/sensors)</t>
        </is>
      </c>
      <c r="D396" s="25" t="inlineStr">
        <is>
          <t>Robotics / Automation / Mechatronics</t>
        </is>
      </c>
      <c r="E396" s="26" t="inlineStr">
        <is>
          <t>Master indifférencié (recherche et professionnel) Master of Science in Mobile, Autonomous, Robotic Systems (MARS)</t>
        </is>
      </c>
      <c r="F396" s="26" t="inlineStr">
        <is>
          <t>Master of Science in Mobile, Autonomous, Robotic Systems (MARS)</t>
        </is>
      </c>
      <c r="G396" s="25" t="inlineStr">
        <is>
          <t>Master indifférencié (recherche et professionnel)</t>
        </is>
      </c>
      <c r="H396" s="25" t="inlineStr">
        <is>
          <t>Ecole nationale supérieure de l'énergie, l'eau et l'environnement - Grenoble INP</t>
        </is>
      </c>
      <c r="I396" s="25" t="inlineStr">
        <is>
          <t>Grenoble INP</t>
        </is>
      </c>
      <c r="J396" s="25" t="inlineStr">
        <is>
          <t>Site de Grenoble</t>
        </is>
      </c>
      <c r="K396" s="25" t="n"/>
      <c r="L396" s="25" t="inlineStr">
        <is>
          <t>Public school / institute</t>
        </is>
      </c>
      <c r="M396" s="25" t="inlineStr">
        <is>
          <t>English</t>
        </is>
      </c>
      <c r="N396" s="25" t="inlineStr">
        <is>
          <t>Taught in English</t>
        </is>
      </c>
      <c r="O396" s="25" t="inlineStr">
        <is>
          <t>Bac +5</t>
        </is>
      </c>
      <c r="P396" s="26" t="inlineStr">
        <is>
          <t>Requires Bac+5 (Master) – likely not eligible; ask if 4-yr BS + experience accepted</t>
        </is>
      </c>
      <c r="Q396" s="25" t="inlineStr">
        <is>
          <t>2</t>
        </is>
      </c>
      <c r="R396" s="25" t="n"/>
      <c r="S396" s="27" t="n">
        <v>3950</v>
      </c>
      <c r="T396" s="27" t="n">
        <v>255</v>
      </c>
      <c r="U396" s="25" t="n">
        <v>1</v>
      </c>
      <c r="V396" s="27">
        <f>IF(S396="","",S396*U396)</f>
        <v/>
      </c>
      <c r="W396" s="26" t="inlineStr">
        <is>
          <t>Not in catalogue. Public national master → 2026-27 differentiated fee €3,950; exemption to ~€254-255 depends on university quota (25% cap in 2027-28).</t>
        </is>
      </c>
      <c r="X396" s="25" t="inlineStr">
        <is>
          <t>Medium</t>
        </is>
      </c>
      <c r="Y396" s="25" t="n"/>
      <c r="Z396" s="26" t="n"/>
      <c r="AA396" s="26" t="inlineStr">
        <is>
          <t>UGA (incl. Grenoble INP masters): 2026-27 broad exemptions on request (pay national €254). From 2027-28 the decree caps apply; exemptions based on resources.</t>
        </is>
      </c>
      <c r="AB396" s="28" t="inlineStr">
        <is>
          <t>https://www.univ-grenoble-alpes.fr/actualites/a-la-une/actualites-universite/etudiants-internationaux-ce-que-change-le-nouveau-decret-sur-les-droits-d-inscription-a-l-uga-1775870.kjsp</t>
        </is>
      </c>
      <c r="AC396" s="25" t="inlineStr">
        <is>
          <t>Open</t>
        </is>
      </c>
      <c r="AD396" s="25" t="inlineStr">
        <is>
          <t>2026-10-01</t>
        </is>
      </c>
      <c r="AE396" s="25" t="inlineStr">
        <is>
          <t>2027-03-15</t>
        </is>
      </c>
      <c r="AF396" s="25" t="inlineStr">
        <is>
          <t>Yes</t>
        </is>
      </c>
      <c r="AG396" s="28" t="inlineStr">
        <is>
          <t>https://ense3.grenoble-inp.fr/en/study-at-ense3/masters-in-english</t>
        </is>
      </c>
      <c r="AH396" s="26" t="inlineStr">
        <is>
          <t>***PAGE CURRENTLY BEING UPDATED FOR THE 2027–2028 ACADEMIC YEAR*** Before applying, it is important to check the cost of the programme as well as the level of financial resources required for your year of study in France</t>
        </is>
      </c>
      <c r="AI396" s="28" t="inlineStr">
        <is>
          <t>Open in EEF</t>
        </is>
      </c>
    </row>
    <row r="397" ht="32.8" customHeight="1" s="19">
      <c r="A397" s="25" t="n">
        <v>396</v>
      </c>
      <c r="B397" s="25" t="inlineStr">
        <is>
          <t>★★★★☆</t>
        </is>
      </c>
      <c r="C397" s="25" t="inlineStr">
        <is>
          <t>4 – Strong fit (electronics/signal/robotics/IoT/sensors)</t>
        </is>
      </c>
      <c r="D397" s="25" t="inlineStr">
        <is>
          <t>Neuroscience / Neuro-engineering</t>
        </is>
      </c>
      <c r="E397" s="26" t="inlineStr">
        <is>
          <t>Master indifférencié (recherche et professionnel) mention Master in Neurosciences parcours _Integrated and cognitive neuroscience</t>
        </is>
      </c>
      <c r="F397" s="26" t="inlineStr">
        <is>
          <t>major: Master in Neuroscience – track: _Integrated and cognitive neuroscience</t>
        </is>
      </c>
      <c r="G397" s="25" t="inlineStr">
        <is>
          <t>Master indifférencié (recherche et professionnel)</t>
        </is>
      </c>
      <c r="H397" s="25" t="inlineStr">
        <is>
          <t>UFR Sciences</t>
        </is>
      </c>
      <c r="I397" s="25" t="inlineStr">
        <is>
          <t>Université d'Aix-Marseille</t>
        </is>
      </c>
      <c r="J397" s="25" t="inlineStr">
        <is>
          <t>Site de Marseille - St Charles</t>
        </is>
      </c>
      <c r="K397" s="25" t="n"/>
      <c r="L397" s="25" t="inlineStr">
        <is>
          <t>Public university</t>
        </is>
      </c>
      <c r="M397" s="25" t="inlineStr">
        <is>
          <t>English</t>
        </is>
      </c>
      <c r="N397" s="25" t="inlineStr">
        <is>
          <t>Taught in English</t>
        </is>
      </c>
      <c r="O397" s="25" t="inlineStr">
        <is>
          <t>Bac +5</t>
        </is>
      </c>
      <c r="P397" s="26" t="inlineStr">
        <is>
          <t>Requires Bac+5 (Master) – likely not eligible; ask if 4-yr BS + experience accepted</t>
        </is>
      </c>
      <c r="Q397" s="25" t="inlineStr">
        <is>
          <t>2</t>
        </is>
      </c>
      <c r="R397" s="25" t="inlineStr">
        <is>
          <t>12</t>
        </is>
      </c>
      <c r="S397" s="27" t="n">
        <v>3950</v>
      </c>
      <c r="T397" s="27" t="n">
        <v>255</v>
      </c>
      <c r="U397" s="25" t="n">
        <v>1</v>
      </c>
      <c r="V397" s="27">
        <f>IF(S397="","",S397*U397)</f>
        <v/>
      </c>
      <c r="W397" s="26" t="inlineStr">
        <is>
          <t>Not in catalogue. Public national master → 2026-27 differentiated fee €3,950; exemption to ~€254-255 depends on university quota (25% cap in 2027-28).</t>
        </is>
      </c>
      <c r="X397" s="25" t="inlineStr">
        <is>
          <t>Medium</t>
        </is>
      </c>
      <c r="Y397" s="25" t="n"/>
      <c r="Z397" s="26" t="n"/>
      <c r="AA397" s="26" t="inlineStr">
        <is>
          <t>AMU 2026-27: limited exemptions (≈1,800 of 5,500 students) – priority to continuing students, conflict zones, excellence scholarships. New master entrants usually pay €3,950.</t>
        </is>
      </c>
      <c r="AB397" s="28" t="inlineStr">
        <is>
          <t>https://www.univ-amu.fr/fr/actualites/aix-marseille-universite-mobilise-pleinement-capacite-dexoneration-continuer-accueillir</t>
        </is>
      </c>
      <c r="AC397" s="25" t="inlineStr">
        <is>
          <t>Open</t>
        </is>
      </c>
      <c r="AD397" s="25" t="inlineStr">
        <is>
          <t>2026-10-01</t>
        </is>
      </c>
      <c r="AE397" s="25" t="inlineStr">
        <is>
          <t>2027-03-15</t>
        </is>
      </c>
      <c r="AF397" s="25" t="inlineStr">
        <is>
          <t>No</t>
        </is>
      </c>
      <c r="AG397" s="28" t="inlineStr">
        <is>
          <t>https://formations.univ-amu.fr/fr/master/5SNE/PRSNE5C2</t>
        </is>
      </c>
      <c r="AH397" s="26" t="inlineStr">
        <is>
          <t>Please note two important points regarding your application: Your application must be complete and validated by Espace Etudes en France. The Faculty of Science will review applications in accordance with the EeF calendar</t>
        </is>
      </c>
      <c r="AI397" s="28" t="inlineStr">
        <is>
          <t>Open in EEF</t>
        </is>
      </c>
    </row>
    <row r="398" ht="32.8" customHeight="1" s="19">
      <c r="A398" s="25" t="n">
        <v>397</v>
      </c>
      <c r="B398" s="25" t="inlineStr">
        <is>
          <t>★★★★☆</t>
        </is>
      </c>
      <c r="C398" s="25" t="inlineStr">
        <is>
          <t>4 – Strong fit (electronics/signal/robotics/IoT/sensors)</t>
        </is>
      </c>
      <c r="D398" s="25" t="inlineStr">
        <is>
          <t>Neuroscience / Neuro-engineering</t>
        </is>
      </c>
      <c r="E398" s="26" t="inlineStr">
        <is>
          <t>Master indifférencié (recherche et professionnel) mention Master in Neurosciences parcours _Cellular and systems neuroscience</t>
        </is>
      </c>
      <c r="F398" s="26" t="inlineStr">
        <is>
          <t>major: Master in Neuroscience – track: _Cellular and systems neuroscience</t>
        </is>
      </c>
      <c r="G398" s="25" t="inlineStr">
        <is>
          <t>Master indifférencié (recherche et professionnel)</t>
        </is>
      </c>
      <c r="H398" s="25" t="inlineStr">
        <is>
          <t>UFR Sciences</t>
        </is>
      </c>
      <c r="I398" s="25" t="inlineStr">
        <is>
          <t>Université d'Aix-Marseille</t>
        </is>
      </c>
      <c r="J398" s="25" t="inlineStr">
        <is>
          <t>Site de Marseille - St Charles</t>
        </is>
      </c>
      <c r="K398" s="25" t="n"/>
      <c r="L398" s="25" t="inlineStr">
        <is>
          <t>Public university</t>
        </is>
      </c>
      <c r="M398" s="25" t="inlineStr">
        <is>
          <t>English</t>
        </is>
      </c>
      <c r="N398" s="25" t="inlineStr">
        <is>
          <t>Taught in English</t>
        </is>
      </c>
      <c r="O398" s="25" t="inlineStr">
        <is>
          <t>Bac +5</t>
        </is>
      </c>
      <c r="P398" s="26" t="inlineStr">
        <is>
          <t>Requires Bac+5 (Master) – likely not eligible; ask if 4-yr BS + experience accepted</t>
        </is>
      </c>
      <c r="Q398" s="25" t="inlineStr">
        <is>
          <t>2</t>
        </is>
      </c>
      <c r="R398" s="25" t="inlineStr">
        <is>
          <t>12</t>
        </is>
      </c>
      <c r="S398" s="27" t="n">
        <v>3950</v>
      </c>
      <c r="T398" s="27" t="n">
        <v>255</v>
      </c>
      <c r="U398" s="25" t="n">
        <v>1</v>
      </c>
      <c r="V398" s="27">
        <f>IF(S398="","",S398*U398)</f>
        <v/>
      </c>
      <c r="W398" s="26" t="inlineStr">
        <is>
          <t>Not in catalogue. Public national master → 2026-27 differentiated fee €3,950; exemption to ~€254-255 depends on university quota (25% cap in 2027-28).</t>
        </is>
      </c>
      <c r="X398" s="25" t="inlineStr">
        <is>
          <t>Medium</t>
        </is>
      </c>
      <c r="Y398" s="25" t="n"/>
      <c r="Z398" s="26" t="n"/>
      <c r="AA398" s="26" t="inlineStr">
        <is>
          <t>AMU 2026-27: limited exemptions (≈1,800 of 5,500 students) – priority to continuing students, conflict zones, excellence scholarships. New master entrants usually pay €3,950.</t>
        </is>
      </c>
      <c r="AB398" s="28" t="inlineStr">
        <is>
          <t>https://www.univ-amu.fr/fr/actualites/aix-marseille-universite-mobilise-pleinement-capacite-dexoneration-continuer-accueillir</t>
        </is>
      </c>
      <c r="AC398" s="25" t="inlineStr">
        <is>
          <t>Open</t>
        </is>
      </c>
      <c r="AD398" s="25" t="inlineStr">
        <is>
          <t>2026-10-01</t>
        </is>
      </c>
      <c r="AE398" s="25" t="inlineStr">
        <is>
          <t>2027-03-15</t>
        </is>
      </c>
      <c r="AF398" s="25" t="inlineStr">
        <is>
          <t>No</t>
        </is>
      </c>
      <c r="AG398" s="28" t="inlineStr">
        <is>
          <t>https://formations.univ-amu.fr/fr/master/5SNE/PRSNE5C1</t>
        </is>
      </c>
      <c r="AH398" s="26" t="inlineStr">
        <is>
          <t>Please note two important points regarding your application: Your application must be complete and validated by Espace Etudes en France. The Faculty of Science will review applications in accordance with the EeF calendar</t>
        </is>
      </c>
      <c r="AI398" s="28" t="inlineStr">
        <is>
          <t>Open in EEF</t>
        </is>
      </c>
    </row>
    <row r="399" ht="32.8" customHeight="1" s="19">
      <c r="A399" s="25" t="n">
        <v>398</v>
      </c>
      <c r="B399" s="25" t="inlineStr">
        <is>
          <t>★★★★☆</t>
        </is>
      </c>
      <c r="C399" s="25" t="inlineStr">
        <is>
          <t>4 – Strong fit (electronics/signal/robotics/IoT/sensors)</t>
        </is>
      </c>
      <c r="D399" s="25" t="inlineStr">
        <is>
          <t>Sensors / Instrumentation / Micro-Nano / Photonics</t>
        </is>
      </c>
      <c r="E399" s="26" t="inlineStr">
        <is>
          <t>Master indifférencié (recherche et professionnel) mention Master Instrumentation Measurement Metrology parcours M2 - Instrumentation and measurement science for major nuclear research facilities</t>
        </is>
      </c>
      <c r="F399" s="26" t="inlineStr">
        <is>
          <t>major: Master Instrumentation Measurement Metrology – track: M2 - Instrumentation and measurement Science for major nuclear research facilities</t>
        </is>
      </c>
      <c r="G399" s="25" t="inlineStr">
        <is>
          <t>Master indifférencié (recherche et professionnel)</t>
        </is>
      </c>
      <c r="H399" s="25" t="inlineStr">
        <is>
          <t>UFR Sciences</t>
        </is>
      </c>
      <c r="I399" s="25" t="inlineStr">
        <is>
          <t>Université d'Aix-Marseille</t>
        </is>
      </c>
      <c r="J399" s="25" t="inlineStr">
        <is>
          <t>Site de Marseille - St Jérôme</t>
        </is>
      </c>
      <c r="K399" s="25" t="n"/>
      <c r="L399" s="25" t="inlineStr">
        <is>
          <t>Public university</t>
        </is>
      </c>
      <c r="M399" s="25" t="inlineStr">
        <is>
          <t>English</t>
        </is>
      </c>
      <c r="N399" s="25" t="inlineStr">
        <is>
          <t>Taught in English</t>
        </is>
      </c>
      <c r="O399" s="25" t="inlineStr">
        <is>
          <t>Bac +5</t>
        </is>
      </c>
      <c r="P399" s="26" t="inlineStr">
        <is>
          <t>Requires Bac+5 (Master) – likely not eligible; ask if 4-yr BS + experience accepted</t>
        </is>
      </c>
      <c r="Q399" s="25" t="inlineStr">
        <is>
          <t>2</t>
        </is>
      </c>
      <c r="R399" s="25" t="n"/>
      <c r="S399" s="27" t="n">
        <v>3950</v>
      </c>
      <c r="T399" s="27" t="n">
        <v>255</v>
      </c>
      <c r="U399" s="25" t="n">
        <v>1</v>
      </c>
      <c r="V399" s="27">
        <f>IF(S399="","",S399*U399)</f>
        <v/>
      </c>
      <c r="W399" s="26" t="inlineStr">
        <is>
          <t>Not in catalogue. Public national master → 2026-27 differentiated fee €3,950; exemption to ~€254-255 depends on university quota (25% cap in 2027-28).</t>
        </is>
      </c>
      <c r="X399" s="25" t="inlineStr">
        <is>
          <t>Medium</t>
        </is>
      </c>
      <c r="Y399" s="25" t="n"/>
      <c r="Z399" s="26" t="n"/>
      <c r="AA399" s="26" t="inlineStr">
        <is>
          <t>AMU 2026-27: limited exemptions (≈1,800 of 5,500 students) – priority to continuing students, conflict zones, excellence scholarships. New master entrants usually pay €3,950.</t>
        </is>
      </c>
      <c r="AB399" s="28" t="inlineStr">
        <is>
          <t>https://www.univ-amu.fr/fr/actualites/aix-marseille-universite-mobilise-pleinement-capacite-dexoneration-continuer-accueillir</t>
        </is>
      </c>
      <c r="AC399" s="25" t="inlineStr">
        <is>
          <t>Open</t>
        </is>
      </c>
      <c r="AD399" s="25" t="inlineStr">
        <is>
          <t>2026-10-01</t>
        </is>
      </c>
      <c r="AE399" s="25" t="inlineStr">
        <is>
          <t>2027-03-15</t>
        </is>
      </c>
      <c r="AF399" s="25" t="inlineStr">
        <is>
          <t>No</t>
        </is>
      </c>
      <c r="AG399" s="28" t="inlineStr">
        <is>
          <t>https://formations.univ-amu.fr/fr/master/5SMI/PRSMI5C5</t>
        </is>
      </c>
      <c r="AH399" s="26" t="inlineStr">
        <is>
          <t>We would like to draw your attention to 2 important points for your application : Your application must be complete and validated by the Espace Etudes in France The faculty will review the applications The level of Engli</t>
        </is>
      </c>
      <c r="AI399" s="28" t="inlineStr">
        <is>
          <t>Open in EEF</t>
        </is>
      </c>
    </row>
    <row r="400" ht="22.35" customHeight="1" s="19">
      <c r="A400" s="25" t="n">
        <v>399</v>
      </c>
      <c r="B400" s="25" t="inlineStr">
        <is>
          <t>★★★★☆</t>
        </is>
      </c>
      <c r="C400" s="25" t="inlineStr">
        <is>
          <t>4 – Strong fit (electronics/signal/robotics/IoT/sensors)</t>
        </is>
      </c>
      <c r="D400" s="25" t="inlineStr">
        <is>
          <t>Neuroscience / Neuro-engineering</t>
        </is>
      </c>
      <c r="E400" s="26" t="inlineStr">
        <is>
          <t>Master indifférencié (recherche et professionnel) mention Neuroscience parcours iMIND : Neurodegenerative diseases</t>
        </is>
      </c>
      <c r="F400" s="26" t="inlineStr">
        <is>
          <t>major: Neuroscience – track: iMIND : Neurodegenerative diseases</t>
        </is>
      </c>
      <c r="G400" s="25" t="inlineStr">
        <is>
          <t>Master indifférencié (recherche et professionnel)</t>
        </is>
      </c>
      <c r="H400" s="25" t="inlineStr">
        <is>
          <t>Sciences et Ingénierie</t>
        </is>
      </c>
      <c r="I400" s="25" t="inlineStr">
        <is>
          <t>Sorbonne Université</t>
        </is>
      </c>
      <c r="J400" s="25" t="inlineStr">
        <is>
          <t>Site de Paris</t>
        </is>
      </c>
      <c r="K400" s="25" t="n"/>
      <c r="L400" s="25" t="inlineStr">
        <is>
          <t>Public university</t>
        </is>
      </c>
      <c r="M400" s="25" t="inlineStr">
        <is>
          <t>English</t>
        </is>
      </c>
      <c r="N400" s="25" t="inlineStr">
        <is>
          <t>Taught in English</t>
        </is>
      </c>
      <c r="O400" s="25" t="inlineStr">
        <is>
          <t>Bac +5</t>
        </is>
      </c>
      <c r="P400" s="26" t="inlineStr">
        <is>
          <t>Requires Bac+5 (Master) – likely not eligible; ask if 4-yr BS + experience accepted</t>
        </is>
      </c>
      <c r="Q400" s="25" t="inlineStr">
        <is>
          <t>2</t>
        </is>
      </c>
      <c r="R400" s="25" t="n"/>
      <c r="S400" s="27" t="n">
        <v>3950</v>
      </c>
      <c r="T400" s="27" t="n">
        <v>255</v>
      </c>
      <c r="U400" s="25" t="n">
        <v>1</v>
      </c>
      <c r="V400" s="27">
        <f>IF(S400="","",S400*U400)</f>
        <v/>
      </c>
      <c r="W400" s="26" t="inlineStr">
        <is>
          <t>Not in catalogue. Public national master → 2026-27 differentiated fee €3,950; exemption to ~€254-255 depends on university quota (25% cap in 2027-28).</t>
        </is>
      </c>
      <c r="X400" s="25" t="inlineStr">
        <is>
          <t>Medium</t>
        </is>
      </c>
      <c r="Y400" s="25" t="n"/>
      <c r="Z400" s="26" t="n"/>
      <c r="AA400" s="26" t="inlineStr">
        <is>
          <t>Board vote 7 Jul 2026: Sorbonne Université says it can exempt all eligible non-EU applicants (pay same as EU, ~€254) for 2026-27.</t>
        </is>
      </c>
      <c r="AB400" s="28" t="inlineStr">
        <is>
          <t>https://www.sorbonne-universite.fr/actualites/le-conseil-dadministration-de-sorbonne-universite-vote-lunanimite-le-7-juillet-2026-sa</t>
        </is>
      </c>
      <c r="AC400" s="25" t="inlineStr">
        <is>
          <t>Open</t>
        </is>
      </c>
      <c r="AD400" s="25" t="inlineStr">
        <is>
          <t>2026-10-01</t>
        </is>
      </c>
      <c r="AE400" s="25" t="inlineStr">
        <is>
          <t>2027-03-15</t>
        </is>
      </c>
      <c r="AF400" s="25" t="inlineStr">
        <is>
          <t>No</t>
        </is>
      </c>
      <c r="AG400" s="25" t="n"/>
      <c r="AH400" s="26" t="n"/>
      <c r="AI400" s="28" t="inlineStr">
        <is>
          <t>Open in EEF</t>
        </is>
      </c>
    </row>
    <row r="401" ht="22.35" customHeight="1" s="19">
      <c r="A401" s="25" t="n">
        <v>400</v>
      </c>
      <c r="B401" s="25" t="inlineStr">
        <is>
          <t>★★★★☆</t>
        </is>
      </c>
      <c r="C401" s="25" t="inlineStr">
        <is>
          <t>4 – Strong fit (electronics/signal/robotics/IoT/sensors)</t>
        </is>
      </c>
      <c r="D401" s="25" t="inlineStr">
        <is>
          <t>Signal / Image / Vision</t>
        </is>
      </c>
      <c r="E401" s="26" t="inlineStr">
        <is>
          <t>Master indifférencié (recherche et professionnel) mention Neuroscience parcours iSENS : Vision sciences</t>
        </is>
      </c>
      <c r="F401" s="26" t="inlineStr">
        <is>
          <t>major: Neuroscience – track: iSENS : Vision Sciences</t>
        </is>
      </c>
      <c r="G401" s="25" t="inlineStr">
        <is>
          <t>Master indifférencié (recherche et professionnel)</t>
        </is>
      </c>
      <c r="H401" s="25" t="inlineStr">
        <is>
          <t>Sciences et Ingénierie</t>
        </is>
      </c>
      <c r="I401" s="25" t="inlineStr">
        <is>
          <t>Sorbonne Université</t>
        </is>
      </c>
      <c r="J401" s="25" t="inlineStr">
        <is>
          <t>Site de Paris</t>
        </is>
      </c>
      <c r="K401" s="25" t="n"/>
      <c r="L401" s="25" t="inlineStr">
        <is>
          <t>Public university</t>
        </is>
      </c>
      <c r="M401" s="25" t="inlineStr">
        <is>
          <t>English</t>
        </is>
      </c>
      <c r="N401" s="25" t="inlineStr">
        <is>
          <t>Taught in English</t>
        </is>
      </c>
      <c r="O401" s="25" t="inlineStr">
        <is>
          <t>Bac +5</t>
        </is>
      </c>
      <c r="P401" s="26" t="inlineStr">
        <is>
          <t>Requires Bac+5 (Master) – likely not eligible; ask if 4-yr BS + experience accepted</t>
        </is>
      </c>
      <c r="Q401" s="25" t="inlineStr">
        <is>
          <t>2</t>
        </is>
      </c>
      <c r="R401" s="25" t="n"/>
      <c r="S401" s="27" t="n">
        <v>3950</v>
      </c>
      <c r="T401" s="27" t="n">
        <v>255</v>
      </c>
      <c r="U401" s="25" t="n">
        <v>1</v>
      </c>
      <c r="V401" s="27">
        <f>IF(S401="","",S401*U401)</f>
        <v/>
      </c>
      <c r="W401" s="26" t="inlineStr">
        <is>
          <t>Not in catalogue. Public national master → 2026-27 differentiated fee €3,950; exemption to ~€254-255 depends on university quota (25% cap in 2027-28).</t>
        </is>
      </c>
      <c r="X401" s="25" t="inlineStr">
        <is>
          <t>Medium</t>
        </is>
      </c>
      <c r="Y401" s="25" t="n"/>
      <c r="Z401" s="26" t="n"/>
      <c r="AA401" s="26" t="inlineStr">
        <is>
          <t>Board vote 7 Jul 2026: Sorbonne Université says it can exempt all eligible non-EU applicants (pay same as EU, ~€254) for 2026-27.</t>
        </is>
      </c>
      <c r="AB401" s="28" t="inlineStr">
        <is>
          <t>https://www.sorbonne-universite.fr/actualites/le-conseil-dadministration-de-sorbonne-universite-vote-lunanimite-le-7-juillet-2026-sa</t>
        </is>
      </c>
      <c r="AC401" s="25" t="inlineStr">
        <is>
          <t>Open</t>
        </is>
      </c>
      <c r="AD401" s="25" t="inlineStr">
        <is>
          <t>2026-10-01</t>
        </is>
      </c>
      <c r="AE401" s="25" t="inlineStr">
        <is>
          <t>2027-03-15</t>
        </is>
      </c>
      <c r="AF401" s="25" t="inlineStr">
        <is>
          <t>No</t>
        </is>
      </c>
      <c r="AG401" s="25" t="n"/>
      <c r="AH401" s="26" t="n"/>
      <c r="AI401" s="28" t="inlineStr">
        <is>
          <t>Open in EEF</t>
        </is>
      </c>
    </row>
    <row r="402" ht="32.8" customHeight="1" s="19">
      <c r="A402" s="25" t="n">
        <v>401</v>
      </c>
      <c r="B402" s="25" t="inlineStr">
        <is>
          <t>★★★★☆</t>
        </is>
      </c>
      <c r="C402" s="25" t="inlineStr">
        <is>
          <t>4 – Strong fit (electronics/signal/robotics/IoT/sensors)</t>
        </is>
      </c>
      <c r="D402" s="25" t="inlineStr">
        <is>
          <t>Embedded systems / Electronics</t>
        </is>
      </c>
      <c r="E402" s="26" t="inlineStr">
        <is>
          <t>Master indifférencié (recherche et professionnel) parcours Sustainable Printed and Integrated Electronics</t>
        </is>
      </c>
      <c r="F402" s="26" t="inlineStr">
        <is>
          <t>track: Sustainable Printed and Integrated Electronics</t>
        </is>
      </c>
      <c r="G402" s="25" t="inlineStr">
        <is>
          <t>Master indifférencié (recherche et professionnel)</t>
        </is>
      </c>
      <c r="H402" s="25" t="inlineStr">
        <is>
          <t>Ecole internationale du papier, de la communication imprimée et des biomatériaux - Grenoble INP</t>
        </is>
      </c>
      <c r="I402" s="25" t="inlineStr">
        <is>
          <t>Grenoble INP</t>
        </is>
      </c>
      <c r="J402" s="25" t="inlineStr">
        <is>
          <t>Site de Saint-Martin-d'Hères</t>
        </is>
      </c>
      <c r="K402" s="25" t="n"/>
      <c r="L402" s="25" t="inlineStr">
        <is>
          <t>Public school / institute</t>
        </is>
      </c>
      <c r="M402" s="25" t="inlineStr">
        <is>
          <t>English</t>
        </is>
      </c>
      <c r="N402" s="25" t="inlineStr">
        <is>
          <t>Taught in English</t>
        </is>
      </c>
      <c r="O402" s="25" t="inlineStr">
        <is>
          <t>Bac +5</t>
        </is>
      </c>
      <c r="P402" s="26" t="inlineStr">
        <is>
          <t>Requires Bac+5 (Master) – likely not eligible; ask if 4-yr BS + experience accepted</t>
        </is>
      </c>
      <c r="Q402" s="25" t="inlineStr">
        <is>
          <t>2</t>
        </is>
      </c>
      <c r="R402" s="25" t="n"/>
      <c r="S402" s="27" t="n">
        <v>3950</v>
      </c>
      <c r="T402" s="27" t="n">
        <v>255</v>
      </c>
      <c r="U402" s="25" t="n">
        <v>1</v>
      </c>
      <c r="V402" s="27">
        <f>IF(S402="","",S402*U402)</f>
        <v/>
      </c>
      <c r="W402" s="26" t="inlineStr">
        <is>
          <t>Not in catalogue. Public national master → 2026-27 differentiated fee €3,950; exemption to ~€254-255 depends on university quota (25% cap in 2027-28).</t>
        </is>
      </c>
      <c r="X402" s="25" t="inlineStr">
        <is>
          <t>Medium</t>
        </is>
      </c>
      <c r="Y402" s="25" t="n"/>
      <c r="Z402" s="26" t="n"/>
      <c r="AA402" s="26" t="inlineStr">
        <is>
          <t>UGA (incl. Grenoble INP masters): 2026-27 broad exemptions on request (pay national €254). From 2027-28 the decree caps apply; exemptions based on resources.</t>
        </is>
      </c>
      <c r="AB402" s="28" t="inlineStr">
        <is>
          <t>https://www.univ-grenoble-alpes.fr/actualites/a-la-une/actualites-universite/etudiants-internationaux-ce-que-change-le-nouveau-decret-sur-les-droits-d-inscription-a-l-uga-1775870.kjsp</t>
        </is>
      </c>
      <c r="AC402" s="25" t="inlineStr">
        <is>
          <t>Open</t>
        </is>
      </c>
      <c r="AD402" s="25" t="inlineStr">
        <is>
          <t>2026-10-01</t>
        </is>
      </c>
      <c r="AE402" s="25" t="inlineStr">
        <is>
          <t>2027-03-15</t>
        </is>
      </c>
      <c r="AF402" s="25" t="inlineStr">
        <is>
          <t>Yes</t>
        </is>
      </c>
      <c r="AG402" s="28" t="inlineStr">
        <is>
          <t>https://pagora.grenoble-inp.fr/en/education/master-sustainable-printed-and-integrated-electronics</t>
        </is>
      </c>
      <c r="AH402" s="26" t="inlineStr">
        <is>
          <t>Avant de candidater, il est important de vérifier le coût de la formation et le niveau de ressources nécessaires à votre année d'tudes en France . (Before applying, it is important to check the cost of the programme as w</t>
        </is>
      </c>
      <c r="AI402" s="28" t="inlineStr">
        <is>
          <t>Open in EEF</t>
        </is>
      </c>
    </row>
    <row r="403" ht="32.8" customHeight="1" s="19">
      <c r="A403" s="25" t="n">
        <v>402</v>
      </c>
      <c r="B403" s="25" t="inlineStr">
        <is>
          <t>★★★★☆</t>
        </is>
      </c>
      <c r="C403" s="25" t="inlineStr">
        <is>
          <t>4 – Strong fit (electronics/signal/robotics/IoT/sensors)</t>
        </is>
      </c>
      <c r="D403" s="25" t="inlineStr">
        <is>
          <t>Neuroscience / Neuro-engineering</t>
        </is>
      </c>
      <c r="E403" s="26" t="inlineStr">
        <is>
          <t>Master indifférencié (recherche et professionnel) Sciences et technologies mention Neurosciences parcours Cellular and systems neuroscience</t>
        </is>
      </c>
      <c r="F403" s="26" t="inlineStr">
        <is>
          <t>Science &amp; Technology – major: Neuroscience – track: Cellular and systems neuroscience</t>
        </is>
      </c>
      <c r="G403" s="25" t="inlineStr">
        <is>
          <t>Master indifférencié (recherche et professionnel)</t>
        </is>
      </c>
      <c r="H403" s="25" t="inlineStr">
        <is>
          <t>UFR Sciences</t>
        </is>
      </c>
      <c r="I403" s="25" t="inlineStr">
        <is>
          <t>Université d'Aix-Marseille</t>
        </is>
      </c>
      <c r="J403" s="25" t="inlineStr">
        <is>
          <t>Site de Marseille - St Charles</t>
        </is>
      </c>
      <c r="K403" s="25" t="n"/>
      <c r="L403" s="25" t="inlineStr">
        <is>
          <t>Public university</t>
        </is>
      </c>
      <c r="M403" s="25" t="inlineStr">
        <is>
          <t>English</t>
        </is>
      </c>
      <c r="N403" s="25" t="inlineStr">
        <is>
          <t>General</t>
        </is>
      </c>
      <c r="O403" s="25" t="inlineStr">
        <is>
          <t>Bac +5</t>
        </is>
      </c>
      <c r="P403" s="26" t="inlineStr">
        <is>
          <t>Requires Bac+5 (Master) – likely not eligible; ask if 4-yr BS + experience accepted</t>
        </is>
      </c>
      <c r="Q403" s="25" t="inlineStr">
        <is>
          <t>2</t>
        </is>
      </c>
      <c r="R403" s="25" t="inlineStr">
        <is>
          <t>12</t>
        </is>
      </c>
      <c r="S403" s="27" t="n">
        <v>3950</v>
      </c>
      <c r="T403" s="27" t="n">
        <v>255</v>
      </c>
      <c r="U403" s="25" t="n">
        <v>1</v>
      </c>
      <c r="V403" s="27">
        <f>IF(S403="","",S403*U403)</f>
        <v/>
      </c>
      <c r="W403" s="26" t="inlineStr">
        <is>
          <t>Not in catalogue. Public national master → 2026-27 differentiated fee €3,950; exemption to ~€254-255 depends on university quota (25% cap in 2027-28).</t>
        </is>
      </c>
      <c r="X403" s="25" t="inlineStr">
        <is>
          <t>Medium</t>
        </is>
      </c>
      <c r="Y403" s="25" t="n"/>
      <c r="Z403" s="26" t="n"/>
      <c r="AA403" s="26" t="inlineStr">
        <is>
          <t>AMU 2026-27: limited exemptions (≈1,800 of 5,500 students) – priority to continuing students, conflict zones, excellence scholarships. New master entrants usually pay €3,950.</t>
        </is>
      </c>
      <c r="AB403" s="28" t="inlineStr">
        <is>
          <t>https://www.univ-amu.fr/fr/actualites/aix-marseille-universite-mobilise-pleinement-capacite-dexoneration-continuer-accueillir</t>
        </is>
      </c>
      <c r="AC403" s="25" t="inlineStr">
        <is>
          <t>Open</t>
        </is>
      </c>
      <c r="AD403" s="25" t="inlineStr">
        <is>
          <t>2026-10-01</t>
        </is>
      </c>
      <c r="AE403" s="25" t="inlineStr">
        <is>
          <t>2027-03-15</t>
        </is>
      </c>
      <c r="AF403" s="25" t="inlineStr">
        <is>
          <t>No</t>
        </is>
      </c>
      <c r="AG403" s="28" t="inlineStr">
        <is>
          <t>https://formations.univ-amu.fr/fr/master/5SNE/PRSNE5C1</t>
        </is>
      </c>
      <c r="AH403" s="26" t="inlineStr">
        <is>
          <t>Nous attirons votre attention sur 2 points importants pour votre candidature : Votre dossier doit être complet et validé par l’Espace Etudes en France La faculté des sciences examinera les dossiers de candidature en cohé</t>
        </is>
      </c>
      <c r="AI403" s="28" t="inlineStr">
        <is>
          <t>Open in EEF</t>
        </is>
      </c>
    </row>
    <row r="404" ht="32.8" customHeight="1" s="19">
      <c r="A404" s="25" t="n">
        <v>403</v>
      </c>
      <c r="B404" s="25" t="inlineStr">
        <is>
          <t>★★★★☆</t>
        </is>
      </c>
      <c r="C404" s="25" t="inlineStr">
        <is>
          <t>4 – Strong fit (electronics/signal/robotics/IoT/sensors)</t>
        </is>
      </c>
      <c r="D404" s="25" t="inlineStr">
        <is>
          <t>Neuroscience / Neuro-engineering</t>
        </is>
      </c>
      <c r="E404" s="26" t="inlineStr">
        <is>
          <t>Master indifférencié (recherche et professionnel) Sciences et technologies mention Neurosciences parcours Integrated and cognitive neuroscience</t>
        </is>
      </c>
      <c r="F404" s="26" t="inlineStr">
        <is>
          <t>Science &amp; Technology – major: Neuroscience – track: Integrated and cognitive neuroscience</t>
        </is>
      </c>
      <c r="G404" s="25" t="inlineStr">
        <is>
          <t>Master indifférencié (recherche et professionnel)</t>
        </is>
      </c>
      <c r="H404" s="25" t="inlineStr">
        <is>
          <t>UFR Sciences</t>
        </is>
      </c>
      <c r="I404" s="25" t="inlineStr">
        <is>
          <t>Université d'Aix-Marseille</t>
        </is>
      </c>
      <c r="J404" s="25" t="inlineStr">
        <is>
          <t>Site de Marseille - St Charles</t>
        </is>
      </c>
      <c r="K404" s="25" t="n"/>
      <c r="L404" s="25" t="inlineStr">
        <is>
          <t>Public university</t>
        </is>
      </c>
      <c r="M404" s="25" t="inlineStr">
        <is>
          <t>English</t>
        </is>
      </c>
      <c r="N404" s="25" t="inlineStr">
        <is>
          <t>General</t>
        </is>
      </c>
      <c r="O404" s="25" t="inlineStr">
        <is>
          <t>Bac +5</t>
        </is>
      </c>
      <c r="P404" s="26" t="inlineStr">
        <is>
          <t>Requires Bac+5 (Master) – likely not eligible; ask if 4-yr BS + experience accepted</t>
        </is>
      </c>
      <c r="Q404" s="25" t="inlineStr">
        <is>
          <t>2</t>
        </is>
      </c>
      <c r="R404" s="25" t="inlineStr">
        <is>
          <t>12</t>
        </is>
      </c>
      <c r="S404" s="27" t="n">
        <v>3950</v>
      </c>
      <c r="T404" s="27" t="n">
        <v>255</v>
      </c>
      <c r="U404" s="25" t="n">
        <v>1</v>
      </c>
      <c r="V404" s="27">
        <f>IF(S404="","",S404*U404)</f>
        <v/>
      </c>
      <c r="W404" s="26" t="inlineStr">
        <is>
          <t>Not in catalogue. Public national master → 2026-27 differentiated fee €3,950; exemption to ~€254-255 depends on university quota (25% cap in 2027-28).</t>
        </is>
      </c>
      <c r="X404" s="25" t="inlineStr">
        <is>
          <t>Medium</t>
        </is>
      </c>
      <c r="Y404" s="25" t="n"/>
      <c r="Z404" s="26" t="n"/>
      <c r="AA404" s="26" t="inlineStr">
        <is>
          <t>AMU 2026-27: limited exemptions (≈1,800 of 5,500 students) – priority to continuing students, conflict zones, excellence scholarships. New master entrants usually pay €3,950.</t>
        </is>
      </c>
      <c r="AB404" s="28" t="inlineStr">
        <is>
          <t>https://www.univ-amu.fr/fr/actualites/aix-marseille-universite-mobilise-pleinement-capacite-dexoneration-continuer-accueillir</t>
        </is>
      </c>
      <c r="AC404" s="25" t="inlineStr">
        <is>
          <t>Open</t>
        </is>
      </c>
      <c r="AD404" s="25" t="inlineStr">
        <is>
          <t>2026-10-01</t>
        </is>
      </c>
      <c r="AE404" s="25" t="inlineStr">
        <is>
          <t>2027-03-15</t>
        </is>
      </c>
      <c r="AF404" s="25" t="inlineStr">
        <is>
          <t>No</t>
        </is>
      </c>
      <c r="AG404" s="28" t="inlineStr">
        <is>
          <t>https://formations.univ-amu.fr/fr/master/5SNE/PRSNE5C2</t>
        </is>
      </c>
      <c r="AH404" s="26" t="inlineStr">
        <is>
          <t>Nous attirons votre attention sur 2 points importants pour votre candidature : Votre dossier doit être complet et validé par l’Espace Etudes en France La faculté des sciences examinera les dossiers de candidature en cohé</t>
        </is>
      </c>
      <c r="AI404" s="28" t="inlineStr">
        <is>
          <t>Open in EEF</t>
        </is>
      </c>
    </row>
    <row r="405" ht="22.35" customHeight="1" s="19">
      <c r="A405" s="25" t="n">
        <v>404</v>
      </c>
      <c r="B405" s="25" t="inlineStr">
        <is>
          <t>★★★★☆</t>
        </is>
      </c>
      <c r="C405" s="25" t="inlineStr">
        <is>
          <t>4 – Strong fit (electronics/signal/robotics/IoT/sensors)</t>
        </is>
      </c>
      <c r="D405" s="25" t="inlineStr">
        <is>
          <t>Robotics / Automation / Mechatronics</t>
        </is>
      </c>
      <c r="E405" s="26" t="inlineStr">
        <is>
          <t>Master indifférencié (recherche et professionnel) Sciences pour l'Ingénieur parcours Mechatronic, Artificial intelligence, and Robotic Systems</t>
        </is>
      </c>
      <c r="F405" s="26" t="inlineStr">
        <is>
          <t>Sciences for Engineering – track: Mechatronic, Artificial intelligence, and Robotic Systems</t>
        </is>
      </c>
      <c r="G405" s="25" t="inlineStr">
        <is>
          <t>Master indifférencié (recherche et professionnel)</t>
        </is>
      </c>
      <c r="H405" s="25" t="inlineStr">
        <is>
          <t>Sciences et Ingénierie</t>
        </is>
      </c>
      <c r="I405" s="25" t="inlineStr">
        <is>
          <t>Sorbonne Université</t>
        </is>
      </c>
      <c r="J405" s="25" t="inlineStr">
        <is>
          <t>Site de Paris</t>
        </is>
      </c>
      <c r="K405" s="25" t="n"/>
      <c r="L405" s="25" t="inlineStr">
        <is>
          <t>Public university</t>
        </is>
      </c>
      <c r="M405" s="25" t="inlineStr">
        <is>
          <t>English</t>
        </is>
      </c>
      <c r="N405" s="25" t="inlineStr">
        <is>
          <t>Taught in English</t>
        </is>
      </c>
      <c r="O405" s="25" t="inlineStr">
        <is>
          <t>Bac +5</t>
        </is>
      </c>
      <c r="P405" s="26" t="inlineStr">
        <is>
          <t>Requires Bac+5 (Master) – likely not eligible; ask if 4-yr BS + experience accepted</t>
        </is>
      </c>
      <c r="Q405" s="25" t="inlineStr">
        <is>
          <t>2</t>
        </is>
      </c>
      <c r="R405" s="25" t="n"/>
      <c r="S405" s="27" t="n">
        <v>3950</v>
      </c>
      <c r="T405" s="27" t="n">
        <v>255</v>
      </c>
      <c r="U405" s="25" t="n">
        <v>1</v>
      </c>
      <c r="V405" s="27">
        <f>IF(S405="","",S405*U405)</f>
        <v/>
      </c>
      <c r="W405" s="26" t="inlineStr">
        <is>
          <t>Not in catalogue. Public national master → 2026-27 differentiated fee €3,950; exemption to ~€254-255 depends on university quota (25% cap in 2027-28).</t>
        </is>
      </c>
      <c r="X405" s="25" t="inlineStr">
        <is>
          <t>Medium</t>
        </is>
      </c>
      <c r="Y405" s="25" t="n"/>
      <c r="Z405" s="26" t="n"/>
      <c r="AA405" s="26" t="inlineStr">
        <is>
          <t>Board vote 7 Jul 2026: Sorbonne Université says it can exempt all eligible non-EU applicants (pay same as EU, ~€254) for 2026-27.</t>
        </is>
      </c>
      <c r="AB405" s="28" t="inlineStr">
        <is>
          <t>https://www.sorbonne-universite.fr/actualites/le-conseil-dadministration-de-sorbonne-universite-vote-lunanimite-le-7-juillet-2026-sa</t>
        </is>
      </c>
      <c r="AC405" s="25" t="inlineStr">
        <is>
          <t>Open</t>
        </is>
      </c>
      <c r="AD405" s="25" t="inlineStr">
        <is>
          <t>2026-10-01</t>
        </is>
      </c>
      <c r="AE405" s="25" t="inlineStr">
        <is>
          <t>2027-03-15</t>
        </is>
      </c>
      <c r="AF405" s="25" t="inlineStr">
        <is>
          <t>No</t>
        </is>
      </c>
      <c r="AG405" s="28" t="inlineStr">
        <is>
          <t>https://masters-sdi.sorbonne-universite.fr/automatique-robotique</t>
        </is>
      </c>
      <c r="AH405" s="26" t="n"/>
      <c r="AI405" s="28" t="inlineStr">
        <is>
          <t>Open in EEF</t>
        </is>
      </c>
    </row>
    <row r="406" ht="32.8" customHeight="1" s="19">
      <c r="A406" s="25" t="n">
        <v>405</v>
      </c>
      <c r="B406" s="25" t="inlineStr">
        <is>
          <t>★★★★☆</t>
        </is>
      </c>
      <c r="C406" s="25" t="inlineStr">
        <is>
          <t>4 – Strong fit (electronics/signal/robotics/IoT/sensors)</t>
        </is>
      </c>
      <c r="D406" s="25" t="inlineStr">
        <is>
          <t>IoT / Telecom / Networks</t>
        </is>
      </c>
      <c r="E406" s="26" t="inlineStr">
        <is>
          <t>Master indifférencié (recherche et professionnel) Sciences pour l'Ingénieur parcours EEA-- Waves and Devices for Advanced Wireless Communication System</t>
        </is>
      </c>
      <c r="F406" s="26" t="inlineStr">
        <is>
          <t>Sciences for Engineering – track: EEA-- Waves and Devices for Advanced Wireless Communication System</t>
        </is>
      </c>
      <c r="G406" s="25" t="inlineStr">
        <is>
          <t>Master indifférencié (recherche et professionnel)</t>
        </is>
      </c>
      <c r="H406" s="25" t="inlineStr">
        <is>
          <t>Sciences et Ingénierie</t>
        </is>
      </c>
      <c r="I406" s="25" t="inlineStr">
        <is>
          <t>Sorbonne Université</t>
        </is>
      </c>
      <c r="J406" s="25" t="inlineStr">
        <is>
          <t>Site de Paris</t>
        </is>
      </c>
      <c r="K406" s="25" t="n"/>
      <c r="L406" s="25" t="inlineStr">
        <is>
          <t>Public university</t>
        </is>
      </c>
      <c r="M406" s="25" t="inlineStr">
        <is>
          <t>English</t>
        </is>
      </c>
      <c r="N406" s="25" t="inlineStr">
        <is>
          <t>Taught in English</t>
        </is>
      </c>
      <c r="O406" s="25" t="inlineStr">
        <is>
          <t>Bac +5</t>
        </is>
      </c>
      <c r="P406" s="26" t="inlineStr">
        <is>
          <t>Requires Bac+5 (Master) – likely not eligible; ask if 4-yr BS + experience accepted</t>
        </is>
      </c>
      <c r="Q406" s="25" t="inlineStr">
        <is>
          <t>2</t>
        </is>
      </c>
      <c r="R406" s="25" t="n"/>
      <c r="S406" s="27" t="n">
        <v>3950</v>
      </c>
      <c r="T406" s="27" t="n">
        <v>255</v>
      </c>
      <c r="U406" s="25" t="n">
        <v>1</v>
      </c>
      <c r="V406" s="27">
        <f>IF(S406="","",S406*U406)</f>
        <v/>
      </c>
      <c r="W406" s="26" t="inlineStr">
        <is>
          <t>Not in catalogue. Public national master → 2026-27 differentiated fee €3,950; exemption to ~€254-255 depends on university quota (25% cap in 2027-28).</t>
        </is>
      </c>
      <c r="X406" s="25" t="inlineStr">
        <is>
          <t>Medium</t>
        </is>
      </c>
      <c r="Y406" s="25" t="n"/>
      <c r="Z406" s="26" t="n"/>
      <c r="AA406" s="26" t="inlineStr">
        <is>
          <t>Board vote 7 Jul 2026: Sorbonne Université says it can exempt all eligible non-EU applicants (pay same as EU, ~€254) for 2026-27.</t>
        </is>
      </c>
      <c r="AB406" s="28" t="inlineStr">
        <is>
          <t>https://www.sorbonne-universite.fr/actualites/le-conseil-dadministration-de-sorbonne-universite-vote-lunanimite-le-7-juillet-2026-sa</t>
        </is>
      </c>
      <c r="AC406" s="25" t="inlineStr">
        <is>
          <t>Open</t>
        </is>
      </c>
      <c r="AD406" s="25" t="inlineStr">
        <is>
          <t>2026-10-01</t>
        </is>
      </c>
      <c r="AE406" s="25" t="inlineStr">
        <is>
          <t>2027-03-15</t>
        </is>
      </c>
      <c r="AF406" s="25" t="inlineStr">
        <is>
          <t>No</t>
        </is>
      </c>
      <c r="AG406" s="28" t="inlineStr">
        <is>
          <t>https://sciences.sorbonne-universite.fr/en/masters-degree-waves-and-devices-advanced-wireless-communication-systems-wavewicom</t>
        </is>
      </c>
      <c r="AH406" s="26" t="n"/>
      <c r="AI406" s="28" t="inlineStr">
        <is>
          <t>Open in EEF</t>
        </is>
      </c>
    </row>
    <row r="407" ht="32.8" customHeight="1" s="19">
      <c r="A407" s="25" t="n">
        <v>406</v>
      </c>
      <c r="B407" s="25" t="inlineStr">
        <is>
          <t>★★★★☆</t>
        </is>
      </c>
      <c r="C407" s="25" t="inlineStr">
        <is>
          <t>4 – Strong fit (electronics/signal/robotics/IoT/sensors)</t>
        </is>
      </c>
      <c r="D407" s="25" t="inlineStr">
        <is>
          <t>Neuroscience / Neuro-engineering</t>
        </is>
      </c>
      <c r="E407" s="26" t="inlineStr">
        <is>
          <t>Master indifférencié (recherche et professionnel) Sciences, Technologies, Santé mention Biologie Santé parcours Neurosciences, Neurobiology</t>
        </is>
      </c>
      <c r="F407" s="26" t="inlineStr">
        <is>
          <t>Science, Technology, Health (STS) – major: Biology-Health – track: Neuroscience, Neurobiology</t>
        </is>
      </c>
      <c r="G407" s="25" t="inlineStr">
        <is>
          <t>Master indifférencié (recherche et professionnel)</t>
        </is>
      </c>
      <c r="H407" s="25" t="inlineStr">
        <is>
          <t>UFR de Chimie et Biologie</t>
        </is>
      </c>
      <c r="I407" s="25" t="inlineStr">
        <is>
          <t>Université de Grenoble Alpes</t>
        </is>
      </c>
      <c r="J407" s="25" t="inlineStr">
        <is>
          <t>Site de Grenoble - Campus de Saint Martin d'Hères</t>
        </is>
      </c>
      <c r="K407" s="25" t="n"/>
      <c r="L407" s="25" t="inlineStr">
        <is>
          <t>Public university</t>
        </is>
      </c>
      <c r="M407" s="25" t="inlineStr">
        <is>
          <t>English</t>
        </is>
      </c>
      <c r="N407" s="25" t="inlineStr">
        <is>
          <t>Taught in English</t>
        </is>
      </c>
      <c r="O407" s="25" t="inlineStr">
        <is>
          <t>Bac +5</t>
        </is>
      </c>
      <c r="P407" s="26" t="inlineStr">
        <is>
          <t>Requires Bac+5 (Master) – likely not eligible; ask if 4-yr BS + experience accepted</t>
        </is>
      </c>
      <c r="Q407" s="25" t="inlineStr">
        <is>
          <t>2</t>
        </is>
      </c>
      <c r="R407" s="25" t="n"/>
      <c r="S407" s="27" t="n">
        <v>3950</v>
      </c>
      <c r="T407" s="27" t="n">
        <v>255</v>
      </c>
      <c r="U407" s="25" t="n">
        <v>1</v>
      </c>
      <c r="V407" s="27">
        <f>IF(S407="","",S407*U407)</f>
        <v/>
      </c>
      <c r="W407" s="26" t="inlineStr">
        <is>
          <t>Not in catalogue. Public national master → 2026-27 differentiated fee €3,950; exemption to ~€254-255 depends on university quota (25% cap in 2027-28).</t>
        </is>
      </c>
      <c r="X407" s="25" t="inlineStr">
        <is>
          <t>Medium</t>
        </is>
      </c>
      <c r="Y407" s="25" t="n"/>
      <c r="Z407" s="26" t="n"/>
      <c r="AA407" s="26" t="inlineStr">
        <is>
          <t>UGA (incl. Grenoble INP masters): 2026-27 broad exemptions on request (pay national €254). From 2027-28 the decree caps apply; exemptions based on resources.</t>
        </is>
      </c>
      <c r="AB407" s="28" t="inlineStr">
        <is>
          <t>https://www.univ-grenoble-alpes.fr/actualites/a-la-une/actualites-universite/etudiants-internationaux-ce-que-change-le-nouveau-decret-sur-les-droits-d-inscription-a-l-uga-1775870.kjsp</t>
        </is>
      </c>
      <c r="AC407" s="25" t="inlineStr">
        <is>
          <t>Open</t>
        </is>
      </c>
      <c r="AD407" s="25" t="inlineStr">
        <is>
          <t>2026-10-01</t>
        </is>
      </c>
      <c r="AE407" s="25" t="inlineStr">
        <is>
          <t>2027-03-15</t>
        </is>
      </c>
      <c r="AF407" s="25" t="inlineStr">
        <is>
          <t>No</t>
        </is>
      </c>
      <c r="AG407" s="28" t="inlineStr">
        <is>
          <t>https://formations.univ-grenoble-alpes.fr/fr/catalogue-2021/master-XB/master-biologie-IAQKB0GE/parcours-neurosciences-neurobiology-2e-annee-IBAVERI3.html</t>
        </is>
      </c>
      <c r="AH407" s="26" t="inlineStr">
        <is>
          <t>Formation en anglais - niveau B2 (oral et écrit) en anglais. Prerequisites: 1) Master 1 in Biology or Biotechnology for Health or Chemistry-Biology. Other types of diplomas analysed by the Pedagogical Validation Commissi</t>
        </is>
      </c>
      <c r="AI407" s="28" t="inlineStr">
        <is>
          <t>Open in EEF</t>
        </is>
      </c>
    </row>
    <row r="408" ht="32.8" customHeight="1" s="19">
      <c r="A408" s="25" t="n">
        <v>407</v>
      </c>
      <c r="B408" s="25" t="inlineStr">
        <is>
          <t>★★★★☆</t>
        </is>
      </c>
      <c r="C408" s="25" t="inlineStr">
        <is>
          <t>4 – Strong fit (electronics/signal/robotics/IoT/sensors)</t>
        </is>
      </c>
      <c r="D408" s="25" t="inlineStr">
        <is>
          <t>Embedded systems / Electronics</t>
        </is>
      </c>
      <c r="E408" s="26" t="inlineStr">
        <is>
          <t>Master indifférencié (recherche et professionnel) Sciences, Technologies, Santé mention Electronique, énergie électrique, automatique parcours EEA-EECS / Master in systems, control and information technologies PI (EECS/MISCIT)</t>
        </is>
      </c>
      <c r="F408" s="26" t="inlineStr">
        <is>
          <t>Science, Technology, Health (STS) – major: Electronics, Electrical Energy &amp; Automation (EEA) – track: EEA-EECS / Master in systems, control and Information Technologies PI (EECS/MISCIT)</t>
        </is>
      </c>
      <c r="G408" s="25" t="inlineStr">
        <is>
          <t>Master indifférencié (recherche et professionnel)</t>
        </is>
      </c>
      <c r="H408" s="25" t="inlineStr">
        <is>
          <t>UFR de Physique, ingénierie, terre, environnement, mécanique</t>
        </is>
      </c>
      <c r="I408" s="25" t="inlineStr">
        <is>
          <t>Université de Grenoble Alpes</t>
        </is>
      </c>
      <c r="J408" s="25" t="inlineStr">
        <is>
          <t>Site de Grenoble - Campus de Saint Martin d'Hères</t>
        </is>
      </c>
      <c r="K408" s="25" t="n"/>
      <c r="L408" s="25" t="inlineStr">
        <is>
          <t>Public university</t>
        </is>
      </c>
      <c r="M408" s="25" t="inlineStr">
        <is>
          <t>English</t>
        </is>
      </c>
      <c r="N408" s="25" t="inlineStr">
        <is>
          <t>Taught in English</t>
        </is>
      </c>
      <c r="O408" s="25" t="inlineStr">
        <is>
          <t>Bac +5</t>
        </is>
      </c>
      <c r="P408" s="26" t="inlineStr">
        <is>
          <t>Requires Bac+5 (Master) – likely not eligible; ask if 4-yr BS + experience accepted</t>
        </is>
      </c>
      <c r="Q408" s="25" t="inlineStr">
        <is>
          <t>2</t>
        </is>
      </c>
      <c r="R408" s="25" t="n"/>
      <c r="S408" s="27" t="n">
        <v>3950</v>
      </c>
      <c r="T408" s="27" t="n">
        <v>255</v>
      </c>
      <c r="U408" s="25" t="n">
        <v>1</v>
      </c>
      <c r="V408" s="27">
        <f>IF(S408="","",S408*U408)</f>
        <v/>
      </c>
      <c r="W408" s="26" t="inlineStr">
        <is>
          <t>Not in catalogue. Public national master → 2026-27 differentiated fee €3,950; exemption to ~€254-255 depends on university quota (25% cap in 2027-28).</t>
        </is>
      </c>
      <c r="X408" s="25" t="inlineStr">
        <is>
          <t>Medium</t>
        </is>
      </c>
      <c r="Y408" s="25" t="n"/>
      <c r="Z408" s="26" t="n"/>
      <c r="AA408" s="26" t="inlineStr">
        <is>
          <t>UGA (incl. Grenoble INP masters): 2026-27 broad exemptions on request (pay national €254). From 2027-28 the decree caps apply; exemptions based on resources.</t>
        </is>
      </c>
      <c r="AB408" s="28" t="inlineStr">
        <is>
          <t>https://www.univ-grenoble-alpes.fr/actualites/a-la-une/actualites-universite/etudiants-internationaux-ce-que-change-le-nouveau-decret-sur-les-droits-d-inscription-a-l-uga-1775870.kjsp</t>
        </is>
      </c>
      <c r="AC408" s="25" t="inlineStr">
        <is>
          <t>Open</t>
        </is>
      </c>
      <c r="AD408" s="25" t="inlineStr">
        <is>
          <t>2026-10-01</t>
        </is>
      </c>
      <c r="AE408" s="25" t="inlineStr">
        <is>
          <t>2027-03-15</t>
        </is>
      </c>
      <c r="AF408" s="25" t="inlineStr">
        <is>
          <t>No</t>
        </is>
      </c>
      <c r="AG408" s="28" t="inlineStr">
        <is>
          <t>https://formations.univ-grenoble-alpes.fr/fr/catalogue-2021/master-XB/master-electronique-energie-electrique-automatique-IFZ3DRB9.html</t>
        </is>
      </c>
      <c r="AH408" s="26" t="inlineStr">
        <is>
          <t>"General requirements: - hold a M1, bachelor or equivalent degree completed after four full years of University studies; - prove an English proficiency with CEFR (B2), TOEFL (IBT 87-109), IELTS (5.5-6.5), TOEIC (785-945)</t>
        </is>
      </c>
      <c r="AI408" s="28" t="inlineStr">
        <is>
          <t>Open in EEF</t>
        </is>
      </c>
    </row>
    <row r="409" ht="32.8" customHeight="1" s="19">
      <c r="A409" s="25" t="n">
        <v>408</v>
      </c>
      <c r="B409" s="25" t="inlineStr">
        <is>
          <t>★★★★☆</t>
        </is>
      </c>
      <c r="C409" s="25" t="inlineStr">
        <is>
          <t>4 – Strong fit (electronics/signal/robotics/IoT/sensors)</t>
        </is>
      </c>
      <c r="D409" s="25" t="inlineStr">
        <is>
          <t>Embedded systems / Electronics</t>
        </is>
      </c>
      <c r="E409" s="26" t="inlineStr">
        <is>
          <t>Master indifférencié (recherche et professionnel) Sciences, Technologies, Santé mention Electronique, énergie électrique, automatique parcours EEA - EECS / Wireless Integrated Circuits and Systems PI (EECS/WICS)</t>
        </is>
      </c>
      <c r="F409" s="26" t="inlineStr">
        <is>
          <t>Science, Technology, Health (STS) – major: Electronics, Electrical Energy &amp; Automation (EEA) – track: EEA - EECS / Wireless Integrated Circuits and Systems PI (EECS/WICS)</t>
        </is>
      </c>
      <c r="G409" s="25" t="inlineStr">
        <is>
          <t>Master indifférencié (recherche et professionnel)</t>
        </is>
      </c>
      <c r="H409" s="25" t="inlineStr">
        <is>
          <t>UFR de Physique, ingénierie, terre, environnement, mécanique</t>
        </is>
      </c>
      <c r="I409" s="25" t="inlineStr">
        <is>
          <t>Université de Grenoble Alpes</t>
        </is>
      </c>
      <c r="J409" s="25" t="inlineStr">
        <is>
          <t>Site de Grenoble - Polygone scientifique - GreEn-ER</t>
        </is>
      </c>
      <c r="K409" s="25" t="n"/>
      <c r="L409" s="25" t="inlineStr">
        <is>
          <t>Public university</t>
        </is>
      </c>
      <c r="M409" s="25" t="inlineStr">
        <is>
          <t>English</t>
        </is>
      </c>
      <c r="N409" s="25" t="inlineStr">
        <is>
          <t>Taught in English</t>
        </is>
      </c>
      <c r="O409" s="25" t="inlineStr">
        <is>
          <t>Bac +5</t>
        </is>
      </c>
      <c r="P409" s="26" t="inlineStr">
        <is>
          <t>Requires Bac+5 (Master) – likely not eligible; ask if 4-yr BS + experience accepted</t>
        </is>
      </c>
      <c r="Q409" s="25" t="inlineStr">
        <is>
          <t>2</t>
        </is>
      </c>
      <c r="R409" s="25" t="n"/>
      <c r="S409" s="27" t="n">
        <v>3950</v>
      </c>
      <c r="T409" s="27" t="n">
        <v>255</v>
      </c>
      <c r="U409" s="25" t="n">
        <v>1</v>
      </c>
      <c r="V409" s="27">
        <f>IF(S409="","",S409*U409)</f>
        <v/>
      </c>
      <c r="W409" s="26" t="inlineStr">
        <is>
          <t>Not in catalogue. Public national master → 2026-27 differentiated fee €3,950; exemption to ~€254-255 depends on university quota (25% cap in 2027-28).</t>
        </is>
      </c>
      <c r="X409" s="25" t="inlineStr">
        <is>
          <t>Medium</t>
        </is>
      </c>
      <c r="Y409" s="25" t="n"/>
      <c r="Z409" s="26" t="n"/>
      <c r="AA409" s="26" t="inlineStr">
        <is>
          <t>UGA (incl. Grenoble INP masters): 2026-27 broad exemptions on request (pay national €254). From 2027-28 the decree caps apply; exemptions based on resources.</t>
        </is>
      </c>
      <c r="AB409" s="28" t="inlineStr">
        <is>
          <t>https://www.univ-grenoble-alpes.fr/actualites/a-la-une/actualites-universite/etudiants-internationaux-ce-que-change-le-nouveau-decret-sur-les-droits-d-inscription-a-l-uga-1775870.kjsp</t>
        </is>
      </c>
      <c r="AC409" s="25" t="inlineStr">
        <is>
          <t>Open</t>
        </is>
      </c>
      <c r="AD409" s="25" t="inlineStr">
        <is>
          <t>2026-10-01</t>
        </is>
      </c>
      <c r="AE409" s="25" t="inlineStr">
        <is>
          <t>2027-03-15</t>
        </is>
      </c>
      <c r="AF409" s="25" t="inlineStr">
        <is>
          <t>No</t>
        </is>
      </c>
      <c r="AG409" s="28" t="inlineStr">
        <is>
          <t>https://formations.univ-grenoble-alpes.fr/fr/catalogue-2021/master-XB/master-electronique-energie-electrique-automatique-IFZ3DRB9.html</t>
        </is>
      </c>
      <c r="AH409" s="26" t="inlineStr">
        <is>
          <t>"General requirements: - hold a M1, bachelor or equivalent degree completed after four full years of University studies; - prove an English proficiency with CEFR (B2), TOEFL (IBT 87-109), IELTS (5.5-6.5), TOEIC (785-945)</t>
        </is>
      </c>
      <c r="AI409" s="28" t="inlineStr">
        <is>
          <t>Open in EEF</t>
        </is>
      </c>
    </row>
    <row r="410" ht="32.8" customHeight="1" s="19">
      <c r="A410" s="25" t="n">
        <v>409</v>
      </c>
      <c r="B410" s="25" t="inlineStr">
        <is>
          <t>★★★★☆</t>
        </is>
      </c>
      <c r="C410" s="25" t="inlineStr">
        <is>
          <t>4 – Strong fit (electronics/signal/robotics/IoT/sensors)</t>
        </is>
      </c>
      <c r="D410" s="25" t="inlineStr">
        <is>
          <t>Sensors / Instrumentation / Micro-Nano / Photonics</t>
        </is>
      </c>
      <c r="E410" s="26" t="inlineStr">
        <is>
          <t>Master indifférencié (recherche et professionnel) Sciences, Technologies, Santé mention Nanosciences et nanotechnologies parcours Nanobiotechnologies Parcours International</t>
        </is>
      </c>
      <c r="F410" s="26" t="inlineStr">
        <is>
          <t>Science, Technology, Health (STS) – major: Nanosciences &amp; Nanotechnologies – track: Nanobiotechnologies – track: International</t>
        </is>
      </c>
      <c r="G410" s="25" t="inlineStr">
        <is>
          <t>Master indifférencié (recherche et professionnel)</t>
        </is>
      </c>
      <c r="H410" s="25" t="inlineStr">
        <is>
          <t>UFR de Physique, ingénierie, terre, environnement, mécanique</t>
        </is>
      </c>
      <c r="I410" s="25" t="inlineStr">
        <is>
          <t>Université de Grenoble Alpes</t>
        </is>
      </c>
      <c r="J410" s="25" t="inlineStr">
        <is>
          <t>Site de Grenoble - Campus de Saint Martin d'Hères</t>
        </is>
      </c>
      <c r="K410" s="25" t="n"/>
      <c r="L410" s="25" t="inlineStr">
        <is>
          <t>Public university</t>
        </is>
      </c>
      <c r="M410" s="25" t="inlineStr">
        <is>
          <t>English</t>
        </is>
      </c>
      <c r="N410" s="25" t="inlineStr">
        <is>
          <t>Taught in English</t>
        </is>
      </c>
      <c r="O410" s="25" t="inlineStr">
        <is>
          <t>Bac +5</t>
        </is>
      </c>
      <c r="P410" s="26" t="inlineStr">
        <is>
          <t>Requires Bac+5 (Master) – likely not eligible; ask if 4-yr BS + experience accepted</t>
        </is>
      </c>
      <c r="Q410" s="25" t="inlineStr">
        <is>
          <t>2</t>
        </is>
      </c>
      <c r="R410" s="25" t="n"/>
      <c r="S410" s="27" t="n">
        <v>3950</v>
      </c>
      <c r="T410" s="27" t="n">
        <v>255</v>
      </c>
      <c r="U410" s="25" t="n">
        <v>1</v>
      </c>
      <c r="V410" s="27">
        <f>IF(S410="","",S410*U410)</f>
        <v/>
      </c>
      <c r="W410" s="26" t="inlineStr">
        <is>
          <t>Not in catalogue. Public national master → 2026-27 differentiated fee €3,950; exemption to ~€254-255 depends on university quota (25% cap in 2027-28).</t>
        </is>
      </c>
      <c r="X410" s="25" t="inlineStr">
        <is>
          <t>Medium</t>
        </is>
      </c>
      <c r="Y410" s="25" t="n"/>
      <c r="Z410" s="26" t="n"/>
      <c r="AA410" s="26" t="inlineStr">
        <is>
          <t>UGA (incl. Grenoble INP masters): 2026-27 broad exemptions on request (pay national €254). From 2027-28 the decree caps apply; exemptions based on resources.</t>
        </is>
      </c>
      <c r="AB410" s="28" t="inlineStr">
        <is>
          <t>https://www.univ-grenoble-alpes.fr/actualites/a-la-une/actualites-universite/etudiants-internationaux-ce-que-change-le-nouveau-decret-sur-les-droits-d-inscription-a-l-uga-1775870.kjsp</t>
        </is>
      </c>
      <c r="AC410" s="25" t="inlineStr">
        <is>
          <t>Open</t>
        </is>
      </c>
      <c r="AD410" s="25" t="inlineStr">
        <is>
          <t>2026-10-01</t>
        </is>
      </c>
      <c r="AE410" s="25" t="inlineStr">
        <is>
          <t>2027-03-15</t>
        </is>
      </c>
      <c r="AF410" s="25" t="inlineStr">
        <is>
          <t>No</t>
        </is>
      </c>
      <c r="AG410" s="28" t="inlineStr">
        <is>
          <t>https://formations.univ-grenoble-alpes.fr/fr/catalogue-2021/master-XB/master-nanosciences-et-nanotechnologies-IAQK78RT/parcours-nano-biotechnology-2e-annee-KIFWCDJ8.html</t>
        </is>
      </c>
      <c r="AH410" s="26" t="inlineStr">
        <is>
          <t>"Students who have completed a Master 1 program or a 4 years bachelor program (e.g. at least 240 ECTS) in Biology, Nanobiology, Biotechnology, Biochemistry, Physics, Medical engineering. Due to the pluri-disciplinarity o</t>
        </is>
      </c>
      <c r="AI410" s="28" t="inlineStr">
        <is>
          <t>Open in EEF</t>
        </is>
      </c>
    </row>
    <row r="411" ht="32.8" customHeight="1" s="19">
      <c r="A411" s="25" t="n">
        <v>410</v>
      </c>
      <c r="B411" s="25" t="inlineStr">
        <is>
          <t>★★★★☆</t>
        </is>
      </c>
      <c r="C411" s="25" t="inlineStr">
        <is>
          <t>4 – Strong fit (electronics/signal/robotics/IoT/sensors)</t>
        </is>
      </c>
      <c r="D411" s="25" t="inlineStr">
        <is>
          <t>Sensors / Instrumentation / Micro-Nano / Photonics</t>
        </is>
      </c>
      <c r="E411" s="26" t="inlineStr">
        <is>
          <t>Master indifférencié (recherche et professionnel) Sciences, Technologies, Santé mention Nanosciences et nanotechnologies parcours Nano-Physics Parcours International</t>
        </is>
      </c>
      <c r="F411" s="26" t="inlineStr">
        <is>
          <t>Science, Technology, Health (STS) – major: Nanosciences &amp; Nanotechnologies – track: Nano-Physics – track: International</t>
        </is>
      </c>
      <c r="G411" s="25" t="inlineStr">
        <is>
          <t>Master indifférencié (recherche et professionnel)</t>
        </is>
      </c>
      <c r="H411" s="25" t="inlineStr">
        <is>
          <t>UFR de Physique, ingénierie, terre, environnement, mécanique</t>
        </is>
      </c>
      <c r="I411" s="25" t="inlineStr">
        <is>
          <t>Université de Grenoble Alpes</t>
        </is>
      </c>
      <c r="J411" s="25" t="inlineStr">
        <is>
          <t>Site de Grenoble - Campus de Saint Martin d'Hères</t>
        </is>
      </c>
      <c r="K411" s="25" t="n"/>
      <c r="L411" s="25" t="inlineStr">
        <is>
          <t>Public university</t>
        </is>
      </c>
      <c r="M411" s="25" t="inlineStr">
        <is>
          <t>English</t>
        </is>
      </c>
      <c r="N411" s="25" t="inlineStr">
        <is>
          <t>Taught in English</t>
        </is>
      </c>
      <c r="O411" s="25" t="inlineStr">
        <is>
          <t>Bac +5</t>
        </is>
      </c>
      <c r="P411" s="26" t="inlineStr">
        <is>
          <t>Requires Bac+5 (Master) – likely not eligible; ask if 4-yr BS + experience accepted</t>
        </is>
      </c>
      <c r="Q411" s="25" t="inlineStr">
        <is>
          <t>2</t>
        </is>
      </c>
      <c r="R411" s="25" t="n"/>
      <c r="S411" s="27" t="n">
        <v>3950</v>
      </c>
      <c r="T411" s="27" t="n">
        <v>255</v>
      </c>
      <c r="U411" s="25" t="n">
        <v>1</v>
      </c>
      <c r="V411" s="27">
        <f>IF(S411="","",S411*U411)</f>
        <v/>
      </c>
      <c r="W411" s="26" t="inlineStr">
        <is>
          <t>Not in catalogue. Public national master → 2026-27 differentiated fee €3,950; exemption to ~€254-255 depends on university quota (25% cap in 2027-28).</t>
        </is>
      </c>
      <c r="X411" s="25" t="inlineStr">
        <is>
          <t>Medium</t>
        </is>
      </c>
      <c r="Y411" s="25" t="n"/>
      <c r="Z411" s="26" t="n"/>
      <c r="AA411" s="26" t="inlineStr">
        <is>
          <t>UGA (incl. Grenoble INP masters): 2026-27 broad exemptions on request (pay national €254). From 2027-28 the decree caps apply; exemptions based on resources.</t>
        </is>
      </c>
      <c r="AB411" s="28" t="inlineStr">
        <is>
          <t>https://www.univ-grenoble-alpes.fr/actualites/a-la-une/actualites-universite/etudiants-internationaux-ce-que-change-le-nouveau-decret-sur-les-droits-d-inscription-a-l-uga-1775870.kjsp</t>
        </is>
      </c>
      <c r="AC411" s="25" t="inlineStr">
        <is>
          <t>Open</t>
        </is>
      </c>
      <c r="AD411" s="25" t="inlineStr">
        <is>
          <t>2026-10-01</t>
        </is>
      </c>
      <c r="AE411" s="25" t="inlineStr">
        <is>
          <t>2027-03-15</t>
        </is>
      </c>
      <c r="AF411" s="25" t="inlineStr">
        <is>
          <t>No</t>
        </is>
      </c>
      <c r="AG411" s="28" t="inlineStr">
        <is>
          <t>https://formations.univ-grenoble-alpes.fr/fr/catalogue-2021/master-XB/master-nanosciences-et-nanotechnologies-IAQK78RT.html</t>
        </is>
      </c>
      <c r="AH411" s="26" t="inlineStr">
        <is>
          <t>M2 : The program is open to students who have already completed, a 3-year Bachelor followed by a first year in a Master program in Physics, Nanosciences, Materials Science, Materials Engineering, or a 240 ECTS 4-year bac</t>
        </is>
      </c>
      <c r="AI411" s="28" t="inlineStr">
        <is>
          <t>Open in EEF</t>
        </is>
      </c>
    </row>
    <row r="412" ht="32.8" customHeight="1" s="19">
      <c r="A412" s="25" t="n">
        <v>411</v>
      </c>
      <c r="B412" s="25" t="inlineStr">
        <is>
          <t>★★★★☆</t>
        </is>
      </c>
      <c r="C412" s="25" t="inlineStr">
        <is>
          <t>4 – Strong fit (electronics/signal/robotics/IoT/sensors)</t>
        </is>
      </c>
      <c r="D412" s="25" t="inlineStr">
        <is>
          <t>Sensors / Instrumentation / Micro-Nano / Photonics</t>
        </is>
      </c>
      <c r="E412" s="26" t="inlineStr">
        <is>
          <t>Master indifférencié (recherche et professionnel) Sciences, Technologies, Santé mention Nanosciences et nanotechnologies parcours Quantum Information and Quantum Engineering Parcours International</t>
        </is>
      </c>
      <c r="F412" s="26" t="inlineStr">
        <is>
          <t>Science, Technology, Health (STS) – major: Nanosciences &amp; Nanotechnologies – track: Quantum Information and Quantum Engineering – track: International</t>
        </is>
      </c>
      <c r="G412" s="25" t="inlineStr">
        <is>
          <t>Master indifférencié (recherche et professionnel)</t>
        </is>
      </c>
      <c r="H412" s="25" t="inlineStr">
        <is>
          <t>UFR de Physique, ingénierie, terre, environnement, mécanique</t>
        </is>
      </c>
      <c r="I412" s="25" t="inlineStr">
        <is>
          <t>Université de Grenoble Alpes</t>
        </is>
      </c>
      <c r="J412" s="25" t="inlineStr">
        <is>
          <t>Site de Grenoble - Campus de Saint Martin d'Hères</t>
        </is>
      </c>
      <c r="K412" s="25" t="n"/>
      <c r="L412" s="25" t="inlineStr">
        <is>
          <t>Public university</t>
        </is>
      </c>
      <c r="M412" s="25" t="inlineStr">
        <is>
          <t>English</t>
        </is>
      </c>
      <c r="N412" s="25" t="inlineStr">
        <is>
          <t>Taught in English</t>
        </is>
      </c>
      <c r="O412" s="25" t="inlineStr">
        <is>
          <t>Bac +5</t>
        </is>
      </c>
      <c r="P412" s="26" t="inlineStr">
        <is>
          <t>Requires Bac+5 (Master) – likely not eligible; ask if 4-yr BS + experience accepted</t>
        </is>
      </c>
      <c r="Q412" s="25" t="inlineStr">
        <is>
          <t>2</t>
        </is>
      </c>
      <c r="R412" s="25" t="n"/>
      <c r="S412" s="27" t="n">
        <v>3950</v>
      </c>
      <c r="T412" s="27" t="n">
        <v>255</v>
      </c>
      <c r="U412" s="25" t="n">
        <v>1</v>
      </c>
      <c r="V412" s="27">
        <f>IF(S412="","",S412*U412)</f>
        <v/>
      </c>
      <c r="W412" s="26" t="inlineStr">
        <is>
          <t>Not in catalogue. Public national master → 2026-27 differentiated fee €3,950; exemption to ~€254-255 depends on university quota (25% cap in 2027-28).</t>
        </is>
      </c>
      <c r="X412" s="25" t="inlineStr">
        <is>
          <t>Medium</t>
        </is>
      </c>
      <c r="Y412" s="25" t="n"/>
      <c r="Z412" s="26" t="n"/>
      <c r="AA412" s="26" t="inlineStr">
        <is>
          <t>UGA (incl. Grenoble INP masters): 2026-27 broad exemptions on request (pay national €254). From 2027-28 the decree caps apply; exemptions based on resources.</t>
        </is>
      </c>
      <c r="AB412" s="28" t="inlineStr">
        <is>
          <t>https://www.univ-grenoble-alpes.fr/actualites/a-la-une/actualites-universite/etudiants-internationaux-ce-que-change-le-nouveau-decret-sur-les-droits-d-inscription-a-l-uga-1775870.kjsp</t>
        </is>
      </c>
      <c r="AC412" s="25" t="inlineStr">
        <is>
          <t>Open</t>
        </is>
      </c>
      <c r="AD412" s="25" t="inlineStr">
        <is>
          <t>2026-10-01</t>
        </is>
      </c>
      <c r="AE412" s="25" t="inlineStr">
        <is>
          <t>2027-03-15</t>
        </is>
      </c>
      <c r="AF412" s="25" t="inlineStr">
        <is>
          <t>No</t>
        </is>
      </c>
      <c r="AG412" s="28" t="inlineStr">
        <is>
          <t>https://formations.univ-grenoble-alpes.fr/fr/catalogue-2021/master-XB/master-nanosciences-et-nanotechnologies-IAQK78RT.html</t>
        </is>
      </c>
      <c r="AH412" s="26" t="inlineStr">
        <is>
          <t>M2 : Students who have already completed a first year in a Master program in physics or a 4 years bachelor program in physics covering the prerequisites of the second year program in Grenoble (including quantum physics,</t>
        </is>
      </c>
      <c r="AI412" s="28" t="inlineStr">
        <is>
          <t>Open in EEF</t>
        </is>
      </c>
    </row>
    <row r="413" ht="32.8" customHeight="1" s="19">
      <c r="A413" s="25" t="n">
        <v>412</v>
      </c>
      <c r="B413" s="25" t="inlineStr">
        <is>
          <t>★★★★☆</t>
        </is>
      </c>
      <c r="C413" s="25" t="inlineStr">
        <is>
          <t>4 – Strong fit (electronics/signal/robotics/IoT/sensors)</t>
        </is>
      </c>
      <c r="D413" s="25" t="inlineStr">
        <is>
          <t>Signal / Image / Vision</t>
        </is>
      </c>
      <c r="E413" s="26" t="inlineStr">
        <is>
          <t>Master indifférencié (recherche et professionnel) Sciences, technologies, santé mention Traitement du signal et des images parcours Master of Science in Mobile, Autonomous, Robotic Systems (MARS)</t>
        </is>
      </c>
      <c r="F413" s="26" t="inlineStr">
        <is>
          <t>Science, Technology, Health (STS) – major: Signal &amp; Image Processing – track: Master of Science in Mobile, Autonomous, Robotic Systems (MARS)</t>
        </is>
      </c>
      <c r="G413" s="25" t="inlineStr">
        <is>
          <t>Master indifférencié (recherche et professionnel)</t>
        </is>
      </c>
      <c r="H413" s="25" t="inlineStr">
        <is>
          <t>Ecole nationale supérieure de l'énergie, l'eau et l'environnement - Grenoble INP</t>
        </is>
      </c>
      <c r="I413" s="25" t="inlineStr">
        <is>
          <t>Grenoble INP</t>
        </is>
      </c>
      <c r="J413" s="25" t="inlineStr">
        <is>
          <t>Site de Grenoble</t>
        </is>
      </c>
      <c r="K413" s="25" t="n"/>
      <c r="L413" s="25" t="inlineStr">
        <is>
          <t>Public school / institute</t>
        </is>
      </c>
      <c r="M413" s="25" t="inlineStr">
        <is>
          <t>English</t>
        </is>
      </c>
      <c r="N413" s="25" t="inlineStr">
        <is>
          <t>General</t>
        </is>
      </c>
      <c r="O413" s="25" t="inlineStr">
        <is>
          <t>Bac +5</t>
        </is>
      </c>
      <c r="P413" s="26" t="inlineStr">
        <is>
          <t>Requires Bac+5 (Master) – likely not eligible; ask if 4-yr BS + experience accepted</t>
        </is>
      </c>
      <c r="Q413" s="25" t="inlineStr">
        <is>
          <t>2</t>
        </is>
      </c>
      <c r="R413" s="25" t="n"/>
      <c r="S413" s="27" t="n">
        <v>3950</v>
      </c>
      <c r="T413" s="27" t="n">
        <v>255</v>
      </c>
      <c r="U413" s="25" t="n">
        <v>1</v>
      </c>
      <c r="V413" s="27">
        <f>IF(S413="","",S413*U413)</f>
        <v/>
      </c>
      <c r="W413" s="26" t="inlineStr">
        <is>
          <t>Not in catalogue. Public national master → 2026-27 differentiated fee €3,950; exemption to ~€254-255 depends on university quota (25% cap in 2027-28).</t>
        </is>
      </c>
      <c r="X413" s="25" t="inlineStr">
        <is>
          <t>Medium</t>
        </is>
      </c>
      <c r="Y413" s="25" t="n"/>
      <c r="Z413" s="26" t="n"/>
      <c r="AA413" s="26" t="inlineStr">
        <is>
          <t>UGA (incl. Grenoble INP masters): 2026-27 broad exemptions on request (pay national €254). From 2027-28 the decree caps apply; exemptions based on resources.</t>
        </is>
      </c>
      <c r="AB413" s="28" t="inlineStr">
        <is>
          <t>https://www.univ-grenoble-alpes.fr/actualites/a-la-une/actualites-universite/etudiants-internationaux-ce-que-change-le-nouveau-decret-sur-les-droits-d-inscription-a-l-uga-1775870.kjsp</t>
        </is>
      </c>
      <c r="AC413" s="25" t="inlineStr">
        <is>
          <t>Open</t>
        </is>
      </c>
      <c r="AD413" s="25" t="inlineStr">
        <is>
          <t>2026-10-01</t>
        </is>
      </c>
      <c r="AE413" s="25" t="inlineStr">
        <is>
          <t>2027-03-15</t>
        </is>
      </c>
      <c r="AF413" s="25" t="inlineStr">
        <is>
          <t>No</t>
        </is>
      </c>
      <c r="AG413" s="28" t="inlineStr">
        <is>
          <t>https://ense3.grenoble-inp.fr/en/study-at-ense3/masters-in-english</t>
        </is>
      </c>
      <c r="AH413" s="26" t="inlineStr">
        <is>
          <t>***PAGE CURRENTLY BEING UPDATED FOR THE 2027–2028 ACADEMIC YEAR*** Before applying, it is important to check the cost of the programme as well as the level of financial resources required for your year of study in France</t>
        </is>
      </c>
      <c r="AI413" s="28" t="inlineStr">
        <is>
          <t>Open in EEF</t>
        </is>
      </c>
    </row>
    <row r="414" ht="32.8" customHeight="1" s="19">
      <c r="A414" s="25" t="n">
        <v>413</v>
      </c>
      <c r="B414" s="25" t="inlineStr">
        <is>
          <t>★★★★☆</t>
        </is>
      </c>
      <c r="C414" s="25" t="inlineStr">
        <is>
          <t>4 – Strong fit (electronics/signal/robotics/IoT/sensors)</t>
        </is>
      </c>
      <c r="D414" s="25" t="inlineStr">
        <is>
          <t>Sensors / Instrumentation / Micro-Nano / Photonics</t>
        </is>
      </c>
      <c r="E414" s="26" t="inlineStr">
        <is>
          <t>Master Sciences et technologies mention Instrumentation, mesure, métrologie parcours Instrumentation and measurement science for major nuclear research facilities</t>
        </is>
      </c>
      <c r="F414" s="26" t="inlineStr">
        <is>
          <t>Master Science &amp; Technology – major: Instrumentation, Measurement, Metrology – track: Instrumentation and measurement Science for major nuclear research facilities</t>
        </is>
      </c>
      <c r="G414" s="25" t="inlineStr">
        <is>
          <t>Master indifférencié (recherche et professionnel)</t>
        </is>
      </c>
      <c r="H414" s="25" t="inlineStr">
        <is>
          <t>UFR Sciences</t>
        </is>
      </c>
      <c r="I414" s="25" t="inlineStr">
        <is>
          <t>Université d'Aix-Marseille</t>
        </is>
      </c>
      <c r="J414" s="25" t="inlineStr">
        <is>
          <t>Site de Marseille - St Jérôme</t>
        </is>
      </c>
      <c r="K414" s="25" t="n"/>
      <c r="L414" s="25" t="inlineStr">
        <is>
          <t>Public university</t>
        </is>
      </c>
      <c r="M414" s="25" t="inlineStr">
        <is>
          <t>English</t>
        </is>
      </c>
      <c r="N414" s="25" t="inlineStr">
        <is>
          <t>General</t>
        </is>
      </c>
      <c r="O414" s="25" t="inlineStr">
        <is>
          <t>Bac +5</t>
        </is>
      </c>
      <c r="P414" s="26" t="inlineStr">
        <is>
          <t>Requires Bac+5 (Master) – likely not eligible; ask if 4-yr BS + experience accepted</t>
        </is>
      </c>
      <c r="Q414" s="25" t="inlineStr">
        <is>
          <t>2</t>
        </is>
      </c>
      <c r="R414" s="25" t="n"/>
      <c r="S414" s="27" t="n">
        <v>3950</v>
      </c>
      <c r="T414" s="27" t="n">
        <v>255</v>
      </c>
      <c r="U414" s="25" t="n">
        <v>1</v>
      </c>
      <c r="V414" s="27">
        <f>IF(S414="","",S414*U414)</f>
        <v/>
      </c>
      <c r="W414" s="26" t="inlineStr">
        <is>
          <t>Not in catalogue. Public national master → 2026-27 differentiated fee €3,950; exemption to ~€254-255 depends on university quota (25% cap in 2027-28).</t>
        </is>
      </c>
      <c r="X414" s="25" t="inlineStr">
        <is>
          <t>Medium</t>
        </is>
      </c>
      <c r="Y414" s="25" t="n"/>
      <c r="Z414" s="26" t="n"/>
      <c r="AA414" s="26" t="inlineStr">
        <is>
          <t>AMU 2026-27: limited exemptions (≈1,800 of 5,500 students) – priority to continuing students, conflict zones, excellence scholarships. New master entrants usually pay €3,950.</t>
        </is>
      </c>
      <c r="AB414" s="28" t="inlineStr">
        <is>
          <t>https://www.univ-amu.fr/fr/actualites/aix-marseille-universite-mobilise-pleinement-capacite-dexoneration-continuer-accueillir</t>
        </is>
      </c>
      <c r="AC414" s="25" t="inlineStr">
        <is>
          <t>Open</t>
        </is>
      </c>
      <c r="AD414" s="25" t="inlineStr">
        <is>
          <t>2026-10-01</t>
        </is>
      </c>
      <c r="AE414" s="25" t="inlineStr">
        <is>
          <t>2027-03-15</t>
        </is>
      </c>
      <c r="AF414" s="25" t="inlineStr">
        <is>
          <t>No</t>
        </is>
      </c>
      <c r="AG414" s="28" t="inlineStr">
        <is>
          <t>https://formations.univ-amu.fr/fr/master/5SMI/PRSMI5C5</t>
        </is>
      </c>
      <c r="AH414" s="26" t="inlineStr">
        <is>
          <t>We would like to draw your attention to 2 important points for your application : Your application must be complete and validated by the Espace Etudes in France The faculty will review the applications The level of Engli</t>
        </is>
      </c>
      <c r="AI414" s="28" t="inlineStr">
        <is>
          <t>Open in EEF</t>
        </is>
      </c>
    </row>
    <row r="415" ht="22.35" customHeight="1" s="19">
      <c r="A415" s="25" t="n">
        <v>414</v>
      </c>
      <c r="B415" s="25" t="inlineStr">
        <is>
          <t>★★★★☆</t>
        </is>
      </c>
      <c r="C415" s="25" t="inlineStr">
        <is>
          <t>4 – Strong fit (electronics/signal/robotics/IoT/sensors)</t>
        </is>
      </c>
      <c r="D415" s="25" t="inlineStr">
        <is>
          <t>Neuroscience / Neuro-engineering</t>
        </is>
      </c>
      <c r="E415" s="26" t="inlineStr">
        <is>
          <t>Master Sciences, technologies, santé, mention Neurosciences parcours iMIND - International Master in Neurodegenerative Diseases</t>
        </is>
      </c>
      <c r="F415" s="26" t="inlineStr">
        <is>
          <t>Master Science, Technology, Health (STS), – major: Neuroscience – track: iMIND - International Master in Neurodegenerative Diseases</t>
        </is>
      </c>
      <c r="G415" s="25" t="inlineStr">
        <is>
          <t>Master indifférencié (recherche et professionnel)</t>
        </is>
      </c>
      <c r="H415" s="25" t="inlineStr">
        <is>
          <t>Sciences et Ingénierie</t>
        </is>
      </c>
      <c r="I415" s="25" t="inlineStr">
        <is>
          <t>Sorbonne Université</t>
        </is>
      </c>
      <c r="J415" s="25" t="inlineStr">
        <is>
          <t>Site de Paris</t>
        </is>
      </c>
      <c r="K415" s="25" t="n"/>
      <c r="L415" s="25" t="inlineStr">
        <is>
          <t>Public university</t>
        </is>
      </c>
      <c r="M415" s="25" t="inlineStr">
        <is>
          <t>English</t>
        </is>
      </c>
      <c r="N415" s="25" t="inlineStr">
        <is>
          <t>General</t>
        </is>
      </c>
      <c r="O415" s="25" t="inlineStr">
        <is>
          <t>Bac +5</t>
        </is>
      </c>
      <c r="P415" s="26" t="inlineStr">
        <is>
          <t>Requires Bac+5 (Master) – likely not eligible; ask if 4-yr BS + experience accepted</t>
        </is>
      </c>
      <c r="Q415" s="25" t="inlineStr">
        <is>
          <t>2</t>
        </is>
      </c>
      <c r="R415" s="25" t="n"/>
      <c r="S415" s="27" t="n">
        <v>3950</v>
      </c>
      <c r="T415" s="27" t="n">
        <v>255</v>
      </c>
      <c r="U415" s="25" t="n">
        <v>1</v>
      </c>
      <c r="V415" s="27">
        <f>IF(S415="","",S415*U415)</f>
        <v/>
      </c>
      <c r="W415" s="26" t="inlineStr">
        <is>
          <t>Not in catalogue. Public national master → 2026-27 differentiated fee €3,950; exemption to ~€254-255 depends on university quota (25% cap in 2027-28).</t>
        </is>
      </c>
      <c r="X415" s="25" t="inlineStr">
        <is>
          <t>Medium</t>
        </is>
      </c>
      <c r="Y415" s="25" t="n"/>
      <c r="Z415" s="26" t="n"/>
      <c r="AA415" s="26" t="inlineStr">
        <is>
          <t>Board vote 7 Jul 2026: Sorbonne Université says it can exempt all eligible non-EU applicants (pay same as EU, ~€254) for 2026-27.</t>
        </is>
      </c>
      <c r="AB415" s="28" t="inlineStr">
        <is>
          <t>https://www.sorbonne-universite.fr/actualites/le-conseil-dadministration-de-sorbonne-universite-vote-lunanimite-le-7-juillet-2026-sa</t>
        </is>
      </c>
      <c r="AC415" s="25" t="inlineStr">
        <is>
          <t>Open</t>
        </is>
      </c>
      <c r="AD415" s="25" t="inlineStr">
        <is>
          <t>2026-10-01</t>
        </is>
      </c>
      <c r="AE415" s="25" t="inlineStr">
        <is>
          <t>2027-03-15</t>
        </is>
      </c>
      <c r="AF415" s="25" t="inlineStr">
        <is>
          <t>No</t>
        </is>
      </c>
      <c r="AG415" s="28" t="inlineStr">
        <is>
          <t>https://sciences.sorbonne-universite.fr/formation-sciences/offre-de-formation/masters/master-neurosciences/</t>
        </is>
      </c>
      <c r="AH415" s="26" t="n"/>
      <c r="AI415" s="28" t="inlineStr">
        <is>
          <t>Open in EEF</t>
        </is>
      </c>
    </row>
    <row r="416" ht="22.35" customHeight="1" s="19">
      <c r="A416" s="25" t="n">
        <v>415</v>
      </c>
      <c r="B416" s="25" t="inlineStr">
        <is>
          <t>★★★★☆</t>
        </is>
      </c>
      <c r="C416" s="25" t="inlineStr">
        <is>
          <t>4 – Strong fit (electronics/signal/robotics/IoT/sensors)</t>
        </is>
      </c>
      <c r="D416" s="25" t="inlineStr">
        <is>
          <t>Neuroscience / Neuro-engineering</t>
        </is>
      </c>
      <c r="E416" s="26" t="inlineStr">
        <is>
          <t>Master Sciences, technologies, santé, mention Neurosciences parcours iSENSE - Integrative Sensory Neuroscience</t>
        </is>
      </c>
      <c r="F416" s="26" t="inlineStr">
        <is>
          <t>Master Science, Technology, Health (STS), – major: Neuroscience – track: iSENSE - Integrative Sensory Neuroscience</t>
        </is>
      </c>
      <c r="G416" s="25" t="inlineStr">
        <is>
          <t>Master indifférencié (recherche et professionnel)</t>
        </is>
      </c>
      <c r="H416" s="25" t="inlineStr">
        <is>
          <t>Sciences et Ingénierie</t>
        </is>
      </c>
      <c r="I416" s="25" t="inlineStr">
        <is>
          <t>Sorbonne Université</t>
        </is>
      </c>
      <c r="J416" s="25" t="inlineStr">
        <is>
          <t>Site de Paris</t>
        </is>
      </c>
      <c r="K416" s="25" t="n"/>
      <c r="L416" s="25" t="inlineStr">
        <is>
          <t>Public university</t>
        </is>
      </c>
      <c r="M416" s="25" t="inlineStr">
        <is>
          <t>English</t>
        </is>
      </c>
      <c r="N416" s="25" t="inlineStr">
        <is>
          <t>General</t>
        </is>
      </c>
      <c r="O416" s="25" t="inlineStr">
        <is>
          <t>Bac +5</t>
        </is>
      </c>
      <c r="P416" s="26" t="inlineStr">
        <is>
          <t>Requires Bac+5 (Master) – likely not eligible; ask if 4-yr BS + experience accepted</t>
        </is>
      </c>
      <c r="Q416" s="25" t="inlineStr">
        <is>
          <t>2</t>
        </is>
      </c>
      <c r="R416" s="25" t="n"/>
      <c r="S416" s="27" t="n">
        <v>3950</v>
      </c>
      <c r="T416" s="27" t="n">
        <v>255</v>
      </c>
      <c r="U416" s="25" t="n">
        <v>1</v>
      </c>
      <c r="V416" s="27">
        <f>IF(S416="","",S416*U416)</f>
        <v/>
      </c>
      <c r="W416" s="26" t="inlineStr">
        <is>
          <t>Not in catalogue. Public national master → 2026-27 differentiated fee €3,950; exemption to ~€254-255 depends on university quota (25% cap in 2027-28).</t>
        </is>
      </c>
      <c r="X416" s="25" t="inlineStr">
        <is>
          <t>Medium</t>
        </is>
      </c>
      <c r="Y416" s="25" t="n"/>
      <c r="Z416" s="26" t="n"/>
      <c r="AA416" s="26" t="inlineStr">
        <is>
          <t>Board vote 7 Jul 2026: Sorbonne Université says it can exempt all eligible non-EU applicants (pay same as EU, ~€254) for 2026-27.</t>
        </is>
      </c>
      <c r="AB416" s="28" t="inlineStr">
        <is>
          <t>https://www.sorbonne-universite.fr/actualites/le-conseil-dadministration-de-sorbonne-universite-vote-lunanimite-le-7-juillet-2026-sa</t>
        </is>
      </c>
      <c r="AC416" s="25" t="inlineStr">
        <is>
          <t>Open</t>
        </is>
      </c>
      <c r="AD416" s="25" t="inlineStr">
        <is>
          <t>2026-10-01</t>
        </is>
      </c>
      <c r="AE416" s="25" t="inlineStr">
        <is>
          <t>2027-03-15</t>
        </is>
      </c>
      <c r="AF416" s="25" t="inlineStr">
        <is>
          <t>No</t>
        </is>
      </c>
      <c r="AG416" s="28" t="inlineStr">
        <is>
          <t>https://sciences.sorbonne-universite.fr/formation-sciences/offre-de-formation/masters/master-neurosciences/</t>
        </is>
      </c>
      <c r="AH416" s="26" t="n"/>
      <c r="AI416" s="28" t="inlineStr">
        <is>
          <t>Open in EEF</t>
        </is>
      </c>
    </row>
    <row r="417" ht="32.8" customHeight="1" s="19">
      <c r="A417" s="25" t="n">
        <v>416</v>
      </c>
      <c r="B417" s="25" t="inlineStr">
        <is>
          <t>★★★★☆</t>
        </is>
      </c>
      <c r="C417" s="25" t="inlineStr">
        <is>
          <t>4 – Strong fit (electronics/signal/robotics/IoT/sensors)</t>
        </is>
      </c>
      <c r="D417" s="25" t="inlineStr">
        <is>
          <t>Signal / Image / Vision</t>
        </is>
      </c>
      <c r="E417" s="26" t="inlineStr">
        <is>
          <t>Master Sciences, technologies, santé, Traitement du signal et des images International Master in Geoscience and Remote Sensing</t>
        </is>
      </c>
      <c r="F417" s="26" t="inlineStr">
        <is>
          <t>Master Science, Technology, Health (STS), Signal &amp; Image Processing International Master in Geoscience and Remote Sensing</t>
        </is>
      </c>
      <c r="G417" s="25" t="inlineStr">
        <is>
          <t>Master indifférencié (recherche et professionnel)</t>
        </is>
      </c>
      <c r="H417" s="25" t="inlineStr">
        <is>
          <t>Ecole nationale supérieure de l'énergie, l'eau et l'environnement - Grenoble INP</t>
        </is>
      </c>
      <c r="I417" s="25" t="inlineStr">
        <is>
          <t>Grenoble INP</t>
        </is>
      </c>
      <c r="J417" s="25" t="inlineStr">
        <is>
          <t>Site de Grenoble</t>
        </is>
      </c>
      <c r="K417" s="25" t="n"/>
      <c r="L417" s="25" t="inlineStr">
        <is>
          <t>Public school / institute</t>
        </is>
      </c>
      <c r="M417" s="25" t="inlineStr">
        <is>
          <t>English</t>
        </is>
      </c>
      <c r="N417" s="25" t="inlineStr">
        <is>
          <t>General</t>
        </is>
      </c>
      <c r="O417" s="25" t="inlineStr">
        <is>
          <t>Bac +5</t>
        </is>
      </c>
      <c r="P417" s="26" t="inlineStr">
        <is>
          <t>Requires Bac+5 (Master) – likely not eligible; ask if 4-yr BS + experience accepted</t>
        </is>
      </c>
      <c r="Q417" s="25" t="inlineStr">
        <is>
          <t>2</t>
        </is>
      </c>
      <c r="R417" s="25" t="n"/>
      <c r="S417" s="27" t="n">
        <v>3950</v>
      </c>
      <c r="T417" s="27" t="n">
        <v>255</v>
      </c>
      <c r="U417" s="25" t="n">
        <v>1</v>
      </c>
      <c r="V417" s="27">
        <f>IF(S417="","",S417*U417)</f>
        <v/>
      </c>
      <c r="W417" s="26" t="inlineStr">
        <is>
          <t>Not in catalogue. Public national master → 2026-27 differentiated fee €3,950; exemption to ~€254-255 depends on university quota (25% cap in 2027-28).</t>
        </is>
      </c>
      <c r="X417" s="25" t="inlineStr">
        <is>
          <t>Medium</t>
        </is>
      </c>
      <c r="Y417" s="25" t="n"/>
      <c r="Z417" s="26" t="n"/>
      <c r="AA417" s="26" t="inlineStr">
        <is>
          <t>UGA (incl. Grenoble INP masters): 2026-27 broad exemptions on request (pay national €254). From 2027-28 the decree caps apply; exemptions based on resources.</t>
        </is>
      </c>
      <c r="AB417" s="28" t="inlineStr">
        <is>
          <t>https://www.univ-grenoble-alpes.fr/actualites/a-la-une/actualites-universite/etudiants-internationaux-ce-que-change-le-nouveau-decret-sur-les-droits-d-inscription-a-l-uga-1775870.kjsp</t>
        </is>
      </c>
      <c r="AC417" s="25" t="inlineStr">
        <is>
          <t>Open</t>
        </is>
      </c>
      <c r="AD417" s="25" t="inlineStr">
        <is>
          <t>2026-10-01</t>
        </is>
      </c>
      <c r="AE417" s="25" t="inlineStr">
        <is>
          <t>2027-03-15</t>
        </is>
      </c>
      <c r="AF417" s="25" t="inlineStr">
        <is>
          <t>Yes</t>
        </is>
      </c>
      <c r="AG417" s="28" t="inlineStr">
        <is>
          <t>https://ense3.grenoble-inp.fr/en/study-at-ense3/masters-in-english</t>
        </is>
      </c>
      <c r="AH417" s="26" t="inlineStr">
        <is>
          <t>***PAGE CURRENTLY BEING UPDATED FOR THE 2027–2028 ACADEMIC YEAR*** Before applying, it is important to check the cost of the programme as well as the level of financial resources required for your year of study in France</t>
        </is>
      </c>
      <c r="AI417" s="28" t="inlineStr">
        <is>
          <t>Open in EEF</t>
        </is>
      </c>
    </row>
    <row r="418" ht="32.8" customHeight="1" s="19">
      <c r="A418" s="25" t="n">
        <v>417</v>
      </c>
      <c r="B418" s="25" t="inlineStr">
        <is>
          <t>★★★★☆</t>
        </is>
      </c>
      <c r="C418" s="25" t="inlineStr">
        <is>
          <t>4 – Strong fit (electronics/signal/robotics/IoT/sensors)</t>
        </is>
      </c>
      <c r="D418" s="25" t="inlineStr">
        <is>
          <t>Embedded systems / Electronics</t>
        </is>
      </c>
      <c r="E418" s="26" t="inlineStr">
        <is>
          <t>Master indifférencié (recherche et professionnel) Sciences, technologies, santé mention informatique et ingénièrie des systèmes complexes parcours Electronique des systèmes intelligents</t>
        </is>
      </c>
      <c r="F418" s="26" t="inlineStr">
        <is>
          <t>Science, Technology, Health (STS) – major: Computer Science &amp; Engineering of Systems Complex – track: Electronics of Systems Intelligent</t>
        </is>
      </c>
      <c r="G418" s="25" t="inlineStr">
        <is>
          <t>Master indifférencié (recherche et professionnel)</t>
        </is>
      </c>
      <c r="H418" s="25" t="inlineStr">
        <is>
          <t>UFR des Sciences et techniques</t>
        </is>
      </c>
      <c r="I418" s="25" t="inlineStr">
        <is>
          <t>CY Cergy Paris Université</t>
        </is>
      </c>
      <c r="J418" s="25" t="inlineStr">
        <is>
          <t>Site de Cergy</t>
        </is>
      </c>
      <c r="K418" s="25" t="n"/>
      <c r="L418" s="25" t="inlineStr">
        <is>
          <t>Public university</t>
        </is>
      </c>
      <c r="M418" s="25" t="inlineStr">
        <is>
          <t>French &amp; English</t>
        </is>
      </c>
      <c r="N418" s="25" t="inlineStr">
        <is>
          <t>General</t>
        </is>
      </c>
      <c r="O418" s="25" t="inlineStr">
        <is>
          <t>Bac +5</t>
        </is>
      </c>
      <c r="P418" s="26" t="inlineStr">
        <is>
          <t>Requires Bac+5 (Master) – likely not eligible; ask if 4-yr BS + experience accepted</t>
        </is>
      </c>
      <c r="Q418" s="25" t="inlineStr">
        <is>
          <t>2</t>
        </is>
      </c>
      <c r="R418" s="25" t="inlineStr">
        <is>
          <t>10</t>
        </is>
      </c>
      <c r="S418" s="27" t="n">
        <v>3950</v>
      </c>
      <c r="T418" s="27" t="n">
        <v>255</v>
      </c>
      <c r="U418" s="25" t="n">
        <v>1</v>
      </c>
      <c r="V418" s="27">
        <f>IF(S418="","",S418*U418)</f>
        <v/>
      </c>
      <c r="W418" s="26" t="inlineStr">
        <is>
          <t>Catalogue: €3,950. = national differentiated master fee (2026-27: €3,950). Exemption to ~€255 possible (university quota).</t>
        </is>
      </c>
      <c r="X418" s="25" t="inlineStr">
        <is>
          <t>High</t>
        </is>
      </c>
      <c r="Y418" s="25" t="inlineStr">
        <is>
          <t>3950</t>
        </is>
      </c>
      <c r="Z418" s="26" t="n"/>
      <c r="AA418" s="26" t="n"/>
      <c r="AB418" s="25" t="n"/>
      <c r="AC418" s="25" t="inlineStr">
        <is>
          <t>Open</t>
        </is>
      </c>
      <c r="AD418" s="25" t="inlineStr">
        <is>
          <t>2026-10-01</t>
        </is>
      </c>
      <c r="AE418" s="25" t="inlineStr">
        <is>
          <t>2027-03-15</t>
        </is>
      </c>
      <c r="AF418" s="25" t="inlineStr">
        <is>
          <t>No</t>
        </is>
      </c>
      <c r="AG418" s="28" t="inlineStr">
        <is>
          <t>https://www.cyu.fr/master-informatique-et-ingenierie-des-systemes-complexes-electronique-des-systemes-intelligents</t>
        </is>
      </c>
      <c r="AH418" s="26" t="inlineStr">
        <is>
          <t>• Bon niveau scientifique général • Très bon niveau en électronique • Bon niveau en informatique • Formation par la recherche • Niveau d'anglais : B2 • Niveau de français : B2</t>
        </is>
      </c>
      <c r="AI418" s="28" t="inlineStr">
        <is>
          <t>Open in EEF</t>
        </is>
      </c>
    </row>
    <row r="419" ht="43.25" customHeight="1" s="19">
      <c r="A419" s="25" t="n">
        <v>418</v>
      </c>
      <c r="B419" s="25" t="inlineStr">
        <is>
          <t>★★★★☆</t>
        </is>
      </c>
      <c r="C419" s="25" t="inlineStr">
        <is>
          <t>4 – Strong fit (electronics/signal/robotics/IoT/sensors)</t>
        </is>
      </c>
      <c r="D419" s="25" t="inlineStr">
        <is>
          <t>IoT / Telecom / Networks</t>
        </is>
      </c>
      <c r="E419" s="26" t="inlineStr">
        <is>
          <t>Master indifférencié (recherche et professionnel) Sciences, technologies, santé mention informatique et ingénierie des systèmes complexes parcours systèmes intelligents et communicants parcours Intelligence artificielle, Robotique et Cognition</t>
        </is>
      </c>
      <c r="F419" s="26" t="inlineStr">
        <is>
          <t>Science, Technology, Health (STS) – major: Computer Science &amp; Complex Systems Engineering – track: Systems Intelligent &amp; Communicating – track: Artificial Intelligence, Robotics &amp; Cognition</t>
        </is>
      </c>
      <c r="G419" s="25" t="inlineStr">
        <is>
          <t>Master indifférencié (recherche et professionnel)</t>
        </is>
      </c>
      <c r="H419" s="25" t="inlineStr">
        <is>
          <t>UFR des Sciences et techniques</t>
        </is>
      </c>
      <c r="I419" s="25" t="inlineStr">
        <is>
          <t>CY Cergy Paris Université</t>
        </is>
      </c>
      <c r="J419" s="25" t="inlineStr">
        <is>
          <t>Site de Cergy</t>
        </is>
      </c>
      <c r="K419" s="25" t="n"/>
      <c r="L419" s="25" t="inlineStr">
        <is>
          <t>Public university</t>
        </is>
      </c>
      <c r="M419" s="25" t="inlineStr">
        <is>
          <t>French &amp; English</t>
        </is>
      </c>
      <c r="N419" s="25" t="inlineStr">
        <is>
          <t>General</t>
        </is>
      </c>
      <c r="O419" s="25" t="inlineStr">
        <is>
          <t>Bac +5</t>
        </is>
      </c>
      <c r="P419" s="26" t="inlineStr">
        <is>
          <t>Requires Bac+5 (Master) – likely not eligible; ask if 4-yr BS + experience accepted</t>
        </is>
      </c>
      <c r="Q419" s="25" t="inlineStr">
        <is>
          <t>2</t>
        </is>
      </c>
      <c r="R419" s="25" t="inlineStr">
        <is>
          <t>10</t>
        </is>
      </c>
      <c r="S419" s="27" t="n">
        <v>3950</v>
      </c>
      <c r="T419" s="27" t="n">
        <v>255</v>
      </c>
      <c r="U419" s="25" t="n">
        <v>1</v>
      </c>
      <c r="V419" s="27">
        <f>IF(S419="","",S419*U419)</f>
        <v/>
      </c>
      <c r="W419" s="26" t="inlineStr">
        <is>
          <t>Catalogue: €3,950. = national differentiated master fee (2026-27: €3,950). Exemption to ~€255 possible (university quota).</t>
        </is>
      </c>
      <c r="X419" s="25" t="inlineStr">
        <is>
          <t>High</t>
        </is>
      </c>
      <c r="Y419" s="25" t="inlineStr">
        <is>
          <t>3950</t>
        </is>
      </c>
      <c r="Z419" s="26" t="n"/>
      <c r="AA419" s="26" t="n"/>
      <c r="AB419" s="25" t="n"/>
      <c r="AC419" s="25" t="inlineStr">
        <is>
          <t>Open</t>
        </is>
      </c>
      <c r="AD419" s="25" t="inlineStr">
        <is>
          <t>2026-10-01</t>
        </is>
      </c>
      <c r="AE419" s="25" t="inlineStr">
        <is>
          <t>2027-03-15</t>
        </is>
      </c>
      <c r="AF419" s="25" t="inlineStr">
        <is>
          <t>No</t>
        </is>
      </c>
      <c r="AG419" s="28" t="inlineStr">
        <is>
          <t>https://www.cyu.fr/master-informatique-et-ingenierie-des-systemes-complexes-intelligence-artificielle-et-robotique</t>
        </is>
      </c>
      <c r="AH419" s="26" t="inlineStr">
        <is>
          <t>• Bon niveau scientifique général • Très bon niveau en informatique (algorithmique, programmation, embarqué) • Connaissances en IA et/ou robotique souhaitées • Bon niveau en mathématiques appliquées • Formation par la re</t>
        </is>
      </c>
      <c r="AI419" s="28" t="inlineStr">
        <is>
          <t>Open in EEF</t>
        </is>
      </c>
    </row>
    <row r="420" ht="32.8" customHeight="1" s="19">
      <c r="A420" s="25" t="n">
        <v>419</v>
      </c>
      <c r="B420" s="25" t="inlineStr">
        <is>
          <t>★★★★☆</t>
        </is>
      </c>
      <c r="C420" s="25" t="inlineStr">
        <is>
          <t>4 – Strong fit (electronics/signal/robotics/IoT/sensors)</t>
        </is>
      </c>
      <c r="D420" s="25" t="inlineStr">
        <is>
          <t>IoT / Telecom / Networks</t>
        </is>
      </c>
      <c r="E420" s="26" t="inlineStr">
        <is>
          <t>Master indifférencié (recherche et professionnel) Sciences, technologies, santé mention informatique et ingénierie des systèmes complexes parcours systèmes intelligents et communicants parcours Signaux et informations</t>
        </is>
      </c>
      <c r="F420" s="26" t="inlineStr">
        <is>
          <t>Science, Technology, Health (STS) – major: Computer Science &amp; Complex Systems Engineering – track: Systems Intelligent &amp; Communicating – track: Signaux &amp; informations</t>
        </is>
      </c>
      <c r="G420" s="25" t="inlineStr">
        <is>
          <t>Master indifférencié (recherche et professionnel)</t>
        </is>
      </c>
      <c r="H420" s="25" t="inlineStr">
        <is>
          <t>UFR des Sciences et techniques</t>
        </is>
      </c>
      <c r="I420" s="25" t="inlineStr">
        <is>
          <t>CY Cergy Paris Université</t>
        </is>
      </c>
      <c r="J420" s="25" t="inlineStr">
        <is>
          <t>Site de Cergy</t>
        </is>
      </c>
      <c r="K420" s="25" t="n"/>
      <c r="L420" s="25" t="inlineStr">
        <is>
          <t>Public university</t>
        </is>
      </c>
      <c r="M420" s="25" t="inlineStr">
        <is>
          <t>French &amp; English</t>
        </is>
      </c>
      <c r="N420" s="25" t="inlineStr">
        <is>
          <t>General</t>
        </is>
      </c>
      <c r="O420" s="25" t="inlineStr">
        <is>
          <t>Bac +5</t>
        </is>
      </c>
      <c r="P420" s="26" t="inlineStr">
        <is>
          <t>Requires Bac+5 (Master) – likely not eligible; ask if 4-yr BS + experience accepted</t>
        </is>
      </c>
      <c r="Q420" s="25" t="inlineStr">
        <is>
          <t>2</t>
        </is>
      </c>
      <c r="R420" s="25" t="inlineStr">
        <is>
          <t>10</t>
        </is>
      </c>
      <c r="S420" s="27" t="n">
        <v>3950</v>
      </c>
      <c r="T420" s="27" t="n">
        <v>255</v>
      </c>
      <c r="U420" s="25" t="n">
        <v>1</v>
      </c>
      <c r="V420" s="27">
        <f>IF(S420="","",S420*U420)</f>
        <v/>
      </c>
      <c r="W420" s="26" t="inlineStr">
        <is>
          <t>Catalogue: €3,950. = national differentiated master fee (2026-27: €3,950). Exemption to ~€255 possible (university quota).</t>
        </is>
      </c>
      <c r="X420" s="25" t="inlineStr">
        <is>
          <t>High</t>
        </is>
      </c>
      <c r="Y420" s="25" t="inlineStr">
        <is>
          <t>3950</t>
        </is>
      </c>
      <c r="Z420" s="26" t="n"/>
      <c r="AA420" s="26" t="n"/>
      <c r="AB420" s="25" t="n"/>
      <c r="AC420" s="25" t="inlineStr">
        <is>
          <t>Open</t>
        </is>
      </c>
      <c r="AD420" s="25" t="inlineStr">
        <is>
          <t>2026-10-01</t>
        </is>
      </c>
      <c r="AE420" s="25" t="inlineStr">
        <is>
          <t>2027-03-15</t>
        </is>
      </c>
      <c r="AF420" s="25" t="inlineStr">
        <is>
          <t>No</t>
        </is>
      </c>
      <c r="AG420" s="28" t="inlineStr">
        <is>
          <t>https://www.cyu.fr/master-informatique-et-ingenierie-des-systemes-complexes-signal-information-et-telecommunications</t>
        </is>
      </c>
      <c r="AH420" s="26" t="inlineStr">
        <is>
          <t>• Bon niveau scientifique général • Très bon niveau en mathématiques appliquées (probabilités, algèbre, analyse) • C onnaissances en traitement du signal (Fourier, filtrage) très souhaitables • Bon niveau en informatique</t>
        </is>
      </c>
      <c r="AI420" s="28" t="inlineStr">
        <is>
          <t>Open in EEF</t>
        </is>
      </c>
    </row>
    <row r="421" ht="22.35" customHeight="1" s="19">
      <c r="A421" s="25" t="n">
        <v>420</v>
      </c>
      <c r="B421" s="25" t="inlineStr">
        <is>
          <t>★★★★☆</t>
        </is>
      </c>
      <c r="C421" s="25" t="inlineStr">
        <is>
          <t>4 – Strong fit (electronics/signal/robotics/IoT/sensors)</t>
        </is>
      </c>
      <c r="D421" s="25" t="inlineStr">
        <is>
          <t>Robotics / Automation / Mechatronics</t>
        </is>
      </c>
      <c r="E421" s="26" t="inlineStr">
        <is>
          <t>Master indifférencié (recherche et professionnel) Sciences, technologies, santé mention Automatique, robotique parcours Robotique</t>
        </is>
      </c>
      <c r="F421" s="26" t="inlineStr">
        <is>
          <t>Science, Technology, Health (STS) – major: Automation, Robotics – track: Robotics</t>
        </is>
      </c>
      <c r="G421" s="25" t="inlineStr">
        <is>
          <t>Master indifférencié (recherche et professionnel)</t>
        </is>
      </c>
      <c r="H421" s="25" t="inlineStr">
        <is>
          <t>Sciences et Ingénierie</t>
        </is>
      </c>
      <c r="I421" s="25" t="inlineStr">
        <is>
          <t>Sorbonne Université</t>
        </is>
      </c>
      <c r="J421" s="25" t="inlineStr">
        <is>
          <t>Site de Paris</t>
        </is>
      </c>
      <c r="K421" s="25" t="n"/>
      <c r="L421" s="25" t="inlineStr">
        <is>
          <t>Public university</t>
        </is>
      </c>
      <c r="M421" s="25" t="inlineStr">
        <is>
          <t>French &amp; English</t>
        </is>
      </c>
      <c r="N421" s="25" t="inlineStr">
        <is>
          <t>General</t>
        </is>
      </c>
      <c r="O421" s="25" t="inlineStr">
        <is>
          <t>Bac +5</t>
        </is>
      </c>
      <c r="P421" s="26" t="inlineStr">
        <is>
          <t>Requires Bac+5 (Master) – likely not eligible; ask if 4-yr BS + experience accepted</t>
        </is>
      </c>
      <c r="Q421" s="25" t="inlineStr">
        <is>
          <t>2</t>
        </is>
      </c>
      <c r="R421" s="25" t="n"/>
      <c r="S421" s="27" t="n">
        <v>3950</v>
      </c>
      <c r="T421" s="27" t="n">
        <v>255</v>
      </c>
      <c r="U421" s="25" t="n">
        <v>1</v>
      </c>
      <c r="V421" s="27">
        <f>IF(S421="","",S421*U421)</f>
        <v/>
      </c>
      <c r="W421" s="26" t="inlineStr">
        <is>
          <t>Not in catalogue. Public national master → 2026-27 differentiated fee €3,950; exemption to ~€254-255 depends on university quota (25% cap in 2027-28).</t>
        </is>
      </c>
      <c r="X421" s="25" t="inlineStr">
        <is>
          <t>Medium</t>
        </is>
      </c>
      <c r="Y421" s="25" t="n"/>
      <c r="Z421" s="26" t="n"/>
      <c r="AA421" s="26" t="inlineStr">
        <is>
          <t>Board vote 7 Jul 2026: Sorbonne Université says it can exempt all eligible non-EU applicants (pay same as EU, ~€254) for 2026-27.</t>
        </is>
      </c>
      <c r="AB421" s="28" t="inlineStr">
        <is>
          <t>https://www.sorbonne-universite.fr/actualites/le-conseil-dadministration-de-sorbonne-universite-vote-lunanimite-le-7-juillet-2026-sa</t>
        </is>
      </c>
      <c r="AC421" s="25" t="inlineStr">
        <is>
          <t>Open</t>
        </is>
      </c>
      <c r="AD421" s="25" t="inlineStr">
        <is>
          <t>2026-10-01</t>
        </is>
      </c>
      <c r="AE421" s="25" t="inlineStr">
        <is>
          <t>2027-03-15</t>
        </is>
      </c>
      <c r="AF421" s="25" t="inlineStr">
        <is>
          <t>No</t>
        </is>
      </c>
      <c r="AG421" s="28" t="inlineStr">
        <is>
          <t>https://masters-sdi.sorbonne-universite.fr/automatique-robotique</t>
        </is>
      </c>
      <c r="AH421" s="26" t="n"/>
      <c r="AI421" s="28" t="inlineStr">
        <is>
          <t>Open in EEF</t>
        </is>
      </c>
    </row>
    <row r="422" ht="22.35" customHeight="1" s="19">
      <c r="A422" s="25" t="n">
        <v>421</v>
      </c>
      <c r="B422" s="25" t="inlineStr">
        <is>
          <t>★★★★☆</t>
        </is>
      </c>
      <c r="C422" s="25" t="inlineStr">
        <is>
          <t>4 – Strong fit (electronics/signal/robotics/IoT/sensors)</t>
        </is>
      </c>
      <c r="D422" s="25" t="inlineStr">
        <is>
          <t>Neuroscience / Neuro-engineering</t>
        </is>
      </c>
      <c r="E422" s="26" t="inlineStr">
        <is>
          <t>Master Sciences, technologies, santé, mention Neurosciences parcours Cellular and Integrated Neurosciences</t>
        </is>
      </c>
      <c r="F422" s="26" t="inlineStr">
        <is>
          <t>Master Science, Technology, Health (STS), – major: Neuroscience – track: Cellular and Integrated Neuroscience</t>
        </is>
      </c>
      <c r="G422" s="25" t="inlineStr">
        <is>
          <t>Master indifférencié (recherche et professionnel)</t>
        </is>
      </c>
      <c r="H422" s="25" t="inlineStr">
        <is>
          <t>Sciences et Ingénierie</t>
        </is>
      </c>
      <c r="I422" s="25" t="inlineStr">
        <is>
          <t>Sorbonne Université</t>
        </is>
      </c>
      <c r="J422" s="25" t="inlineStr">
        <is>
          <t>Site de Paris</t>
        </is>
      </c>
      <c r="K422" s="25" t="n"/>
      <c r="L422" s="25" t="inlineStr">
        <is>
          <t>Public university</t>
        </is>
      </c>
      <c r="M422" s="25" t="inlineStr">
        <is>
          <t>French &amp; English</t>
        </is>
      </c>
      <c r="N422" s="25" t="inlineStr">
        <is>
          <t>General</t>
        </is>
      </c>
      <c r="O422" s="25" t="inlineStr">
        <is>
          <t>Bac +5</t>
        </is>
      </c>
      <c r="P422" s="26" t="inlineStr">
        <is>
          <t>Requires Bac+5 (Master) – likely not eligible; ask if 4-yr BS + experience accepted</t>
        </is>
      </c>
      <c r="Q422" s="25" t="inlineStr">
        <is>
          <t>2</t>
        </is>
      </c>
      <c r="R422" s="25" t="n"/>
      <c r="S422" s="27" t="n">
        <v>3950</v>
      </c>
      <c r="T422" s="27" t="n">
        <v>255</v>
      </c>
      <c r="U422" s="25" t="n">
        <v>1</v>
      </c>
      <c r="V422" s="27">
        <f>IF(S422="","",S422*U422)</f>
        <v/>
      </c>
      <c r="W422" s="26" t="inlineStr">
        <is>
          <t>Not in catalogue. Public national master → 2026-27 differentiated fee €3,950; exemption to ~€254-255 depends on university quota (25% cap in 2027-28).</t>
        </is>
      </c>
      <c r="X422" s="25" t="inlineStr">
        <is>
          <t>Medium</t>
        </is>
      </c>
      <c r="Y422" s="25" t="n"/>
      <c r="Z422" s="26" t="n"/>
      <c r="AA422" s="26" t="inlineStr">
        <is>
          <t>Board vote 7 Jul 2026: Sorbonne Université says it can exempt all eligible non-EU applicants (pay same as EU, ~€254) for 2026-27.</t>
        </is>
      </c>
      <c r="AB422" s="28" t="inlineStr">
        <is>
          <t>https://www.sorbonne-universite.fr/actualites/le-conseil-dadministration-de-sorbonne-universite-vote-lunanimite-le-7-juillet-2026-sa</t>
        </is>
      </c>
      <c r="AC422" s="25" t="inlineStr">
        <is>
          <t>Open</t>
        </is>
      </c>
      <c r="AD422" s="25" t="inlineStr">
        <is>
          <t>2026-10-01</t>
        </is>
      </c>
      <c r="AE422" s="25" t="inlineStr">
        <is>
          <t>2027-03-15</t>
        </is>
      </c>
      <c r="AF422" s="25" t="inlineStr">
        <is>
          <t>No</t>
        </is>
      </c>
      <c r="AG422" s="28" t="inlineStr">
        <is>
          <t>https://sciences.sorbonne-universite.fr/formation-sciences/offre-de-formation/masters/master-neurosciences</t>
        </is>
      </c>
      <c r="AH422" s="26" t="n"/>
      <c r="AI422" s="28" t="inlineStr">
        <is>
          <t>Open in EEF</t>
        </is>
      </c>
    </row>
    <row r="423" ht="22.35" customHeight="1" s="19">
      <c r="A423" s="25" t="n">
        <v>422</v>
      </c>
      <c r="B423" s="25" t="inlineStr">
        <is>
          <t>★★★★☆</t>
        </is>
      </c>
      <c r="C423" s="25" t="inlineStr">
        <is>
          <t>4 – Strong fit (electronics/signal/robotics/IoT/sensors)</t>
        </is>
      </c>
      <c r="D423" s="25" t="inlineStr">
        <is>
          <t>Neuroscience / Neuro-engineering</t>
        </is>
      </c>
      <c r="E423" s="26" t="inlineStr">
        <is>
          <t>Master Sciences, technologies, santé, mention Neurosciences parcours Cognitive and Behavorial Neurosciences</t>
        </is>
      </c>
      <c r="F423" s="26" t="inlineStr">
        <is>
          <t>Master Science, Technology, Health (STS), – major: Neuroscience – track: Cognitive and Behavorial Neuroscience</t>
        </is>
      </c>
      <c r="G423" s="25" t="inlineStr">
        <is>
          <t>Master indifférencié (recherche et professionnel)</t>
        </is>
      </c>
      <c r="H423" s="25" t="inlineStr">
        <is>
          <t>Sciences et Ingénierie</t>
        </is>
      </c>
      <c r="I423" s="25" t="inlineStr">
        <is>
          <t>Sorbonne Université</t>
        </is>
      </c>
      <c r="J423" s="25" t="inlineStr">
        <is>
          <t>Site de Paris</t>
        </is>
      </c>
      <c r="K423" s="25" t="n"/>
      <c r="L423" s="25" t="inlineStr">
        <is>
          <t>Public university</t>
        </is>
      </c>
      <c r="M423" s="25" t="inlineStr">
        <is>
          <t>French &amp; English</t>
        </is>
      </c>
      <c r="N423" s="25" t="inlineStr">
        <is>
          <t>General</t>
        </is>
      </c>
      <c r="O423" s="25" t="inlineStr">
        <is>
          <t>Bac +5</t>
        </is>
      </c>
      <c r="P423" s="26" t="inlineStr">
        <is>
          <t>Requires Bac+5 (Master) – likely not eligible; ask if 4-yr BS + experience accepted</t>
        </is>
      </c>
      <c r="Q423" s="25" t="inlineStr">
        <is>
          <t>2</t>
        </is>
      </c>
      <c r="R423" s="25" t="n"/>
      <c r="S423" s="27" t="n">
        <v>3950</v>
      </c>
      <c r="T423" s="27" t="n">
        <v>255</v>
      </c>
      <c r="U423" s="25" t="n">
        <v>1</v>
      </c>
      <c r="V423" s="27">
        <f>IF(S423="","",S423*U423)</f>
        <v/>
      </c>
      <c r="W423" s="26" t="inlineStr">
        <is>
          <t>Not in catalogue. Public national master → 2026-27 differentiated fee €3,950; exemption to ~€254-255 depends on university quota (25% cap in 2027-28).</t>
        </is>
      </c>
      <c r="X423" s="25" t="inlineStr">
        <is>
          <t>Medium</t>
        </is>
      </c>
      <c r="Y423" s="25" t="n"/>
      <c r="Z423" s="26" t="n"/>
      <c r="AA423" s="26" t="inlineStr">
        <is>
          <t>Board vote 7 Jul 2026: Sorbonne Université says it can exempt all eligible non-EU applicants (pay same as EU, ~€254) for 2026-27.</t>
        </is>
      </c>
      <c r="AB423" s="28" t="inlineStr">
        <is>
          <t>https://www.sorbonne-universite.fr/actualites/le-conseil-dadministration-de-sorbonne-universite-vote-lunanimite-le-7-juillet-2026-sa</t>
        </is>
      </c>
      <c r="AC423" s="25" t="inlineStr">
        <is>
          <t>Open</t>
        </is>
      </c>
      <c r="AD423" s="25" t="inlineStr">
        <is>
          <t>2026-10-01</t>
        </is>
      </c>
      <c r="AE423" s="25" t="inlineStr">
        <is>
          <t>2027-03-15</t>
        </is>
      </c>
      <c r="AF423" s="25" t="inlineStr">
        <is>
          <t>No</t>
        </is>
      </c>
      <c r="AG423" s="28" t="inlineStr">
        <is>
          <t>https://sciences.sorbonne-universite.fr/formation-sciences/offre-de-formation/masters/master-neurosciences</t>
        </is>
      </c>
      <c r="AH423" s="26" t="n"/>
      <c r="AI423" s="28" t="inlineStr">
        <is>
          <t>Open in EEF</t>
        </is>
      </c>
    </row>
    <row r="424" ht="22.35" customHeight="1" s="19">
      <c r="A424" s="25" t="n">
        <v>423</v>
      </c>
      <c r="B424" s="25" t="inlineStr">
        <is>
          <t>★★★★☆</t>
        </is>
      </c>
      <c r="C424" s="25" t="inlineStr">
        <is>
          <t>4 – Strong fit (electronics/signal/robotics/IoT/sensors)</t>
        </is>
      </c>
      <c r="D424" s="25" t="inlineStr">
        <is>
          <t>Neuroscience / Neuro-engineering</t>
        </is>
      </c>
      <c r="E424" s="26" t="inlineStr">
        <is>
          <t>Master Sciences, technologies, santé, mention Neurosciences parcours Neuroimmunologie</t>
        </is>
      </c>
      <c r="F424" s="26" t="inlineStr">
        <is>
          <t>Master Science, Technology, Health (STS), – major: Neuroscience – track: Neuroimmunologie</t>
        </is>
      </c>
      <c r="G424" s="25" t="inlineStr">
        <is>
          <t>Master indifférencié (recherche et professionnel)</t>
        </is>
      </c>
      <c r="H424" s="25" t="inlineStr">
        <is>
          <t>Sciences et Ingénierie</t>
        </is>
      </c>
      <c r="I424" s="25" t="inlineStr">
        <is>
          <t>Sorbonne Université</t>
        </is>
      </c>
      <c r="J424" s="25" t="inlineStr">
        <is>
          <t>Site de Paris</t>
        </is>
      </c>
      <c r="K424" s="25" t="n"/>
      <c r="L424" s="25" t="inlineStr">
        <is>
          <t>Public university</t>
        </is>
      </c>
      <c r="M424" s="25" t="inlineStr">
        <is>
          <t>French &amp; English</t>
        </is>
      </c>
      <c r="N424" s="25" t="inlineStr">
        <is>
          <t>General</t>
        </is>
      </c>
      <c r="O424" s="25" t="inlineStr">
        <is>
          <t>Bac +5</t>
        </is>
      </c>
      <c r="P424" s="26" t="inlineStr">
        <is>
          <t>Requires Bac+5 (Master) – likely not eligible; ask if 4-yr BS + experience accepted</t>
        </is>
      </c>
      <c r="Q424" s="25" t="inlineStr">
        <is>
          <t>2</t>
        </is>
      </c>
      <c r="R424" s="25" t="n"/>
      <c r="S424" s="27" t="n">
        <v>3950</v>
      </c>
      <c r="T424" s="27" t="n">
        <v>255</v>
      </c>
      <c r="U424" s="25" t="n">
        <v>1</v>
      </c>
      <c r="V424" s="27">
        <f>IF(S424="","",S424*U424)</f>
        <v/>
      </c>
      <c r="W424" s="26" t="inlineStr">
        <is>
          <t>Not in catalogue. Public national master → 2026-27 differentiated fee €3,950; exemption to ~€254-255 depends on university quota (25% cap in 2027-28).</t>
        </is>
      </c>
      <c r="X424" s="25" t="inlineStr">
        <is>
          <t>Medium</t>
        </is>
      </c>
      <c r="Y424" s="25" t="n"/>
      <c r="Z424" s="26" t="n"/>
      <c r="AA424" s="26" t="inlineStr">
        <is>
          <t>Board vote 7 Jul 2026: Sorbonne Université says it can exempt all eligible non-EU applicants (pay same as EU, ~€254) for 2026-27.</t>
        </is>
      </c>
      <c r="AB424" s="28" t="inlineStr">
        <is>
          <t>https://www.sorbonne-universite.fr/actualites/le-conseil-dadministration-de-sorbonne-universite-vote-lunanimite-le-7-juillet-2026-sa</t>
        </is>
      </c>
      <c r="AC424" s="25" t="inlineStr">
        <is>
          <t>Open</t>
        </is>
      </c>
      <c r="AD424" s="25" t="inlineStr">
        <is>
          <t>2026-10-01</t>
        </is>
      </c>
      <c r="AE424" s="25" t="inlineStr">
        <is>
          <t>2027-03-15</t>
        </is>
      </c>
      <c r="AF424" s="25" t="inlineStr">
        <is>
          <t>No</t>
        </is>
      </c>
      <c r="AG424" s="28" t="inlineStr">
        <is>
          <t>https://sciences.sorbonne-universite.fr/formation-sciences/offre-de-formation/masters/master-neurosciences</t>
        </is>
      </c>
      <c r="AH424" s="26" t="n"/>
      <c r="AI424" s="28" t="inlineStr">
        <is>
          <t>Open in EEF</t>
        </is>
      </c>
    </row>
    <row r="425" ht="22.35" customHeight="1" s="19">
      <c r="A425" s="25" t="n">
        <v>424</v>
      </c>
      <c r="B425" s="25" t="inlineStr">
        <is>
          <t>★★★★☆</t>
        </is>
      </c>
      <c r="C425" s="25" t="inlineStr">
        <is>
          <t>4 – Strong fit (electronics/signal/robotics/IoT/sensors)</t>
        </is>
      </c>
      <c r="D425" s="25" t="inlineStr">
        <is>
          <t>Neuroscience / Neuro-engineering</t>
        </is>
      </c>
      <c r="E425" s="26" t="inlineStr">
        <is>
          <t>Master Sciences, technologies, santé, mention Neurosciences parcours Neurosciences of Psychiatric Diseases</t>
        </is>
      </c>
      <c r="F425" s="26" t="inlineStr">
        <is>
          <t>Master Science, Technology, Health (STS), – major: Neuroscience – track: Neuroscience of Psychiatric Diseases</t>
        </is>
      </c>
      <c r="G425" s="25" t="inlineStr">
        <is>
          <t>Master indifférencié (recherche et professionnel)</t>
        </is>
      </c>
      <c r="H425" s="25" t="inlineStr">
        <is>
          <t>Sciences et Ingénierie</t>
        </is>
      </c>
      <c r="I425" s="25" t="inlineStr">
        <is>
          <t>Sorbonne Université</t>
        </is>
      </c>
      <c r="J425" s="25" t="inlineStr">
        <is>
          <t>Site de Paris</t>
        </is>
      </c>
      <c r="K425" s="25" t="n"/>
      <c r="L425" s="25" t="inlineStr">
        <is>
          <t>Public university</t>
        </is>
      </c>
      <c r="M425" s="25" t="inlineStr">
        <is>
          <t>French &amp; English</t>
        </is>
      </c>
      <c r="N425" s="25" t="inlineStr">
        <is>
          <t>General</t>
        </is>
      </c>
      <c r="O425" s="25" t="inlineStr">
        <is>
          <t>Bac +5</t>
        </is>
      </c>
      <c r="P425" s="26" t="inlineStr">
        <is>
          <t>Requires Bac+5 (Master) – likely not eligible; ask if 4-yr BS + experience accepted</t>
        </is>
      </c>
      <c r="Q425" s="25" t="inlineStr">
        <is>
          <t>2</t>
        </is>
      </c>
      <c r="R425" s="25" t="n"/>
      <c r="S425" s="27" t="n">
        <v>3950</v>
      </c>
      <c r="T425" s="27" t="n">
        <v>255</v>
      </c>
      <c r="U425" s="25" t="n">
        <v>1</v>
      </c>
      <c r="V425" s="27">
        <f>IF(S425="","",S425*U425)</f>
        <v/>
      </c>
      <c r="W425" s="26" t="inlineStr">
        <is>
          <t>Not in catalogue. Public national master → 2026-27 differentiated fee €3,950; exemption to ~€254-255 depends on university quota (25% cap in 2027-28).</t>
        </is>
      </c>
      <c r="X425" s="25" t="inlineStr">
        <is>
          <t>Medium</t>
        </is>
      </c>
      <c r="Y425" s="25" t="n"/>
      <c r="Z425" s="26" t="n"/>
      <c r="AA425" s="26" t="inlineStr">
        <is>
          <t>Board vote 7 Jul 2026: Sorbonne Université says it can exempt all eligible non-EU applicants (pay same as EU, ~€254) for 2026-27.</t>
        </is>
      </c>
      <c r="AB425" s="28" t="inlineStr">
        <is>
          <t>https://www.sorbonne-universite.fr/actualites/le-conseil-dadministration-de-sorbonne-universite-vote-lunanimite-le-7-juillet-2026-sa</t>
        </is>
      </c>
      <c r="AC425" s="25" t="inlineStr">
        <is>
          <t>Open</t>
        </is>
      </c>
      <c r="AD425" s="25" t="inlineStr">
        <is>
          <t>2026-10-01</t>
        </is>
      </c>
      <c r="AE425" s="25" t="inlineStr">
        <is>
          <t>2027-03-15</t>
        </is>
      </c>
      <c r="AF425" s="25" t="inlineStr">
        <is>
          <t>No</t>
        </is>
      </c>
      <c r="AG425" s="28" t="inlineStr">
        <is>
          <t>https://sciences.sorbonne-universite.fr/formation-sciences/offre-de-formation/masters/master-neurosciences</t>
        </is>
      </c>
      <c r="AH425" s="26" t="n"/>
      <c r="AI425" s="28" t="inlineStr">
        <is>
          <t>Open in EEF</t>
        </is>
      </c>
    </row>
    <row r="426" ht="22.35" customHeight="1" s="19">
      <c r="A426" s="25" t="n">
        <v>425</v>
      </c>
      <c r="B426" s="25" t="inlineStr">
        <is>
          <t>★★★★☆</t>
        </is>
      </c>
      <c r="C426" s="25" t="inlineStr">
        <is>
          <t>4 – Strong fit (electronics/signal/robotics/IoT/sensors)</t>
        </is>
      </c>
      <c r="D426" s="25" t="inlineStr">
        <is>
          <t>Sensors / Instrumentation / Micro-Nano / Photonics</t>
        </is>
      </c>
      <c r="E426" s="26" t="inlineStr">
        <is>
          <t>Master Sciences, technologies, santé mention physique spécialité photonique</t>
        </is>
      </c>
      <c r="F426" s="26" t="inlineStr">
        <is>
          <t>Master Science, Technology, Health (STS) – major: Physics – specialisation: Photonics</t>
        </is>
      </c>
      <c r="G426" s="25" t="inlineStr">
        <is>
          <t>Master indifférencié (recherche et professionnel)</t>
        </is>
      </c>
      <c r="H426" s="25" t="inlineStr">
        <is>
          <t>Ecole nationale supérieure des sciences appliquées et de technologie</t>
        </is>
      </c>
      <c r="I426" s="25" t="inlineStr">
        <is>
          <t>Université de Rennes</t>
        </is>
      </c>
      <c r="J426" s="25" t="inlineStr">
        <is>
          <t>Site de Lannion</t>
        </is>
      </c>
      <c r="K426" s="25" t="n"/>
      <c r="L426" s="25" t="inlineStr">
        <is>
          <t>Public school / institute</t>
        </is>
      </c>
      <c r="M426" s="25" t="inlineStr">
        <is>
          <t>French &amp; English</t>
        </is>
      </c>
      <c r="N426" s="25" t="inlineStr">
        <is>
          <t>General</t>
        </is>
      </c>
      <c r="O426" s="25" t="inlineStr">
        <is>
          <t>Bac +5</t>
        </is>
      </c>
      <c r="P426" s="26" t="inlineStr">
        <is>
          <t>Requires Bac+5 (Master) – likely not eligible; ask if 4-yr BS + experience accepted</t>
        </is>
      </c>
      <c r="Q426" s="25" t="inlineStr">
        <is>
          <t>2</t>
        </is>
      </c>
      <c r="R426" s="25" t="inlineStr">
        <is>
          <t>12</t>
        </is>
      </c>
      <c r="S426" s="27" t="n">
        <v>3950</v>
      </c>
      <c r="T426" s="27" t="n">
        <v>255</v>
      </c>
      <c r="U426" s="25" t="n">
        <v>1</v>
      </c>
      <c r="V426" s="27">
        <f>IF(S426="","",S426*U426)</f>
        <v/>
      </c>
      <c r="W426" s="26" t="inlineStr">
        <is>
          <t>Not in catalogue. Public national master → 2026-27 differentiated fee €3,950; exemption to ~€254-255 depends on university quota (25% cap in 2027-28).</t>
        </is>
      </c>
      <c r="X426" s="25" t="inlineStr">
        <is>
          <t>Medium</t>
        </is>
      </c>
      <c r="Y426" s="25" t="n"/>
      <c r="Z426" s="26" t="n"/>
      <c r="AA426" s="26" t="n"/>
      <c r="AB426" s="25" t="n"/>
      <c r="AC426" s="25" t="inlineStr">
        <is>
          <t>Open</t>
        </is>
      </c>
      <c r="AD426" s="25" t="inlineStr">
        <is>
          <t>2026-10-01</t>
        </is>
      </c>
      <c r="AE426" s="25" t="inlineStr">
        <is>
          <t>2027-03-15</t>
        </is>
      </c>
      <c r="AF426" s="25" t="inlineStr">
        <is>
          <t>Yes</t>
        </is>
      </c>
      <c r="AG426" s="28" t="inlineStr">
        <is>
          <t>http://www.enssat.fr/</t>
        </is>
      </c>
      <c r="AH426" s="26" t="inlineStr">
        <is>
          <t>Pour intégrer le M2, parcours Photonique, Merci de s'adresser au responsable de la formation Photonique de l'Enssat : responsable.photonique@enssat.fr</t>
        </is>
      </c>
      <c r="AI426" s="28" t="inlineStr">
        <is>
          <t>Open in EEF</t>
        </is>
      </c>
    </row>
    <row r="427" ht="32.8" customHeight="1" s="19">
      <c r="A427" s="25" t="n">
        <v>426</v>
      </c>
      <c r="B427" s="25" t="inlineStr">
        <is>
          <t>★★★★☆</t>
        </is>
      </c>
      <c r="C427" s="25" t="inlineStr">
        <is>
          <t>4 – Strong fit (electronics/signal/robotics/IoT/sensors)</t>
        </is>
      </c>
      <c r="D427" s="25" t="inlineStr">
        <is>
          <t>Signal / Image / Vision</t>
        </is>
      </c>
      <c r="E427" s="26" t="inlineStr">
        <is>
          <t>Images et données -</t>
        </is>
      </c>
      <c r="F427" s="26" t="inlineStr">
        <is>
          <t>Images &amp; Data</t>
        </is>
      </c>
      <c r="G427" s="25" t="inlineStr">
        <is>
          <t>Master indifférencié (recherche et professionnel)</t>
        </is>
      </c>
      <c r="H427" s="25" t="inlineStr">
        <is>
          <t>Télécom Physique Strasbourg</t>
        </is>
      </c>
      <c r="I427" s="25" t="inlineStr">
        <is>
          <t>Université de Strasbourg</t>
        </is>
      </c>
      <c r="J427" s="25" t="inlineStr">
        <is>
          <t>Site de Illkirch-Graffenstaden</t>
        </is>
      </c>
      <c r="K427" s="25" t="n"/>
      <c r="L427" s="25" t="inlineStr">
        <is>
          <t>Public university</t>
        </is>
      </c>
      <c r="M427" s="25" t="inlineStr">
        <is>
          <t>French</t>
        </is>
      </c>
      <c r="N427" s="25" t="inlineStr">
        <is>
          <t>General</t>
        </is>
      </c>
      <c r="O427" s="25" t="inlineStr">
        <is>
          <t>Bac +5</t>
        </is>
      </c>
      <c r="P427" s="26" t="inlineStr">
        <is>
          <t>Requires Bac+5 (Master) – likely not eligible; ask if 4-yr BS + experience accepted</t>
        </is>
      </c>
      <c r="Q427" s="25" t="inlineStr">
        <is>
          <t>2</t>
        </is>
      </c>
      <c r="R427" s="25" t="n"/>
      <c r="S427" s="27" t="n">
        <v>3950</v>
      </c>
      <c r="T427" s="27" t="n">
        <v>255</v>
      </c>
      <c r="U427" s="25" t="n">
        <v>1</v>
      </c>
      <c r="V427" s="27">
        <f>IF(S427="","",S427*U427)</f>
        <v/>
      </c>
      <c r="W427" s="26" t="inlineStr">
        <is>
          <t>Catalogue: €3,950. = national differentiated master fee (2026-27: €3,950). Exemption to ~€255 possible (university quota).</t>
        </is>
      </c>
      <c r="X427" s="25" t="inlineStr">
        <is>
          <t>High</t>
        </is>
      </c>
      <c r="Y427" s="25" t="inlineStr">
        <is>
          <t>3950</t>
        </is>
      </c>
      <c r="Z427" s="26" t="n"/>
      <c r="AA427" s="26" t="inlineStr">
        <is>
          <t>Unistra: master entrants who did not do their licence at Unistra pay the differentiated fee (€3,950).</t>
        </is>
      </c>
      <c r="AB427" s="28" t="inlineStr">
        <is>
          <t>https://www.unistra.fr/fr/node/8168</t>
        </is>
      </c>
      <c r="AC427" s="25" t="inlineStr">
        <is>
          <t>Open</t>
        </is>
      </c>
      <c r="AD427" s="25" t="inlineStr">
        <is>
          <t>2026-10-01</t>
        </is>
      </c>
      <c r="AE427" s="25" t="inlineStr">
        <is>
          <t>2027-03-15</t>
        </is>
      </c>
      <c r="AF427" s="25" t="inlineStr">
        <is>
          <t>No</t>
        </is>
      </c>
      <c r="AG427" s="28" t="inlineStr">
        <is>
          <t>https://www.master-iriv.fr</t>
        </is>
      </c>
      <c r="AH427" s="26" t="inlineStr">
        <is>
          <t>Il faut être titulaire d'un M1 dans le même champ disciplinaire que celui du master IRIV IMPORTANT Le calendrier complet ainsi que les pièces à joindre pour la constitution du dossier dématérialisés figureront sur le sit</t>
        </is>
      </c>
      <c r="AI427" s="28" t="inlineStr">
        <is>
          <t>Open in EEF</t>
        </is>
      </c>
    </row>
    <row r="428" ht="32.8" customHeight="1" s="19">
      <c r="A428" s="25" t="n">
        <v>427</v>
      </c>
      <c r="B428" s="25" t="inlineStr">
        <is>
          <t>★★★★☆</t>
        </is>
      </c>
      <c r="C428" s="25" t="inlineStr">
        <is>
          <t>4 – Strong fit (electronics/signal/robotics/IoT/sensors)</t>
        </is>
      </c>
      <c r="D428" s="25" t="inlineStr">
        <is>
          <t>Robotics / Automation / Mechatronics</t>
        </is>
      </c>
      <c r="E428" s="26" t="inlineStr">
        <is>
          <t>Master indifférencié (recherche et professionnel) Sciences, technologies, santé mention automatique et systèmes électriques parcours véhicules intelligents électriques</t>
        </is>
      </c>
      <c r="F428" s="26" t="inlineStr">
        <is>
          <t>Science, Technology, Health (STS) – major: Automation &amp; Systems Electrical – track: Vehicles Intelligent Electrical</t>
        </is>
      </c>
      <c r="G428" s="25" t="inlineStr">
        <is>
          <t>Master indifférencié (recherche et professionnel)</t>
        </is>
      </c>
      <c r="H428" s="25" t="inlineStr">
        <is>
          <t>Faculté des sciences et technologies</t>
        </is>
      </c>
      <c r="I428" s="25" t="inlineStr">
        <is>
          <t>Université de Lille</t>
        </is>
      </c>
      <c r="J428" s="25" t="inlineStr">
        <is>
          <t>Département Electronique, électrotechnique et automatique</t>
        </is>
      </c>
      <c r="K428" s="25" t="n"/>
      <c r="L428" s="25" t="inlineStr">
        <is>
          <t>Public university</t>
        </is>
      </c>
      <c r="M428" s="25" t="inlineStr">
        <is>
          <t>French</t>
        </is>
      </c>
      <c r="N428" s="25" t="inlineStr">
        <is>
          <t>General</t>
        </is>
      </c>
      <c r="O428" s="25" t="inlineStr">
        <is>
          <t>Bac +5</t>
        </is>
      </c>
      <c r="P428" s="26" t="inlineStr">
        <is>
          <t>Requires Bac+5 (Master) – likely not eligible; ask if 4-yr BS + experience accepted</t>
        </is>
      </c>
      <c r="Q428" s="25" t="inlineStr">
        <is>
          <t>2</t>
        </is>
      </c>
      <c r="R428" s="25" t="inlineStr">
        <is>
          <t>12</t>
        </is>
      </c>
      <c r="S428" s="27" t="n">
        <v>3950</v>
      </c>
      <c r="T428" s="27" t="n">
        <v>255</v>
      </c>
      <c r="U428" s="25" t="n">
        <v>1</v>
      </c>
      <c r="V428" s="27">
        <f>IF(S428="","",S428*U428)</f>
        <v/>
      </c>
      <c r="W428" s="26" t="inlineStr">
        <is>
          <t>Catalogue: €3,950. = national differentiated master fee (2026-27: €3,950). Exemption to ~€255 possible (university quota).</t>
        </is>
      </c>
      <c r="X428" s="25" t="inlineStr">
        <is>
          <t>High</t>
        </is>
      </c>
      <c r="Y428" s="25" t="inlineStr">
        <is>
          <t>3950</t>
        </is>
      </c>
      <c r="Z428" s="26" t="n"/>
      <c r="AA428" s="26" t="inlineStr">
        <is>
          <t>Lille opposed the decree; continues exemptions for part of non-EU students (master €254 if exempted). Apply for exemption early.</t>
        </is>
      </c>
      <c r="AB428" s="28" t="inlineStr">
        <is>
          <t>https://observalgerie.com/2026/06/13/misc/frais-dinscription-en-france-lille-maintient-un-avantage-pour-les-etudiants-etrangers/</t>
        </is>
      </c>
      <c r="AC428" s="25" t="inlineStr">
        <is>
          <t>Open</t>
        </is>
      </c>
      <c r="AD428" s="25" t="inlineStr">
        <is>
          <t>2026-10-01</t>
        </is>
      </c>
      <c r="AE428" s="25" t="inlineStr">
        <is>
          <t>2027-03-15</t>
        </is>
      </c>
      <c r="AF428" s="25" t="inlineStr">
        <is>
          <t>No</t>
        </is>
      </c>
      <c r="AG428" s="28" t="inlineStr">
        <is>
          <t>https://formation.univ-lille.fr/fr/offre-de-formation/master-lmd-XB/master-automatique-et-systemes-electriques-MG001978/vehicules-intelligents-electriques-m2-MX002025.html</t>
        </is>
      </c>
      <c r="AH428" s="26" t="inlineStr">
        <is>
          <t>Mentions de licences ou masters EEA (Électronique, Énergie électrique, Automatique) Niveau de français C1 exigé.</t>
        </is>
      </c>
      <c r="AI428" s="28" t="inlineStr">
        <is>
          <t>Open in EEF</t>
        </is>
      </c>
    </row>
    <row r="429" ht="32.8" customHeight="1" s="19">
      <c r="A429" s="25" t="n">
        <v>428</v>
      </c>
      <c r="B429" s="25" t="inlineStr">
        <is>
          <t>★★★★☆</t>
        </is>
      </c>
      <c r="C429" s="25" t="inlineStr">
        <is>
          <t>4 – Strong fit (electronics/signal/robotics/IoT/sensors)</t>
        </is>
      </c>
      <c r="D429" s="25" t="inlineStr">
        <is>
          <t>Robotics / Automation / Mechatronics</t>
        </is>
      </c>
      <c r="E429" s="26" t="inlineStr">
        <is>
          <t>Master indifférencié (recherche et professionnel) Sciences, technologies, santé mention Automatique, robotique parcours Génie des Systèmes Automatisés</t>
        </is>
      </c>
      <c r="F429" s="26" t="inlineStr">
        <is>
          <t>Science, Technology, Health (STS) – major: Automation, Robotics – track: Engineering of Systems Automated</t>
        </is>
      </c>
      <c r="G429" s="25" t="inlineStr">
        <is>
          <t>Master indifférencié (recherche et professionnel)</t>
        </is>
      </c>
      <c r="H429" s="25" t="inlineStr">
        <is>
          <t>Département-composante Mécanique</t>
        </is>
      </c>
      <c r="I429" s="25" t="inlineStr">
        <is>
          <t>Université Claude Bernard - Lyon 1</t>
        </is>
      </c>
      <c r="J429" s="25" t="inlineStr">
        <is>
          <t>Site de Villeurbanne</t>
        </is>
      </c>
      <c r="K429" s="25" t="n"/>
      <c r="L429" s="25" t="inlineStr">
        <is>
          <t>Public university</t>
        </is>
      </c>
      <c r="M429" s="25" t="inlineStr">
        <is>
          <t>French</t>
        </is>
      </c>
      <c r="N429" s="25" t="inlineStr">
        <is>
          <t>General</t>
        </is>
      </c>
      <c r="O429" s="25" t="inlineStr">
        <is>
          <t>Bac +5</t>
        </is>
      </c>
      <c r="P429" s="26" t="inlineStr">
        <is>
          <t>Requires Bac+5 (Master) – likely not eligible; ask if 4-yr BS + experience accepted</t>
        </is>
      </c>
      <c r="Q429" s="25" t="inlineStr">
        <is>
          <t>2</t>
        </is>
      </c>
      <c r="R429" s="25" t="n"/>
      <c r="S429" s="27" t="n">
        <v>3950</v>
      </c>
      <c r="T429" s="27" t="n">
        <v>255</v>
      </c>
      <c r="U429" s="25" t="n">
        <v>1</v>
      </c>
      <c r="V429" s="27">
        <f>IF(S429="","",S429*U429)</f>
        <v/>
      </c>
      <c r="W429" s="26" t="inlineStr">
        <is>
          <t>Catalogue: €3,950. = national differentiated master fee (2026-27: €3,950). Exemption to ~€255 possible (university quota).</t>
        </is>
      </c>
      <c r="X429" s="25" t="inlineStr">
        <is>
          <t>High</t>
        </is>
      </c>
      <c r="Y429" s="25" t="inlineStr">
        <is>
          <t>3950</t>
        </is>
      </c>
      <c r="Z429" s="26" t="n"/>
      <c r="AA429" s="26" t="inlineStr">
        <is>
          <t>Lyon 1: individual exemptions within the 30% quota (2026-27), apply via eCandidat.</t>
        </is>
      </c>
      <c r="AB429" s="28" t="inlineStr">
        <is>
          <t>https://www.univ-lyon1.fr/formation/inscription-et-scolarite/etudiantes-et-etudiants-internationaux-droits-dinscription-differencies-et-exonerations</t>
        </is>
      </c>
      <c r="AC429" s="25" t="inlineStr">
        <is>
          <t>Open</t>
        </is>
      </c>
      <c r="AD429" s="25" t="inlineStr">
        <is>
          <t>2026-10-01</t>
        </is>
      </c>
      <c r="AE429" s="25" t="inlineStr">
        <is>
          <t>2027-03-15</t>
        </is>
      </c>
      <c r="AF429" s="25" t="inlineStr">
        <is>
          <t>No</t>
        </is>
      </c>
      <c r="AG429" s="28" t="inlineStr">
        <is>
          <t>http://fst-meca.univ-lyon1.fr/</t>
        </is>
      </c>
      <c r="AH429" s="26" t="inlineStr">
        <is>
          <t>Critères de sélection: Qualité académique du dossier Niveau de langue française requis (obligatoire mais non suffisant pour l'accès à l'Université) L'Université Claude Bernard Lyon 1 exige le justificatif du niveau de la</t>
        </is>
      </c>
      <c r="AI429" s="28" t="inlineStr">
        <is>
          <t>Open in EEF</t>
        </is>
      </c>
    </row>
    <row r="430" ht="32.8" customHeight="1" s="19">
      <c r="A430" s="25" t="n">
        <v>429</v>
      </c>
      <c r="B430" s="25" t="inlineStr">
        <is>
          <t>★★★★☆</t>
        </is>
      </c>
      <c r="C430" s="25" t="inlineStr">
        <is>
          <t>4 – Strong fit (electronics/signal/robotics/IoT/sensors)</t>
        </is>
      </c>
      <c r="D430" s="25" t="inlineStr">
        <is>
          <t>Neuroscience / Neuro-engineering</t>
        </is>
      </c>
      <c r="E430" s="26" t="inlineStr">
        <is>
          <t>Master indifférencié (recherche et professionnel) Sciences, technologies, santé mention biologie, santé parcours Neurosciences du mouvement</t>
        </is>
      </c>
      <c r="F430" s="26" t="inlineStr">
        <is>
          <t>Science, Technology, Health (STS) – major: Biology-Health – track: Neuroscience of Movement</t>
        </is>
      </c>
      <c r="G430" s="25" t="inlineStr">
        <is>
          <t>Master indifférencié (recherche et professionnel)</t>
        </is>
      </c>
      <c r="H430" s="25" t="inlineStr">
        <is>
          <t>UFR de Santé (Créteil et Torcy)</t>
        </is>
      </c>
      <c r="I430" s="25" t="inlineStr">
        <is>
          <t>Université Paris-Est Créteil Val-de-Marne</t>
        </is>
      </c>
      <c r="J430" s="25" t="inlineStr">
        <is>
          <t>Site de Créteil</t>
        </is>
      </c>
      <c r="K430" s="25" t="n"/>
      <c r="L430" s="25" t="inlineStr">
        <is>
          <t>Public university</t>
        </is>
      </c>
      <c r="M430" s="25" t="inlineStr">
        <is>
          <t>French</t>
        </is>
      </c>
      <c r="N430" s="25" t="inlineStr">
        <is>
          <t>General</t>
        </is>
      </c>
      <c r="O430" s="25" t="inlineStr">
        <is>
          <t>Bac +5</t>
        </is>
      </c>
      <c r="P430" s="26" t="inlineStr">
        <is>
          <t>Requires Bac+5 (Master) – likely not eligible; ask if 4-yr BS + experience accepted</t>
        </is>
      </c>
      <c r="Q430" s="25" t="inlineStr">
        <is>
          <t>2</t>
        </is>
      </c>
      <c r="R430" s="25" t="n"/>
      <c r="S430" s="27" t="n">
        <v>3950</v>
      </c>
      <c r="T430" s="27" t="n">
        <v>255</v>
      </c>
      <c r="U430" s="25" t="n">
        <v>1</v>
      </c>
      <c r="V430" s="27">
        <f>IF(S430="","",S430*U430)</f>
        <v/>
      </c>
      <c r="W430" s="26" t="inlineStr">
        <is>
          <t>Catalogue: €3,950. = national differentiated master fee (2026-27: €3,950). Exemption to ~€255 possible (university quota).</t>
        </is>
      </c>
      <c r="X430" s="25" t="inlineStr">
        <is>
          <t>High</t>
        </is>
      </c>
      <c r="Y430" s="25" t="inlineStr">
        <is>
          <t>3950</t>
        </is>
      </c>
      <c r="Z430" s="26" t="inlineStr">
        <is>
          <t>A savoir 6300€ avec un financeur</t>
        </is>
      </c>
      <c r="AA430" s="26" t="n"/>
      <c r="AB430" s="25" t="n"/>
      <c r="AC430" s="25" t="inlineStr">
        <is>
          <t>Open</t>
        </is>
      </c>
      <c r="AD430" s="25" t="inlineStr">
        <is>
          <t>2026-10-01</t>
        </is>
      </c>
      <c r="AE430" s="25" t="inlineStr">
        <is>
          <t>2027-03-15</t>
        </is>
      </c>
      <c r="AF430" s="25" t="inlineStr">
        <is>
          <t>No</t>
        </is>
      </c>
      <c r="AG430" s="28" t="inlineStr">
        <is>
          <t>https://sante.u-pec.fr/</t>
        </is>
      </c>
      <c r="AH430" s="26" t="inlineStr">
        <is>
          <t>Bon niveau en français requis (minimum B2, C1 de préférence). Être titulaire d'un Master 1 ou d'un diplôme jugé équivalent avec des connaissances en méthodologie de la recherche et en neurosciences. La formation est dest</t>
        </is>
      </c>
      <c r="AI430" s="28" t="inlineStr">
        <is>
          <t>Open in EEF</t>
        </is>
      </c>
    </row>
    <row r="431" ht="32.8" customHeight="1" s="19">
      <c r="A431" s="25" t="n">
        <v>430</v>
      </c>
      <c r="B431" s="25" t="inlineStr">
        <is>
          <t>★★★★☆</t>
        </is>
      </c>
      <c r="C431" s="25" t="inlineStr">
        <is>
          <t>4 – Strong fit (electronics/signal/robotics/IoT/sensors)</t>
        </is>
      </c>
      <c r="D431" s="25" t="inlineStr">
        <is>
          <t>Embedded systems / Electronics</t>
        </is>
      </c>
      <c r="E431" s="26" t="inlineStr">
        <is>
          <t>Master indifférencié (recherche et professionnel) Sciences, technologies, santé mention Electronique, énergie électrique, automatique parcours CEE : Contrôle de l'efficacité énergétique</t>
        </is>
      </c>
      <c r="F431" s="26" t="inlineStr">
        <is>
          <t>Science, Technology, Health (STS) – major: Electronics, Electrical Energy &amp; Automation (EEA) – track: CEE : Control of Efficiency Energy</t>
        </is>
      </c>
      <c r="G431" s="25" t="inlineStr">
        <is>
          <t>Master indifférencié (recherche et professionnel)</t>
        </is>
      </c>
      <c r="H431" s="25" t="inlineStr">
        <is>
          <t>Faculté des Sciences et Technologies</t>
        </is>
      </c>
      <c r="I431" s="25" t="inlineStr">
        <is>
          <t>Université de Lorraine</t>
        </is>
      </c>
      <c r="J431" s="25" t="inlineStr">
        <is>
          <t>Site de Vandoeuvre-lès-Nancy</t>
        </is>
      </c>
      <c r="K431" s="25" t="n"/>
      <c r="L431" s="25" t="inlineStr">
        <is>
          <t>Public university</t>
        </is>
      </c>
      <c r="M431" s="25" t="inlineStr">
        <is>
          <t>French</t>
        </is>
      </c>
      <c r="N431" s="25" t="inlineStr">
        <is>
          <t>General</t>
        </is>
      </c>
      <c r="O431" s="25" t="inlineStr">
        <is>
          <t>Bac +5</t>
        </is>
      </c>
      <c r="P431" s="26" t="inlineStr">
        <is>
          <t>Requires Bac+5 (Master) – likely not eligible; ask if 4-yr BS + experience accepted</t>
        </is>
      </c>
      <c r="Q431" s="25" t="inlineStr">
        <is>
          <t>2</t>
        </is>
      </c>
      <c r="R431" s="25" t="n"/>
      <c r="S431" s="27" t="n">
        <v>3950</v>
      </c>
      <c r="T431" s="27" t="n">
        <v>255</v>
      </c>
      <c r="U431" s="25" t="n">
        <v>1</v>
      </c>
      <c r="V431" s="27">
        <f>IF(S431="","",S431*U431)</f>
        <v/>
      </c>
      <c r="W431" s="26" t="inlineStr">
        <is>
          <t>Catalogue: €3,950. = national differentiated master fee (2026-27: €3,950). Exemption to ~€255 possible (university quota).</t>
        </is>
      </c>
      <c r="X431" s="25" t="inlineStr">
        <is>
          <t>High</t>
        </is>
      </c>
      <c r="Y431" s="25" t="inlineStr">
        <is>
          <t>3950</t>
        </is>
      </c>
      <c r="Z431" s="26" t="n"/>
      <c r="AA431" s="26" t="n"/>
      <c r="AB431" s="25" t="n"/>
      <c r="AC431" s="25" t="inlineStr">
        <is>
          <t>Open</t>
        </is>
      </c>
      <c r="AD431" s="25" t="inlineStr">
        <is>
          <t>2026-10-01</t>
        </is>
      </c>
      <c r="AE431" s="25" t="inlineStr">
        <is>
          <t>2027-03-15</t>
        </is>
      </c>
      <c r="AF431" s="25" t="inlineStr">
        <is>
          <t>No</t>
        </is>
      </c>
      <c r="AG431" s="28" t="inlineStr">
        <is>
          <t>https://fst.univ-lorraine.fr/formations/</t>
        </is>
      </c>
      <c r="AH431" s="26" t="inlineStr">
        <is>
          <t>Pour le Master 2 : Compétences en automatique exigées. Niveau B2 en langue française exigé. Aucun dossier transmis par Campus France après le (date à déterminer par l'ambassade) ne sera accepté. Un ordinateur et une conn</t>
        </is>
      </c>
      <c r="AI431" s="28" t="inlineStr">
        <is>
          <t>Open in EEF</t>
        </is>
      </c>
    </row>
    <row r="432" ht="43.25" customHeight="1" s="19">
      <c r="A432" s="25" t="n">
        <v>431</v>
      </c>
      <c r="B432" s="25" t="inlineStr">
        <is>
          <t>★★★★☆</t>
        </is>
      </c>
      <c r="C432" s="25" t="inlineStr">
        <is>
          <t>4 – Strong fit (electronics/signal/robotics/IoT/sensors)</t>
        </is>
      </c>
      <c r="D432" s="25" t="inlineStr">
        <is>
          <t>Embedded systems / Electronics</t>
        </is>
      </c>
      <c r="E432" s="26" t="inlineStr">
        <is>
          <t>Master indifférencié (recherche et professionnel) Sciences, technologies, santé mention Electronique, énergie électrique, automatique parcours CIM : Capteurs intelligents et micro-nano-technologies</t>
        </is>
      </c>
      <c r="F432" s="26" t="inlineStr">
        <is>
          <t>Science, Technology, Health (STS) – major: Electronics, Electrical Energy &amp; Automation (EEA) – track: CIM : Sensors Intelligent &amp; micro-nano-technologies</t>
        </is>
      </c>
      <c r="G432" s="25" t="inlineStr">
        <is>
          <t>Master indifférencié (recherche et professionnel)</t>
        </is>
      </c>
      <c r="H432" s="25" t="inlineStr">
        <is>
          <t>Faculté des Sciences et Technologies</t>
        </is>
      </c>
      <c r="I432" s="25" t="inlineStr">
        <is>
          <t>Université de Lorraine</t>
        </is>
      </c>
      <c r="J432" s="25" t="inlineStr">
        <is>
          <t>Site de Vandoeuvre-lès-Nancy</t>
        </is>
      </c>
      <c r="K432" s="25" t="n"/>
      <c r="L432" s="25" t="inlineStr">
        <is>
          <t>Public university</t>
        </is>
      </c>
      <c r="M432" s="25" t="inlineStr">
        <is>
          <t>French</t>
        </is>
      </c>
      <c r="N432" s="25" t="inlineStr">
        <is>
          <t>General</t>
        </is>
      </c>
      <c r="O432" s="25" t="inlineStr">
        <is>
          <t>Bac +5</t>
        </is>
      </c>
      <c r="P432" s="26" t="inlineStr">
        <is>
          <t>Requires Bac+5 (Master) – likely not eligible; ask if 4-yr BS + experience accepted</t>
        </is>
      </c>
      <c r="Q432" s="25" t="inlineStr">
        <is>
          <t>2</t>
        </is>
      </c>
      <c r="R432" s="25" t="n"/>
      <c r="S432" s="27" t="n">
        <v>3950</v>
      </c>
      <c r="T432" s="27" t="n">
        <v>255</v>
      </c>
      <c r="U432" s="25" t="n">
        <v>1</v>
      </c>
      <c r="V432" s="27">
        <f>IF(S432="","",S432*U432)</f>
        <v/>
      </c>
      <c r="W432" s="26" t="inlineStr">
        <is>
          <t>Catalogue: €3,950. = national differentiated master fee (2026-27: €3,950). Exemption to ~€255 possible (university quota).</t>
        </is>
      </c>
      <c r="X432" s="25" t="inlineStr">
        <is>
          <t>High</t>
        </is>
      </c>
      <c r="Y432" s="25" t="inlineStr">
        <is>
          <t>3950</t>
        </is>
      </c>
      <c r="Z432" s="26" t="n"/>
      <c r="AA432" s="26" t="n"/>
      <c r="AB432" s="25" t="n"/>
      <c r="AC432" s="25" t="inlineStr">
        <is>
          <t>Open</t>
        </is>
      </c>
      <c r="AD432" s="25" t="inlineStr">
        <is>
          <t>2026-10-01</t>
        </is>
      </c>
      <c r="AE432" s="25" t="inlineStr">
        <is>
          <t>2027-03-15</t>
        </is>
      </c>
      <c r="AF432" s="25" t="inlineStr">
        <is>
          <t>No</t>
        </is>
      </c>
      <c r="AG432" s="28" t="inlineStr">
        <is>
          <t>https://fst.univ-lorraine.fr/formations/</t>
        </is>
      </c>
      <c r="AH432" s="26" t="inlineStr">
        <is>
          <t>Pour le Master 2 : Compétences en caractérisation microtechnologiques exigées. Niveau B2 en langue française exigé. Aucun dossier transmis en dehors de la campagne d'ouverture de Campus France ne sera accepté. Un ordinat</t>
        </is>
      </c>
      <c r="AI432" s="28" t="inlineStr">
        <is>
          <t>Open in EEF</t>
        </is>
      </c>
    </row>
    <row r="433" ht="43.25" customHeight="1" s="19">
      <c r="A433" s="25" t="n">
        <v>432</v>
      </c>
      <c r="B433" s="25" t="inlineStr">
        <is>
          <t>★★★★☆</t>
        </is>
      </c>
      <c r="C433" s="25" t="inlineStr">
        <is>
          <t>4 – Strong fit (electronics/signal/robotics/IoT/sensors)</t>
        </is>
      </c>
      <c r="D433" s="25" t="inlineStr">
        <is>
          <t>Embedded systems / Electronics</t>
        </is>
      </c>
      <c r="E433" s="26" t="inlineStr">
        <is>
          <t>Master indifférencié (recherche et professionnel) Sciences, technologies, santé mention Electronique, énergie électrique, automatique parcours EE : Energie électrique</t>
        </is>
      </c>
      <c r="F433" s="26" t="inlineStr">
        <is>
          <t>Science, Technology, Health (STS) – major: Electronics, Electrical Energy &amp; Automation (EEA) – track: EE : Energy Electrical</t>
        </is>
      </c>
      <c r="G433" s="25" t="inlineStr">
        <is>
          <t>Master indifférencié (recherche et professionnel)</t>
        </is>
      </c>
      <c r="H433" s="25" t="inlineStr">
        <is>
          <t>Faculté des Sciences et Technologies</t>
        </is>
      </c>
      <c r="I433" s="25" t="inlineStr">
        <is>
          <t>Université de Lorraine</t>
        </is>
      </c>
      <c r="J433" s="25" t="inlineStr">
        <is>
          <t>Site de Vandoeuvre-lès-Nancy</t>
        </is>
      </c>
      <c r="K433" s="25" t="n"/>
      <c r="L433" s="25" t="inlineStr">
        <is>
          <t>Public university</t>
        </is>
      </c>
      <c r="M433" s="25" t="inlineStr">
        <is>
          <t>French</t>
        </is>
      </c>
      <c r="N433" s="25" t="inlineStr">
        <is>
          <t>General</t>
        </is>
      </c>
      <c r="O433" s="25" t="inlineStr">
        <is>
          <t>Bac +5</t>
        </is>
      </c>
      <c r="P433" s="26" t="inlineStr">
        <is>
          <t>Requires Bac+5 (Master) – likely not eligible; ask if 4-yr BS + experience accepted</t>
        </is>
      </c>
      <c r="Q433" s="25" t="inlineStr">
        <is>
          <t>2</t>
        </is>
      </c>
      <c r="R433" s="25" t="n"/>
      <c r="S433" s="27" t="n">
        <v>3950</v>
      </c>
      <c r="T433" s="27" t="n">
        <v>255</v>
      </c>
      <c r="U433" s="25" t="n">
        <v>1</v>
      </c>
      <c r="V433" s="27">
        <f>IF(S433="","",S433*U433)</f>
        <v/>
      </c>
      <c r="W433" s="26" t="inlineStr">
        <is>
          <t>Catalogue: €3,950. = national differentiated master fee (2026-27: €3,950). Exemption to ~€255 possible (university quota).</t>
        </is>
      </c>
      <c r="X433" s="25" t="inlineStr">
        <is>
          <t>High</t>
        </is>
      </c>
      <c r="Y433" s="25" t="inlineStr">
        <is>
          <t>3950</t>
        </is>
      </c>
      <c r="Z433" s="26" t="n"/>
      <c r="AA433" s="26" t="n"/>
      <c r="AB433" s="25" t="n"/>
      <c r="AC433" s="25" t="inlineStr">
        <is>
          <t>Open</t>
        </is>
      </c>
      <c r="AD433" s="25" t="inlineStr">
        <is>
          <t>2026-10-01</t>
        </is>
      </c>
      <c r="AE433" s="25" t="inlineStr">
        <is>
          <t>2027-03-15</t>
        </is>
      </c>
      <c r="AF433" s="25" t="inlineStr">
        <is>
          <t>No</t>
        </is>
      </c>
      <c r="AG433" s="28" t="inlineStr">
        <is>
          <t>https://fst.univ-lorraine.fr/formations/</t>
        </is>
      </c>
      <c r="AH433" s="26" t="inlineStr">
        <is>
          <t>Pour le Master 2 : Compétences en modélisation de machines électriques exigées. Niveau B2 en langue française exigé. Aucun dossier transmis en dehors de la campagne d'ouverture de Campus France ne sera accepté. Un ordina</t>
        </is>
      </c>
      <c r="AI433" s="28" t="inlineStr">
        <is>
          <t>Open in EEF</t>
        </is>
      </c>
    </row>
    <row r="434" ht="43.25" customHeight="1" s="19">
      <c r="A434" s="25" t="n">
        <v>433</v>
      </c>
      <c r="B434" s="25" t="inlineStr">
        <is>
          <t>★★★★☆</t>
        </is>
      </c>
      <c r="C434" s="25" t="inlineStr">
        <is>
          <t>4 – Strong fit (electronics/signal/robotics/IoT/sensors)</t>
        </is>
      </c>
      <c r="D434" s="25" t="inlineStr">
        <is>
          <t>Embedded systems / Electronics</t>
        </is>
      </c>
      <c r="E434" s="26" t="inlineStr">
        <is>
          <t>Master indifférencié (recherche et professionnel) Sciences, technologies, santé mention Electronique, énergie électrique, automatique parcours Efficacité énergétique industrielle</t>
        </is>
      </c>
      <c r="F434" s="26" t="inlineStr">
        <is>
          <t>Science, Technology, Health (STS) – major: Electronics, Electrical Energy &amp; Automation (EEA) – track: Efficacité Energy Industrial</t>
        </is>
      </c>
      <c r="G434" s="25" t="inlineStr">
        <is>
          <t>Master indifférencié (recherche et professionnel)</t>
        </is>
      </c>
      <c r="H434" s="25" t="inlineStr">
        <is>
          <t>FSA - Faculté des sciences appliquées</t>
        </is>
      </c>
      <c r="I434" s="25" t="inlineStr">
        <is>
          <t>Université d'Artois</t>
        </is>
      </c>
      <c r="J434" s="25" t="inlineStr">
        <is>
          <t>Site de Béthune</t>
        </is>
      </c>
      <c r="K434" s="25" t="n"/>
      <c r="L434" s="25" t="inlineStr">
        <is>
          <t>Public university</t>
        </is>
      </c>
      <c r="M434" s="25" t="inlineStr">
        <is>
          <t>French</t>
        </is>
      </c>
      <c r="N434" s="25" t="inlineStr">
        <is>
          <t>General</t>
        </is>
      </c>
      <c r="O434" s="25" t="inlineStr">
        <is>
          <t>Bac +5</t>
        </is>
      </c>
      <c r="P434" s="26" t="inlineStr">
        <is>
          <t>Requires Bac+5 (Master) – likely not eligible; ask if 4-yr BS + experience accepted</t>
        </is>
      </c>
      <c r="Q434" s="25" t="inlineStr">
        <is>
          <t>2</t>
        </is>
      </c>
      <c r="R434" s="25" t="n"/>
      <c r="S434" s="27" t="n">
        <v>3950</v>
      </c>
      <c r="T434" s="27" t="n">
        <v>255</v>
      </c>
      <c r="U434" s="25" t="n">
        <v>1</v>
      </c>
      <c r="V434" s="27">
        <f>IF(S434="","",S434*U434)</f>
        <v/>
      </c>
      <c r="W434" s="26" t="inlineStr">
        <is>
          <t>Catalogue: €3,950. = national differentiated master fee (2026-27: €3,950). Exemption to ~€255 possible (university quota).</t>
        </is>
      </c>
      <c r="X434" s="25" t="inlineStr">
        <is>
          <t>High</t>
        </is>
      </c>
      <c r="Y434" s="25" t="inlineStr">
        <is>
          <t>3950</t>
        </is>
      </c>
      <c r="Z434" s="26" t="n"/>
      <c r="AA434" s="26" t="n"/>
      <c r="AB434" s="25" t="n"/>
      <c r="AC434" s="25" t="inlineStr">
        <is>
          <t>Open</t>
        </is>
      </c>
      <c r="AD434" s="25" t="inlineStr">
        <is>
          <t>2026-10-01</t>
        </is>
      </c>
      <c r="AE434" s="25" t="inlineStr">
        <is>
          <t>2027-03-15</t>
        </is>
      </c>
      <c r="AF434" s="25" t="inlineStr">
        <is>
          <t>No</t>
        </is>
      </c>
      <c r="AG434" s="28" t="inlineStr">
        <is>
          <t>http://www.fsa.univ-artois.fr/les-fiches-formations</t>
        </is>
      </c>
      <c r="AH434" s="26" t="inlineStr">
        <is>
          <t>Niveau de connaissance de la langue française : TCF : niveau b2 dans TOUTES les épreuves obligatoires et un minimum de 12 en épreuve écrite facultative DELF : 16/25 minimum dans TOUTES les disciplines Il est fortement re</t>
        </is>
      </c>
      <c r="AI434" s="28" t="inlineStr">
        <is>
          <t>Open in EEF</t>
        </is>
      </c>
    </row>
    <row r="435" ht="43.25" customHeight="1" s="19">
      <c r="A435" s="25" t="n">
        <v>434</v>
      </c>
      <c r="B435" s="25" t="inlineStr">
        <is>
          <t>★★★★☆</t>
        </is>
      </c>
      <c r="C435" s="25" t="inlineStr">
        <is>
          <t>4 – Strong fit (electronics/signal/robotics/IoT/sensors)</t>
        </is>
      </c>
      <c r="D435" s="25" t="inlineStr">
        <is>
          <t>Embedded systems / Electronics</t>
        </is>
      </c>
      <c r="E435" s="26" t="inlineStr">
        <is>
          <t>Master indifférencié (recherche et professionnel) Sciences, technologies, santé mention Electronique, énergie électrique, automatique parcours Ingénierie des systèmes électriques</t>
        </is>
      </c>
      <c r="F435" s="26" t="inlineStr">
        <is>
          <t>Science, Technology, Health (STS) – major: Electronics, Electrical Energy &amp; Automation (EEA) – track: Engineering of Systems Electrical</t>
        </is>
      </c>
      <c r="G435" s="25" t="inlineStr">
        <is>
          <t>Master indifférencié (recherche et professionnel)</t>
        </is>
      </c>
      <c r="H435" s="25" t="inlineStr">
        <is>
          <t>FSA - Faculté des sciences appliquées</t>
        </is>
      </c>
      <c r="I435" s="25" t="inlineStr">
        <is>
          <t>Université d'Artois</t>
        </is>
      </c>
      <c r="J435" s="25" t="inlineStr">
        <is>
          <t>Site de Béthune</t>
        </is>
      </c>
      <c r="K435" s="25" t="n"/>
      <c r="L435" s="25" t="inlineStr">
        <is>
          <t>Public university</t>
        </is>
      </c>
      <c r="M435" s="25" t="inlineStr">
        <is>
          <t>French</t>
        </is>
      </c>
      <c r="N435" s="25" t="inlineStr">
        <is>
          <t>General</t>
        </is>
      </c>
      <c r="O435" s="25" t="inlineStr">
        <is>
          <t>Bac +5</t>
        </is>
      </c>
      <c r="P435" s="26" t="inlineStr">
        <is>
          <t>Requires Bac+5 (Master) – likely not eligible; ask if 4-yr BS + experience accepted</t>
        </is>
      </c>
      <c r="Q435" s="25" t="inlineStr">
        <is>
          <t>2</t>
        </is>
      </c>
      <c r="R435" s="25" t="n"/>
      <c r="S435" s="27" t="n">
        <v>3950</v>
      </c>
      <c r="T435" s="27" t="n">
        <v>255</v>
      </c>
      <c r="U435" s="25" t="n">
        <v>1</v>
      </c>
      <c r="V435" s="27">
        <f>IF(S435="","",S435*U435)</f>
        <v/>
      </c>
      <c r="W435" s="26" t="inlineStr">
        <is>
          <t>Catalogue: €3,950. = national differentiated master fee (2026-27: €3,950). Exemption to ~€255 possible (university quota).</t>
        </is>
      </c>
      <c r="X435" s="25" t="inlineStr">
        <is>
          <t>High</t>
        </is>
      </c>
      <c r="Y435" s="25" t="inlineStr">
        <is>
          <t>3950</t>
        </is>
      </c>
      <c r="Z435" s="26" t="n"/>
      <c r="AA435" s="26" t="n"/>
      <c r="AB435" s="25" t="n"/>
      <c r="AC435" s="25" t="inlineStr">
        <is>
          <t>Open</t>
        </is>
      </c>
      <c r="AD435" s="25" t="inlineStr">
        <is>
          <t>2026-10-01</t>
        </is>
      </c>
      <c r="AE435" s="25" t="inlineStr">
        <is>
          <t>2027-03-15</t>
        </is>
      </c>
      <c r="AF435" s="25" t="inlineStr">
        <is>
          <t>No</t>
        </is>
      </c>
      <c r="AG435" s="28" t="inlineStr">
        <is>
          <t>http://www.fsa.univ-artois.fr/les-fiches-formations</t>
        </is>
      </c>
      <c r="AH435" s="26" t="inlineStr">
        <is>
          <t>Niveau de connaissance de la langue française : TCF : niveau B2 dans TOUTES les épreuves obligatoires et un minimum de 12 en épreuve écrite facultative DELF : 16/25 minimum dans TOUTES les disciplines Il est fortement re</t>
        </is>
      </c>
      <c r="AI435" s="28" t="inlineStr">
        <is>
          <t>Open in EEF</t>
        </is>
      </c>
    </row>
    <row r="436" ht="32.8" customHeight="1" s="19">
      <c r="A436" s="25" t="n">
        <v>435</v>
      </c>
      <c r="B436" s="25" t="inlineStr">
        <is>
          <t>★★★★☆</t>
        </is>
      </c>
      <c r="C436" s="25" t="inlineStr">
        <is>
          <t>4 – Strong fit (electronics/signal/robotics/IoT/sensors)</t>
        </is>
      </c>
      <c r="D436" s="25" t="inlineStr">
        <is>
          <t>Embedded systems / Electronics</t>
        </is>
      </c>
      <c r="E436" s="26" t="inlineStr">
        <is>
          <t>Master indifférencié (recherche et professionnel) Sciences, technologies, santé mention Electronique, énergie électrique, automatique parcours Intelligence artificielle et automatique avancée pour la gestion des énergies</t>
        </is>
      </c>
      <c r="F436" s="26" t="inlineStr">
        <is>
          <t>Science, Technology, Health (STS) – major: Electronics, Electrical Energy &amp; Automation (EEA) – track: Artificial Intelligence &amp; Automation Advanced for the Management of Energies</t>
        </is>
      </c>
      <c r="G436" s="25" t="inlineStr">
        <is>
          <t>Master indifférencié (recherche et professionnel)</t>
        </is>
      </c>
      <c r="H436" s="25" t="inlineStr">
        <is>
          <t>UFR des Sciences Exactes et Expérimentales (SEE)</t>
        </is>
      </c>
      <c r="I436" s="25" t="inlineStr">
        <is>
          <t>Université de Perpignan Via Domitia</t>
        </is>
      </c>
      <c r="J436" s="25" t="inlineStr">
        <is>
          <t>Site de Perpignan</t>
        </is>
      </c>
      <c r="K436" s="25" t="n"/>
      <c r="L436" s="25" t="inlineStr">
        <is>
          <t>Public university</t>
        </is>
      </c>
      <c r="M436" s="25" t="inlineStr">
        <is>
          <t>French</t>
        </is>
      </c>
      <c r="N436" s="25" t="inlineStr">
        <is>
          <t>General</t>
        </is>
      </c>
      <c r="O436" s="25" t="inlineStr">
        <is>
          <t>Bac +5</t>
        </is>
      </c>
      <c r="P436" s="26" t="inlineStr">
        <is>
          <t>Requires Bac+5 (Master) – likely not eligible; ask if 4-yr BS + experience accepted</t>
        </is>
      </c>
      <c r="Q436" s="25" t="inlineStr">
        <is>
          <t>2</t>
        </is>
      </c>
      <c r="R436" s="25" t="n"/>
      <c r="S436" s="27" t="n">
        <v>3950</v>
      </c>
      <c r="T436" s="27" t="n">
        <v>255</v>
      </c>
      <c r="U436" s="25" t="n">
        <v>1</v>
      </c>
      <c r="V436" s="27">
        <f>IF(S436="","",S436*U436)</f>
        <v/>
      </c>
      <c r="W436" s="26" t="inlineStr">
        <is>
          <t>Catalogue: €3,950. = national differentiated master fee (2026-27: €3,950). Exemption to ~€255 possible (university quota).</t>
        </is>
      </c>
      <c r="X436" s="25" t="inlineStr">
        <is>
          <t>High</t>
        </is>
      </c>
      <c r="Y436" s="25" t="inlineStr">
        <is>
          <t>3950</t>
        </is>
      </c>
      <c r="Z436" s="26" t="n"/>
      <c r="AA436" s="26" t="n"/>
      <c r="AB436" s="25" t="n"/>
      <c r="AC436" s="25" t="inlineStr">
        <is>
          <t>Open</t>
        </is>
      </c>
      <c r="AD436" s="25" t="inlineStr">
        <is>
          <t>2026-10-01</t>
        </is>
      </c>
      <c r="AE436" s="25" t="inlineStr">
        <is>
          <t>2027-03-15</t>
        </is>
      </c>
      <c r="AF436" s="25" t="inlineStr">
        <is>
          <t>No</t>
        </is>
      </c>
      <c r="AG436" s="28" t="inlineStr">
        <is>
          <t>http://see.univ-perp.fr</t>
        </is>
      </c>
      <c r="AH436" s="26" t="inlineStr">
        <is>
          <t>- Niveau de langue minimum en français : B2. - Avoir validé en 1ère session les années de licence 1, 2 et 3 (ou équivalent), avec des moyennes annuelles supérieures à 14/20. - Mention très bien (moyenne supérieure à 16/2</t>
        </is>
      </c>
      <c r="AI436" s="28" t="inlineStr">
        <is>
          <t>Open in EEF</t>
        </is>
      </c>
    </row>
    <row r="437" ht="32.8" customHeight="1" s="19">
      <c r="A437" s="25" t="n">
        <v>436</v>
      </c>
      <c r="B437" s="25" t="inlineStr">
        <is>
          <t>★★★★☆</t>
        </is>
      </c>
      <c r="C437" s="25" t="inlineStr">
        <is>
          <t>4 – Strong fit (electronics/signal/robotics/IoT/sensors)</t>
        </is>
      </c>
      <c r="D437" s="25" t="inlineStr">
        <is>
          <t>Signal / Image / Vision</t>
        </is>
      </c>
      <c r="E437" s="26" t="inlineStr">
        <is>
          <t>Master indifférencié (recherche et professionnel) Sciences, technologies, santé mention informatique parcours IAAVR orientation Intelligence artificielle et ses applications en vision et robotique</t>
        </is>
      </c>
      <c r="F437" s="26" t="inlineStr">
        <is>
          <t>Science, Technology, Health (STS) – major: Computer Science – track: IAAVR – option: Artificial Intelligence &amp; its Applications in Vision &amp; Robotics</t>
        </is>
      </c>
      <c r="G437" s="25" t="inlineStr">
        <is>
          <t>Master indifférencié (recherche et professionnel)</t>
        </is>
      </c>
      <c r="H437" s="25" t="inlineStr">
        <is>
          <t>Faculté des Sciences et Technologies</t>
        </is>
      </c>
      <c r="I437" s="25" t="inlineStr">
        <is>
          <t>Université de Lorraine</t>
        </is>
      </c>
      <c r="J437" s="25" t="inlineStr">
        <is>
          <t>Site de Vandoeuvre-lès-Nancy</t>
        </is>
      </c>
      <c r="K437" s="25" t="n"/>
      <c r="L437" s="25" t="inlineStr">
        <is>
          <t>Public university</t>
        </is>
      </c>
      <c r="M437" s="25" t="inlineStr">
        <is>
          <t>French</t>
        </is>
      </c>
      <c r="N437" s="25" t="inlineStr">
        <is>
          <t>General</t>
        </is>
      </c>
      <c r="O437" s="25" t="inlineStr">
        <is>
          <t>Bac +5</t>
        </is>
      </c>
      <c r="P437" s="26" t="inlineStr">
        <is>
          <t>Requires Bac+5 (Master) – likely not eligible; ask if 4-yr BS + experience accepted</t>
        </is>
      </c>
      <c r="Q437" s="25" t="inlineStr">
        <is>
          <t>2</t>
        </is>
      </c>
      <c r="R437" s="25" t="n"/>
      <c r="S437" s="27" t="n">
        <v>3950</v>
      </c>
      <c r="T437" s="27" t="n">
        <v>255</v>
      </c>
      <c r="U437" s="25" t="n">
        <v>1</v>
      </c>
      <c r="V437" s="27">
        <f>IF(S437="","",S437*U437)</f>
        <v/>
      </c>
      <c r="W437" s="26" t="inlineStr">
        <is>
          <t>Catalogue: €3,950. = national differentiated master fee (2026-27: €3,950). Exemption to ~€255 possible (university quota).</t>
        </is>
      </c>
      <c r="X437" s="25" t="inlineStr">
        <is>
          <t>High</t>
        </is>
      </c>
      <c r="Y437" s="25" t="inlineStr">
        <is>
          <t>3950</t>
        </is>
      </c>
      <c r="Z437" s="26" t="n"/>
      <c r="AA437" s="26" t="n"/>
      <c r="AB437" s="25" t="n"/>
      <c r="AC437" s="25" t="inlineStr">
        <is>
          <t>Open</t>
        </is>
      </c>
      <c r="AD437" s="25" t="inlineStr">
        <is>
          <t>2026-10-01</t>
        </is>
      </c>
      <c r="AE437" s="25" t="inlineStr">
        <is>
          <t>2027-03-15</t>
        </is>
      </c>
      <c r="AF437" s="25" t="inlineStr">
        <is>
          <t>No</t>
        </is>
      </c>
      <c r="AG437" s="28" t="inlineStr">
        <is>
          <t>https://fst.univ-lorraine.fr/formations/</t>
        </is>
      </c>
      <c r="AH437" s="26" t="inlineStr">
        <is>
          <t>Projet professionnel en adéquation avec la formation Compétences ou acquis d’apprentissage validés en : - Algorithmique, analyse et conception des logiciels - Notions d'apprentissage artificiel - Notions d’informatique g</t>
        </is>
      </c>
      <c r="AI437" s="28" t="inlineStr">
        <is>
          <t>Open in EEF</t>
        </is>
      </c>
    </row>
    <row r="438" ht="32.8" customHeight="1" s="19">
      <c r="A438" s="25" t="n">
        <v>437</v>
      </c>
      <c r="B438" s="25" t="inlineStr">
        <is>
          <t>★★★★☆</t>
        </is>
      </c>
      <c r="C438" s="25" t="inlineStr">
        <is>
          <t>4 – Strong fit (electronics/signal/robotics/IoT/sensors)</t>
        </is>
      </c>
      <c r="D438" s="25" t="inlineStr">
        <is>
          <t>IoT / Telecom / Networks</t>
        </is>
      </c>
      <c r="E438" s="26" t="inlineStr">
        <is>
          <t>Master indifférencié (recherche et professionnel) Sciences, technologies, santé mention ingénierie de systèmes complexes parcours RESET : Réseaux, Signaux, EcoTIC</t>
        </is>
      </c>
      <c r="F438" s="26" t="inlineStr">
        <is>
          <t>Science, Technology, Health (STS) – major: Engineering of Systems Complex – track: RESET : Networks, Signaux, EcoTIC</t>
        </is>
      </c>
      <c r="G438" s="25" t="inlineStr">
        <is>
          <t>Master indifférencié (recherche et professionnel)</t>
        </is>
      </c>
      <c r="H438" s="25" t="inlineStr">
        <is>
          <t>Faculté des Sciences et Technologies</t>
        </is>
      </c>
      <c r="I438" s="25" t="inlineStr">
        <is>
          <t>Université de Lorraine</t>
        </is>
      </c>
      <c r="J438" s="25" t="inlineStr">
        <is>
          <t>Site de Vandoeuvre-lès-Nancy</t>
        </is>
      </c>
      <c r="K438" s="25" t="n"/>
      <c r="L438" s="25" t="inlineStr">
        <is>
          <t>Public university</t>
        </is>
      </c>
      <c r="M438" s="25" t="inlineStr">
        <is>
          <t>French</t>
        </is>
      </c>
      <c r="N438" s="25" t="inlineStr">
        <is>
          <t>General</t>
        </is>
      </c>
      <c r="O438" s="25" t="inlineStr">
        <is>
          <t>Bac +5</t>
        </is>
      </c>
      <c r="P438" s="26" t="inlineStr">
        <is>
          <t>Requires Bac+5 (Master) – likely not eligible; ask if 4-yr BS + experience accepted</t>
        </is>
      </c>
      <c r="Q438" s="25" t="inlineStr">
        <is>
          <t>2</t>
        </is>
      </c>
      <c r="R438" s="25" t="n"/>
      <c r="S438" s="27" t="n">
        <v>3950</v>
      </c>
      <c r="T438" s="27" t="n">
        <v>255</v>
      </c>
      <c r="U438" s="25" t="n">
        <v>1</v>
      </c>
      <c r="V438" s="27">
        <f>IF(S438="","",S438*U438)</f>
        <v/>
      </c>
      <c r="W438" s="26" t="inlineStr">
        <is>
          <t>Catalogue: €3,950. = national differentiated master fee (2026-27: €3,950). Exemption to ~€255 possible (university quota).</t>
        </is>
      </c>
      <c r="X438" s="25" t="inlineStr">
        <is>
          <t>High</t>
        </is>
      </c>
      <c r="Y438" s="25" t="inlineStr">
        <is>
          <t>3950</t>
        </is>
      </c>
      <c r="Z438" s="26" t="n"/>
      <c r="AA438" s="26" t="n"/>
      <c r="AB438" s="25" t="n"/>
      <c r="AC438" s="25" t="inlineStr">
        <is>
          <t>Open</t>
        </is>
      </c>
      <c r="AD438" s="25" t="inlineStr">
        <is>
          <t>2026-10-01</t>
        </is>
      </c>
      <c r="AE438" s="25" t="inlineStr">
        <is>
          <t>2027-03-15</t>
        </is>
      </c>
      <c r="AF438" s="25" t="inlineStr">
        <is>
          <t>No</t>
        </is>
      </c>
      <c r="AG438" s="28" t="inlineStr">
        <is>
          <t>https://fst.univ-lorraine.fr/formations/</t>
        </is>
      </c>
      <c r="AH438" s="26" t="inlineStr">
        <is>
          <t>Niveau B2 en langue française exigé. Aucun dossier transmis en dehors de la campagne d'ouverture de Campus France ne sera accepté. Un ordinateur et une connexion internet sont nécessaires pour suivre la formation. AUCUNE</t>
        </is>
      </c>
      <c r="AI438" s="28" t="inlineStr">
        <is>
          <t>Open in EEF</t>
        </is>
      </c>
    </row>
    <row r="439" ht="32.8" customHeight="1" s="19">
      <c r="A439" s="25" t="n">
        <v>438</v>
      </c>
      <c r="B439" s="25" t="inlineStr">
        <is>
          <t>★★★★☆</t>
        </is>
      </c>
      <c r="C439" s="25" t="inlineStr">
        <is>
          <t>4 – Strong fit (electronics/signal/robotics/IoT/sensors)</t>
        </is>
      </c>
      <c r="D439" s="25" t="inlineStr">
        <is>
          <t>Signal / Image / Vision</t>
        </is>
      </c>
      <c r="E439" s="26" t="inlineStr">
        <is>
          <t>Master indifférencié (recherche et professionnel) Sciences, technologies, santé mention Optique, image, vision, multimédia parcours Automatique et robotique</t>
        </is>
      </c>
      <c r="F439" s="26" t="inlineStr">
        <is>
          <t>Science, Technology, Health (STS) – major: Optics, Image, Vision, Multimedia – track: Automation &amp; Robotics</t>
        </is>
      </c>
      <c r="G439" s="25" t="inlineStr">
        <is>
          <t>Master indifférencié (recherche et professionnel)</t>
        </is>
      </c>
      <c r="H439" s="25" t="inlineStr">
        <is>
          <t>Télécom Physique Strasbourg</t>
        </is>
      </c>
      <c r="I439" s="25" t="inlineStr">
        <is>
          <t>Université de Strasbourg</t>
        </is>
      </c>
      <c r="J439" s="25" t="inlineStr">
        <is>
          <t>Site de Illkirch-Graffenstaden</t>
        </is>
      </c>
      <c r="K439" s="25" t="n"/>
      <c r="L439" s="25" t="inlineStr">
        <is>
          <t>Public university</t>
        </is>
      </c>
      <c r="M439" s="25" t="inlineStr">
        <is>
          <t>French</t>
        </is>
      </c>
      <c r="N439" s="25" t="inlineStr">
        <is>
          <t>General</t>
        </is>
      </c>
      <c r="O439" s="25" t="inlineStr">
        <is>
          <t>Bac +5</t>
        </is>
      </c>
      <c r="P439" s="26" t="inlineStr">
        <is>
          <t>Requires Bac+5 (Master) – likely not eligible; ask if 4-yr BS + experience accepted</t>
        </is>
      </c>
      <c r="Q439" s="25" t="inlineStr">
        <is>
          <t>2</t>
        </is>
      </c>
      <c r="R439" s="25" t="n"/>
      <c r="S439" s="27" t="n">
        <v>3950</v>
      </c>
      <c r="T439" s="27" t="n">
        <v>255</v>
      </c>
      <c r="U439" s="25" t="n">
        <v>1</v>
      </c>
      <c r="V439" s="27">
        <f>IF(S439="","",S439*U439)</f>
        <v/>
      </c>
      <c r="W439" s="26" t="inlineStr">
        <is>
          <t>Catalogue: €3,950. = national differentiated master fee (2026-27: €3,950). Exemption to ~€255 possible (university quota).</t>
        </is>
      </c>
      <c r="X439" s="25" t="inlineStr">
        <is>
          <t>High</t>
        </is>
      </c>
      <c r="Y439" s="25" t="inlineStr">
        <is>
          <t>3950</t>
        </is>
      </c>
      <c r="Z439" s="26" t="n"/>
      <c r="AA439" s="26" t="inlineStr">
        <is>
          <t>Unistra: master entrants who did not do their licence at Unistra pay the differentiated fee (€3,950).</t>
        </is>
      </c>
      <c r="AB439" s="28" t="inlineStr">
        <is>
          <t>https://www.unistra.fr/fr/node/8168</t>
        </is>
      </c>
      <c r="AC439" s="25" t="inlineStr">
        <is>
          <t>Open</t>
        </is>
      </c>
      <c r="AD439" s="25" t="inlineStr">
        <is>
          <t>2026-10-01</t>
        </is>
      </c>
      <c r="AE439" s="25" t="inlineStr">
        <is>
          <t>2027-03-15</t>
        </is>
      </c>
      <c r="AF439" s="25" t="inlineStr">
        <is>
          <t>No</t>
        </is>
      </c>
      <c r="AG439" s="28" t="inlineStr">
        <is>
          <t>https://www.master-iriv.fr</t>
        </is>
      </c>
      <c r="AH439" s="26" t="inlineStr">
        <is>
          <t>Il faut être titulaire d'un M1 dans le même champ disciplinaire que celui de la dominante ASI du master IRIV. IMPORTANT Le calendrier complet ainsi que les pièces à joindre pour la constitution du dossier dématérialisé f</t>
        </is>
      </c>
      <c r="AI439" s="28" t="inlineStr">
        <is>
          <t>Open in EEF</t>
        </is>
      </c>
    </row>
    <row r="440" ht="32.8" customHeight="1" s="19">
      <c r="A440" s="25" t="n">
        <v>439</v>
      </c>
      <c r="B440" s="25" t="inlineStr">
        <is>
          <t>★★★★☆</t>
        </is>
      </c>
      <c r="C440" s="25" t="inlineStr">
        <is>
          <t>4 – Strong fit (electronics/signal/robotics/IoT/sensors)</t>
        </is>
      </c>
      <c r="D440" s="25" t="inlineStr">
        <is>
          <t>Signal / Image / Vision</t>
        </is>
      </c>
      <c r="E440" s="26" t="inlineStr">
        <is>
          <t>Master indifférencié (recherche et professionnel) Sciences, technologies, santé mention Optique, image, vision, multimédia parcours Imagerie, robotique médicale et chirurgicale</t>
        </is>
      </c>
      <c r="F440" s="26" t="inlineStr">
        <is>
          <t>Science, Technology, Health (STS) – major: Optics, Image, Vision, Multimedia – track: Imaging, Robotics Medical &amp; chirurgicale</t>
        </is>
      </c>
      <c r="G440" s="25" t="inlineStr">
        <is>
          <t>Master indifférencié (recherche et professionnel)</t>
        </is>
      </c>
      <c r="H440" s="25" t="inlineStr">
        <is>
          <t>Télécom Physique Strasbourg</t>
        </is>
      </c>
      <c r="I440" s="25" t="inlineStr">
        <is>
          <t>Université de Strasbourg</t>
        </is>
      </c>
      <c r="J440" s="25" t="inlineStr">
        <is>
          <t>Site de Illkirch-Graffenstaden</t>
        </is>
      </c>
      <c r="K440" s="25" t="n"/>
      <c r="L440" s="25" t="inlineStr">
        <is>
          <t>Public university</t>
        </is>
      </c>
      <c r="M440" s="25" t="inlineStr">
        <is>
          <t>French</t>
        </is>
      </c>
      <c r="N440" s="25" t="inlineStr">
        <is>
          <t>General</t>
        </is>
      </c>
      <c r="O440" s="25" t="inlineStr">
        <is>
          <t>Bac +5</t>
        </is>
      </c>
      <c r="P440" s="26" t="inlineStr">
        <is>
          <t>Requires Bac+5 (Master) – likely not eligible; ask if 4-yr BS + experience accepted</t>
        </is>
      </c>
      <c r="Q440" s="25" t="inlineStr">
        <is>
          <t>2</t>
        </is>
      </c>
      <c r="R440" s="25" t="n"/>
      <c r="S440" s="27" t="n">
        <v>3950</v>
      </c>
      <c r="T440" s="27" t="n">
        <v>255</v>
      </c>
      <c r="U440" s="25" t="n">
        <v>1</v>
      </c>
      <c r="V440" s="27">
        <f>IF(S440="","",S440*U440)</f>
        <v/>
      </c>
      <c r="W440" s="26" t="inlineStr">
        <is>
          <t>Catalogue: €3,950. = national differentiated master fee (2026-27: €3,950). Exemption to ~€255 possible (university quota).</t>
        </is>
      </c>
      <c r="X440" s="25" t="inlineStr">
        <is>
          <t>High</t>
        </is>
      </c>
      <c r="Y440" s="25" t="inlineStr">
        <is>
          <t>3950</t>
        </is>
      </c>
      <c r="Z440" s="26" t="n"/>
      <c r="AA440" s="26" t="inlineStr">
        <is>
          <t>Unistra: master entrants who did not do their licence at Unistra pay the differentiated fee (€3,950).</t>
        </is>
      </c>
      <c r="AB440" s="28" t="inlineStr">
        <is>
          <t>https://www.unistra.fr/fr/node/8168</t>
        </is>
      </c>
      <c r="AC440" s="25" t="inlineStr">
        <is>
          <t>Open</t>
        </is>
      </c>
      <c r="AD440" s="25" t="inlineStr">
        <is>
          <t>2026-10-01</t>
        </is>
      </c>
      <c r="AE440" s="25" t="inlineStr">
        <is>
          <t>2027-03-15</t>
        </is>
      </c>
      <c r="AF440" s="25" t="inlineStr">
        <is>
          <t>No</t>
        </is>
      </c>
      <c r="AG440" s="28" t="inlineStr">
        <is>
          <t>https://www.master-iriv.fr</t>
        </is>
      </c>
      <c r="AH440" s="26" t="inlineStr">
        <is>
          <t>Il faut être titulaire d'un M1 dans le même champ disciplinaire que celui de la dominante ASI du master IRIV. IMPORTANT Le calendrier complet ainsi que les pièces à joindre pour la constitution du dossier dématérialisé f</t>
        </is>
      </c>
      <c r="AI440" s="28" t="inlineStr">
        <is>
          <t>Open in EEF</t>
        </is>
      </c>
    </row>
    <row r="441" ht="32.8" customHeight="1" s="19">
      <c r="A441" s="25" t="n">
        <v>440</v>
      </c>
      <c r="B441" s="25" t="inlineStr">
        <is>
          <t>★★★★☆</t>
        </is>
      </c>
      <c r="C441" s="25" t="inlineStr">
        <is>
          <t>4 – Strong fit (electronics/signal/robotics/IoT/sensors)</t>
        </is>
      </c>
      <c r="D441" s="25" t="inlineStr">
        <is>
          <t>Signal / Image / Vision</t>
        </is>
      </c>
      <c r="E441" s="26" t="inlineStr">
        <is>
          <t>Master indifférencié (recherche et professionnel) Sciences, technologies, santé mention Optique, image, vision, multimédia parcours Topographie et photogrammétrie</t>
        </is>
      </c>
      <c r="F441" s="26" t="inlineStr">
        <is>
          <t>Science, Technology, Health (STS) – major: Optics, Image, Vision, Multimedia – track: Topographie &amp; photogrammétrie</t>
        </is>
      </c>
      <c r="G441" s="25" t="inlineStr">
        <is>
          <t>Master indifférencié (recherche et professionnel)</t>
        </is>
      </c>
      <c r="H441" s="25" t="inlineStr">
        <is>
          <t>Télécom Physique Strasbourg</t>
        </is>
      </c>
      <c r="I441" s="25" t="inlineStr">
        <is>
          <t>Université de Strasbourg</t>
        </is>
      </c>
      <c r="J441" s="25" t="inlineStr">
        <is>
          <t>Site de Illkirch-Graffenstaden</t>
        </is>
      </c>
      <c r="K441" s="25" t="n"/>
      <c r="L441" s="25" t="inlineStr">
        <is>
          <t>Public university</t>
        </is>
      </c>
      <c r="M441" s="25" t="inlineStr">
        <is>
          <t>French</t>
        </is>
      </c>
      <c r="N441" s="25" t="inlineStr">
        <is>
          <t>General</t>
        </is>
      </c>
      <c r="O441" s="25" t="inlineStr">
        <is>
          <t>Bac +5</t>
        </is>
      </c>
      <c r="P441" s="26" t="inlineStr">
        <is>
          <t>Requires Bac+5 (Master) – likely not eligible; ask if 4-yr BS + experience accepted</t>
        </is>
      </c>
      <c r="Q441" s="25" t="inlineStr">
        <is>
          <t>2</t>
        </is>
      </c>
      <c r="R441" s="25" t="n"/>
      <c r="S441" s="27" t="n">
        <v>3950</v>
      </c>
      <c r="T441" s="27" t="n">
        <v>255</v>
      </c>
      <c r="U441" s="25" t="n">
        <v>1</v>
      </c>
      <c r="V441" s="27">
        <f>IF(S441="","",S441*U441)</f>
        <v/>
      </c>
      <c r="W441" s="26" t="inlineStr">
        <is>
          <t>Catalogue: €3,950. = national differentiated master fee (2026-27: €3,950). Exemption to ~€255 possible (university quota).</t>
        </is>
      </c>
      <c r="X441" s="25" t="inlineStr">
        <is>
          <t>High</t>
        </is>
      </c>
      <c r="Y441" s="25" t="inlineStr">
        <is>
          <t>3950</t>
        </is>
      </c>
      <c r="Z441" s="26" t="n"/>
      <c r="AA441" s="26" t="inlineStr">
        <is>
          <t>Unistra: master entrants who did not do their licence at Unistra pay the differentiated fee (€3,950).</t>
        </is>
      </c>
      <c r="AB441" s="28" t="inlineStr">
        <is>
          <t>https://www.unistra.fr/fr/node/8168</t>
        </is>
      </c>
      <c r="AC441" s="25" t="inlineStr">
        <is>
          <t>Open</t>
        </is>
      </c>
      <c r="AD441" s="25" t="inlineStr">
        <is>
          <t>2026-10-01</t>
        </is>
      </c>
      <c r="AE441" s="25" t="inlineStr">
        <is>
          <t>2027-03-15</t>
        </is>
      </c>
      <c r="AF441" s="25" t="inlineStr">
        <is>
          <t>No</t>
        </is>
      </c>
      <c r="AG441" s="28" t="inlineStr">
        <is>
          <t>https://www.master-iriv.fr</t>
        </is>
      </c>
      <c r="AH441" s="26" t="inlineStr">
        <is>
          <t>Il faut être titulaire d'un M1 dans le même champ disciplinaire que celui de la dominante ASI du master IRIV. IMPORTANT Le calendrier complet ainsi que les pièces à joindre pour la constitution du dossier dématérialisé f</t>
        </is>
      </c>
      <c r="AI441" s="28" t="inlineStr">
        <is>
          <t>Open in EEF</t>
        </is>
      </c>
    </row>
    <row r="442" ht="32.8" customHeight="1" s="19">
      <c r="A442" s="25" t="n">
        <v>441</v>
      </c>
      <c r="B442" s="25" t="inlineStr">
        <is>
          <t>★★★★☆</t>
        </is>
      </c>
      <c r="C442" s="25" t="inlineStr">
        <is>
          <t>4 – Strong fit (electronics/signal/robotics/IoT/sensors)</t>
        </is>
      </c>
      <c r="D442" s="25" t="inlineStr">
        <is>
          <t>Sensors / Instrumentation / Micro-Nano / Photonics</t>
        </is>
      </c>
      <c r="E442" s="26" t="inlineStr">
        <is>
          <t>Master indifférencié (recherche et professionnel) Sciences, technologies, santé mention Physique appliquée et Ingénierie physique parcours Photonique et physique computationnelle</t>
        </is>
      </c>
      <c r="F442" s="26" t="inlineStr">
        <is>
          <t>Science, Technology, Health (STS) – major: Applied Physics &amp; Engineering Physics – track: Photonics &amp; Physics Computational</t>
        </is>
      </c>
      <c r="G442" s="25" t="inlineStr">
        <is>
          <t>Master indifférencié (recherche et professionnel)</t>
        </is>
      </c>
      <c r="H442" s="25" t="inlineStr">
        <is>
          <t>UFR Sciences fondamentales et appliquées</t>
        </is>
      </c>
      <c r="I442" s="25" t="inlineStr">
        <is>
          <t>Université de Lorraine</t>
        </is>
      </c>
      <c r="J442" s="25" t="inlineStr">
        <is>
          <t>Site de Metz</t>
        </is>
      </c>
      <c r="K442" s="25" t="n"/>
      <c r="L442" s="25" t="inlineStr">
        <is>
          <t>Public university</t>
        </is>
      </c>
      <c r="M442" s="25" t="inlineStr">
        <is>
          <t>French</t>
        </is>
      </c>
      <c r="N442" s="25" t="inlineStr">
        <is>
          <t>General</t>
        </is>
      </c>
      <c r="O442" s="25" t="inlineStr">
        <is>
          <t>Bac +5</t>
        </is>
      </c>
      <c r="P442" s="26" t="inlineStr">
        <is>
          <t>Requires Bac+5 (Master) – likely not eligible; ask if 4-yr BS + experience accepted</t>
        </is>
      </c>
      <c r="Q442" s="25" t="inlineStr">
        <is>
          <t>2</t>
        </is>
      </c>
      <c r="R442" s="25" t="n"/>
      <c r="S442" s="27" t="n">
        <v>3950</v>
      </c>
      <c r="T442" s="27" t="n">
        <v>255</v>
      </c>
      <c r="U442" s="25" t="n">
        <v>1</v>
      </c>
      <c r="V442" s="27">
        <f>IF(S442="","",S442*U442)</f>
        <v/>
      </c>
      <c r="W442" s="26" t="inlineStr">
        <is>
          <t>Catalogue: €3,950. = national differentiated master fee (2026-27: €3,950). Exemption to ~€255 possible (university quota).</t>
        </is>
      </c>
      <c r="X442" s="25" t="inlineStr">
        <is>
          <t>High</t>
        </is>
      </c>
      <c r="Y442" s="25" t="inlineStr">
        <is>
          <t>3950</t>
        </is>
      </c>
      <c r="Z442" s="26" t="n"/>
      <c r="AA442" s="26" t="n"/>
      <c r="AB442" s="25" t="n"/>
      <c r="AC442" s="25" t="inlineStr">
        <is>
          <t>Open</t>
        </is>
      </c>
      <c r="AD442" s="25" t="inlineStr">
        <is>
          <t>2026-10-01</t>
        </is>
      </c>
      <c r="AE442" s="25" t="inlineStr">
        <is>
          <t>2027-03-15</t>
        </is>
      </c>
      <c r="AF442" s="25" t="inlineStr">
        <is>
          <t>No</t>
        </is>
      </c>
      <c r="AG442" s="28" t="inlineStr">
        <is>
          <t>http://scifa.univ-lorraine.fr/</t>
        </is>
      </c>
      <c r="AH442" s="26" t="inlineStr">
        <is>
          <t>•Disposer d'un projet professionnel et d'une formation initiale en adéquation avec la formation (licence de physique générale ou formation équivalente) •Disposer d'un socle de connaissances en physique générale •Disposer</t>
        </is>
      </c>
      <c r="AI442" s="28" t="inlineStr">
        <is>
          <t>Open in EEF</t>
        </is>
      </c>
    </row>
    <row r="443" ht="32.8" customHeight="1" s="19">
      <c r="A443" s="25" t="n">
        <v>442</v>
      </c>
      <c r="B443" s="25" t="inlineStr">
        <is>
          <t>★★★★☆</t>
        </is>
      </c>
      <c r="C443" s="25" t="inlineStr">
        <is>
          <t>4 – Strong fit (electronics/signal/robotics/IoT/sensors)</t>
        </is>
      </c>
      <c r="D443" s="25" t="inlineStr">
        <is>
          <t>Sensors / Instrumentation / Micro-Nano / Photonics</t>
        </is>
      </c>
      <c r="E443" s="26" t="inlineStr">
        <is>
          <t>Master indifférencié (recherche et professionnel) Sciences, technologies, santé mention Physique fondamentale et applications parcours Instrumentation, mesures, qualité</t>
        </is>
      </c>
      <c r="F443" s="26" t="inlineStr">
        <is>
          <t>Science, Technology, Health (STS) – major: Physics Fundamental &amp; Applications – track: Instrumentation, Measurements, Quality</t>
        </is>
      </c>
      <c r="G443" s="25" t="inlineStr">
        <is>
          <t>Master indifférencié (recherche et professionnel)</t>
        </is>
      </c>
      <c r="H443" s="25" t="inlineStr">
        <is>
          <t>Faculté des sciences et technologies</t>
        </is>
      </c>
      <c r="I443" s="25" t="inlineStr">
        <is>
          <t>Université de Lille</t>
        </is>
      </c>
      <c r="J443" s="25" t="inlineStr">
        <is>
          <t>Département Physique</t>
        </is>
      </c>
      <c r="K443" s="25" t="n"/>
      <c r="L443" s="25" t="inlineStr">
        <is>
          <t>Public university</t>
        </is>
      </c>
      <c r="M443" s="25" t="inlineStr">
        <is>
          <t>French</t>
        </is>
      </c>
      <c r="N443" s="25" t="inlineStr">
        <is>
          <t>General</t>
        </is>
      </c>
      <c r="O443" s="25" t="inlineStr">
        <is>
          <t>Bac +5</t>
        </is>
      </c>
      <c r="P443" s="26" t="inlineStr">
        <is>
          <t>Requires Bac+5 (Master) – likely not eligible; ask if 4-yr BS + experience accepted</t>
        </is>
      </c>
      <c r="Q443" s="25" t="inlineStr">
        <is>
          <t>2</t>
        </is>
      </c>
      <c r="R443" s="25" t="inlineStr">
        <is>
          <t>12</t>
        </is>
      </c>
      <c r="S443" s="27" t="n">
        <v>3950</v>
      </c>
      <c r="T443" s="27" t="n">
        <v>255</v>
      </c>
      <c r="U443" s="25" t="n">
        <v>1</v>
      </c>
      <c r="V443" s="27">
        <f>IF(S443="","",S443*U443)</f>
        <v/>
      </c>
      <c r="W443" s="26" t="inlineStr">
        <is>
          <t>Catalogue: €3,950. = national differentiated master fee (2026-27: €3,950). Exemption to ~€255 possible (university quota).</t>
        </is>
      </c>
      <c r="X443" s="25" t="inlineStr">
        <is>
          <t>High</t>
        </is>
      </c>
      <c r="Y443" s="25" t="inlineStr">
        <is>
          <t>3950</t>
        </is>
      </c>
      <c r="Z443" s="26" t="n"/>
      <c r="AA443" s="26" t="inlineStr">
        <is>
          <t>Lille opposed the decree; continues exemptions for part of non-EU students (master €254 if exempted). Apply for exemption early.</t>
        </is>
      </c>
      <c r="AB443" s="28" t="inlineStr">
        <is>
          <t>https://observalgerie.com/2026/06/13/misc/frais-dinscription-en-france-lille-maintient-un-avantage-pour-les-etudiants-etrangers/</t>
        </is>
      </c>
      <c r="AC443" s="25" t="inlineStr">
        <is>
          <t>Open</t>
        </is>
      </c>
      <c r="AD443" s="25" t="inlineStr">
        <is>
          <t>2026-10-01</t>
        </is>
      </c>
      <c r="AE443" s="25" t="inlineStr">
        <is>
          <t>2027-03-15</t>
        </is>
      </c>
      <c r="AF443" s="25" t="inlineStr">
        <is>
          <t>No</t>
        </is>
      </c>
      <c r="AG443" s="28" t="inlineStr">
        <is>
          <t>https://formation.univ-lille.fr/fr/offre-de-formation/master-lmd-XB/master-physique-fondamentale-et-applications-MG001988/instrumentation-mesures-qualite-m2-MX002074.html</t>
        </is>
      </c>
      <c r="AH443" s="26" t="inlineStr">
        <is>
          <t>Le candidat doit avoir un niveau M1 ou équivalent en Physique, Physique-Chimie ou Physique Appliquée. Niveau de français B2 exigé.</t>
        </is>
      </c>
      <c r="AI443" s="28" t="inlineStr">
        <is>
          <t>Open in EEF</t>
        </is>
      </c>
    </row>
    <row r="444" ht="32.8" customHeight="1" s="19">
      <c r="A444" s="25" t="n">
        <v>443</v>
      </c>
      <c r="B444" s="25" t="inlineStr">
        <is>
          <t>★★★★☆</t>
        </is>
      </c>
      <c r="C444" s="25" t="inlineStr">
        <is>
          <t>4 – Strong fit (electronics/signal/robotics/IoT/sensors)</t>
        </is>
      </c>
      <c r="D444" s="25" t="inlineStr">
        <is>
          <t>Sensors / Instrumentation / Micro-Nano / Photonics</t>
        </is>
      </c>
      <c r="E444" s="26" t="inlineStr">
        <is>
          <t>Master indifférencié (recherche et professionnel) Sciences, technologies, santé mention Physique fondamentale et applications parcours Nanosciences, nanomatériaux, nanotechnologies</t>
        </is>
      </c>
      <c r="F444" s="26" t="inlineStr">
        <is>
          <t>Science, Technology, Health (STS) – major: Physics Fundamental &amp; Applications – track: Nanosciences, nanomatériaux, Nanotechnologies</t>
        </is>
      </c>
      <c r="G444" s="25" t="inlineStr">
        <is>
          <t>Master indifférencié (recherche et professionnel)</t>
        </is>
      </c>
      <c r="H444" s="25" t="inlineStr">
        <is>
          <t>UFR sciences et techniques</t>
        </is>
      </c>
      <c r="I444" s="25" t="inlineStr">
        <is>
          <t>Université de Bretagne Occidentale</t>
        </is>
      </c>
      <c r="J444" s="25" t="inlineStr">
        <is>
          <t>Site de Brest</t>
        </is>
      </c>
      <c r="K444" s="25" t="n"/>
      <c r="L444" s="25" t="inlineStr">
        <is>
          <t>Public university</t>
        </is>
      </c>
      <c r="M444" s="25" t="inlineStr">
        <is>
          <t>French</t>
        </is>
      </c>
      <c r="N444" s="25" t="inlineStr">
        <is>
          <t>General</t>
        </is>
      </c>
      <c r="O444" s="25" t="inlineStr">
        <is>
          <t>Bac +5</t>
        </is>
      </c>
      <c r="P444" s="26" t="inlineStr">
        <is>
          <t>Requires Bac+5 (Master) – likely not eligible; ask if 4-yr BS + experience accepted</t>
        </is>
      </c>
      <c r="Q444" s="25" t="inlineStr">
        <is>
          <t>2</t>
        </is>
      </c>
      <c r="R444" s="25" t="n"/>
      <c r="S444" s="27" t="n">
        <v>3950</v>
      </c>
      <c r="T444" s="27" t="n">
        <v>255</v>
      </c>
      <c r="U444" s="25" t="n">
        <v>1</v>
      </c>
      <c r="V444" s="27">
        <f>IF(S444="","",S444*U444)</f>
        <v/>
      </c>
      <c r="W444" s="26" t="inlineStr">
        <is>
          <t>Catalogue: €3,950. = national differentiated master fee (2026-27: €3,950). Exemption to ~€255 possible (university quota).</t>
        </is>
      </c>
      <c r="X444" s="25" t="inlineStr">
        <is>
          <t>High</t>
        </is>
      </c>
      <c r="Y444" s="25" t="inlineStr">
        <is>
          <t>3950</t>
        </is>
      </c>
      <c r="Z444" s="26" t="n"/>
      <c r="AA444" s="26" t="n"/>
      <c r="AB444" s="25" t="n"/>
      <c r="AC444" s="25" t="inlineStr">
        <is>
          <t>Open</t>
        </is>
      </c>
      <c r="AD444" s="25" t="inlineStr">
        <is>
          <t>2026-10-01</t>
        </is>
      </c>
      <c r="AE444" s="25" t="inlineStr">
        <is>
          <t>2027-03-15</t>
        </is>
      </c>
      <c r="AF444" s="25" t="inlineStr">
        <is>
          <t>No</t>
        </is>
      </c>
      <c r="AG444" s="28" t="inlineStr">
        <is>
          <t>http://www.univ-brest.fr/ufr-sciences</t>
        </is>
      </c>
      <c r="AH444" s="26" t="inlineStr">
        <is>
          <t>L'université de Bretagne occidentale demande de présenter un Test de connaissance en français pour tous les candidats dont une des langues officielles n'est pas le français. Pour les pays où le français n'est pas la seul</t>
        </is>
      </c>
      <c r="AI444" s="28" t="inlineStr">
        <is>
          <t>Open in EEF</t>
        </is>
      </c>
    </row>
    <row r="445" ht="32.8" customHeight="1" s="19">
      <c r="A445" s="25" t="n">
        <v>444</v>
      </c>
      <c r="B445" s="25" t="inlineStr">
        <is>
          <t>★★★★☆</t>
        </is>
      </c>
      <c r="C445" s="25" t="inlineStr">
        <is>
          <t>4 – Strong fit (electronics/signal/robotics/IoT/sensors)</t>
        </is>
      </c>
      <c r="D445" s="25" t="inlineStr">
        <is>
          <t>Sensors / Instrumentation / Micro-Nano / Photonics</t>
        </is>
      </c>
      <c r="E445" s="26" t="inlineStr">
        <is>
          <t>Master indifférencié (recherche et professionnel) Sciences, technologies, santé mention Physique fondamentale et applications parcours Photonique</t>
        </is>
      </c>
      <c r="F445" s="26" t="inlineStr">
        <is>
          <t>Science, Technology, Health (STS) – major: Physics Fundamental &amp; Applications – track: Photonics</t>
        </is>
      </c>
      <c r="G445" s="25" t="inlineStr">
        <is>
          <t>Master indifférencié (recherche et professionnel)</t>
        </is>
      </c>
      <c r="H445" s="25" t="inlineStr">
        <is>
          <t>UFR sciences et techniques</t>
        </is>
      </c>
      <c r="I445" s="25" t="inlineStr">
        <is>
          <t>Université de Bretagne Occidentale</t>
        </is>
      </c>
      <c r="J445" s="25" t="inlineStr">
        <is>
          <t>Site de Brest</t>
        </is>
      </c>
      <c r="K445" s="25" t="n"/>
      <c r="L445" s="25" t="inlineStr">
        <is>
          <t>Public university</t>
        </is>
      </c>
      <c r="M445" s="25" t="inlineStr">
        <is>
          <t>French</t>
        </is>
      </c>
      <c r="N445" s="25" t="inlineStr">
        <is>
          <t>General</t>
        </is>
      </c>
      <c r="O445" s="25" t="inlineStr">
        <is>
          <t>Bac +5</t>
        </is>
      </c>
      <c r="P445" s="26" t="inlineStr">
        <is>
          <t>Requires Bac+5 (Master) – likely not eligible; ask if 4-yr BS + experience accepted</t>
        </is>
      </c>
      <c r="Q445" s="25" t="inlineStr">
        <is>
          <t>2</t>
        </is>
      </c>
      <c r="R445" s="25" t="n"/>
      <c r="S445" s="27" t="n">
        <v>3950</v>
      </c>
      <c r="T445" s="27" t="n">
        <v>255</v>
      </c>
      <c r="U445" s="25" t="n">
        <v>1</v>
      </c>
      <c r="V445" s="27">
        <f>IF(S445="","",S445*U445)</f>
        <v/>
      </c>
      <c r="W445" s="26" t="inlineStr">
        <is>
          <t>Catalogue: €3,950. = national differentiated master fee (2026-27: €3,950). Exemption to ~€255 possible (university quota).</t>
        </is>
      </c>
      <c r="X445" s="25" t="inlineStr">
        <is>
          <t>High</t>
        </is>
      </c>
      <c r="Y445" s="25" t="inlineStr">
        <is>
          <t>3950</t>
        </is>
      </c>
      <c r="Z445" s="26" t="n"/>
      <c r="AA445" s="26" t="n"/>
      <c r="AB445" s="25" t="n"/>
      <c r="AC445" s="25" t="inlineStr">
        <is>
          <t>Open</t>
        </is>
      </c>
      <c r="AD445" s="25" t="inlineStr">
        <is>
          <t>2026-10-01</t>
        </is>
      </c>
      <c r="AE445" s="25" t="inlineStr">
        <is>
          <t>2027-03-15</t>
        </is>
      </c>
      <c r="AF445" s="25" t="inlineStr">
        <is>
          <t>No</t>
        </is>
      </c>
      <c r="AG445" s="28" t="inlineStr">
        <is>
          <t>http://www.univ-brest.fr/ufr-sciences</t>
        </is>
      </c>
      <c r="AH445" s="26" t="inlineStr">
        <is>
          <t>L'université de Bretagne occidentale demande de présenter un Test de connaissance en français pour tous les candidats dont une des langues officielles n'est pas le français. Pour les pays où le français n'est pas la seul</t>
        </is>
      </c>
      <c r="AI445" s="28" t="inlineStr">
        <is>
          <t>Open in EEF</t>
        </is>
      </c>
    </row>
    <row r="446" ht="32.8" customHeight="1" s="19">
      <c r="A446" s="25" t="n">
        <v>445</v>
      </c>
      <c r="B446" s="25" t="inlineStr">
        <is>
          <t>★★★★☆</t>
        </is>
      </c>
      <c r="C446" s="25" t="inlineStr">
        <is>
          <t>4 – Strong fit (electronics/signal/robotics/IoT/sensors)</t>
        </is>
      </c>
      <c r="D446" s="25" t="inlineStr">
        <is>
          <t>Sensors / Instrumentation / Micro-Nano / Photonics</t>
        </is>
      </c>
      <c r="E446" s="26" t="inlineStr">
        <is>
          <t>Master indifférencié (recherche et professionnel) Sciences, technologies, santé mention Physique fondamentale et applications parcours Photonique</t>
        </is>
      </c>
      <c r="F446" s="26" t="inlineStr">
        <is>
          <t>Science, Technology, Health (STS) – major: Physics Fundamental &amp; Applications – track: Photonics</t>
        </is>
      </c>
      <c r="G446" s="25" t="inlineStr">
        <is>
          <t>Master indifférencié (recherche et professionnel)</t>
        </is>
      </c>
      <c r="H446" s="25" t="inlineStr">
        <is>
          <t>Institut national des sciences appliquées de Rennes</t>
        </is>
      </c>
      <c r="I446" s="25" t="n"/>
      <c r="J446" s="25" t="inlineStr">
        <is>
          <t>Site de Rennes</t>
        </is>
      </c>
      <c r="K446" s="25" t="n"/>
      <c r="L446" s="25" t="inlineStr">
        <is>
          <t>Public school / institute</t>
        </is>
      </c>
      <c r="M446" s="25" t="inlineStr">
        <is>
          <t>French</t>
        </is>
      </c>
      <c r="N446" s="25" t="inlineStr">
        <is>
          <t>General</t>
        </is>
      </c>
      <c r="O446" s="25" t="inlineStr">
        <is>
          <t>Bac +5</t>
        </is>
      </c>
      <c r="P446" s="26" t="inlineStr">
        <is>
          <t>Requires Bac+5 (Master) – likely not eligible; ask if 4-yr BS + experience accepted</t>
        </is>
      </c>
      <c r="Q446" s="25" t="inlineStr">
        <is>
          <t>2</t>
        </is>
      </c>
      <c r="R446" s="25" t="n"/>
      <c r="S446" s="27" t="n">
        <v>3950</v>
      </c>
      <c r="T446" s="27" t="n">
        <v>255</v>
      </c>
      <c r="U446" s="25" t="n">
        <v>1</v>
      </c>
      <c r="V446" s="27">
        <f>IF(S446="","",S446*U446)</f>
        <v/>
      </c>
      <c r="W446" s="26" t="inlineStr">
        <is>
          <t>Catalogue: €3,950. = national differentiated master fee (2026-27: €3,950). Exemption to ~€255 possible (university quota).</t>
        </is>
      </c>
      <c r="X446" s="25" t="inlineStr">
        <is>
          <t>High</t>
        </is>
      </c>
      <c r="Y446" s="25" t="inlineStr">
        <is>
          <t>3950</t>
        </is>
      </c>
      <c r="Z446" s="26" t="n"/>
      <c r="AA446" s="26" t="n"/>
      <c r="AB446" s="25" t="n"/>
      <c r="AC446" s="25" t="inlineStr">
        <is>
          <t>Open</t>
        </is>
      </c>
      <c r="AD446" s="25" t="inlineStr">
        <is>
          <t>2026-10-01</t>
        </is>
      </c>
      <c r="AE446" s="25" t="inlineStr">
        <is>
          <t>2027-03-15</t>
        </is>
      </c>
      <c r="AF446" s="25" t="inlineStr">
        <is>
          <t>No</t>
        </is>
      </c>
      <c r="AG446" s="28" t="inlineStr">
        <is>
          <t>https://www.insa-rennes.fr/master-physique-fondamentale-applications.html</t>
        </is>
      </c>
      <c r="AH446" s="26" t="inlineStr">
        <is>
          <t>Mention : Master Physique fondamentale et applications - Parcours Photonique Fiche RNCP : RNCP38994 Nom de l'établissement certificateur : INSA Rennes Localisation des enseignements : Rennes Langue de formation : Soit le</t>
        </is>
      </c>
      <c r="AI446" s="28" t="inlineStr">
        <is>
          <t>Open in EEF</t>
        </is>
      </c>
    </row>
    <row r="447" ht="32.8" customHeight="1" s="19">
      <c r="A447" s="25" t="n">
        <v>446</v>
      </c>
      <c r="B447" s="25" t="inlineStr">
        <is>
          <t>★★★★☆</t>
        </is>
      </c>
      <c r="C447" s="25" t="inlineStr">
        <is>
          <t>4 – Strong fit (electronics/signal/robotics/IoT/sensors)</t>
        </is>
      </c>
      <c r="D447" s="25" t="inlineStr">
        <is>
          <t>Sensors / Instrumentation / Micro-Nano / Photonics</t>
        </is>
      </c>
      <c r="E447" s="26" t="inlineStr">
        <is>
          <t>Master indifférencié (recherche et professionnel) Sciences, technologies, santé mention Physique fondamentale et applications parcours Physique et instrumentation</t>
        </is>
      </c>
      <c r="F447" s="26" t="inlineStr">
        <is>
          <t>Science, Technology, Health (STS) – major: Physics Fundamental &amp; Applications – track: Physics &amp; Instrumentation</t>
        </is>
      </c>
      <c r="G447" s="25" t="inlineStr">
        <is>
          <t>Master indifférencié (recherche et professionnel)</t>
        </is>
      </c>
      <c r="H447" s="25" t="inlineStr">
        <is>
          <t>UFR sciences et techniques</t>
        </is>
      </c>
      <c r="I447" s="25" t="inlineStr">
        <is>
          <t>Université de Bretagne Occidentale</t>
        </is>
      </c>
      <c r="J447" s="25" t="inlineStr">
        <is>
          <t>Site de Brest</t>
        </is>
      </c>
      <c r="K447" s="25" t="n"/>
      <c r="L447" s="25" t="inlineStr">
        <is>
          <t>Public university</t>
        </is>
      </c>
      <c r="M447" s="25" t="inlineStr">
        <is>
          <t>French</t>
        </is>
      </c>
      <c r="N447" s="25" t="inlineStr">
        <is>
          <t>General</t>
        </is>
      </c>
      <c r="O447" s="25" t="inlineStr">
        <is>
          <t>Bac +5</t>
        </is>
      </c>
      <c r="P447" s="26" t="inlineStr">
        <is>
          <t>Requires Bac+5 (Master) – likely not eligible; ask if 4-yr BS + experience accepted</t>
        </is>
      </c>
      <c r="Q447" s="25" t="inlineStr">
        <is>
          <t>2</t>
        </is>
      </c>
      <c r="R447" s="25" t="n"/>
      <c r="S447" s="27" t="n">
        <v>3950</v>
      </c>
      <c r="T447" s="27" t="n">
        <v>255</v>
      </c>
      <c r="U447" s="25" t="n">
        <v>1</v>
      </c>
      <c r="V447" s="27">
        <f>IF(S447="","",S447*U447)</f>
        <v/>
      </c>
      <c r="W447" s="26" t="inlineStr">
        <is>
          <t>Catalogue: €3,950. = national differentiated master fee (2026-27: €3,950). Exemption to ~€255 possible (university quota).</t>
        </is>
      </c>
      <c r="X447" s="25" t="inlineStr">
        <is>
          <t>High</t>
        </is>
      </c>
      <c r="Y447" s="25" t="inlineStr">
        <is>
          <t>3950</t>
        </is>
      </c>
      <c r="Z447" s="26" t="n"/>
      <c r="AA447" s="26" t="n"/>
      <c r="AB447" s="25" t="n"/>
      <c r="AC447" s="25" t="inlineStr">
        <is>
          <t>Open</t>
        </is>
      </c>
      <c r="AD447" s="25" t="inlineStr">
        <is>
          <t>2026-10-01</t>
        </is>
      </c>
      <c r="AE447" s="25" t="inlineStr">
        <is>
          <t>2027-03-15</t>
        </is>
      </c>
      <c r="AF447" s="25" t="inlineStr">
        <is>
          <t>No</t>
        </is>
      </c>
      <c r="AG447" s="28" t="inlineStr">
        <is>
          <t>http://www.univ-brest.fr/ufr-sciences</t>
        </is>
      </c>
      <c r="AH447" s="26" t="inlineStr">
        <is>
          <t>L'université de Bretagne occidentale demande de présenter un Test de connaissance en français pour tous les candidats dont une des langues officielles n'est pas le français. Pour les pays où le français n'est pas la seul</t>
        </is>
      </c>
      <c r="AI447" s="28" t="inlineStr">
        <is>
          <t>Open in EEF</t>
        </is>
      </c>
    </row>
    <row r="448" ht="43.25" customHeight="1" s="19">
      <c r="A448" s="25" t="n">
        <v>447</v>
      </c>
      <c r="B448" s="25" t="inlineStr">
        <is>
          <t>★★★★☆</t>
        </is>
      </c>
      <c r="C448" s="25" t="inlineStr">
        <is>
          <t>4 – Strong fit (electronics/signal/robotics/IoT/sensors)</t>
        </is>
      </c>
      <c r="D448" s="25" t="inlineStr">
        <is>
          <t>Neuroscience / Neuro-engineering</t>
        </is>
      </c>
      <c r="E448" s="26" t="inlineStr">
        <is>
          <t>Master indifférencié (recherche et professionnel) Sciences, technologies, santé mention sciences du vivant parcours Biotechnologies orientation neuro- et physiologie appliquée</t>
        </is>
      </c>
      <c r="F448" s="26" t="inlineStr">
        <is>
          <t>Science, Technology, Health (STS) – major: Sciences of Life – track: Biotechnologies – option: neuro- &amp; Physiology Applied</t>
        </is>
      </c>
      <c r="G448" s="25" t="inlineStr">
        <is>
          <t>Master indifférencié (recherche et professionnel)</t>
        </is>
      </c>
      <c r="H448" s="25" t="inlineStr">
        <is>
          <t>Faculté des Sciences et Technologies</t>
        </is>
      </c>
      <c r="I448" s="25" t="inlineStr">
        <is>
          <t>Université de Lorraine</t>
        </is>
      </c>
      <c r="J448" s="25" t="inlineStr">
        <is>
          <t>Site de Vandoeuvre-lès-Nancy</t>
        </is>
      </c>
      <c r="K448" s="25" t="n"/>
      <c r="L448" s="25" t="inlineStr">
        <is>
          <t>Public university</t>
        </is>
      </c>
      <c r="M448" s="25" t="inlineStr">
        <is>
          <t>French</t>
        </is>
      </c>
      <c r="N448" s="25" t="inlineStr">
        <is>
          <t>General</t>
        </is>
      </c>
      <c r="O448" s="25" t="inlineStr">
        <is>
          <t>Bac +5</t>
        </is>
      </c>
      <c r="P448" s="26" t="inlineStr">
        <is>
          <t>Requires Bac+5 (Master) – likely not eligible; ask if 4-yr BS + experience accepted</t>
        </is>
      </c>
      <c r="Q448" s="25" t="inlineStr">
        <is>
          <t>2</t>
        </is>
      </c>
      <c r="R448" s="25" t="n"/>
      <c r="S448" s="27" t="n">
        <v>3950</v>
      </c>
      <c r="T448" s="27" t="n">
        <v>255</v>
      </c>
      <c r="U448" s="25" t="n">
        <v>1</v>
      </c>
      <c r="V448" s="27">
        <f>IF(S448="","",S448*U448)</f>
        <v/>
      </c>
      <c r="W448" s="26" t="inlineStr">
        <is>
          <t>Catalogue: €3,950. = national differentiated master fee (2026-27: €3,950). Exemption to ~€255 possible (university quota).</t>
        </is>
      </c>
      <c r="X448" s="25" t="inlineStr">
        <is>
          <t>High</t>
        </is>
      </c>
      <c r="Y448" s="25" t="inlineStr">
        <is>
          <t>3950</t>
        </is>
      </c>
      <c r="Z448" s="26" t="n"/>
      <c r="AA448" s="26" t="n"/>
      <c r="AB448" s="25" t="n"/>
      <c r="AC448" s="25" t="inlineStr">
        <is>
          <t>Open</t>
        </is>
      </c>
      <c r="AD448" s="25" t="inlineStr">
        <is>
          <t>2026-10-01</t>
        </is>
      </c>
      <c r="AE448" s="25" t="inlineStr">
        <is>
          <t>2027-03-15</t>
        </is>
      </c>
      <c r="AF448" s="25" t="inlineStr">
        <is>
          <t>No</t>
        </is>
      </c>
      <c r="AG448" s="28" t="inlineStr">
        <is>
          <t>https://fst.univ-lorraine.fr/formations/</t>
        </is>
      </c>
      <c r="AH448" s="26" t="inlineStr">
        <is>
          <t>Niveau B2 en langue française exigé. Certification à la Pratique de l'Expérimentation Animale (Rongeur) est souhaitée Aucun dossier transmis en dehors de la campagne d'ouverture de Campus France ne sera accepté. Un ordin</t>
        </is>
      </c>
      <c r="AI448" s="28" t="inlineStr">
        <is>
          <t>Open in EEF</t>
        </is>
      </c>
    </row>
    <row r="449" ht="32.8" customHeight="1" s="19">
      <c r="A449" s="25" t="n">
        <v>448</v>
      </c>
      <c r="B449" s="25" t="inlineStr">
        <is>
          <t>★★★★☆</t>
        </is>
      </c>
      <c r="C449" s="25" t="inlineStr">
        <is>
          <t>4 – Strong fit (electronics/signal/robotics/IoT/sensors)</t>
        </is>
      </c>
      <c r="D449" s="25" t="inlineStr">
        <is>
          <t>Signal / Image / Vision</t>
        </is>
      </c>
      <c r="E449" s="26" t="inlineStr">
        <is>
          <t>Master indifférencié (recherche et professionnel) Sciences, technologies, santé mention Sciences pour l'Ingénieur et applications parcours Signal, Vision, Ondes, Systèmes</t>
        </is>
      </c>
      <c r="F449" s="26" t="inlineStr">
        <is>
          <t>Science, Technology, Health (STS) – major: Sciences for Engineering &amp; Applications – track: Signal, Vision, Waves, Systems</t>
        </is>
      </c>
      <c r="G449" s="25" t="inlineStr">
        <is>
          <t>Master indifférencié (recherche et professionnel)</t>
        </is>
      </c>
      <c r="H449" s="25" t="inlineStr">
        <is>
          <t>Institut national des sciences appliquées de Rennes</t>
        </is>
      </c>
      <c r="I449" s="25" t="n"/>
      <c r="J449" s="25" t="inlineStr">
        <is>
          <t>Site de Rennes</t>
        </is>
      </c>
      <c r="K449" s="25" t="n"/>
      <c r="L449" s="25" t="inlineStr">
        <is>
          <t>Public school / institute</t>
        </is>
      </c>
      <c r="M449" s="25" t="inlineStr">
        <is>
          <t>French</t>
        </is>
      </c>
      <c r="N449" s="25" t="inlineStr">
        <is>
          <t>General</t>
        </is>
      </c>
      <c r="O449" s="25" t="inlineStr">
        <is>
          <t>Bac +5</t>
        </is>
      </c>
      <c r="P449" s="26" t="inlineStr">
        <is>
          <t>Requires Bac+5 (Master) – likely not eligible; ask if 4-yr BS + experience accepted</t>
        </is>
      </c>
      <c r="Q449" s="25" t="inlineStr">
        <is>
          <t>2</t>
        </is>
      </c>
      <c r="R449" s="25" t="n"/>
      <c r="S449" s="27" t="n">
        <v>3950</v>
      </c>
      <c r="T449" s="27" t="n">
        <v>255</v>
      </c>
      <c r="U449" s="25" t="n">
        <v>1</v>
      </c>
      <c r="V449" s="27">
        <f>IF(S449="","",S449*U449)</f>
        <v/>
      </c>
      <c r="W449" s="26" t="inlineStr">
        <is>
          <t>Catalogue: €3,950. = national differentiated master fee (2026-27: €3,950). Exemption to ~€255 possible (university quota).</t>
        </is>
      </c>
      <c r="X449" s="25" t="inlineStr">
        <is>
          <t>High</t>
        </is>
      </c>
      <c r="Y449" s="25" t="inlineStr">
        <is>
          <t>3950</t>
        </is>
      </c>
      <c r="Z449" s="26" t="n"/>
      <c r="AA449" s="26" t="n"/>
      <c r="AB449" s="25" t="n"/>
      <c r="AC449" s="25" t="inlineStr">
        <is>
          <t>Open</t>
        </is>
      </c>
      <c r="AD449" s="25" t="inlineStr">
        <is>
          <t>2026-10-01</t>
        </is>
      </c>
      <c r="AE449" s="25" t="inlineStr">
        <is>
          <t>2027-03-15</t>
        </is>
      </c>
      <c r="AF449" s="25" t="inlineStr">
        <is>
          <t>No</t>
        </is>
      </c>
      <c r="AG449" s="28" t="inlineStr">
        <is>
          <t>https://www.insa-rennes.fr/sciences-ingenieur-applications.html</t>
        </is>
      </c>
      <c r="AH449" s="26" t="inlineStr">
        <is>
          <t>Mention : Master Electronique, énergie électrique, automatique - Parcours Signal, Vision, Ondes Systèmes (SIVOS) Fiche RNCP : RNCP38687 Nom de l'établissement certificateur : INSA Rennes Localisation des enseignements :</t>
        </is>
      </c>
      <c r="AI449" s="28" t="inlineStr">
        <is>
          <t>Open in EEF</t>
        </is>
      </c>
    </row>
    <row r="450" ht="32.8" customHeight="1" s="19">
      <c r="A450" s="25" t="n">
        <v>449</v>
      </c>
      <c r="B450" s="25" t="inlineStr">
        <is>
          <t>★★★★☆</t>
        </is>
      </c>
      <c r="C450" s="25" t="inlineStr">
        <is>
          <t>4 – Strong fit (electronics/signal/robotics/IoT/sensors)</t>
        </is>
      </c>
      <c r="D450" s="25" t="inlineStr">
        <is>
          <t>Signal / Image / Vision</t>
        </is>
      </c>
      <c r="E450" s="26" t="inlineStr">
        <is>
          <t>Master indifférencié (recherche et professionnel) Sciences, technologies, santé mention Traitement du signal et des images parcours Image et Vision</t>
        </is>
      </c>
      <c r="F450" s="26" t="inlineStr">
        <is>
          <t>Science, Technology, Health (STS) – major: Signal &amp; Image Processing – track: Image &amp; Vision</t>
        </is>
      </c>
      <c r="G450" s="25" t="inlineStr">
        <is>
          <t>Master indifférencié (recherche et professionnel)</t>
        </is>
      </c>
      <c r="H450" s="25" t="inlineStr">
        <is>
          <t>UFR de Sciences et techniques</t>
        </is>
      </c>
      <c r="I450" s="25" t="inlineStr">
        <is>
          <t>Université Bourgogne Europe</t>
        </is>
      </c>
      <c r="J450" s="25" t="inlineStr">
        <is>
          <t>Site de Dijon</t>
        </is>
      </c>
      <c r="K450" s="25" t="n"/>
      <c r="L450" s="25" t="inlineStr">
        <is>
          <t>Public university</t>
        </is>
      </c>
      <c r="M450" s="25" t="inlineStr">
        <is>
          <t>French</t>
        </is>
      </c>
      <c r="N450" s="25" t="inlineStr">
        <is>
          <t>General</t>
        </is>
      </c>
      <c r="O450" s="25" t="inlineStr">
        <is>
          <t>Bac +5</t>
        </is>
      </c>
      <c r="P450" s="26" t="inlineStr">
        <is>
          <t>Requires Bac+5 (Master) – likely not eligible; ask if 4-yr BS + experience accepted</t>
        </is>
      </c>
      <c r="Q450" s="25" t="inlineStr">
        <is>
          <t>2</t>
        </is>
      </c>
      <c r="R450" s="25" t="inlineStr">
        <is>
          <t>12</t>
        </is>
      </c>
      <c r="S450" s="27" t="n">
        <v>3950</v>
      </c>
      <c r="T450" s="27" t="n">
        <v>255</v>
      </c>
      <c r="U450" s="25" t="n">
        <v>1</v>
      </c>
      <c r="V450" s="27">
        <f>IF(S450="","",S450*U450)</f>
        <v/>
      </c>
      <c r="W450" s="26" t="inlineStr">
        <is>
          <t>Catalogue: €3,950. = national differentiated master fee (2026-27: €3,950). Exemption to ~€255 possible (university quota).</t>
        </is>
      </c>
      <c r="X450" s="25" t="inlineStr">
        <is>
          <t>High</t>
        </is>
      </c>
      <c r="Y450" s="25" t="inlineStr">
        <is>
          <t>3950</t>
        </is>
      </c>
      <c r="Z450" s="26" t="n"/>
      <c r="AA450" s="26" t="n"/>
      <c r="AB450" s="25" t="n"/>
      <c r="AC450" s="25" t="inlineStr">
        <is>
          <t>Open</t>
        </is>
      </c>
      <c r="AD450" s="25" t="inlineStr">
        <is>
          <t>2026-10-01</t>
        </is>
      </c>
      <c r="AE450" s="25" t="inlineStr">
        <is>
          <t>2027-03-15</t>
        </is>
      </c>
      <c r="AF450" s="25" t="inlineStr">
        <is>
          <t>No</t>
        </is>
      </c>
      <c r="AG450" s="28" t="inlineStr">
        <is>
          <t>http://sciences-techniques.u-bourgogne.fr</t>
        </is>
      </c>
      <c r="AH450" s="26" t="inlineStr">
        <is>
          <t>Le test de connaissance du français de niveau B2 est exigé pour cette formation, sauf pour les candidats issus de pays francophones et dont la langue officielle est le français. Connaissances de base en traitement du sig</t>
        </is>
      </c>
      <c r="AI450" s="28" t="inlineStr">
        <is>
          <t>Open in EEF</t>
        </is>
      </c>
    </row>
    <row r="451" ht="32.8" customHeight="1" s="19">
      <c r="A451" s="25" t="n">
        <v>450</v>
      </c>
      <c r="B451" s="25" t="inlineStr">
        <is>
          <t>★★★★☆</t>
        </is>
      </c>
      <c r="C451" s="25" t="inlineStr">
        <is>
          <t>4 – Strong fit (electronics/signal/robotics/IoT/sensors)</t>
        </is>
      </c>
      <c r="D451" s="25" t="inlineStr">
        <is>
          <t>Embedded systems / Electronics</t>
        </is>
      </c>
      <c r="E451" s="26" t="inlineStr">
        <is>
          <t>Master indifférencié Sciences, technologies, santé mention Electronique, énergie électrique, automatique parcours Capteurs intelligents et qualité des systèmes électroniques</t>
        </is>
      </c>
      <c r="F451" s="26" t="inlineStr">
        <is>
          <t>Master indifférencié Science, Technology, Health (STS) – major: Electronics, Electrical Energy &amp; Automation (EEA) – track: Sensors Intelligent &amp; Quality of Systems Electronic</t>
        </is>
      </c>
      <c r="G451" s="25" t="inlineStr">
        <is>
          <t>Master indifférencié (recherche et professionnel)</t>
        </is>
      </c>
      <c r="H451" s="25" t="inlineStr">
        <is>
          <t>UFR de sciences et techniques</t>
        </is>
      </c>
      <c r="I451" s="25" t="inlineStr">
        <is>
          <t>Nantes Université</t>
        </is>
      </c>
      <c r="J451" s="25" t="inlineStr">
        <is>
          <t>Site de Nantes</t>
        </is>
      </c>
      <c r="K451" s="25" t="n"/>
      <c r="L451" s="25" t="inlineStr">
        <is>
          <t>Public university</t>
        </is>
      </c>
      <c r="M451" s="25" t="inlineStr">
        <is>
          <t>French</t>
        </is>
      </c>
      <c r="N451" s="25" t="inlineStr">
        <is>
          <t>General</t>
        </is>
      </c>
      <c r="O451" s="25" t="inlineStr">
        <is>
          <t>Bac +5</t>
        </is>
      </c>
      <c r="P451" s="26" t="inlineStr">
        <is>
          <t>Requires Bac+5 (Master) – likely not eligible; ask if 4-yr BS + experience accepted</t>
        </is>
      </c>
      <c r="Q451" s="25" t="inlineStr">
        <is>
          <t>2</t>
        </is>
      </c>
      <c r="R451" s="25" t="n"/>
      <c r="S451" s="27" t="n">
        <v>3950</v>
      </c>
      <c r="T451" s="27" t="n">
        <v>255</v>
      </c>
      <c r="U451" s="25" t="n">
        <v>1</v>
      </c>
      <c r="V451" s="27">
        <f>IF(S451="","",S451*U451)</f>
        <v/>
      </c>
      <c r="W451" s="26" t="inlineStr">
        <is>
          <t>Catalogue: €3,950. = national differentiated master fee (2026-27: €3,950). Exemption to ~€255 possible (university quota).</t>
        </is>
      </c>
      <c r="X451" s="25" t="inlineStr">
        <is>
          <t>High</t>
        </is>
      </c>
      <c r="Y451" s="25" t="inlineStr">
        <is>
          <t>3950</t>
        </is>
      </c>
      <c r="Z451" s="26" t="n"/>
      <c r="AA451" s="26" t="n"/>
      <c r="AB451" s="25" t="n"/>
      <c r="AC451" s="25" t="inlineStr">
        <is>
          <t>Open</t>
        </is>
      </c>
      <c r="AD451" s="25" t="inlineStr">
        <is>
          <t>2026-10-01</t>
        </is>
      </c>
      <c r="AE451" s="25" t="inlineStr">
        <is>
          <t>2027-03-15</t>
        </is>
      </c>
      <c r="AF451" s="25" t="inlineStr">
        <is>
          <t>No</t>
        </is>
      </c>
      <c r="AG451" s="28" t="inlineStr">
        <is>
          <t>https://sciences-techniques.univ-nantes.fr/</t>
        </is>
      </c>
      <c r="AH451" s="26" t="inlineStr">
        <is>
          <t>Prérequis linguistiques : Niveau de français minimum : Pour le TCF, niveau B2 avec minimum 14/20 au test écrit - Attention : l’épreuve d’expression écrite ne fait pas partie du test standard du TCF. Il s’agit d’une épreu</t>
        </is>
      </c>
      <c r="AI451" s="28" t="inlineStr">
        <is>
          <t>Open in EEF</t>
        </is>
      </c>
    </row>
    <row r="452" ht="32.8" customHeight="1" s="19">
      <c r="A452" s="25" t="n">
        <v>451</v>
      </c>
      <c r="B452" s="25" t="inlineStr">
        <is>
          <t>★★★★☆</t>
        </is>
      </c>
      <c r="C452" s="25" t="inlineStr">
        <is>
          <t>4 – Strong fit (electronics/signal/robotics/IoT/sensors)</t>
        </is>
      </c>
      <c r="D452" s="25" t="inlineStr">
        <is>
          <t>IoT / Telecom / Networks</t>
        </is>
      </c>
      <c r="E452" s="26" t="inlineStr">
        <is>
          <t>Master Sciences, technologies, santé mention automatique et systèmes électriques spécialité gestion des réseaux d'énergie électrique</t>
        </is>
      </c>
      <c r="F452" s="26" t="inlineStr">
        <is>
          <t>Master Science, Technology, Health (STS) – major: Automation &amp; Systems Electrical – specialisation: Management of Networks of Energy Electrical</t>
        </is>
      </c>
      <c r="G452" s="25" t="inlineStr">
        <is>
          <t>Master indifférencié (recherche et professionnel)</t>
        </is>
      </c>
      <c r="H452" s="25" t="inlineStr">
        <is>
          <t>Faculté des sciences et technologies</t>
        </is>
      </c>
      <c r="I452" s="25" t="inlineStr">
        <is>
          <t>Université de Lille</t>
        </is>
      </c>
      <c r="J452" s="25" t="inlineStr">
        <is>
          <t>Département Electronique, électrotechnique et automatique</t>
        </is>
      </c>
      <c r="K452" s="25" t="n"/>
      <c r="L452" s="25" t="inlineStr">
        <is>
          <t>Public university</t>
        </is>
      </c>
      <c r="M452" s="25" t="inlineStr">
        <is>
          <t>French</t>
        </is>
      </c>
      <c r="N452" s="25" t="inlineStr">
        <is>
          <t>General</t>
        </is>
      </c>
      <c r="O452" s="25" t="inlineStr">
        <is>
          <t>Bac +5</t>
        </is>
      </c>
      <c r="P452" s="26" t="inlineStr">
        <is>
          <t>Requires Bac+5 (Master) – likely not eligible; ask if 4-yr BS + experience accepted</t>
        </is>
      </c>
      <c r="Q452" s="25" t="inlineStr">
        <is>
          <t>2</t>
        </is>
      </c>
      <c r="R452" s="25" t="inlineStr">
        <is>
          <t>12</t>
        </is>
      </c>
      <c r="S452" s="27" t="n">
        <v>3950</v>
      </c>
      <c r="T452" s="27" t="n">
        <v>255</v>
      </c>
      <c r="U452" s="25" t="n">
        <v>1</v>
      </c>
      <c r="V452" s="27">
        <f>IF(S452="","",S452*U452)</f>
        <v/>
      </c>
      <c r="W452" s="26" t="inlineStr">
        <is>
          <t>Catalogue: €3,950. = national differentiated master fee (2026-27: €3,950). Exemption to ~€255 possible (university quota).</t>
        </is>
      </c>
      <c r="X452" s="25" t="inlineStr">
        <is>
          <t>High</t>
        </is>
      </c>
      <c r="Y452" s="25" t="inlineStr">
        <is>
          <t>3950</t>
        </is>
      </c>
      <c r="Z452" s="26" t="n"/>
      <c r="AA452" s="26" t="inlineStr">
        <is>
          <t>Lille opposed the decree; continues exemptions for part of non-EU students (master €254 if exempted). Apply for exemption early.</t>
        </is>
      </c>
      <c r="AB452" s="28" t="inlineStr">
        <is>
          <t>https://observalgerie.com/2026/06/13/misc/frais-dinscription-en-france-lille-maintient-un-avantage-pour-les-etudiants-etrangers/</t>
        </is>
      </c>
      <c r="AC452" s="25" t="inlineStr">
        <is>
          <t>Open</t>
        </is>
      </c>
      <c r="AD452" s="25" t="inlineStr">
        <is>
          <t>2026-10-01</t>
        </is>
      </c>
      <c r="AE452" s="25" t="inlineStr">
        <is>
          <t>2027-03-15</t>
        </is>
      </c>
      <c r="AF452" s="25" t="inlineStr">
        <is>
          <t>No</t>
        </is>
      </c>
      <c r="AG452" s="28" t="inlineStr">
        <is>
          <t>https://formation.univ-lille.fr/fr/offre-de-formation/master-lmd-XB/master-automatique-et-systemes-electriques-MG001978/gestion-des-reseaux-d-energie-electrique-m2-MX002027.html</t>
        </is>
      </c>
      <c r="AH452" s="26" t="inlineStr">
        <is>
          <t>Le candidat doit avoir un niveau M1 ou équivalent en EEA (Electronique, Electrotechique et Automatique). Niveau de français C1 exigé.</t>
        </is>
      </c>
      <c r="AI452" s="28" t="inlineStr">
        <is>
          <t>Open in EEF</t>
        </is>
      </c>
    </row>
    <row r="453" ht="32.8" customHeight="1" s="19">
      <c r="A453" s="25" t="n">
        <v>452</v>
      </c>
      <c r="B453" s="25" t="inlineStr">
        <is>
          <t>★★★★☆</t>
        </is>
      </c>
      <c r="C453" s="25" t="inlineStr">
        <is>
          <t>4 – Strong fit (electronics/signal/robotics/IoT/sensors)</t>
        </is>
      </c>
      <c r="D453" s="25" t="inlineStr">
        <is>
          <t>IoT / Telecom / Networks</t>
        </is>
      </c>
      <c r="E453" s="26" t="inlineStr">
        <is>
          <t>Master Sciences, technologies, santé mention automatique et systèmes électriques spécialité systèmes, machines automatisées et réseaux de terrains</t>
        </is>
      </c>
      <c r="F453" s="26" t="inlineStr">
        <is>
          <t>Master Science, Technology, Health (STS) – major: Automation &amp; Systems Electrical – specialisation: Systems, machines automatisées &amp; Networks of terrains</t>
        </is>
      </c>
      <c r="G453" s="25" t="inlineStr">
        <is>
          <t>Master indifférencié (recherche et professionnel)</t>
        </is>
      </c>
      <c r="H453" s="25" t="inlineStr">
        <is>
          <t>Faculté des sciences et technologies</t>
        </is>
      </c>
      <c r="I453" s="25" t="inlineStr">
        <is>
          <t>Université de Lille</t>
        </is>
      </c>
      <c r="J453" s="25" t="inlineStr">
        <is>
          <t>Département Electronique, électrotechnique et automatique</t>
        </is>
      </c>
      <c r="K453" s="25" t="n"/>
      <c r="L453" s="25" t="inlineStr">
        <is>
          <t>Public university</t>
        </is>
      </c>
      <c r="M453" s="25" t="inlineStr">
        <is>
          <t>French</t>
        </is>
      </c>
      <c r="N453" s="25" t="inlineStr">
        <is>
          <t>General</t>
        </is>
      </c>
      <c r="O453" s="25" t="inlineStr">
        <is>
          <t>Bac +5</t>
        </is>
      </c>
      <c r="P453" s="26" t="inlineStr">
        <is>
          <t>Requires Bac+5 (Master) – likely not eligible; ask if 4-yr BS + experience accepted</t>
        </is>
      </c>
      <c r="Q453" s="25" t="inlineStr">
        <is>
          <t>2</t>
        </is>
      </c>
      <c r="R453" s="25" t="inlineStr">
        <is>
          <t>12</t>
        </is>
      </c>
      <c r="S453" s="27" t="n">
        <v>3950</v>
      </c>
      <c r="T453" s="27" t="n">
        <v>255</v>
      </c>
      <c r="U453" s="25" t="n">
        <v>1</v>
      </c>
      <c r="V453" s="27">
        <f>IF(S453="","",S453*U453)</f>
        <v/>
      </c>
      <c r="W453" s="26" t="inlineStr">
        <is>
          <t>Catalogue: €3,950. = national differentiated master fee (2026-27: €3,950). Exemption to ~€255 possible (university quota).</t>
        </is>
      </c>
      <c r="X453" s="25" t="inlineStr">
        <is>
          <t>High</t>
        </is>
      </c>
      <c r="Y453" s="25" t="inlineStr">
        <is>
          <t>3950</t>
        </is>
      </c>
      <c r="Z453" s="26" t="n"/>
      <c r="AA453" s="26" t="inlineStr">
        <is>
          <t>Lille opposed the decree; continues exemptions for part of non-EU students (master €254 if exempted). Apply for exemption early.</t>
        </is>
      </c>
      <c r="AB453" s="28" t="inlineStr">
        <is>
          <t>https://observalgerie.com/2026/06/13/misc/frais-dinscription-en-france-lille-maintient-un-avantage-pour-les-etudiants-etrangers/</t>
        </is>
      </c>
      <c r="AC453" s="25" t="inlineStr">
        <is>
          <t>Open</t>
        </is>
      </c>
      <c r="AD453" s="25" t="inlineStr">
        <is>
          <t>2026-10-01</t>
        </is>
      </c>
      <c r="AE453" s="25" t="inlineStr">
        <is>
          <t>2027-03-15</t>
        </is>
      </c>
      <c r="AF453" s="25" t="inlineStr">
        <is>
          <t>No</t>
        </is>
      </c>
      <c r="AG453" s="28" t="inlineStr">
        <is>
          <t>https://formation.univ-lille.fr/fr/offre-de-formation/master-lmd-XB/master-automatique-et-systemes-electriques-MG001978/systemes-machines-autonomes-et-reseaux-de-terrains-m2-MX002026.html</t>
        </is>
      </c>
      <c r="AH453" s="26" t="inlineStr">
        <is>
          <t>Niveau de français C1 exigé. Le candidat doit avoir un niveau M1 ou équivalent en EEA (Electronique, Electrotechique et Automatique).</t>
        </is>
      </c>
      <c r="AI453" s="28" t="inlineStr">
        <is>
          <t>Open in EEF</t>
        </is>
      </c>
    </row>
    <row r="454" ht="32.8" customHeight="1" s="19">
      <c r="A454" s="25" t="n">
        <v>453</v>
      </c>
      <c r="B454" s="25" t="inlineStr">
        <is>
          <t>★★★★☆</t>
        </is>
      </c>
      <c r="C454" s="25" t="inlineStr">
        <is>
          <t>4 – Strong fit (electronics/signal/robotics/IoT/sensors)</t>
        </is>
      </c>
      <c r="D454" s="25" t="inlineStr">
        <is>
          <t>Robotics / Automation / Mechatronics</t>
        </is>
      </c>
      <c r="E454" s="26" t="inlineStr">
        <is>
          <t>Master Sciences, technologies, santé mention Automatique, robotique parcours Robotique pour l’Industrie du Futur</t>
        </is>
      </c>
      <c r="F454" s="26" t="inlineStr">
        <is>
          <t>Master Science, Technology, Health (STS) – major: Automation, Robotics – track: Robotics for Industry of Futur</t>
        </is>
      </c>
      <c r="G454" s="25" t="inlineStr">
        <is>
          <t>Master indifférencié (recherche et professionnel)</t>
        </is>
      </c>
      <c r="H454" s="25" t="inlineStr">
        <is>
          <t>Département-composante Mécanique</t>
        </is>
      </c>
      <c r="I454" s="25" t="inlineStr">
        <is>
          <t>Université Claude Bernard - Lyon 1</t>
        </is>
      </c>
      <c r="J454" s="25" t="inlineStr">
        <is>
          <t>Site de Villeurbanne</t>
        </is>
      </c>
      <c r="K454" s="25" t="n"/>
      <c r="L454" s="25" t="inlineStr">
        <is>
          <t>Public university</t>
        </is>
      </c>
      <c r="M454" s="25" t="inlineStr">
        <is>
          <t>French</t>
        </is>
      </c>
      <c r="N454" s="25" t="inlineStr">
        <is>
          <t>General</t>
        </is>
      </c>
      <c r="O454" s="25" t="inlineStr">
        <is>
          <t>Bac +5</t>
        </is>
      </c>
      <c r="P454" s="26" t="inlineStr">
        <is>
          <t>Requires Bac+5 (Master) – likely not eligible; ask if 4-yr BS + experience accepted</t>
        </is>
      </c>
      <c r="Q454" s="25" t="inlineStr">
        <is>
          <t>2</t>
        </is>
      </c>
      <c r="R454" s="25" t="n"/>
      <c r="S454" s="27" t="n">
        <v>3950</v>
      </c>
      <c r="T454" s="27" t="n">
        <v>255</v>
      </c>
      <c r="U454" s="25" t="n">
        <v>1</v>
      </c>
      <c r="V454" s="27">
        <f>IF(S454="","",S454*U454)</f>
        <v/>
      </c>
      <c r="W454" s="26" t="inlineStr">
        <is>
          <t>Catalogue: €3,950. = national differentiated master fee (2026-27: €3,950). Exemption to ~€255 possible (university quota).</t>
        </is>
      </c>
      <c r="X454" s="25" t="inlineStr">
        <is>
          <t>High</t>
        </is>
      </c>
      <c r="Y454" s="25" t="inlineStr">
        <is>
          <t>3950</t>
        </is>
      </c>
      <c r="Z454" s="26" t="n"/>
      <c r="AA454" s="26" t="inlineStr">
        <is>
          <t>Lyon 1: individual exemptions within the 30% quota (2026-27), apply via eCandidat.</t>
        </is>
      </c>
      <c r="AB454" s="28" t="inlineStr">
        <is>
          <t>https://www.univ-lyon1.fr/formation/inscription-et-scolarite/etudiantes-et-etudiants-internationaux-droits-dinscription-differencies-et-exonerations</t>
        </is>
      </c>
      <c r="AC454" s="25" t="inlineStr">
        <is>
          <t>Open</t>
        </is>
      </c>
      <c r="AD454" s="25" t="inlineStr">
        <is>
          <t>2026-10-01</t>
        </is>
      </c>
      <c r="AE454" s="25" t="inlineStr">
        <is>
          <t>2027-03-15</t>
        </is>
      </c>
      <c r="AF454" s="25" t="inlineStr">
        <is>
          <t>No</t>
        </is>
      </c>
      <c r="AG454" s="28" t="inlineStr">
        <is>
          <t>http://fst-meca.univ-lyon1.fr/</t>
        </is>
      </c>
      <c r="AH454" s="26" t="inlineStr">
        <is>
          <t>Critères de sélection: Qualité académique du dossier Niveau de langue française requis (obligatoire mais non suffisant pour l'accès à l'Université) L'Université Claude Bernard Lyon 1 exige le justificatif du niveau de la</t>
        </is>
      </c>
      <c r="AI454" s="28" t="inlineStr">
        <is>
          <t>Open in EEF</t>
        </is>
      </c>
    </row>
    <row r="455" ht="22.35" customHeight="1" s="19">
      <c r="A455" s="25" t="n">
        <v>454</v>
      </c>
      <c r="B455" s="25" t="inlineStr">
        <is>
          <t>★★★★☆</t>
        </is>
      </c>
      <c r="C455" s="25" t="inlineStr">
        <is>
          <t>4 – Strong fit (electronics/signal/robotics/IoT/sensors)</t>
        </is>
      </c>
      <c r="D455" s="25" t="inlineStr">
        <is>
          <t>Signal / Image / Vision</t>
        </is>
      </c>
      <c r="E455" s="26" t="inlineStr">
        <is>
          <t>Master Sciences, technologies, santé mention biologie-santé Signaux images en biologie médecine</t>
        </is>
      </c>
      <c r="F455" s="26" t="inlineStr">
        <is>
          <t>Master Science, Technology, Health (STS) – major: Biology-Health Signaux Images in Biology Medicine</t>
        </is>
      </c>
      <c r="G455" s="25" t="inlineStr">
        <is>
          <t>Master indifférencié (recherche et professionnel)</t>
        </is>
      </c>
      <c r="H455" s="25" t="inlineStr">
        <is>
          <t>UFR Santé</t>
        </is>
      </c>
      <c r="I455" s="25" t="inlineStr">
        <is>
          <t>Université d'Angers</t>
        </is>
      </c>
      <c r="J455" s="25" t="inlineStr">
        <is>
          <t>Site de Angers</t>
        </is>
      </c>
      <c r="K455" s="25" t="n"/>
      <c r="L455" s="25" t="inlineStr">
        <is>
          <t>Public university</t>
        </is>
      </c>
      <c r="M455" s="25" t="inlineStr">
        <is>
          <t>French</t>
        </is>
      </c>
      <c r="N455" s="25" t="inlineStr">
        <is>
          <t>General</t>
        </is>
      </c>
      <c r="O455" s="25" t="inlineStr">
        <is>
          <t>Bac +5</t>
        </is>
      </c>
      <c r="P455" s="26" t="inlineStr">
        <is>
          <t>Requires Bac+5 (Master) – likely not eligible; ask if 4-yr BS + experience accepted</t>
        </is>
      </c>
      <c r="Q455" s="25" t="inlineStr">
        <is>
          <t>2</t>
        </is>
      </c>
      <c r="R455" s="25" t="n"/>
      <c r="S455" s="27" t="n">
        <v>3950</v>
      </c>
      <c r="T455" s="27" t="n">
        <v>255</v>
      </c>
      <c r="U455" s="25" t="n">
        <v>1</v>
      </c>
      <c r="V455" s="27">
        <f>IF(S455="","",S455*U455)</f>
        <v/>
      </c>
      <c r="W455" s="26" t="inlineStr">
        <is>
          <t>Catalogue: €3,950. = national differentiated master fee (2026-27: €3,950). Exemption to ~€255 possible (university quota).</t>
        </is>
      </c>
      <c r="X455" s="25" t="inlineStr">
        <is>
          <t>High</t>
        </is>
      </c>
      <c r="Y455" s="25" t="inlineStr">
        <is>
          <t>3950</t>
        </is>
      </c>
      <c r="Z455" s="26" t="n"/>
      <c r="AA455" s="26" t="n"/>
      <c r="AB455" s="25" t="n"/>
      <c r="AC455" s="25" t="inlineStr">
        <is>
          <t>Open</t>
        </is>
      </c>
      <c r="AD455" s="25" t="inlineStr">
        <is>
          <t>2026-10-01</t>
        </is>
      </c>
      <c r="AE455" s="25" t="inlineStr">
        <is>
          <t>2027-03-15</t>
        </is>
      </c>
      <c r="AF455" s="25" t="inlineStr">
        <is>
          <t>No</t>
        </is>
      </c>
      <c r="AG455" s="28" t="inlineStr">
        <is>
          <t>https://www.univ-angers.fr/fr/acces-directs/facultes-et-instituts/faculte-de-sante.html</t>
        </is>
      </c>
      <c r="AH455" s="26" t="inlineStr">
        <is>
          <t>Etre au moins titulaire d'un cursus bac+4. Avoir au moins obtenu le niveau B2 en langue française pour les pays non francophones.</t>
        </is>
      </c>
      <c r="AI455" s="28" t="inlineStr">
        <is>
          <t>Open in EEF</t>
        </is>
      </c>
    </row>
    <row r="456" ht="32.8" customHeight="1" s="19">
      <c r="A456" s="25" t="n">
        <v>455</v>
      </c>
      <c r="B456" s="25" t="inlineStr">
        <is>
          <t>★★★★☆</t>
        </is>
      </c>
      <c r="C456" s="25" t="inlineStr">
        <is>
          <t>4 – Strong fit (electronics/signal/robotics/IoT/sensors)</t>
        </is>
      </c>
      <c r="D456" s="25" t="inlineStr">
        <is>
          <t>Embedded systems / Electronics</t>
        </is>
      </c>
      <c r="E456" s="26" t="inlineStr">
        <is>
          <t>Master Sciences, technologies, santé, mention Electronique, Energie électrique et Automatique mention Avenir Automatique, Vision, Energie et Robotique</t>
        </is>
      </c>
      <c r="F456" s="26" t="inlineStr">
        <is>
          <t>Master Science, Technology, Health (STS), – major: Electronics, Electrical Energy &amp; Automation (EEA) – major: Avenir Automation, Vision, Energy &amp; Robotics</t>
        </is>
      </c>
      <c r="G456" s="25" t="inlineStr">
        <is>
          <t>Master indifférencié (recherche et professionnel)</t>
        </is>
      </c>
      <c r="H456" s="25" t="inlineStr">
        <is>
          <t>UFR des sciences - Pôle scientifique Saint Leu</t>
        </is>
      </c>
      <c r="I456" s="25" t="inlineStr">
        <is>
          <t>Université Picardie Jules Verne Amiens</t>
        </is>
      </c>
      <c r="J456" s="25" t="inlineStr">
        <is>
          <t>Site de Amiens</t>
        </is>
      </c>
      <c r="K456" s="25" t="inlineStr">
        <is>
          <t>80000 Amiens</t>
        </is>
      </c>
      <c r="L456" s="25" t="inlineStr">
        <is>
          <t>Public university</t>
        </is>
      </c>
      <c r="M456" s="25" t="inlineStr">
        <is>
          <t>French</t>
        </is>
      </c>
      <c r="N456" s="25" t="inlineStr">
        <is>
          <t>General</t>
        </is>
      </c>
      <c r="O456" s="25" t="inlineStr">
        <is>
          <t>Bac +5</t>
        </is>
      </c>
      <c r="P456" s="26" t="inlineStr">
        <is>
          <t>Requires Bac+5 (Master) – likely not eligible; ask if 4-yr BS + experience accepted</t>
        </is>
      </c>
      <c r="Q456" s="25" t="inlineStr">
        <is>
          <t>2</t>
        </is>
      </c>
      <c r="R456" s="25" t="inlineStr">
        <is>
          <t>12</t>
        </is>
      </c>
      <c r="S456" s="27" t="n">
        <v>3950</v>
      </c>
      <c r="T456" s="27" t="n">
        <v>255</v>
      </c>
      <c r="U456" s="25" t="n">
        <v>1</v>
      </c>
      <c r="V456" s="27">
        <f>IF(S456="","",S456*U456)</f>
        <v/>
      </c>
      <c r="W456" s="26" t="inlineStr">
        <is>
          <t>Catalogue: €3,950. = national differentiated master fee (2026-27: €3,950). Exemption to ~€255 possible (university quota).</t>
        </is>
      </c>
      <c r="X456" s="25" t="inlineStr">
        <is>
          <t>High</t>
        </is>
      </c>
      <c r="Y456" s="25" t="inlineStr">
        <is>
          <t>3950</t>
        </is>
      </c>
      <c r="Z456" s="26" t="n"/>
      <c r="AA456" s="26" t="n"/>
      <c r="AB456" s="25" t="n"/>
      <c r="AC456" s="25" t="inlineStr">
        <is>
          <t>Open</t>
        </is>
      </c>
      <c r="AD456" s="25" t="inlineStr">
        <is>
          <t>2026-10-01</t>
        </is>
      </c>
      <c r="AE456" s="25" t="inlineStr">
        <is>
          <t>2027-03-15</t>
        </is>
      </c>
      <c r="AF456" s="25" t="inlineStr">
        <is>
          <t>No</t>
        </is>
      </c>
      <c r="AG456" s="28" t="inlineStr">
        <is>
          <t>https://sciences.u-picardie.fr/accueil-ufr-sciences</t>
        </is>
      </c>
      <c r="AH456" s="26" t="inlineStr">
        <is>
          <t>Niveau d'Anglais requis C1. Les cours se dérouleront en anglais Le tarif indiqué est celui de l'année universitaire 2026/2027 et, est susceptible d'être modifié pour l'année universitaire 2027/2028.</t>
        </is>
      </c>
      <c r="AI456" s="28" t="inlineStr">
        <is>
          <t>Open in EEF</t>
        </is>
      </c>
    </row>
    <row r="457" ht="32.8" customHeight="1" s="19">
      <c r="A457" s="25" t="n">
        <v>456</v>
      </c>
      <c r="B457" s="25" t="inlineStr">
        <is>
          <t>★★★★☆</t>
        </is>
      </c>
      <c r="C457" s="25" t="inlineStr">
        <is>
          <t>4 – Strong fit (electronics/signal/robotics/IoT/sensors)</t>
        </is>
      </c>
      <c r="D457" s="25" t="inlineStr">
        <is>
          <t>Sensors / Instrumentation / Micro-Nano / Photonics</t>
        </is>
      </c>
      <c r="E457" s="26" t="inlineStr">
        <is>
          <t>Master Sciences, technologies, santé mention génie industriel parcours M2 Instrumentation de la Pollution Atmosphérique (IPA)</t>
        </is>
      </c>
      <c r="F457" s="26" t="inlineStr">
        <is>
          <t>Master Science, Technology, Health (STS) – major: Industrial Engineering – track: M2 Instrumentation of the Pollution Atmosphérique (IPA)</t>
        </is>
      </c>
      <c r="G457" s="25" t="inlineStr">
        <is>
          <t>Master indifférencié (recherche et professionnel)</t>
        </is>
      </c>
      <c r="H457" s="25" t="inlineStr">
        <is>
          <t>UFR des sciences et technologie</t>
        </is>
      </c>
      <c r="I457" s="25" t="inlineStr">
        <is>
          <t>Université Paris-Est Créteil Val-de-Marne</t>
        </is>
      </c>
      <c r="J457" s="25" t="inlineStr">
        <is>
          <t>Site de Créteil</t>
        </is>
      </c>
      <c r="K457" s="25" t="n"/>
      <c r="L457" s="25" t="inlineStr">
        <is>
          <t>Public university</t>
        </is>
      </c>
      <c r="M457" s="25" t="inlineStr">
        <is>
          <t>French</t>
        </is>
      </c>
      <c r="N457" s="25" t="inlineStr">
        <is>
          <t>General</t>
        </is>
      </c>
      <c r="O457" s="25" t="inlineStr">
        <is>
          <t>Bac +5</t>
        </is>
      </c>
      <c r="P457" s="26" t="inlineStr">
        <is>
          <t>Requires Bac+5 (Master) – likely not eligible; ask if 4-yr BS + experience accepted</t>
        </is>
      </c>
      <c r="Q457" s="25" t="inlineStr">
        <is>
          <t>2</t>
        </is>
      </c>
      <c r="R457" s="25" t="inlineStr">
        <is>
          <t>10</t>
        </is>
      </c>
      <c r="S457" s="27" t="n">
        <v>3950</v>
      </c>
      <c r="T457" s="27" t="n">
        <v>255</v>
      </c>
      <c r="U457" s="25" t="n">
        <v>1</v>
      </c>
      <c r="V457" s="27">
        <f>IF(S457="","",S457*U457)</f>
        <v/>
      </c>
      <c r="W457" s="26" t="inlineStr">
        <is>
          <t>Catalogue: €3,950. = national differentiated master fee (2026-27: €3,950). Exemption to ~€255 possible (university quota).</t>
        </is>
      </c>
      <c r="X457" s="25" t="inlineStr">
        <is>
          <t>High</t>
        </is>
      </c>
      <c r="Y457" s="25" t="inlineStr">
        <is>
          <t>3950</t>
        </is>
      </c>
      <c r="Z457" s="26" t="n"/>
      <c r="AA457" s="26" t="n"/>
      <c r="AB457" s="25" t="n"/>
      <c r="AC457" s="25" t="inlineStr">
        <is>
          <t>Open</t>
        </is>
      </c>
      <c r="AD457" s="25" t="inlineStr">
        <is>
          <t>2026-10-01</t>
        </is>
      </c>
      <c r="AE457" s="25" t="inlineStr">
        <is>
          <t>2027-03-15</t>
        </is>
      </c>
      <c r="AF457" s="25" t="inlineStr">
        <is>
          <t>No</t>
        </is>
      </c>
      <c r="AG457" s="28" t="inlineStr">
        <is>
          <t>https://sciences-tech.u-pec.fr/formation/master-genie-industriel-parcours-instrumentation-de-la-pollution-atmospherique-ipa</t>
        </is>
      </c>
      <c r="AH457" s="26" t="inlineStr">
        <is>
          <t>Avoir un M1 à forte consonance SPI instrumentation et des compétences en programmation informatique Le niveau de français doit être aussi élevé que possible.</t>
        </is>
      </c>
      <c r="AI457" s="28" t="inlineStr">
        <is>
          <t>Open in EEF</t>
        </is>
      </c>
    </row>
    <row r="458" ht="32.8" customHeight="1" s="19">
      <c r="A458" s="25" t="n">
        <v>457</v>
      </c>
      <c r="B458" s="25" t="inlineStr">
        <is>
          <t>★★★★☆</t>
        </is>
      </c>
      <c r="C458" s="25" t="inlineStr">
        <is>
          <t>4 – Strong fit (electronics/signal/robotics/IoT/sensors)</t>
        </is>
      </c>
      <c r="D458" s="25" t="inlineStr">
        <is>
          <t>Signal / Image / Vision</t>
        </is>
      </c>
      <c r="E458" s="26" t="inlineStr">
        <is>
          <t>Master professionnel Sciences, technologies, santé mention informatique parcours Image et Intelligence Artificielle</t>
        </is>
      </c>
      <c r="F458" s="26" t="inlineStr">
        <is>
          <t>Professional Master Science, Technology, Health (STS) – major: Computer Science – track: Image &amp; Artificial Intelligence</t>
        </is>
      </c>
      <c r="G458" s="25" t="inlineStr">
        <is>
          <t>Master professionnel</t>
        </is>
      </c>
      <c r="H458" s="25" t="inlineStr">
        <is>
          <t>UFR de Sciences et techniques</t>
        </is>
      </c>
      <c r="I458" s="25" t="inlineStr">
        <is>
          <t>Université Bourgogne Europe</t>
        </is>
      </c>
      <c r="J458" s="25" t="inlineStr">
        <is>
          <t>Site de Dijon</t>
        </is>
      </c>
      <c r="K458" s="25" t="n"/>
      <c r="L458" s="25" t="inlineStr">
        <is>
          <t>Public university</t>
        </is>
      </c>
      <c r="M458" s="25" t="inlineStr">
        <is>
          <t>French</t>
        </is>
      </c>
      <c r="N458" s="25" t="inlineStr">
        <is>
          <t>General</t>
        </is>
      </c>
      <c r="O458" s="25" t="inlineStr">
        <is>
          <t>Bac +5</t>
        </is>
      </c>
      <c r="P458" s="26" t="inlineStr">
        <is>
          <t>Requires Bac+5 (Master) – likely not eligible; ask if 4-yr BS + experience accepted</t>
        </is>
      </c>
      <c r="Q458" s="25" t="inlineStr">
        <is>
          <t>2</t>
        </is>
      </c>
      <c r="R458" s="25" t="inlineStr">
        <is>
          <t>12</t>
        </is>
      </c>
      <c r="S458" s="27" t="n">
        <v>3950</v>
      </c>
      <c r="T458" s="27" t="n">
        <v>255</v>
      </c>
      <c r="U458" s="25" t="n">
        <v>1</v>
      </c>
      <c r="V458" s="27">
        <f>IF(S458="","",S458*U458)</f>
        <v/>
      </c>
      <c r="W458" s="26" t="inlineStr">
        <is>
          <t>Catalogue: €3,950. = national differentiated master fee (2026-27: €3,950). Exemption to ~€255 possible (university quota).</t>
        </is>
      </c>
      <c r="X458" s="25" t="inlineStr">
        <is>
          <t>High</t>
        </is>
      </c>
      <c r="Y458" s="25" t="inlineStr">
        <is>
          <t>3950</t>
        </is>
      </c>
      <c r="Z458" s="26" t="n"/>
      <c r="AA458" s="26" t="n"/>
      <c r="AB458" s="25" t="n"/>
      <c r="AC458" s="25" t="inlineStr">
        <is>
          <t>Open</t>
        </is>
      </c>
      <c r="AD458" s="25" t="inlineStr">
        <is>
          <t>2026-10-01</t>
        </is>
      </c>
      <c r="AE458" s="25" t="inlineStr">
        <is>
          <t>2027-03-15</t>
        </is>
      </c>
      <c r="AF458" s="25" t="inlineStr">
        <is>
          <t>No</t>
        </is>
      </c>
      <c r="AG458" s="28" t="inlineStr">
        <is>
          <t>http://sciences-techniques.u-bourgogne.fr</t>
        </is>
      </c>
      <c r="AH458" s="26" t="inlineStr">
        <is>
          <t>Le test de connaissance du français de niveau B2 est exigé pour cette formation, sauf pour les candidats issus de pays francophones et dont la langue officielle est le français. Niveau Master 1 en informatique ou équival</t>
        </is>
      </c>
      <c r="AI458" s="28" t="inlineStr">
        <is>
          <t>Open in EEF</t>
        </is>
      </c>
    </row>
    <row r="459" ht="32.8" customHeight="1" s="19">
      <c r="A459" s="25" t="n">
        <v>458</v>
      </c>
      <c r="B459" s="25" t="inlineStr">
        <is>
          <t>★★★★☆</t>
        </is>
      </c>
      <c r="C459" s="25" t="inlineStr">
        <is>
          <t>4 – Strong fit (electronics/signal/robotics/IoT/sensors)</t>
        </is>
      </c>
      <c r="D459" s="25" t="inlineStr">
        <is>
          <t>Embedded systems / Electronics</t>
        </is>
      </c>
      <c r="E459" s="26" t="inlineStr">
        <is>
          <t>Master professionnel Sciences, technologies, santé mention Electronique, énergie électrique, automatique parcours Electronique</t>
        </is>
      </c>
      <c r="F459" s="26" t="inlineStr">
        <is>
          <t>Professional Master Science, Technology, Health (STS) – major: Electronics, Electrical Energy &amp; Automation (EEA) – track: Electronics</t>
        </is>
      </c>
      <c r="G459" s="25" t="inlineStr">
        <is>
          <t>Master professionnel</t>
        </is>
      </c>
      <c r="H459" s="25" t="inlineStr">
        <is>
          <t>UFR de Sciences et techniques</t>
        </is>
      </c>
      <c r="I459" s="25" t="inlineStr">
        <is>
          <t>Université Bourgogne Europe</t>
        </is>
      </c>
      <c r="J459" s="25" t="inlineStr">
        <is>
          <t>Site de Dijon</t>
        </is>
      </c>
      <c r="K459" s="25" t="n"/>
      <c r="L459" s="25" t="inlineStr">
        <is>
          <t>Public university</t>
        </is>
      </c>
      <c r="M459" s="25" t="inlineStr">
        <is>
          <t>French</t>
        </is>
      </c>
      <c r="N459" s="25" t="inlineStr">
        <is>
          <t>General</t>
        </is>
      </c>
      <c r="O459" s="25" t="inlineStr">
        <is>
          <t>Bac +5</t>
        </is>
      </c>
      <c r="P459" s="26" t="inlineStr">
        <is>
          <t>Requires Bac+5 (Master) – likely not eligible; ask if 4-yr BS + experience accepted</t>
        </is>
      </c>
      <c r="Q459" s="25" t="inlineStr">
        <is>
          <t>2</t>
        </is>
      </c>
      <c r="R459" s="25" t="inlineStr">
        <is>
          <t>12</t>
        </is>
      </c>
      <c r="S459" s="27" t="n">
        <v>3950</v>
      </c>
      <c r="T459" s="27" t="n">
        <v>255</v>
      </c>
      <c r="U459" s="25" t="n">
        <v>1</v>
      </c>
      <c r="V459" s="27">
        <f>IF(S459="","",S459*U459)</f>
        <v/>
      </c>
      <c r="W459" s="26" t="inlineStr">
        <is>
          <t>Catalogue: €3,950. = national differentiated master fee (2026-27: €3,950). Exemption to ~€255 possible (university quota).</t>
        </is>
      </c>
      <c r="X459" s="25" t="inlineStr">
        <is>
          <t>High</t>
        </is>
      </c>
      <c r="Y459" s="25" t="inlineStr">
        <is>
          <t>3950</t>
        </is>
      </c>
      <c r="Z459" s="26" t="n"/>
      <c r="AA459" s="26" t="n"/>
      <c r="AB459" s="25" t="n"/>
      <c r="AC459" s="25" t="inlineStr">
        <is>
          <t>Open</t>
        </is>
      </c>
      <c r="AD459" s="25" t="inlineStr">
        <is>
          <t>2026-10-01</t>
        </is>
      </c>
      <c r="AE459" s="25" t="inlineStr">
        <is>
          <t>2027-03-15</t>
        </is>
      </c>
      <c r="AF459" s="25" t="inlineStr">
        <is>
          <t>No</t>
        </is>
      </c>
      <c r="AG459" s="28" t="inlineStr">
        <is>
          <t>http://sciences-techniques.u-bourgogne.fr</t>
        </is>
      </c>
      <c r="AH459" s="26" t="inlineStr">
        <is>
          <t>Pré-requis en traitement du signal et en électronique analogique et numérique. Le test de connaissance du français de niveau B2 est exigé pour cette formation, sauf pour les candidats issus de pays francophones et dont l</t>
        </is>
      </c>
      <c r="AI459" s="28" t="inlineStr">
        <is>
          <t>Open in EEF</t>
        </is>
      </c>
    </row>
    <row r="460" ht="32.8" customHeight="1" s="19">
      <c r="A460" s="25" t="n">
        <v>459</v>
      </c>
      <c r="B460" s="25" t="inlineStr">
        <is>
          <t>★★★★☆</t>
        </is>
      </c>
      <c r="C460" s="25" t="inlineStr">
        <is>
          <t>4 – Strong fit (electronics/signal/robotics/IoT/sensors)</t>
        </is>
      </c>
      <c r="D460" s="25" t="inlineStr">
        <is>
          <t>Embedded systems / Electronics</t>
        </is>
      </c>
      <c r="E460" s="26" t="inlineStr">
        <is>
          <t>Master indifférencié (recherche et professionnel) Sciences et technologies mention Electronique, énergie électrique, automatique parcours Analyse et Contrôle des Systèmes</t>
        </is>
      </c>
      <c r="F460" s="26" t="inlineStr">
        <is>
          <t>Science &amp; Technology – major: Electronics, Electrical Energy &amp; Automation (EEA) – track: Analysis &amp; Control of Systems</t>
        </is>
      </c>
      <c r="G460" s="25" t="inlineStr">
        <is>
          <t>Master indifférencié (recherche et professionnel)</t>
        </is>
      </c>
      <c r="H460" s="25" t="inlineStr">
        <is>
          <t>UFR Sciences</t>
        </is>
      </c>
      <c r="I460" s="25" t="inlineStr">
        <is>
          <t>Université d'Aix-Marseille</t>
        </is>
      </c>
      <c r="J460" s="25" t="inlineStr">
        <is>
          <t>Site de Marseille - St Jérôme</t>
        </is>
      </c>
      <c r="K460" s="25" t="n"/>
      <c r="L460" s="25" t="inlineStr">
        <is>
          <t>Public university</t>
        </is>
      </c>
      <c r="M460" s="25" t="inlineStr">
        <is>
          <t>French</t>
        </is>
      </c>
      <c r="N460" s="25" t="inlineStr">
        <is>
          <t>General</t>
        </is>
      </c>
      <c r="O460" s="25" t="inlineStr">
        <is>
          <t>Bac +5</t>
        </is>
      </c>
      <c r="P460" s="26" t="inlineStr">
        <is>
          <t>Requires Bac+5 (Master) – likely not eligible; ask if 4-yr BS + experience accepted</t>
        </is>
      </c>
      <c r="Q460" s="25" t="inlineStr">
        <is>
          <t>2</t>
        </is>
      </c>
      <c r="R460" s="25" t="inlineStr">
        <is>
          <t>12</t>
        </is>
      </c>
      <c r="S460" s="27" t="n">
        <v>3950</v>
      </c>
      <c r="T460" s="27" t="n">
        <v>255</v>
      </c>
      <c r="U460" s="25" t="n">
        <v>1</v>
      </c>
      <c r="V460" s="27">
        <f>IF(S460="","",S460*U460)</f>
        <v/>
      </c>
      <c r="W460" s="26" t="inlineStr">
        <is>
          <t>Not in catalogue. Public national master → 2026-27 differentiated fee €3,950; exemption to ~€254-255 depends on university quota (25% cap in 2027-28).</t>
        </is>
      </c>
      <c r="X460" s="25" t="inlineStr">
        <is>
          <t>Medium</t>
        </is>
      </c>
      <c r="Y460" s="25" t="n"/>
      <c r="Z460" s="26" t="n"/>
      <c r="AA460" s="26" t="inlineStr">
        <is>
          <t>AMU 2026-27: limited exemptions (≈1,800 of 5,500 students) – priority to continuing students, conflict zones, excellence scholarships. New master entrants usually pay €3,950.</t>
        </is>
      </c>
      <c r="AB460" s="28" t="inlineStr">
        <is>
          <t>https://www.univ-amu.fr/fr/actualites/aix-marseille-universite-mobilise-pleinement-capacite-dexoneration-continuer-accueillir</t>
        </is>
      </c>
      <c r="AC460" s="25" t="inlineStr">
        <is>
          <t>Open</t>
        </is>
      </c>
      <c r="AD460" s="25" t="inlineStr">
        <is>
          <t>2026-10-01</t>
        </is>
      </c>
      <c r="AE460" s="25" t="inlineStr">
        <is>
          <t>2027-03-15</t>
        </is>
      </c>
      <c r="AF460" s="25" t="inlineStr">
        <is>
          <t>No</t>
        </is>
      </c>
      <c r="AG460" s="28" t="inlineStr">
        <is>
          <t>https://formations.univ-amu.fr/fr/master/5SEA/PRSEA5C4</t>
        </is>
      </c>
      <c r="AH460" s="26" t="inlineStr">
        <is>
          <t>Nous attirons votre attention sur 2 points importants pour votre candidature : Votre dossier doit être complet et validé par l’Espace Etudes en France La faculté des sciences examinera les dossiers de candidature en cohé</t>
        </is>
      </c>
      <c r="AI460" s="28" t="inlineStr">
        <is>
          <t>Open in EEF</t>
        </is>
      </c>
    </row>
    <row r="461" ht="32.8" customHeight="1" s="19">
      <c r="A461" s="25" t="n">
        <v>460</v>
      </c>
      <c r="B461" s="25" t="inlineStr">
        <is>
          <t>★★★★☆</t>
        </is>
      </c>
      <c r="C461" s="25" t="inlineStr">
        <is>
          <t>4 – Strong fit (electronics/signal/robotics/IoT/sensors)</t>
        </is>
      </c>
      <c r="D461" s="25" t="inlineStr">
        <is>
          <t>Embedded systems / Electronics</t>
        </is>
      </c>
      <c r="E461" s="26" t="inlineStr">
        <is>
          <t>Master indifférencié (recherche et professionnel) Sciences et technologies mention Electronique, énergie électrique, automatique parcours Génie des Systèmes Automatisés</t>
        </is>
      </c>
      <c r="F461" s="26" t="inlineStr">
        <is>
          <t>Science &amp; Technology – major: Electronics, Electrical Energy &amp; Automation (EEA) – track: Engineering of Systems Automated</t>
        </is>
      </c>
      <c r="G461" s="25" t="inlineStr">
        <is>
          <t>Master indifférencié (recherche et professionnel)</t>
        </is>
      </c>
      <c r="H461" s="25" t="inlineStr">
        <is>
          <t>UFR Sciences</t>
        </is>
      </c>
      <c r="I461" s="25" t="inlineStr">
        <is>
          <t>Université d'Aix-Marseille</t>
        </is>
      </c>
      <c r="J461" s="25" t="inlineStr">
        <is>
          <t>Site de Marseille - St Jérôme</t>
        </is>
      </c>
      <c r="K461" s="25" t="n"/>
      <c r="L461" s="25" t="inlineStr">
        <is>
          <t>Public university</t>
        </is>
      </c>
      <c r="M461" s="25" t="inlineStr">
        <is>
          <t>French</t>
        </is>
      </c>
      <c r="N461" s="25" t="inlineStr">
        <is>
          <t>General</t>
        </is>
      </c>
      <c r="O461" s="25" t="inlineStr">
        <is>
          <t>Bac +5</t>
        </is>
      </c>
      <c r="P461" s="26" t="inlineStr">
        <is>
          <t>Requires Bac+5 (Master) – likely not eligible; ask if 4-yr BS + experience accepted</t>
        </is>
      </c>
      <c r="Q461" s="25" t="inlineStr">
        <is>
          <t>2</t>
        </is>
      </c>
      <c r="R461" s="25" t="inlineStr">
        <is>
          <t>12</t>
        </is>
      </c>
      <c r="S461" s="27" t="n">
        <v>3950</v>
      </c>
      <c r="T461" s="27" t="n">
        <v>255</v>
      </c>
      <c r="U461" s="25" t="n">
        <v>1</v>
      </c>
      <c r="V461" s="27">
        <f>IF(S461="","",S461*U461)</f>
        <v/>
      </c>
      <c r="W461" s="26" t="inlineStr">
        <is>
          <t>Not in catalogue. Public national master → 2026-27 differentiated fee €3,950; exemption to ~€254-255 depends on university quota (25% cap in 2027-28).</t>
        </is>
      </c>
      <c r="X461" s="25" t="inlineStr">
        <is>
          <t>Medium</t>
        </is>
      </c>
      <c r="Y461" s="25" t="n"/>
      <c r="Z461" s="26" t="n"/>
      <c r="AA461" s="26" t="inlineStr">
        <is>
          <t>AMU 2026-27: limited exemptions (≈1,800 of 5,500 students) – priority to continuing students, conflict zones, excellence scholarships. New master entrants usually pay €3,950.</t>
        </is>
      </c>
      <c r="AB461" s="28" t="inlineStr">
        <is>
          <t>https://www.univ-amu.fr/fr/actualites/aix-marseille-universite-mobilise-pleinement-capacite-dexoneration-continuer-accueillir</t>
        </is>
      </c>
      <c r="AC461" s="25" t="inlineStr">
        <is>
          <t>Open</t>
        </is>
      </c>
      <c r="AD461" s="25" t="inlineStr">
        <is>
          <t>2026-10-01</t>
        </is>
      </c>
      <c r="AE461" s="25" t="inlineStr">
        <is>
          <t>2027-03-15</t>
        </is>
      </c>
      <c r="AF461" s="25" t="inlineStr">
        <is>
          <t>No</t>
        </is>
      </c>
      <c r="AG461" s="28" t="inlineStr">
        <is>
          <t>https://formations.univ-amu.fr/fr/master/5SEA/PRSEA5C2</t>
        </is>
      </c>
      <c r="AH461" s="26" t="inlineStr">
        <is>
          <t>Nous attirons votre attention sur 3 points importants pour votre candidature : Votre dossier doit être complet et validé par l’Espace Etudes en France La faculté des sciences examinera les dossiers de candidature en cohé</t>
        </is>
      </c>
      <c r="AI461" s="28" t="inlineStr">
        <is>
          <t>Open in EEF</t>
        </is>
      </c>
    </row>
    <row r="462" ht="32.8" customHeight="1" s="19">
      <c r="A462" s="25" t="n">
        <v>461</v>
      </c>
      <c r="B462" s="25" t="inlineStr">
        <is>
          <t>★★★★☆</t>
        </is>
      </c>
      <c r="C462" s="25" t="inlineStr">
        <is>
          <t>4 – Strong fit (electronics/signal/robotics/IoT/sensors)</t>
        </is>
      </c>
      <c r="D462" s="25" t="inlineStr">
        <is>
          <t>Sensors / Instrumentation / Micro-Nano / Photonics</t>
        </is>
      </c>
      <c r="E462" s="26" t="inlineStr">
        <is>
          <t>Master indifférencié (recherche et professionnel) Sciences et technologies mention Instrumentation, mesure, métrologie parcours Commercialisation en instrumentation scientifique (CIS)</t>
        </is>
      </c>
      <c r="F462" s="26" t="inlineStr">
        <is>
          <t>Science &amp; Technology – major: Instrumentation, Measurement, Metrology – track: Commercialisation in Instrumentation Scientific (CIS)</t>
        </is>
      </c>
      <c r="G462" s="25" t="inlineStr">
        <is>
          <t>Master indifférencié (recherche et professionnel)</t>
        </is>
      </c>
      <c r="H462" s="25" t="inlineStr">
        <is>
          <t>UFR Sciences</t>
        </is>
      </c>
      <c r="I462" s="25" t="inlineStr">
        <is>
          <t>Université d'Aix-Marseille</t>
        </is>
      </c>
      <c r="J462" s="25" t="inlineStr">
        <is>
          <t>Site de Marseille - St Jérôme</t>
        </is>
      </c>
      <c r="K462" s="25" t="n"/>
      <c r="L462" s="25" t="inlineStr">
        <is>
          <t>Public university</t>
        </is>
      </c>
      <c r="M462" s="25" t="inlineStr">
        <is>
          <t>French</t>
        </is>
      </c>
      <c r="N462" s="25" t="inlineStr">
        <is>
          <t>General</t>
        </is>
      </c>
      <c r="O462" s="25" t="inlineStr">
        <is>
          <t>Bac +5</t>
        </is>
      </c>
      <c r="P462" s="26" t="inlineStr">
        <is>
          <t>Requires Bac+5 (Master) – likely not eligible; ask if 4-yr BS + experience accepted</t>
        </is>
      </c>
      <c r="Q462" s="25" t="inlineStr">
        <is>
          <t>2</t>
        </is>
      </c>
      <c r="R462" s="25" t="inlineStr">
        <is>
          <t>12</t>
        </is>
      </c>
      <c r="S462" s="27" t="n">
        <v>3950</v>
      </c>
      <c r="T462" s="27" t="n">
        <v>255</v>
      </c>
      <c r="U462" s="25" t="n">
        <v>1</v>
      </c>
      <c r="V462" s="27">
        <f>IF(S462="","",S462*U462)</f>
        <v/>
      </c>
      <c r="W462" s="26" t="inlineStr">
        <is>
          <t>Not in catalogue. Public national master → 2026-27 differentiated fee €3,950; exemption to ~€254-255 depends on university quota (25% cap in 2027-28).</t>
        </is>
      </c>
      <c r="X462" s="25" t="inlineStr">
        <is>
          <t>Medium</t>
        </is>
      </c>
      <c r="Y462" s="25" t="n"/>
      <c r="Z462" s="26" t="n"/>
      <c r="AA462" s="26" t="inlineStr">
        <is>
          <t>AMU 2026-27: limited exemptions (≈1,800 of 5,500 students) – priority to continuing students, conflict zones, excellence scholarships. New master entrants usually pay €3,950.</t>
        </is>
      </c>
      <c r="AB462" s="28" t="inlineStr">
        <is>
          <t>https://www.univ-amu.fr/fr/actualites/aix-marseille-universite-mobilise-pleinement-capacite-dexoneration-continuer-accueillir</t>
        </is>
      </c>
      <c r="AC462" s="25" t="inlineStr">
        <is>
          <t>Open</t>
        </is>
      </c>
      <c r="AD462" s="25" t="inlineStr">
        <is>
          <t>2026-10-01</t>
        </is>
      </c>
      <c r="AE462" s="25" t="inlineStr">
        <is>
          <t>2027-03-15</t>
        </is>
      </c>
      <c r="AF462" s="25" t="inlineStr">
        <is>
          <t>No</t>
        </is>
      </c>
      <c r="AG462" s="28" t="inlineStr">
        <is>
          <t>https://formations.univ-amu.fr/fr/master/5SMI/PRSMI5C1</t>
        </is>
      </c>
      <c r="AH462" s="26" t="inlineStr">
        <is>
          <t>Nous attirons votre attention sur 2 points importants pour votre candidature : Votre dossier doit être complet et validé par l’Espace Etudes en France La faculté des sciences examinera les dossiers de candidature en cohé</t>
        </is>
      </c>
      <c r="AI462" s="28" t="inlineStr">
        <is>
          <t>Open in EEF</t>
        </is>
      </c>
    </row>
    <row r="463" ht="32.8" customHeight="1" s="19">
      <c r="A463" s="25" t="n">
        <v>462</v>
      </c>
      <c r="B463" s="25" t="inlineStr">
        <is>
          <t>★★★★☆</t>
        </is>
      </c>
      <c r="C463" s="25" t="inlineStr">
        <is>
          <t>4 – Strong fit (electronics/signal/robotics/IoT/sensors)</t>
        </is>
      </c>
      <c r="D463" s="25" t="inlineStr">
        <is>
          <t>Sensors / Instrumentation / Micro-Nano / Photonics</t>
        </is>
      </c>
      <c r="E463" s="26" t="inlineStr">
        <is>
          <t>Master indifférencié (recherche et professionnel) Sciences et technologies mention Instrumentation, mesure, métrologie parcours Instrumentation des moyens d'essai (IME)</t>
        </is>
      </c>
      <c r="F463" s="26" t="inlineStr">
        <is>
          <t>Science &amp; Technology – major: Instrumentation, Measurement, Metrology – track: Instrumentation of moyens d'essai (IME)</t>
        </is>
      </c>
      <c r="G463" s="25" t="inlineStr">
        <is>
          <t>Master indifférencié (recherche et professionnel)</t>
        </is>
      </c>
      <c r="H463" s="25" t="inlineStr">
        <is>
          <t>UFR Sciences</t>
        </is>
      </c>
      <c r="I463" s="25" t="inlineStr">
        <is>
          <t>Université d'Aix-Marseille</t>
        </is>
      </c>
      <c r="J463" s="25" t="inlineStr">
        <is>
          <t>Site de Marseille - St Jérôme</t>
        </is>
      </c>
      <c r="K463" s="25" t="n"/>
      <c r="L463" s="25" t="inlineStr">
        <is>
          <t>Public university</t>
        </is>
      </c>
      <c r="M463" s="25" t="inlineStr">
        <is>
          <t>French</t>
        </is>
      </c>
      <c r="N463" s="25" t="inlineStr">
        <is>
          <t>General</t>
        </is>
      </c>
      <c r="O463" s="25" t="inlineStr">
        <is>
          <t>Bac +5</t>
        </is>
      </c>
      <c r="P463" s="26" t="inlineStr">
        <is>
          <t>Requires Bac+5 (Master) – likely not eligible; ask if 4-yr BS + experience accepted</t>
        </is>
      </c>
      <c r="Q463" s="25" t="inlineStr">
        <is>
          <t>2</t>
        </is>
      </c>
      <c r="R463" s="25" t="inlineStr">
        <is>
          <t>12</t>
        </is>
      </c>
      <c r="S463" s="27" t="n">
        <v>3950</v>
      </c>
      <c r="T463" s="27" t="n">
        <v>255</v>
      </c>
      <c r="U463" s="25" t="n">
        <v>1</v>
      </c>
      <c r="V463" s="27">
        <f>IF(S463="","",S463*U463)</f>
        <v/>
      </c>
      <c r="W463" s="26" t="inlineStr">
        <is>
          <t>Not in catalogue. Public national master → 2026-27 differentiated fee €3,950; exemption to ~€254-255 depends on university quota (25% cap in 2027-28).</t>
        </is>
      </c>
      <c r="X463" s="25" t="inlineStr">
        <is>
          <t>Medium</t>
        </is>
      </c>
      <c r="Y463" s="25" t="n"/>
      <c r="Z463" s="26" t="n"/>
      <c r="AA463" s="26" t="inlineStr">
        <is>
          <t>AMU 2026-27: limited exemptions (≈1,800 of 5,500 students) – priority to continuing students, conflict zones, excellence scholarships. New master entrants usually pay €3,950.</t>
        </is>
      </c>
      <c r="AB463" s="28" t="inlineStr">
        <is>
          <t>https://www.univ-amu.fr/fr/actualites/aix-marseille-universite-mobilise-pleinement-capacite-dexoneration-continuer-accueillir</t>
        </is>
      </c>
      <c r="AC463" s="25" t="inlineStr">
        <is>
          <t>Open</t>
        </is>
      </c>
      <c r="AD463" s="25" t="inlineStr">
        <is>
          <t>2026-10-01</t>
        </is>
      </c>
      <c r="AE463" s="25" t="inlineStr">
        <is>
          <t>2027-03-15</t>
        </is>
      </c>
      <c r="AF463" s="25" t="inlineStr">
        <is>
          <t>No</t>
        </is>
      </c>
      <c r="AG463" s="28" t="inlineStr">
        <is>
          <t>https://formations.univ-amu.fr/fr/master/5SMI/PRSMI5C3</t>
        </is>
      </c>
      <c r="AH463" s="26" t="inlineStr">
        <is>
          <t>Nous attirons votre attention sur 2 points importants pour votre candidature : Votre dossier doit être complet et validé par l’Espace Etudes en France La faculté des sciences examinera les dossiers de candidature en cohé</t>
        </is>
      </c>
      <c r="AI463" s="28" t="inlineStr">
        <is>
          <t>Open in EEF</t>
        </is>
      </c>
    </row>
    <row r="464" ht="32.8" customHeight="1" s="19">
      <c r="A464" s="25" t="n">
        <v>463</v>
      </c>
      <c r="B464" s="25" t="inlineStr">
        <is>
          <t>★★★★☆</t>
        </is>
      </c>
      <c r="C464" s="25" t="inlineStr">
        <is>
          <t>4 – Strong fit (electronics/signal/robotics/IoT/sensors)</t>
        </is>
      </c>
      <c r="D464" s="25" t="inlineStr">
        <is>
          <t>Embedded systems / Electronics</t>
        </is>
      </c>
      <c r="E464" s="26" t="inlineStr">
        <is>
          <t>Master indifférencié (recherche et professionnel) Sciences et technologies mention Instrumentation, mesure, métrologie parcours Microcapteurs et microélectronique (MCM)</t>
        </is>
      </c>
      <c r="F464" s="26" t="inlineStr">
        <is>
          <t>Science &amp; Technology – major: Instrumentation, Measurement, Metrology – track: Microsensors &amp; Microelectronics (MCM)</t>
        </is>
      </c>
      <c r="G464" s="25" t="inlineStr">
        <is>
          <t>Master indifférencié (recherche et professionnel)</t>
        </is>
      </c>
      <c r="H464" s="25" t="inlineStr">
        <is>
          <t>UFR Sciences</t>
        </is>
      </c>
      <c r="I464" s="25" t="inlineStr">
        <is>
          <t>Université d'Aix-Marseille</t>
        </is>
      </c>
      <c r="J464" s="25" t="inlineStr">
        <is>
          <t>Site de Marseille - St Jérôme</t>
        </is>
      </c>
      <c r="K464" s="25" t="n"/>
      <c r="L464" s="25" t="inlineStr">
        <is>
          <t>Public university</t>
        </is>
      </c>
      <c r="M464" s="25" t="inlineStr">
        <is>
          <t>French</t>
        </is>
      </c>
      <c r="N464" s="25" t="inlineStr">
        <is>
          <t>General</t>
        </is>
      </c>
      <c r="O464" s="25" t="inlineStr">
        <is>
          <t>Bac +5</t>
        </is>
      </c>
      <c r="P464" s="26" t="inlineStr">
        <is>
          <t>Requires Bac+5 (Master) – likely not eligible; ask if 4-yr BS + experience accepted</t>
        </is>
      </c>
      <c r="Q464" s="25" t="inlineStr">
        <is>
          <t>2</t>
        </is>
      </c>
      <c r="R464" s="25" t="inlineStr">
        <is>
          <t>12</t>
        </is>
      </c>
      <c r="S464" s="27" t="n">
        <v>3950</v>
      </c>
      <c r="T464" s="27" t="n">
        <v>255</v>
      </c>
      <c r="U464" s="25" t="n">
        <v>1</v>
      </c>
      <c r="V464" s="27">
        <f>IF(S464="","",S464*U464)</f>
        <v/>
      </c>
      <c r="W464" s="26" t="inlineStr">
        <is>
          <t>Not in catalogue. Public national master → 2026-27 differentiated fee €3,950; exemption to ~€254-255 depends on university quota (25% cap in 2027-28).</t>
        </is>
      </c>
      <c r="X464" s="25" t="inlineStr">
        <is>
          <t>Medium</t>
        </is>
      </c>
      <c r="Y464" s="25" t="n"/>
      <c r="Z464" s="26" t="n"/>
      <c r="AA464" s="26" t="inlineStr">
        <is>
          <t>AMU 2026-27: limited exemptions (≈1,800 of 5,500 students) – priority to continuing students, conflict zones, excellence scholarships. New master entrants usually pay €3,950.</t>
        </is>
      </c>
      <c r="AB464" s="28" t="inlineStr">
        <is>
          <t>https://www.univ-amu.fr/fr/actualites/aix-marseille-universite-mobilise-pleinement-capacite-dexoneration-continuer-accueillir</t>
        </is>
      </c>
      <c r="AC464" s="25" t="inlineStr">
        <is>
          <t>Open</t>
        </is>
      </c>
      <c r="AD464" s="25" t="inlineStr">
        <is>
          <t>2026-10-01</t>
        </is>
      </c>
      <c r="AE464" s="25" t="inlineStr">
        <is>
          <t>2027-03-15</t>
        </is>
      </c>
      <c r="AF464" s="25" t="inlineStr">
        <is>
          <t>No</t>
        </is>
      </c>
      <c r="AG464" s="28" t="inlineStr">
        <is>
          <t>https://formations.univ-amu.fr/fr/master/5SMI/PRSMI5C4</t>
        </is>
      </c>
      <c r="AH464" s="26" t="inlineStr">
        <is>
          <t>Nous attirons votre attention sur 2 points importants pour votre candidature : Votre dossier doit être complet et validé par l’Espace Etudes en France La faculté des sciences examinera les dossiers de candidature en cohé</t>
        </is>
      </c>
      <c r="AI464" s="28" t="inlineStr">
        <is>
          <t>Open in EEF</t>
        </is>
      </c>
    </row>
    <row r="465" ht="32.8" customHeight="1" s="19">
      <c r="A465" s="25" t="n">
        <v>464</v>
      </c>
      <c r="B465" s="25" t="inlineStr">
        <is>
          <t>★★★★☆</t>
        </is>
      </c>
      <c r="C465" s="25" t="inlineStr">
        <is>
          <t>4 – Strong fit (electronics/signal/robotics/IoT/sensors)</t>
        </is>
      </c>
      <c r="D465" s="25" t="inlineStr">
        <is>
          <t>IoT / Telecom / Networks</t>
        </is>
      </c>
      <c r="E465" s="26" t="inlineStr">
        <is>
          <t>Master indifférencié (recherche et professionnel) Sciences et technologies mention Réseaux et télécommunication parcours Architecture des réseaux et cybersécurité</t>
        </is>
      </c>
      <c r="F465" s="26" t="inlineStr">
        <is>
          <t>Science &amp; Technology – major: Networks &amp; Telecommunication – track: Architecture of Networks &amp; Cybersecurity</t>
        </is>
      </c>
      <c r="G465" s="25" t="inlineStr">
        <is>
          <t>Master indifférencié (recherche et professionnel)</t>
        </is>
      </c>
      <c r="H465" s="25" t="inlineStr">
        <is>
          <t>UFR Sciences</t>
        </is>
      </c>
      <c r="I465" s="25" t="inlineStr">
        <is>
          <t>Université d'Aix-Marseille</t>
        </is>
      </c>
      <c r="J465" s="25" t="inlineStr">
        <is>
          <t>Site de Marseille - Luminy</t>
        </is>
      </c>
      <c r="K465" s="25" t="n"/>
      <c r="L465" s="25" t="inlineStr">
        <is>
          <t>Public university</t>
        </is>
      </c>
      <c r="M465" s="25" t="inlineStr">
        <is>
          <t>French</t>
        </is>
      </c>
      <c r="N465" s="25" t="inlineStr">
        <is>
          <t>General</t>
        </is>
      </c>
      <c r="O465" s="25" t="inlineStr">
        <is>
          <t>Bac +5</t>
        </is>
      </c>
      <c r="P465" s="26" t="inlineStr">
        <is>
          <t>Requires Bac+5 (Master) – likely not eligible; ask if 4-yr BS + experience accepted</t>
        </is>
      </c>
      <c r="Q465" s="25" t="inlineStr">
        <is>
          <t>2</t>
        </is>
      </c>
      <c r="R465" s="25" t="inlineStr">
        <is>
          <t>12</t>
        </is>
      </c>
      <c r="S465" s="27" t="n">
        <v>3950</v>
      </c>
      <c r="T465" s="27" t="n">
        <v>255</v>
      </c>
      <c r="U465" s="25" t="n">
        <v>1</v>
      </c>
      <c r="V465" s="27">
        <f>IF(S465="","",S465*U465)</f>
        <v/>
      </c>
      <c r="W465" s="26" t="inlineStr">
        <is>
          <t>Not in catalogue. Public national master → 2026-27 differentiated fee €3,950; exemption to ~€254-255 depends on university quota (25% cap in 2027-28).</t>
        </is>
      </c>
      <c r="X465" s="25" t="inlineStr">
        <is>
          <t>Medium</t>
        </is>
      </c>
      <c r="Y465" s="25" t="n"/>
      <c r="Z465" s="26" t="n"/>
      <c r="AA465" s="26" t="inlineStr">
        <is>
          <t>AMU 2026-27: limited exemptions (≈1,800 of 5,500 students) – priority to continuing students, conflict zones, excellence scholarships. New master entrants usually pay €3,950.</t>
        </is>
      </c>
      <c r="AB465" s="28" t="inlineStr">
        <is>
          <t>https://www.univ-amu.fr/fr/actualites/aix-marseille-universite-mobilise-pleinement-capacite-dexoneration-continuer-accueillir</t>
        </is>
      </c>
      <c r="AC465" s="25" t="inlineStr">
        <is>
          <t>Open</t>
        </is>
      </c>
      <c r="AD465" s="25" t="inlineStr">
        <is>
          <t>2026-10-01</t>
        </is>
      </c>
      <c r="AE465" s="25" t="inlineStr">
        <is>
          <t>2027-03-15</t>
        </is>
      </c>
      <c r="AF465" s="25" t="inlineStr">
        <is>
          <t>No</t>
        </is>
      </c>
      <c r="AG465" s="28" t="inlineStr">
        <is>
          <t>https://formations.univ-amu.fr/fr/master/5SRT/PRSRT5C1</t>
        </is>
      </c>
      <c r="AH465" s="26" t="inlineStr">
        <is>
          <t>Nous attirons votre attention sur 6 points importants pour votre candidature : Votre dossier doit être complet et validé par l’Espace Etudes en France La faculté des sciences examinera les dossiers de candidature en cohé</t>
        </is>
      </c>
      <c r="AI465" s="28" t="inlineStr">
        <is>
          <t>Open in EEF</t>
        </is>
      </c>
    </row>
    <row r="466" ht="32.8" customHeight="1" s="19">
      <c r="A466" s="25" t="n">
        <v>465</v>
      </c>
      <c r="B466" s="25" t="inlineStr">
        <is>
          <t>★★★★☆</t>
        </is>
      </c>
      <c r="C466" s="25" t="inlineStr">
        <is>
          <t>4 – Strong fit (electronics/signal/robotics/IoT/sensors)</t>
        </is>
      </c>
      <c r="D466" s="25" t="inlineStr">
        <is>
          <t>Signal / Image / Vision</t>
        </is>
      </c>
      <c r="E466" s="26" t="inlineStr">
        <is>
          <t>Master indifférencié (recherche et professionnel) Sciences, technologies, santé mention Biologie intégrative et physiologie parcours Nutrition, Métabolisme Energétique, Signalisation</t>
        </is>
      </c>
      <c r="F466" s="26" t="inlineStr">
        <is>
          <t>Science, Technology, Health (STS) – major: Biology Integrative &amp; Physiology – track: Nutrition, Metabolism Energétique, Signalling</t>
        </is>
      </c>
      <c r="G466" s="25" t="inlineStr">
        <is>
          <t>Master indifférencié (recherche et professionnel)</t>
        </is>
      </c>
      <c r="H466" s="25" t="inlineStr">
        <is>
          <t>UFR Sciences du vivant</t>
        </is>
      </c>
      <c r="I466" s="25" t="inlineStr">
        <is>
          <t>Université Paris Cité</t>
        </is>
      </c>
      <c r="J466" s="25" t="inlineStr">
        <is>
          <t>Site de Paris</t>
        </is>
      </c>
      <c r="K466" s="25" t="inlineStr">
        <is>
          <t>75013 Paris</t>
        </is>
      </c>
      <c r="L466" s="25" t="inlineStr">
        <is>
          <t>Public university</t>
        </is>
      </c>
      <c r="M466" s="25" t="inlineStr">
        <is>
          <t>French</t>
        </is>
      </c>
      <c r="N466" s="25" t="inlineStr">
        <is>
          <t>General</t>
        </is>
      </c>
      <c r="O466" s="25" t="inlineStr">
        <is>
          <t>Bac +5</t>
        </is>
      </c>
      <c r="P466" s="26" t="inlineStr">
        <is>
          <t>Requires Bac+5 (Master) – likely not eligible; ask if 4-yr BS + experience accepted</t>
        </is>
      </c>
      <c r="Q466" s="25" t="inlineStr">
        <is>
          <t>2</t>
        </is>
      </c>
      <c r="R466" s="25" t="n"/>
      <c r="S466" s="27" t="n">
        <v>3950</v>
      </c>
      <c r="T466" s="27" t="n">
        <v>255</v>
      </c>
      <c r="U466" s="25" t="n">
        <v>1</v>
      </c>
      <c r="V466" s="27">
        <f>IF(S466="","",S466*U466)</f>
        <v/>
      </c>
      <c r="W466" s="26" t="inlineStr">
        <is>
          <t>Not in catalogue. Public national master → 2026-27 differentiated fee €3,950; exemption to ~€254-255 depends on university quota (25% cap in 2027-28).</t>
        </is>
      </c>
      <c r="X466" s="25" t="inlineStr">
        <is>
          <t>Medium</t>
        </is>
      </c>
      <c r="Y466" s="25" t="n"/>
      <c r="Z466" s="26" t="n"/>
      <c r="AA466" s="26" t="inlineStr">
        <is>
          <t>Paris Cité historically exempted non-EU master students (paid EU rate). 2026-27/2027-28 policy not yet published – confirm.</t>
        </is>
      </c>
      <c r="AB466" s="28" t="inlineStr">
        <is>
          <t>https://u-paris.fr/droits-dinscription-tarifs-exonerations/</t>
        </is>
      </c>
      <c r="AC466" s="25" t="inlineStr">
        <is>
          <t>Open</t>
        </is>
      </c>
      <c r="AD466" s="25" t="inlineStr">
        <is>
          <t>2026-10-01</t>
        </is>
      </c>
      <c r="AE466" s="25" t="inlineStr">
        <is>
          <t>2027-03-15</t>
        </is>
      </c>
      <c r="AF466" s="25" t="inlineStr">
        <is>
          <t>No</t>
        </is>
      </c>
      <c r="AG466" s="28" t="inlineStr">
        <is>
          <t>https://sdv.u-paris.fr</t>
        </is>
      </c>
      <c r="AH466" s="26" t="inlineStr">
        <is>
          <t>https://odf.u-paris.fr/fr/offre-de-formation/master-XB/sciences-technologies-sante-STS/biologie-integrative-et-physiologie-K2NDQ0IC.html Droits d’inscriptions différenciés 2027-2028, pour plus d’informations : https://u-</t>
        </is>
      </c>
      <c r="AI466" s="28" t="inlineStr">
        <is>
          <t>Open in EEF</t>
        </is>
      </c>
    </row>
    <row r="467" ht="32.8" customHeight="1" s="19">
      <c r="A467" s="25" t="n">
        <v>466</v>
      </c>
      <c r="B467" s="25" t="inlineStr">
        <is>
          <t>★★★★☆</t>
        </is>
      </c>
      <c r="C467" s="25" t="inlineStr">
        <is>
          <t>4 – Strong fit (electronics/signal/robotics/IoT/sensors)</t>
        </is>
      </c>
      <c r="D467" s="25" t="inlineStr">
        <is>
          <t>Embedded systems / Electronics</t>
        </is>
      </c>
      <c r="E467" s="26" t="inlineStr">
        <is>
          <t>Master indifférencié (recherche et professionnel) Sciences, technologies, santé mention Electronique, Energie électrique et Automatique parcours Automatique et Système Intelligents (AII-ASI)</t>
        </is>
      </c>
      <c r="F467" s="26" t="inlineStr">
        <is>
          <t>Science, Technology, Health (STS) – major: Electronics, Electrical Energy &amp; Automation (EEA) – track: Automation &amp; System Intelligent (AII-ASI)</t>
        </is>
      </c>
      <c r="G467" s="25" t="inlineStr">
        <is>
          <t>Master indifférencié (recherche et professionnel)</t>
        </is>
      </c>
      <c r="H467" s="25" t="inlineStr">
        <is>
          <t>Ecole nationale supérieure d'ingénieurs Sud Alsace</t>
        </is>
      </c>
      <c r="I467" s="25" t="inlineStr">
        <is>
          <t>Université de Haute Alsace Mulhouse</t>
        </is>
      </c>
      <c r="J467" s="25" t="inlineStr">
        <is>
          <t>Site de Mulhouse</t>
        </is>
      </c>
      <c r="K467" s="25" t="n"/>
      <c r="L467" s="25" t="inlineStr">
        <is>
          <t>Public school / institute</t>
        </is>
      </c>
      <c r="M467" s="25" t="inlineStr">
        <is>
          <t>French</t>
        </is>
      </c>
      <c r="N467" s="25" t="inlineStr">
        <is>
          <t>General</t>
        </is>
      </c>
      <c r="O467" s="25" t="inlineStr">
        <is>
          <t>Bac +5</t>
        </is>
      </c>
      <c r="P467" s="26" t="inlineStr">
        <is>
          <t>Requires Bac+5 (Master) – likely not eligible; ask if 4-yr BS + experience accepted</t>
        </is>
      </c>
      <c r="Q467" s="25" t="inlineStr">
        <is>
          <t>2</t>
        </is>
      </c>
      <c r="R467" s="25" t="n"/>
      <c r="S467" s="27" t="n">
        <v>3950</v>
      </c>
      <c r="T467" s="27" t="n">
        <v>255</v>
      </c>
      <c r="U467" s="25" t="n">
        <v>1</v>
      </c>
      <c r="V467" s="27">
        <f>IF(S467="","",S467*U467)</f>
        <v/>
      </c>
      <c r="W467" s="26" t="inlineStr">
        <is>
          <t>Not in catalogue. Public national master → 2026-27 differentiated fee €3,950; exemption to ~€254-255 depends on university quota (25% cap in 2027-28).</t>
        </is>
      </c>
      <c r="X467" s="25" t="inlineStr">
        <is>
          <t>Medium</t>
        </is>
      </c>
      <c r="Y467" s="25" t="n"/>
      <c r="Z467" s="26" t="n"/>
      <c r="AA467" s="26" t="n"/>
      <c r="AB467" s="25" t="n"/>
      <c r="AC467" s="25" t="inlineStr">
        <is>
          <t>Open</t>
        </is>
      </c>
      <c r="AD467" s="25" t="inlineStr">
        <is>
          <t>2026-10-01</t>
        </is>
      </c>
      <c r="AE467" s="25" t="inlineStr">
        <is>
          <t>2027-03-15</t>
        </is>
      </c>
      <c r="AF467" s="25" t="inlineStr">
        <is>
          <t>No</t>
        </is>
      </c>
      <c r="AG467" s="28" t="inlineStr">
        <is>
          <t>http://www.ensisa.uha.fr</t>
        </is>
      </c>
      <c r="AH467" s="26" t="inlineStr">
        <is>
          <t>Niveau de français exigé : B2</t>
        </is>
      </c>
      <c r="AI467" s="28" t="inlineStr">
        <is>
          <t>Open in EEF</t>
        </is>
      </c>
    </row>
    <row r="468" ht="32.8" customHeight="1" s="19">
      <c r="A468" s="25" t="n">
        <v>467</v>
      </c>
      <c r="B468" s="25" t="inlineStr">
        <is>
          <t>★★★★☆</t>
        </is>
      </c>
      <c r="C468" s="25" t="inlineStr">
        <is>
          <t>4 – Strong fit (electronics/signal/robotics/IoT/sensors)</t>
        </is>
      </c>
      <c r="D468" s="25" t="inlineStr">
        <is>
          <t>Embedded systems / Electronics</t>
        </is>
      </c>
      <c r="E468" s="26" t="inlineStr">
        <is>
          <t>Master indifférencié (recherche et professionnel) Sciences, technologies, santé mention Electronique, Energie électrique et Automatique parcours Microsystèmes et capteurs communicants (M2)</t>
        </is>
      </c>
      <c r="F468" s="26" t="inlineStr">
        <is>
          <t>Science, Technology, Health (STS) – major: Electronics, Electrical Energy &amp; Automation (EEA) – track: Microsystems &amp; Sensors Communicating (M2)</t>
        </is>
      </c>
      <c r="G468" s="25" t="inlineStr">
        <is>
          <t>Master indifférencié (recherche et professionnel)</t>
        </is>
      </c>
      <c r="H468" s="25" t="inlineStr">
        <is>
          <t>Institut d'électronique et d'informatique Gaspard Monge</t>
        </is>
      </c>
      <c r="I468" s="25" t="inlineStr">
        <is>
          <t>Université Gustave Eiffel</t>
        </is>
      </c>
      <c r="J468" s="25" t="inlineStr">
        <is>
          <t>Site de Champs-sur-Marne</t>
        </is>
      </c>
      <c r="K468" s="25" t="n"/>
      <c r="L468" s="25" t="inlineStr">
        <is>
          <t>Public school / institute</t>
        </is>
      </c>
      <c r="M468" s="25" t="inlineStr">
        <is>
          <t>French</t>
        </is>
      </c>
      <c r="N468" s="25" t="inlineStr">
        <is>
          <t>General</t>
        </is>
      </c>
      <c r="O468" s="25" t="inlineStr">
        <is>
          <t>Bac +5</t>
        </is>
      </c>
      <c r="P468" s="26" t="inlineStr">
        <is>
          <t>Requires Bac+5 (Master) – likely not eligible; ask if 4-yr BS + experience accepted</t>
        </is>
      </c>
      <c r="Q468" s="25" t="inlineStr">
        <is>
          <t>2</t>
        </is>
      </c>
      <c r="R468" s="25" t="n"/>
      <c r="S468" s="27" t="n">
        <v>3950</v>
      </c>
      <c r="T468" s="27" t="n">
        <v>255</v>
      </c>
      <c r="U468" s="25" t="n">
        <v>1</v>
      </c>
      <c r="V468" s="27">
        <f>IF(S468="","",S468*U468)</f>
        <v/>
      </c>
      <c r="W468" s="26" t="inlineStr">
        <is>
          <t>Not in catalogue. Public national master → 2026-27 differentiated fee €3,950; exemption to ~€254-255 depends on university quota (25% cap in 2027-28).</t>
        </is>
      </c>
      <c r="X468" s="25" t="inlineStr">
        <is>
          <t>Medium</t>
        </is>
      </c>
      <c r="Y468" s="25" t="n"/>
      <c r="Z468" s="26" t="n"/>
      <c r="AA468" s="26" t="n"/>
      <c r="AB468" s="25" t="n"/>
      <c r="AC468" s="25" t="inlineStr">
        <is>
          <t>Open</t>
        </is>
      </c>
      <c r="AD468" s="25" t="inlineStr">
        <is>
          <t>2026-10-01</t>
        </is>
      </c>
      <c r="AE468" s="25" t="inlineStr">
        <is>
          <t>2027-03-15</t>
        </is>
      </c>
      <c r="AF468" s="25" t="inlineStr">
        <is>
          <t>No</t>
        </is>
      </c>
      <c r="AG468" s="28" t="inlineStr">
        <is>
          <t>https://igm.univ-gustave-eiffel.fr/</t>
        </is>
      </c>
      <c r="AH468" s="26" t="inlineStr">
        <is>
          <t>Français C1 Anglais B2</t>
        </is>
      </c>
      <c r="AI468" s="28" t="inlineStr">
        <is>
          <t>Open in EEF</t>
        </is>
      </c>
    </row>
    <row r="469" ht="32.8" customHeight="1" s="19">
      <c r="A469" s="25" t="n">
        <v>468</v>
      </c>
      <c r="B469" s="25" t="inlineStr">
        <is>
          <t>★★★★☆</t>
        </is>
      </c>
      <c r="C469" s="25" t="inlineStr">
        <is>
          <t>4 – Strong fit (electronics/signal/robotics/IoT/sensors)</t>
        </is>
      </c>
      <c r="D469" s="25" t="inlineStr">
        <is>
          <t>Embedded systems / Electronics</t>
        </is>
      </c>
      <c r="E469" s="26" t="inlineStr">
        <is>
          <t>Master indifférencié (recherche et professionnel) Sciences, technologies, santé mention Electronique, Energie électrique et Automatique parcours Systèmes de Communication Hautes Fréquences</t>
        </is>
      </c>
      <c r="F469" s="26" t="inlineStr">
        <is>
          <t>Science, Technology, Health (STS) – major: Electronics, Electrical Energy &amp; Automation (EEA) – track: Systems of Communication Hautes Fréquences</t>
        </is>
      </c>
      <c r="G469" s="25" t="inlineStr">
        <is>
          <t>Master indifférencié (recherche et professionnel)</t>
        </is>
      </c>
      <c r="H469" s="25" t="inlineStr">
        <is>
          <t>Institut d'électronique et d'informatique Gaspard Monge</t>
        </is>
      </c>
      <c r="I469" s="25" t="inlineStr">
        <is>
          <t>Université Gustave Eiffel</t>
        </is>
      </c>
      <c r="J469" s="25" t="inlineStr">
        <is>
          <t>Site de Champs-sur-Marne</t>
        </is>
      </c>
      <c r="K469" s="25" t="n"/>
      <c r="L469" s="25" t="inlineStr">
        <is>
          <t>Public school / institute</t>
        </is>
      </c>
      <c r="M469" s="25" t="inlineStr">
        <is>
          <t>French</t>
        </is>
      </c>
      <c r="N469" s="25" t="inlineStr">
        <is>
          <t>General</t>
        </is>
      </c>
      <c r="O469" s="25" t="inlineStr">
        <is>
          <t>Bac +5</t>
        </is>
      </c>
      <c r="P469" s="26" t="inlineStr">
        <is>
          <t>Requires Bac+5 (Master) – likely not eligible; ask if 4-yr BS + experience accepted</t>
        </is>
      </c>
      <c r="Q469" s="25" t="inlineStr">
        <is>
          <t>2</t>
        </is>
      </c>
      <c r="R469" s="25" t="n"/>
      <c r="S469" s="27" t="n">
        <v>3950</v>
      </c>
      <c r="T469" s="27" t="n">
        <v>255</v>
      </c>
      <c r="U469" s="25" t="n">
        <v>1</v>
      </c>
      <c r="V469" s="27">
        <f>IF(S469="","",S469*U469)</f>
        <v/>
      </c>
      <c r="W469" s="26" t="inlineStr">
        <is>
          <t>Not in catalogue. Public national master → 2026-27 differentiated fee €3,950; exemption to ~€254-255 depends on university quota (25% cap in 2027-28).</t>
        </is>
      </c>
      <c r="X469" s="25" t="inlineStr">
        <is>
          <t>Medium</t>
        </is>
      </c>
      <c r="Y469" s="25" t="n"/>
      <c r="Z469" s="26" t="n"/>
      <c r="AA469" s="26" t="n"/>
      <c r="AB469" s="25" t="n"/>
      <c r="AC469" s="25" t="inlineStr">
        <is>
          <t>Open</t>
        </is>
      </c>
      <c r="AD469" s="25" t="inlineStr">
        <is>
          <t>2026-10-01</t>
        </is>
      </c>
      <c r="AE469" s="25" t="inlineStr">
        <is>
          <t>2027-03-15</t>
        </is>
      </c>
      <c r="AF469" s="25" t="inlineStr">
        <is>
          <t>No</t>
        </is>
      </c>
      <c r="AG469" s="28" t="inlineStr">
        <is>
          <t>https://igm.univ-gustave-eiffel.fr/</t>
        </is>
      </c>
      <c r="AH469" s="26" t="inlineStr">
        <is>
          <t>Français C1 Anglais B2</t>
        </is>
      </c>
      <c r="AI469" s="28" t="inlineStr">
        <is>
          <t>Open in EEF</t>
        </is>
      </c>
    </row>
    <row r="470" ht="32.8" customHeight="1" s="19">
      <c r="A470" s="25" t="n">
        <v>469</v>
      </c>
      <c r="B470" s="25" t="inlineStr">
        <is>
          <t>★★★★☆</t>
        </is>
      </c>
      <c r="C470" s="25" t="inlineStr">
        <is>
          <t>4 – Strong fit (electronics/signal/robotics/IoT/sensors)</t>
        </is>
      </c>
      <c r="D470" s="25" t="inlineStr">
        <is>
          <t>Embedded systems / Electronics</t>
        </is>
      </c>
      <c r="E470" s="26" t="inlineStr">
        <is>
          <t>Master indifférencié (recherche et professionnel) Sciences, technologies, santé mention Electronique, Energie électrique et Automatique parcours Technologies des Télécommunications et Réseaux Mobiles</t>
        </is>
      </c>
      <c r="F470" s="26" t="inlineStr">
        <is>
          <t>Science, Technology, Health (STS) – major: Electronics, Electrical Energy &amp; Automation (EEA) – track: Technologies of Telecommunications &amp; Networks Mobile</t>
        </is>
      </c>
      <c r="G470" s="25" t="inlineStr">
        <is>
          <t>Master indifférencié (recherche et professionnel)</t>
        </is>
      </c>
      <c r="H470" s="25" t="inlineStr">
        <is>
          <t>Institut d'électronique et d'informatique Gaspard Monge</t>
        </is>
      </c>
      <c r="I470" s="25" t="inlineStr">
        <is>
          <t>Université Gustave Eiffel</t>
        </is>
      </c>
      <c r="J470" s="25" t="inlineStr">
        <is>
          <t>Site de Champs-sur-Marne</t>
        </is>
      </c>
      <c r="K470" s="25" t="n"/>
      <c r="L470" s="25" t="inlineStr">
        <is>
          <t>Public school / institute</t>
        </is>
      </c>
      <c r="M470" s="25" t="inlineStr">
        <is>
          <t>French</t>
        </is>
      </c>
      <c r="N470" s="25" t="inlineStr">
        <is>
          <t>General</t>
        </is>
      </c>
      <c r="O470" s="25" t="inlineStr">
        <is>
          <t>Bac +5</t>
        </is>
      </c>
      <c r="P470" s="26" t="inlineStr">
        <is>
          <t>Requires Bac+5 (Master) – likely not eligible; ask if 4-yr BS + experience accepted</t>
        </is>
      </c>
      <c r="Q470" s="25" t="inlineStr">
        <is>
          <t>2</t>
        </is>
      </c>
      <c r="R470" s="25" t="n"/>
      <c r="S470" s="27" t="n">
        <v>3950</v>
      </c>
      <c r="T470" s="27" t="n">
        <v>255</v>
      </c>
      <c r="U470" s="25" t="n">
        <v>1</v>
      </c>
      <c r="V470" s="27">
        <f>IF(S470="","",S470*U470)</f>
        <v/>
      </c>
      <c r="W470" s="26" t="inlineStr">
        <is>
          <t>Not in catalogue. Public national master → 2026-27 differentiated fee €3,950; exemption to ~€254-255 depends on university quota (25% cap in 2027-28).</t>
        </is>
      </c>
      <c r="X470" s="25" t="inlineStr">
        <is>
          <t>Medium</t>
        </is>
      </c>
      <c r="Y470" s="25" t="n"/>
      <c r="Z470" s="26" t="n"/>
      <c r="AA470" s="26" t="n"/>
      <c r="AB470" s="25" t="n"/>
      <c r="AC470" s="25" t="inlineStr">
        <is>
          <t>Open</t>
        </is>
      </c>
      <c r="AD470" s="25" t="inlineStr">
        <is>
          <t>2026-10-01</t>
        </is>
      </c>
      <c r="AE470" s="25" t="inlineStr">
        <is>
          <t>2027-03-15</t>
        </is>
      </c>
      <c r="AF470" s="25" t="inlineStr">
        <is>
          <t>No</t>
        </is>
      </c>
      <c r="AG470" s="28" t="inlineStr">
        <is>
          <t>https://igm.univ-gustave-eiffel.fr/</t>
        </is>
      </c>
      <c r="AH470" s="26" t="inlineStr">
        <is>
          <t>Français C1 Anglais B2</t>
        </is>
      </c>
      <c r="AI470" s="28" t="inlineStr">
        <is>
          <t>Open in EEF</t>
        </is>
      </c>
    </row>
    <row r="471" ht="32.8" customHeight="1" s="19">
      <c r="A471" s="25" t="n">
        <v>470</v>
      </c>
      <c r="B471" s="25" t="inlineStr">
        <is>
          <t>★★★★☆</t>
        </is>
      </c>
      <c r="C471" s="25" t="inlineStr">
        <is>
          <t>4 – Strong fit (electronics/signal/robotics/IoT/sensors)</t>
        </is>
      </c>
      <c r="D471" s="25" t="inlineStr">
        <is>
          <t>Embedded systems / Electronics</t>
        </is>
      </c>
      <c r="E471" s="26" t="inlineStr">
        <is>
          <t>Master indifférencié (recherche et professionnel) Sciences, technologies, santé mention Génie industriel parcours Sustainable Printed and Integrated Electronics</t>
        </is>
      </c>
      <c r="F471" s="26" t="inlineStr">
        <is>
          <t>Science, Technology, Health (STS) – major: Industrial Engineering – track: Sustainable Printed and Integrated Electronics</t>
        </is>
      </c>
      <c r="G471" s="25" t="inlineStr">
        <is>
          <t>Master indifférencié (recherche et professionnel)</t>
        </is>
      </c>
      <c r="H471" s="25" t="inlineStr">
        <is>
          <t>Ecole internationale du papier, de la communication imprimée et des biomatériaux - Grenoble INP</t>
        </is>
      </c>
      <c r="I471" s="25" t="inlineStr">
        <is>
          <t>Grenoble INP</t>
        </is>
      </c>
      <c r="J471" s="25" t="inlineStr">
        <is>
          <t>Site de Saint-Martin-d'Hères</t>
        </is>
      </c>
      <c r="K471" s="25" t="n"/>
      <c r="L471" s="25" t="inlineStr">
        <is>
          <t>Public school / institute</t>
        </is>
      </c>
      <c r="M471" s="25" t="inlineStr">
        <is>
          <t>French</t>
        </is>
      </c>
      <c r="N471" s="25" t="inlineStr">
        <is>
          <t>General</t>
        </is>
      </c>
      <c r="O471" s="25" t="inlineStr">
        <is>
          <t>Bac +5</t>
        </is>
      </c>
      <c r="P471" s="26" t="inlineStr">
        <is>
          <t>Requires Bac+5 (Master) – likely not eligible; ask if 4-yr BS + experience accepted</t>
        </is>
      </c>
      <c r="Q471" s="25" t="inlineStr">
        <is>
          <t>2</t>
        </is>
      </c>
      <c r="R471" s="25" t="n"/>
      <c r="S471" s="27" t="n">
        <v>3950</v>
      </c>
      <c r="T471" s="27" t="n">
        <v>255</v>
      </c>
      <c r="U471" s="25" t="n">
        <v>1</v>
      </c>
      <c r="V471" s="27">
        <f>IF(S471="","",S471*U471)</f>
        <v/>
      </c>
      <c r="W471" s="26" t="inlineStr">
        <is>
          <t>Not in catalogue. Public national master → 2026-27 differentiated fee €3,950; exemption to ~€254-255 depends on university quota (25% cap in 2027-28).</t>
        </is>
      </c>
      <c r="X471" s="25" t="inlineStr">
        <is>
          <t>Medium</t>
        </is>
      </c>
      <c r="Y471" s="25" t="n"/>
      <c r="Z471" s="26" t="n"/>
      <c r="AA471" s="26" t="inlineStr">
        <is>
          <t>UGA (incl. Grenoble INP masters): 2026-27 broad exemptions on request (pay national €254). From 2027-28 the decree caps apply; exemptions based on resources.</t>
        </is>
      </c>
      <c r="AB471" s="28" t="inlineStr">
        <is>
          <t>https://www.univ-grenoble-alpes.fr/actualites/a-la-une/actualites-universite/etudiants-internationaux-ce-que-change-le-nouveau-decret-sur-les-droits-d-inscription-a-l-uga-1775870.kjsp</t>
        </is>
      </c>
      <c r="AC471" s="25" t="inlineStr">
        <is>
          <t>Open</t>
        </is>
      </c>
      <c r="AD471" s="25" t="inlineStr">
        <is>
          <t>2026-10-01</t>
        </is>
      </c>
      <c r="AE471" s="25" t="inlineStr">
        <is>
          <t>2027-03-15</t>
        </is>
      </c>
      <c r="AF471" s="25" t="inlineStr">
        <is>
          <t>Yes</t>
        </is>
      </c>
      <c r="AG471" s="28" t="inlineStr">
        <is>
          <t>https://pagora.grenoble-inp.fr/en/education/master-sustainable-printed-and-integrated-electronics</t>
        </is>
      </c>
      <c r="AH471" s="26" t="inlineStr">
        <is>
          <t>Avant de candidater, il est important de vérifier le coût de la formation et le niveau de ressources nécessaires à votre année d'tudes en France . (Before applying, it is important to check the cost of the programme as w</t>
        </is>
      </c>
      <c r="AI471" s="28" t="inlineStr">
        <is>
          <t>Open in EEF</t>
        </is>
      </c>
    </row>
    <row r="472" ht="22.35" customHeight="1" s="19">
      <c r="A472" s="25" t="n">
        <v>471</v>
      </c>
      <c r="B472" s="25" t="inlineStr">
        <is>
          <t>★★★★☆</t>
        </is>
      </c>
      <c r="C472" s="25" t="inlineStr">
        <is>
          <t>4 – Strong fit (electronics/signal/robotics/IoT/sensors)</t>
        </is>
      </c>
      <c r="D472" s="25" t="inlineStr">
        <is>
          <t>Signal / Image / Vision</t>
        </is>
      </c>
      <c r="E472" s="26" t="inlineStr">
        <is>
          <t>Master indifférencié (recherche et professionnel) Sciences, technologies, santé mention informatique parcours Sciences de l'Image (M2)</t>
        </is>
      </c>
      <c r="F472" s="26" t="inlineStr">
        <is>
          <t>Science, Technology, Health (STS) – major: Computer Science – track: Sciences of Image (M2)</t>
        </is>
      </c>
      <c r="G472" s="25" t="inlineStr">
        <is>
          <t>Master indifférencié (recherche et professionnel)</t>
        </is>
      </c>
      <c r="H472" s="25" t="inlineStr">
        <is>
          <t>Institut d'électronique et d'informatique Gaspard Monge</t>
        </is>
      </c>
      <c r="I472" s="25" t="inlineStr">
        <is>
          <t>Université Gustave Eiffel</t>
        </is>
      </c>
      <c r="J472" s="25" t="inlineStr">
        <is>
          <t>Site de Champs-sur-Marne</t>
        </is>
      </c>
      <c r="K472" s="25" t="n"/>
      <c r="L472" s="25" t="inlineStr">
        <is>
          <t>Public school / institute</t>
        </is>
      </c>
      <c r="M472" s="25" t="inlineStr">
        <is>
          <t>French</t>
        </is>
      </c>
      <c r="N472" s="25" t="inlineStr">
        <is>
          <t>General</t>
        </is>
      </c>
      <c r="O472" s="25" t="inlineStr">
        <is>
          <t>Bac +5</t>
        </is>
      </c>
      <c r="P472" s="26" t="inlineStr">
        <is>
          <t>Requires Bac+5 (Master) – likely not eligible; ask if 4-yr BS + experience accepted</t>
        </is>
      </c>
      <c r="Q472" s="25" t="inlineStr">
        <is>
          <t>2</t>
        </is>
      </c>
      <c r="R472" s="25" t="n"/>
      <c r="S472" s="27" t="n">
        <v>3950</v>
      </c>
      <c r="T472" s="27" t="n">
        <v>255</v>
      </c>
      <c r="U472" s="25" t="n">
        <v>1</v>
      </c>
      <c r="V472" s="27">
        <f>IF(S472="","",S472*U472)</f>
        <v/>
      </c>
      <c r="W472" s="26" t="inlineStr">
        <is>
          <t>Not in catalogue. Public national master → 2026-27 differentiated fee €3,950; exemption to ~€254-255 depends on university quota (25% cap in 2027-28).</t>
        </is>
      </c>
      <c r="X472" s="25" t="inlineStr">
        <is>
          <t>Medium</t>
        </is>
      </c>
      <c r="Y472" s="25" t="n"/>
      <c r="Z472" s="26" t="n"/>
      <c r="AA472" s="26" t="n"/>
      <c r="AB472" s="25" t="n"/>
      <c r="AC472" s="25" t="inlineStr">
        <is>
          <t>Open</t>
        </is>
      </c>
      <c r="AD472" s="25" t="inlineStr">
        <is>
          <t>2026-10-01</t>
        </is>
      </c>
      <c r="AE472" s="25" t="inlineStr">
        <is>
          <t>2027-03-15</t>
        </is>
      </c>
      <c r="AF472" s="25" t="inlineStr">
        <is>
          <t>No</t>
        </is>
      </c>
      <c r="AG472" s="28" t="inlineStr">
        <is>
          <t>https://igm.univ-gustave-eiffel.fr/</t>
        </is>
      </c>
      <c r="AH472" s="26" t="inlineStr">
        <is>
          <t>Diplôme équivalent à un master 1 en informatique ou en mathématique. Français C1 Anglais B2</t>
        </is>
      </c>
      <c r="AI472" s="28" t="inlineStr">
        <is>
          <t>Open in EEF</t>
        </is>
      </c>
    </row>
    <row r="473" ht="32.8" customHeight="1" s="19">
      <c r="A473" s="25" t="n">
        <v>472</v>
      </c>
      <c r="B473" s="25" t="inlineStr">
        <is>
          <t>★★★★☆</t>
        </is>
      </c>
      <c r="C473" s="25" t="inlineStr">
        <is>
          <t>4 – Strong fit (electronics/signal/robotics/IoT/sensors)</t>
        </is>
      </c>
      <c r="D473" s="25" t="inlineStr">
        <is>
          <t>Robotics / Automation / Mechatronics</t>
        </is>
      </c>
      <c r="E473" s="26" t="inlineStr">
        <is>
          <t>Master indifférencié (recherche et professionnel) Sciences, technologies, santé mention Informatique parcours Systèmes autonomes (robots, drones) et interactions</t>
        </is>
      </c>
      <c r="F473" s="26" t="inlineStr">
        <is>
          <t>Science, Technology, Health (STS) – major: Computer Science – track: Systems Autonomous (robots, drones) &amp; interactions</t>
        </is>
      </c>
      <c r="G473" s="25" t="inlineStr">
        <is>
          <t>Master indifférencié (recherche et professionnel)</t>
        </is>
      </c>
      <c r="H473" s="25" t="inlineStr">
        <is>
          <t>Unité de formation d'informatique</t>
        </is>
      </c>
      <c r="I473" s="25" t="inlineStr">
        <is>
          <t>Université de Bordeaux</t>
        </is>
      </c>
      <c r="J473" s="25" t="inlineStr">
        <is>
          <t>Site de Talence</t>
        </is>
      </c>
      <c r="K473" s="25" t="n"/>
      <c r="L473" s="25" t="inlineStr">
        <is>
          <t>Public university</t>
        </is>
      </c>
      <c r="M473" s="25" t="inlineStr">
        <is>
          <t>French</t>
        </is>
      </c>
      <c r="N473" s="25" t="inlineStr">
        <is>
          <t>General</t>
        </is>
      </c>
      <c r="O473" s="25" t="inlineStr">
        <is>
          <t>Bac +5</t>
        </is>
      </c>
      <c r="P473" s="26" t="inlineStr">
        <is>
          <t>Requires Bac+5 (Master) – likely not eligible; ask if 4-yr BS + experience accepted</t>
        </is>
      </c>
      <c r="Q473" s="25" t="inlineStr">
        <is>
          <t>2</t>
        </is>
      </c>
      <c r="R473" s="25" t="n"/>
      <c r="S473" s="27" t="n">
        <v>3950</v>
      </c>
      <c r="T473" s="27" t="n">
        <v>255</v>
      </c>
      <c r="U473" s="25" t="n">
        <v>1</v>
      </c>
      <c r="V473" s="27">
        <f>IF(S473="","",S473*U473)</f>
        <v/>
      </c>
      <c r="W473" s="26" t="inlineStr">
        <is>
          <t>Not in catalogue. Public national master → 2026-27 differentiated fee €3,950; exemption to ~€254-255 depends on university quota (25% cap in 2027-28).</t>
        </is>
      </c>
      <c r="X473" s="25" t="inlineStr">
        <is>
          <t>Medium</t>
        </is>
      </c>
      <c r="Y473" s="25" t="n"/>
      <c r="Z473" s="26" t="n"/>
      <c r="AA473" s="26" t="n"/>
      <c r="AB473" s="25" t="n"/>
      <c r="AC473" s="25" t="inlineStr">
        <is>
          <t>Open</t>
        </is>
      </c>
      <c r="AD473" s="25" t="inlineStr">
        <is>
          <t>2026-10-01</t>
        </is>
      </c>
      <c r="AE473" s="25" t="inlineStr">
        <is>
          <t>2027-03-15</t>
        </is>
      </c>
      <c r="AF473" s="25" t="inlineStr">
        <is>
          <t>No</t>
        </is>
      </c>
      <c r="AG473" s="25" t="n"/>
      <c r="AH473" s="26" t="inlineStr">
        <is>
          <t>A fournir au moment de la candidature : rang de classement dans la promotion lettre(s) de recommandation d’un ou plusieurs enseignants TCF (Test de connaissance du français) - niveau B2 exigé</t>
        </is>
      </c>
      <c r="AI473" s="28" t="inlineStr">
        <is>
          <t>Open in EEF</t>
        </is>
      </c>
    </row>
    <row r="474" ht="32.8" customHeight="1" s="19">
      <c r="A474" s="25" t="n">
        <v>473</v>
      </c>
      <c r="B474" s="25" t="inlineStr">
        <is>
          <t>★★★★☆</t>
        </is>
      </c>
      <c r="C474" s="25" t="inlineStr">
        <is>
          <t>4 – Strong fit (electronics/signal/robotics/IoT/sensors)</t>
        </is>
      </c>
      <c r="D474" s="25" t="inlineStr">
        <is>
          <t>Robotics / Automation / Mechatronics</t>
        </is>
      </c>
      <c r="E474" s="26" t="inlineStr">
        <is>
          <t>Master indifférencié (recherche et professionnel) Sciences, technologies, santé mention Ingénierie des systèmes complexes parcours Automatique et mécatronique, automobile, aéronautique et spatial</t>
        </is>
      </c>
      <c r="F474" s="26" t="inlineStr">
        <is>
          <t>Science, Technology, Health (STS) – major: Complex Systems Engineering – track: Automation &amp; Mechatronics, automobile, Aeronautics &amp; spatial</t>
        </is>
      </c>
      <c r="G474" s="25" t="inlineStr">
        <is>
          <t>Master indifférencié (recherche et professionnel)</t>
        </is>
      </c>
      <c r="H474" s="25" t="inlineStr">
        <is>
          <t>Unité de formation Sciences de l'ingénieur</t>
        </is>
      </c>
      <c r="I474" s="25" t="inlineStr">
        <is>
          <t>Université de Bordeaux</t>
        </is>
      </c>
      <c r="J474" s="25" t="inlineStr">
        <is>
          <t>Site de Talence</t>
        </is>
      </c>
      <c r="K474" s="25" t="inlineStr">
        <is>
          <t>33405 TALENCE</t>
        </is>
      </c>
      <c r="L474" s="25" t="inlineStr">
        <is>
          <t>Public university</t>
        </is>
      </c>
      <c r="M474" s="25" t="inlineStr">
        <is>
          <t>French</t>
        </is>
      </c>
      <c r="N474" s="25" t="inlineStr">
        <is>
          <t>General</t>
        </is>
      </c>
      <c r="O474" s="25" t="inlineStr">
        <is>
          <t>Bac +5</t>
        </is>
      </c>
      <c r="P474" s="26" t="inlineStr">
        <is>
          <t>Requires Bac+5 (Master) – likely not eligible; ask if 4-yr BS + experience accepted</t>
        </is>
      </c>
      <c r="Q474" s="25" t="inlineStr">
        <is>
          <t>2</t>
        </is>
      </c>
      <c r="R474" s="25" t="n"/>
      <c r="S474" s="27" t="n">
        <v>3950</v>
      </c>
      <c r="T474" s="27" t="n">
        <v>255</v>
      </c>
      <c r="U474" s="25" t="n">
        <v>1</v>
      </c>
      <c r="V474" s="27">
        <f>IF(S474="","",S474*U474)</f>
        <v/>
      </c>
      <c r="W474" s="26" t="inlineStr">
        <is>
          <t>Not in catalogue. Public national master → 2026-27 differentiated fee €3,950; exemption to ~€254-255 depends on university quota (25% cap in 2027-28).</t>
        </is>
      </c>
      <c r="X474" s="25" t="inlineStr">
        <is>
          <t>Medium</t>
        </is>
      </c>
      <c r="Y474" s="25" t="n"/>
      <c r="Z474" s="26" t="n"/>
      <c r="AA474" s="26" t="n"/>
      <c r="AB474" s="25" t="n"/>
      <c r="AC474" s="25" t="inlineStr">
        <is>
          <t>Open</t>
        </is>
      </c>
      <c r="AD474" s="25" t="inlineStr">
        <is>
          <t>2026-10-01</t>
        </is>
      </c>
      <c r="AE474" s="25" t="inlineStr">
        <is>
          <t>2027-03-15</t>
        </is>
      </c>
      <c r="AF474" s="25" t="inlineStr">
        <is>
          <t>No</t>
        </is>
      </c>
      <c r="AG474" s="28" t="inlineStr">
        <is>
          <t>https://formations.u-bordeaux.fr/#/details-formation?type=formation&amp;id=127</t>
        </is>
      </c>
      <c r="AH474" s="26" t="inlineStr">
        <is>
          <t>A fournir obligatoirement : TCF (Test de connaissance du français) niveau B2 Lettre de recommandation d’enseignants locaux attestant d’un avis pour une poursuite d’études en France et précisant le rang de classement de l</t>
        </is>
      </c>
      <c r="AI474" s="28" t="inlineStr">
        <is>
          <t>Open in EEF</t>
        </is>
      </c>
    </row>
    <row r="475" ht="32.8" customHeight="1" s="19">
      <c r="A475" s="25" t="n">
        <v>474</v>
      </c>
      <c r="B475" s="25" t="inlineStr">
        <is>
          <t>★★★★☆</t>
        </is>
      </c>
      <c r="C475" s="25" t="inlineStr">
        <is>
          <t>4 – Strong fit (electronics/signal/robotics/IoT/sensors)</t>
        </is>
      </c>
      <c r="D475" s="25" t="inlineStr">
        <is>
          <t>Sensors / Instrumentation / Micro-Nano / Photonics</t>
        </is>
      </c>
      <c r="E475" s="26" t="inlineStr">
        <is>
          <t>Master indifférencié (recherche et professionnel) Sciences, technologies, santé mention Physique fondamentale et applications parcours Capteurs, Instrumentation et Mesures</t>
        </is>
      </c>
      <c r="F475" s="26" t="inlineStr">
        <is>
          <t>Science, Technology, Health (STS) – major: Physics Fundamental &amp; Applications – track: Sensors, Instrumentation &amp; Measurements</t>
        </is>
      </c>
      <c r="G475" s="25" t="inlineStr">
        <is>
          <t>Master indifférencié (recherche et professionnel)</t>
        </is>
      </c>
      <c r="H475" s="25" t="inlineStr">
        <is>
          <t>Sciences et Ingénierie</t>
        </is>
      </c>
      <c r="I475" s="25" t="inlineStr">
        <is>
          <t>Sorbonne Université</t>
        </is>
      </c>
      <c r="J475" s="25" t="inlineStr">
        <is>
          <t>Site de Paris</t>
        </is>
      </c>
      <c r="K475" s="25" t="n"/>
      <c r="L475" s="25" t="inlineStr">
        <is>
          <t>Public university</t>
        </is>
      </c>
      <c r="M475" s="25" t="inlineStr">
        <is>
          <t>French</t>
        </is>
      </c>
      <c r="N475" s="25" t="inlineStr">
        <is>
          <t>General</t>
        </is>
      </c>
      <c r="O475" s="25" t="inlineStr">
        <is>
          <t>Bac +5</t>
        </is>
      </c>
      <c r="P475" s="26" t="inlineStr">
        <is>
          <t>Requires Bac+5 (Master) – likely not eligible; ask if 4-yr BS + experience accepted</t>
        </is>
      </c>
      <c r="Q475" s="25" t="inlineStr">
        <is>
          <t>2</t>
        </is>
      </c>
      <c r="R475" s="25" t="n"/>
      <c r="S475" s="27" t="n">
        <v>3950</v>
      </c>
      <c r="T475" s="27" t="n">
        <v>255</v>
      </c>
      <c r="U475" s="25" t="n">
        <v>1</v>
      </c>
      <c r="V475" s="27">
        <f>IF(S475="","",S475*U475)</f>
        <v/>
      </c>
      <c r="W475" s="26" t="inlineStr">
        <is>
          <t>Not in catalogue. Public national master → 2026-27 differentiated fee €3,950; exemption to ~€254-255 depends on university quota (25% cap in 2027-28).</t>
        </is>
      </c>
      <c r="X475" s="25" t="inlineStr">
        <is>
          <t>Medium</t>
        </is>
      </c>
      <c r="Y475" s="25" t="n"/>
      <c r="Z475" s="26" t="n"/>
      <c r="AA475" s="26" t="inlineStr">
        <is>
          <t>Board vote 7 Jul 2026: Sorbonne Université says it can exempt all eligible non-EU applicants (pay same as EU, ~€254) for 2026-27.</t>
        </is>
      </c>
      <c r="AB475" s="28" t="inlineStr">
        <is>
          <t>https://www.sorbonne-universite.fr/actualites/le-conseil-dadministration-de-sorbonne-universite-vote-lunanimite-le-7-juillet-2026-sa</t>
        </is>
      </c>
      <c r="AC475" s="25" t="inlineStr">
        <is>
          <t>Open</t>
        </is>
      </c>
      <c r="AD475" s="25" t="inlineStr">
        <is>
          <t>2026-10-01</t>
        </is>
      </c>
      <c r="AE475" s="25" t="inlineStr">
        <is>
          <t>2027-03-15</t>
        </is>
      </c>
      <c r="AF475" s="25" t="inlineStr">
        <is>
          <t>No</t>
        </is>
      </c>
      <c r="AG475" s="28" t="inlineStr">
        <is>
          <t>https://sciences.sorbonne-universite.fr/masters/master-physique-fondamentale-et-applications</t>
        </is>
      </c>
      <c r="AH475" s="26" t="inlineStr">
        <is>
          <t>OUI</t>
        </is>
      </c>
      <c r="AI475" s="28" t="inlineStr">
        <is>
          <t>Open in EEF</t>
        </is>
      </c>
    </row>
    <row r="476" ht="43.25" customHeight="1" s="19">
      <c r="A476" s="25" t="n">
        <v>475</v>
      </c>
      <c r="B476" s="25" t="inlineStr">
        <is>
          <t>★★★★☆</t>
        </is>
      </c>
      <c r="C476" s="25" t="inlineStr">
        <is>
          <t>4 – Strong fit (electronics/signal/robotics/IoT/sensors)</t>
        </is>
      </c>
      <c r="D476" s="25" t="inlineStr">
        <is>
          <t>Sensors / Instrumentation / Micro-Nano / Photonics</t>
        </is>
      </c>
      <c r="E476" s="26" t="inlineStr">
        <is>
          <t>Master indifférencié (recherche et professionnel) Sciences, technologies, santé mention Physique parcours Photonique et semi-conducteurs (PhSem)</t>
        </is>
      </c>
      <c r="F476" s="26" t="inlineStr">
        <is>
          <t>Science, Technology, Health (STS) – major: Physics – track: Photonics &amp; semi-conducteurs (PhSem)</t>
        </is>
      </c>
      <c r="G476" s="25" t="inlineStr">
        <is>
          <t>Master indifférencié (recherche et professionnel)</t>
        </is>
      </c>
      <c r="H476" s="25" t="inlineStr">
        <is>
          <t>Ecole nationale supérieure de physique, électronique, matériaux - Grenoble INP</t>
        </is>
      </c>
      <c r="I476" s="25" t="inlineStr">
        <is>
          <t>Grenoble INP</t>
        </is>
      </c>
      <c r="J476" s="25" t="inlineStr">
        <is>
          <t>Site de Grenoble</t>
        </is>
      </c>
      <c r="K476" s="25" t="n"/>
      <c r="L476" s="25" t="inlineStr">
        <is>
          <t>Public school / institute</t>
        </is>
      </c>
      <c r="M476" s="25" t="inlineStr">
        <is>
          <t>French</t>
        </is>
      </c>
      <c r="N476" s="25" t="inlineStr">
        <is>
          <t>General</t>
        </is>
      </c>
      <c r="O476" s="25" t="inlineStr">
        <is>
          <t>Bac +5</t>
        </is>
      </c>
      <c r="P476" s="26" t="inlineStr">
        <is>
          <t>Requires Bac+5 (Master) – likely not eligible; ask if 4-yr BS + experience accepted</t>
        </is>
      </c>
      <c r="Q476" s="25" t="inlineStr">
        <is>
          <t>2</t>
        </is>
      </c>
      <c r="R476" s="25" t="n"/>
      <c r="S476" s="27" t="n">
        <v>3950</v>
      </c>
      <c r="T476" s="27" t="n">
        <v>255</v>
      </c>
      <c r="U476" s="25" t="n">
        <v>1</v>
      </c>
      <c r="V476" s="27">
        <f>IF(S476="","",S476*U476)</f>
        <v/>
      </c>
      <c r="W476" s="26" t="inlineStr">
        <is>
          <t>Not in catalogue. Public national master → 2026-27 differentiated fee €3,950; exemption to ~€254-255 depends on university quota (25% cap in 2027-28).</t>
        </is>
      </c>
      <c r="X476" s="25" t="inlineStr">
        <is>
          <t>Medium</t>
        </is>
      </c>
      <c r="Y476" s="25" t="n"/>
      <c r="Z476" s="26" t="n"/>
      <c r="AA476" s="26" t="inlineStr">
        <is>
          <t>UGA (incl. Grenoble INP masters): 2026-27 broad exemptions on request (pay national €254). From 2027-28 the decree caps apply; exemptions based on resources.</t>
        </is>
      </c>
      <c r="AB476" s="28" t="inlineStr">
        <is>
          <t>https://www.univ-grenoble-alpes.fr/actualites/a-la-une/actualites-universite/etudiants-internationaux-ce-que-change-le-nouveau-decret-sur-les-droits-d-inscription-a-l-uga-1775870.kjsp</t>
        </is>
      </c>
      <c r="AC476" s="25" t="inlineStr">
        <is>
          <t>Open</t>
        </is>
      </c>
      <c r="AD476" s="25" t="inlineStr">
        <is>
          <t>2026-10-01</t>
        </is>
      </c>
      <c r="AE476" s="25" t="inlineStr">
        <is>
          <t>2027-03-15</t>
        </is>
      </c>
      <c r="AF476" s="25" t="inlineStr">
        <is>
          <t>Yes</t>
        </is>
      </c>
      <c r="AG476" s="28" t="inlineStr">
        <is>
          <t>https://phelma.grenoble-inp.fr/fr/formation/master-physique-parcours-photonique-et-semi-conducteurs-m2#page-presentation</t>
        </is>
      </c>
      <c r="AH476" s="26" t="inlineStr">
        <is>
          <t>***PAGE EN COURS D'ACTUALISATION POUR LA RENTREE UNIVERSITAIRE 2027- 2028 **** (PAGE CURRENTLY BEING UPDATED FOR THE 2027–2028 ACADEMIC YEAR) Avant de candidater, il est important de vérifier le coût de la formation et l</t>
        </is>
      </c>
      <c r="AI476" s="28" t="inlineStr">
        <is>
          <t>Open in EEF</t>
        </is>
      </c>
    </row>
    <row r="477" ht="32.8" customHeight="1" s="19">
      <c r="A477" s="25" t="n">
        <v>476</v>
      </c>
      <c r="B477" s="25" t="inlineStr">
        <is>
          <t>★★★★☆</t>
        </is>
      </c>
      <c r="C477" s="25" t="inlineStr">
        <is>
          <t>4 – Strong fit (electronics/signal/robotics/IoT/sensors)</t>
        </is>
      </c>
      <c r="D477" s="25" t="inlineStr">
        <is>
          <t>IoT / Telecom / Networks</t>
        </is>
      </c>
      <c r="E477" s="26" t="inlineStr">
        <is>
          <t>Master indifférencié (recherche et professionnel) Sciences, technologies, santé mention Réseaux et télécom parcours Sécurité des systèmes d'information et des réseaux (SSIR)</t>
        </is>
      </c>
      <c r="F477" s="26" t="inlineStr">
        <is>
          <t>Science, Technology, Health (STS) – major: Networks &amp; télécom – track: Security of Information Systems &amp; of Networks (SSIR)</t>
        </is>
      </c>
      <c r="G477" s="25" t="inlineStr">
        <is>
          <t>Master indifférencié (recherche et professionnel)</t>
        </is>
      </c>
      <c r="H477" s="25" t="inlineStr">
        <is>
          <t>École nationale supérieure d'électrotechnique, d'électronique, d'informatique, d'hydraulique et des télécommunications</t>
        </is>
      </c>
      <c r="I477" s="25" t="inlineStr">
        <is>
          <t>Institut national polytechnique de Toulouse</t>
        </is>
      </c>
      <c r="J477" s="25" t="inlineStr">
        <is>
          <t>Site de Toulouse</t>
        </is>
      </c>
      <c r="K477" s="25" t="inlineStr">
        <is>
          <t>31071 Toulouse Cedex</t>
        </is>
      </c>
      <c r="L477" s="25" t="inlineStr">
        <is>
          <t>Public school / institute</t>
        </is>
      </c>
      <c r="M477" s="25" t="inlineStr">
        <is>
          <t>French</t>
        </is>
      </c>
      <c r="N477" s="25" t="inlineStr">
        <is>
          <t>General</t>
        </is>
      </c>
      <c r="O477" s="25" t="inlineStr">
        <is>
          <t>Bac +5</t>
        </is>
      </c>
      <c r="P477" s="26" t="inlineStr">
        <is>
          <t>Requires Bac+5 (Master) – likely not eligible; ask if 4-yr BS + experience accepted</t>
        </is>
      </c>
      <c r="Q477" s="25" t="inlineStr">
        <is>
          <t>2</t>
        </is>
      </c>
      <c r="R477" s="25" t="inlineStr">
        <is>
          <t>12</t>
        </is>
      </c>
      <c r="S477" s="27" t="n">
        <v>3950</v>
      </c>
      <c r="T477" s="27" t="n">
        <v>255</v>
      </c>
      <c r="U477" s="25" t="n">
        <v>1</v>
      </c>
      <c r="V477" s="27">
        <f>IF(S477="","",S477*U477)</f>
        <v/>
      </c>
      <c r="W477" s="26" t="inlineStr">
        <is>
          <t>Not in catalogue. Public national master → 2026-27 differentiated fee €3,950; exemption to ~€254-255 depends on university quota (25% cap in 2027-28).</t>
        </is>
      </c>
      <c r="X477" s="25" t="inlineStr">
        <is>
          <t>Medium</t>
        </is>
      </c>
      <c r="Y477" s="25" t="n"/>
      <c r="Z477" s="26" t="n"/>
      <c r="AA477" s="26" t="n"/>
      <c r="AB477" s="25" t="n"/>
      <c r="AC477" s="25" t="inlineStr">
        <is>
          <t>Open</t>
        </is>
      </c>
      <c r="AD477" s="25" t="inlineStr">
        <is>
          <t>2026-10-01</t>
        </is>
      </c>
      <c r="AE477" s="25" t="inlineStr">
        <is>
          <t>2027-03-15</t>
        </is>
      </c>
      <c r="AF477" s="25" t="inlineStr">
        <is>
          <t>Yes</t>
        </is>
      </c>
      <c r="AG477" s="28" t="inlineStr">
        <is>
          <t>http://www.enseeiht.fr</t>
        </is>
      </c>
      <c r="AH477" s="26" t="inlineStr">
        <is>
          <t>Niveau M1 ou équivalent.</t>
        </is>
      </c>
      <c r="AI477" s="28" t="inlineStr">
        <is>
          <t>Open in EEF</t>
        </is>
      </c>
    </row>
    <row r="478" ht="32.8" customHeight="1" s="19">
      <c r="A478" s="25" t="n">
        <v>477</v>
      </c>
      <c r="B478" s="25" t="inlineStr">
        <is>
          <t>★★★★☆</t>
        </is>
      </c>
      <c r="C478" s="25" t="inlineStr">
        <is>
          <t>4 – Strong fit (electronics/signal/robotics/IoT/sensors)</t>
        </is>
      </c>
      <c r="D478" s="25" t="inlineStr">
        <is>
          <t>Embedded systems / Electronics</t>
        </is>
      </c>
      <c r="E478" s="26" t="inlineStr">
        <is>
          <t>Master Sciences et technologies mention Electronique, énergie électrique, automatique parcours Surveillance et Sûreté des Systèmes par Analyses de Données</t>
        </is>
      </c>
      <c r="F478" s="26" t="inlineStr">
        <is>
          <t>Master Science &amp; Technology – major: Electronics, Electrical Energy &amp; Automation (EEA) – track: Surveillance &amp; Safety of Systems by Analyses of Data</t>
        </is>
      </c>
      <c r="G478" s="25" t="inlineStr">
        <is>
          <t>Master indifférencié (recherche et professionnel)</t>
        </is>
      </c>
      <c r="H478" s="25" t="inlineStr">
        <is>
          <t>UFR Sciences</t>
        </is>
      </c>
      <c r="I478" s="25" t="inlineStr">
        <is>
          <t>Université d'Aix-Marseille</t>
        </is>
      </c>
      <c r="J478" s="25" t="inlineStr">
        <is>
          <t>Site de Marseille - St Jérôme</t>
        </is>
      </c>
      <c r="K478" s="25" t="n"/>
      <c r="L478" s="25" t="inlineStr">
        <is>
          <t>Public university</t>
        </is>
      </c>
      <c r="M478" s="25" t="inlineStr">
        <is>
          <t>French</t>
        </is>
      </c>
      <c r="N478" s="25" t="inlineStr">
        <is>
          <t>General</t>
        </is>
      </c>
      <c r="O478" s="25" t="inlineStr">
        <is>
          <t>Bac +5</t>
        </is>
      </c>
      <c r="P478" s="26" t="inlineStr">
        <is>
          <t>Requires Bac+5 (Master) – likely not eligible; ask if 4-yr BS + experience accepted</t>
        </is>
      </c>
      <c r="Q478" s="25" t="inlineStr">
        <is>
          <t>2</t>
        </is>
      </c>
      <c r="R478" s="25" t="inlineStr">
        <is>
          <t>12</t>
        </is>
      </c>
      <c r="S478" s="27" t="n">
        <v>3950</v>
      </c>
      <c r="T478" s="27" t="n">
        <v>255</v>
      </c>
      <c r="U478" s="25" t="n">
        <v>1</v>
      </c>
      <c r="V478" s="27">
        <f>IF(S478="","",S478*U478)</f>
        <v/>
      </c>
      <c r="W478" s="26" t="inlineStr">
        <is>
          <t>Not in catalogue. Public national master → 2026-27 differentiated fee €3,950; exemption to ~€254-255 depends on university quota (25% cap in 2027-28).</t>
        </is>
      </c>
      <c r="X478" s="25" t="inlineStr">
        <is>
          <t>Medium</t>
        </is>
      </c>
      <c r="Y478" s="25" t="n"/>
      <c r="Z478" s="26" t="n"/>
      <c r="AA478" s="26" t="inlineStr">
        <is>
          <t>AMU 2026-27: limited exemptions (≈1,800 of 5,500 students) – priority to continuing students, conflict zones, excellence scholarships. New master entrants usually pay €3,950.</t>
        </is>
      </c>
      <c r="AB478" s="28" t="inlineStr">
        <is>
          <t>https://www.univ-amu.fr/fr/actualites/aix-marseille-universite-mobilise-pleinement-capacite-dexoneration-continuer-accueillir</t>
        </is>
      </c>
      <c r="AC478" s="25" t="inlineStr">
        <is>
          <t>Open</t>
        </is>
      </c>
      <c r="AD478" s="25" t="inlineStr">
        <is>
          <t>2026-10-01</t>
        </is>
      </c>
      <c r="AE478" s="25" t="inlineStr">
        <is>
          <t>2027-03-15</t>
        </is>
      </c>
      <c r="AF478" s="25" t="inlineStr">
        <is>
          <t>No</t>
        </is>
      </c>
      <c r="AG478" s="28" t="inlineStr">
        <is>
          <t>https://formations.univ-amu.fr/fr/master/5SEA/PRSEA5C3</t>
        </is>
      </c>
      <c r="AH478" s="26" t="inlineStr">
        <is>
          <t>Nous attirons votre attention sur 2 points importants pour votre candidature : Votre dossier doit être complet et validé par l’Espace Etudes en France La faculté des sciences examinera les dossiers de candidature en cohé</t>
        </is>
      </c>
      <c r="AI478" s="28" t="inlineStr">
        <is>
          <t>Open in EEF</t>
        </is>
      </c>
    </row>
    <row r="479" ht="22.35" customHeight="1" s="19">
      <c r="A479" s="25" t="n">
        <v>478</v>
      </c>
      <c r="B479" s="25" t="inlineStr">
        <is>
          <t>★★★★☆</t>
        </is>
      </c>
      <c r="C479" s="25" t="inlineStr">
        <is>
          <t>4 – Strong fit (electronics/signal/robotics/IoT/sensors)</t>
        </is>
      </c>
      <c r="D479" s="25" t="inlineStr">
        <is>
          <t>Biomedical / Health tech</t>
        </is>
      </c>
      <c r="E479" s="26" t="inlineStr">
        <is>
          <t>Master Sciences, technologies, santé mention Automatique, robotique parcours Master 2 Mechatronic Design for Health</t>
        </is>
      </c>
      <c r="F479" s="26" t="inlineStr">
        <is>
          <t>Master Science, Technology, Health (STS) – major: Automation, Robotics – track: Master 2 Mechatronic Design for Health</t>
        </is>
      </c>
      <c r="G479" s="25" t="inlineStr">
        <is>
          <t>Master indifférencié (recherche et professionnel)</t>
        </is>
      </c>
      <c r="H479" s="25" t="inlineStr">
        <is>
          <t>Sciences et Ingénierie</t>
        </is>
      </c>
      <c r="I479" s="25" t="inlineStr">
        <is>
          <t>Sorbonne Université</t>
        </is>
      </c>
      <c r="J479" s="25" t="inlineStr">
        <is>
          <t>Site de Paris</t>
        </is>
      </c>
      <c r="K479" s="25" t="n"/>
      <c r="L479" s="25" t="inlineStr">
        <is>
          <t>Public university</t>
        </is>
      </c>
      <c r="M479" s="25" t="inlineStr">
        <is>
          <t>French</t>
        </is>
      </c>
      <c r="N479" s="25" t="inlineStr">
        <is>
          <t>General</t>
        </is>
      </c>
      <c r="O479" s="25" t="inlineStr">
        <is>
          <t>Bac +5</t>
        </is>
      </c>
      <c r="P479" s="26" t="inlineStr">
        <is>
          <t>Requires Bac+5 (Master) – likely not eligible; ask if 4-yr BS + experience accepted</t>
        </is>
      </c>
      <c r="Q479" s="25" t="inlineStr">
        <is>
          <t>2</t>
        </is>
      </c>
      <c r="R479" s="25" t="n"/>
      <c r="S479" s="27" t="n">
        <v>3950</v>
      </c>
      <c r="T479" s="27" t="n">
        <v>255</v>
      </c>
      <c r="U479" s="25" t="n">
        <v>1</v>
      </c>
      <c r="V479" s="27">
        <f>IF(S479="","",S479*U479)</f>
        <v/>
      </c>
      <c r="W479" s="26" t="inlineStr">
        <is>
          <t>Not in catalogue. Public national master → 2026-27 differentiated fee €3,950; exemption to ~€254-255 depends on university quota (25% cap in 2027-28).</t>
        </is>
      </c>
      <c r="X479" s="25" t="inlineStr">
        <is>
          <t>Medium</t>
        </is>
      </c>
      <c r="Y479" s="25" t="n"/>
      <c r="Z479" s="26" t="n"/>
      <c r="AA479" s="26" t="inlineStr">
        <is>
          <t>Board vote 7 Jul 2026: Sorbonne Université says it can exempt all eligible non-EU applicants (pay same as EU, ~€254) for 2026-27.</t>
        </is>
      </c>
      <c r="AB479" s="28" t="inlineStr">
        <is>
          <t>https://www.sorbonne-universite.fr/actualites/le-conseil-dadministration-de-sorbonne-universite-vote-lunanimite-le-7-juillet-2026-sa</t>
        </is>
      </c>
      <c r="AC479" s="25" t="inlineStr">
        <is>
          <t>Open</t>
        </is>
      </c>
      <c r="AD479" s="25" t="inlineStr">
        <is>
          <t>2026-10-01</t>
        </is>
      </c>
      <c r="AE479" s="25" t="inlineStr">
        <is>
          <t>2027-03-15</t>
        </is>
      </c>
      <c r="AF479" s="25" t="inlineStr">
        <is>
          <t>No</t>
        </is>
      </c>
      <c r="AG479" s="28" t="inlineStr">
        <is>
          <t>https://masters-sdi.sorbonne-universite.fr/automatique-robotique</t>
        </is>
      </c>
      <c r="AH479" s="26" t="n"/>
      <c r="AI479" s="28" t="inlineStr">
        <is>
          <t>Open in EEF</t>
        </is>
      </c>
    </row>
    <row r="480" ht="22.35" customHeight="1" s="19">
      <c r="A480" s="25" t="n">
        <v>479</v>
      </c>
      <c r="B480" s="25" t="inlineStr">
        <is>
          <t>★★★★☆</t>
        </is>
      </c>
      <c r="C480" s="25" t="inlineStr">
        <is>
          <t>4 – Strong fit (electronics/signal/robotics/IoT/sensors)</t>
        </is>
      </c>
      <c r="D480" s="25" t="inlineStr">
        <is>
          <t>Neuroscience / Neuro-engineering</t>
        </is>
      </c>
      <c r="E480" s="26" t="inlineStr">
        <is>
          <t>Master Sciences, technologies, santé mention biologie intégrative spécialité neurosciences</t>
        </is>
      </c>
      <c r="F480" s="26" t="inlineStr">
        <is>
          <t>Master Science, Technology, Health (STS) – major: Biology Integrative – specialisation: Neuroscience</t>
        </is>
      </c>
      <c r="G480" s="25" t="inlineStr">
        <is>
          <t>Master indifférencié (recherche et professionnel)</t>
        </is>
      </c>
      <c r="H480" s="25" t="inlineStr">
        <is>
          <t>Ecole normale supérieure</t>
        </is>
      </c>
      <c r="I480" s="25" t="n"/>
      <c r="J480" s="25" t="inlineStr">
        <is>
          <t>Site de Paris</t>
        </is>
      </c>
      <c r="K480" s="25" t="n"/>
      <c r="L480" s="25" t="inlineStr">
        <is>
          <t>Public school / institute</t>
        </is>
      </c>
      <c r="M480" s="25" t="inlineStr">
        <is>
          <t>French</t>
        </is>
      </c>
      <c r="N480" s="25" t="inlineStr">
        <is>
          <t>General</t>
        </is>
      </c>
      <c r="O480" s="25" t="inlineStr">
        <is>
          <t>Bac +5</t>
        </is>
      </c>
      <c r="P480" s="26" t="inlineStr">
        <is>
          <t>Requires Bac+5 (Master) – likely not eligible; ask if 4-yr BS + experience accepted</t>
        </is>
      </c>
      <c r="Q480" s="25" t="inlineStr">
        <is>
          <t>2</t>
        </is>
      </c>
      <c r="R480" s="25" t="n"/>
      <c r="S480" s="27" t="n">
        <v>3950</v>
      </c>
      <c r="T480" s="27" t="n">
        <v>255</v>
      </c>
      <c r="U480" s="25" t="n">
        <v>1</v>
      </c>
      <c r="V480" s="27">
        <f>IF(S480="","",S480*U480)</f>
        <v/>
      </c>
      <c r="W480" s="26" t="inlineStr">
        <is>
          <t>Not in catalogue. Public national master → 2026-27 differentiated fee €3,950; exemption to ~€254-255 depends on university quota (25% cap in 2027-28).</t>
        </is>
      </c>
      <c r="X480" s="25" t="inlineStr">
        <is>
          <t>Medium</t>
        </is>
      </c>
      <c r="Y480" s="25" t="n"/>
      <c r="Z480" s="26" t="n"/>
      <c r="AA480" s="26" t="n"/>
      <c r="AB480" s="25" t="n"/>
      <c r="AC480" s="25" t="inlineStr">
        <is>
          <t>Closed</t>
        </is>
      </c>
      <c r="AD480" s="25" t="n"/>
      <c r="AE480" s="25" t="n"/>
      <c r="AF480" s="25" t="inlineStr">
        <is>
          <t>No</t>
        </is>
      </c>
      <c r="AG480" s="28" t="inlineStr">
        <is>
          <t>http://www.ens.fr</t>
        </is>
      </c>
      <c r="AH480" s="26" t="n"/>
      <c r="AI480" s="28" t="inlineStr">
        <is>
          <t>Open in EEF</t>
        </is>
      </c>
    </row>
    <row r="481" ht="22.35" customHeight="1" s="19">
      <c r="A481" s="25" t="n">
        <v>480</v>
      </c>
      <c r="B481" s="25" t="inlineStr">
        <is>
          <t>★★★★☆</t>
        </is>
      </c>
      <c r="C481" s="25" t="inlineStr">
        <is>
          <t>4 – Strong fit (electronics/signal/robotics/IoT/sensors)</t>
        </is>
      </c>
      <c r="D481" s="25" t="inlineStr">
        <is>
          <t>Robotics / Automation / Mechatronics</t>
        </is>
      </c>
      <c r="E481" s="26" t="inlineStr">
        <is>
          <t>Master Sciences, technologies, santé mention mécanique et sciences pour l'ingénieur spécialité mécatronique</t>
        </is>
      </c>
      <c r="F481" s="26" t="inlineStr">
        <is>
          <t>Master Science, Technology, Health (STS) – major: Mechanics &amp; Sciences for Engineering – specialisation: Mechatronics</t>
        </is>
      </c>
      <c r="G481" s="25" t="inlineStr">
        <is>
          <t>Master indifférencié (recherche et professionnel)</t>
        </is>
      </c>
      <c r="H481" s="25" t="inlineStr">
        <is>
          <t>Ecole normale supérieure de Rennes</t>
        </is>
      </c>
      <c r="I481" s="25" t="n"/>
      <c r="J481" s="25" t="inlineStr">
        <is>
          <t>Site de Bruz</t>
        </is>
      </c>
      <c r="K481" s="25" t="n"/>
      <c r="L481" s="25" t="inlineStr">
        <is>
          <t>Public school / institute</t>
        </is>
      </c>
      <c r="M481" s="25" t="inlineStr">
        <is>
          <t>French</t>
        </is>
      </c>
      <c r="N481" s="25" t="inlineStr">
        <is>
          <t>General</t>
        </is>
      </c>
      <c r="O481" s="25" t="inlineStr">
        <is>
          <t>Bac +5</t>
        </is>
      </c>
      <c r="P481" s="26" t="inlineStr">
        <is>
          <t>Requires Bac+5 (Master) – likely not eligible; ask if 4-yr BS + experience accepted</t>
        </is>
      </c>
      <c r="Q481" s="25" t="inlineStr">
        <is>
          <t>2</t>
        </is>
      </c>
      <c r="R481" s="25" t="n"/>
      <c r="S481" s="27" t="n">
        <v>3950</v>
      </c>
      <c r="T481" s="27" t="n">
        <v>255</v>
      </c>
      <c r="U481" s="25" t="n">
        <v>1</v>
      </c>
      <c r="V481" s="27">
        <f>IF(S481="","",S481*U481)</f>
        <v/>
      </c>
      <c r="W481" s="26" t="inlineStr">
        <is>
          <t>Not in catalogue. Public national master → 2026-27 differentiated fee €3,950; exemption to ~€254-255 depends on university quota (25% cap in 2027-28).</t>
        </is>
      </c>
      <c r="X481" s="25" t="inlineStr">
        <is>
          <t>Medium</t>
        </is>
      </c>
      <c r="Y481" s="25" t="n"/>
      <c r="Z481" s="26" t="n"/>
      <c r="AA481" s="26" t="n"/>
      <c r="AB481" s="25" t="n"/>
      <c r="AC481" s="25" t="inlineStr">
        <is>
          <t>Closed</t>
        </is>
      </c>
      <c r="AD481" s="25" t="n"/>
      <c r="AE481" s="25" t="n"/>
      <c r="AF481" s="25" t="inlineStr">
        <is>
          <t>No</t>
        </is>
      </c>
      <c r="AG481" s="28" t="inlineStr">
        <is>
          <t>http://www.ens-rennes.fr/</t>
        </is>
      </c>
      <c r="AH481" s="26" t="n"/>
      <c r="AI481" s="28" t="inlineStr">
        <is>
          <t>Open in EEF</t>
        </is>
      </c>
    </row>
    <row r="482" ht="22.35" customHeight="1" s="19">
      <c r="A482" s="25" t="n">
        <v>481</v>
      </c>
      <c r="B482" s="25" t="inlineStr">
        <is>
          <t>★★★★☆</t>
        </is>
      </c>
      <c r="C482" s="25" t="inlineStr">
        <is>
          <t>4 – Strong fit (electronics/signal/robotics/IoT/sensors)</t>
        </is>
      </c>
      <c r="D482" s="25" t="inlineStr">
        <is>
          <t>Sensors / Instrumentation / Micro-Nano / Photonics</t>
        </is>
      </c>
      <c r="E482" s="26" t="inlineStr">
        <is>
          <t>Master Sciences, technologies, santé mention physique spécialité photonique</t>
        </is>
      </c>
      <c r="F482" s="26" t="inlineStr">
        <is>
          <t>Master Science, Technology, Health (STS) – major: Physics – specialisation: Photonics</t>
        </is>
      </c>
      <c r="G482" s="25" t="inlineStr">
        <is>
          <t>Master indifférencié (recherche et professionnel)</t>
        </is>
      </c>
      <c r="H482" s="25" t="inlineStr">
        <is>
          <t>Ecole nationale d'ingénieurs de Brest</t>
        </is>
      </c>
      <c r="I482" s="25" t="n"/>
      <c r="J482" s="25" t="inlineStr">
        <is>
          <t>Site de Brest</t>
        </is>
      </c>
      <c r="K482" s="25" t="n"/>
      <c r="L482" s="25" t="inlineStr">
        <is>
          <t>Public school / institute</t>
        </is>
      </c>
      <c r="M482" s="25" t="inlineStr">
        <is>
          <t>French</t>
        </is>
      </c>
      <c r="N482" s="25" t="inlineStr">
        <is>
          <t>General</t>
        </is>
      </c>
      <c r="O482" s="25" t="inlineStr">
        <is>
          <t>Bac +5</t>
        </is>
      </c>
      <c r="P482" s="26" t="inlineStr">
        <is>
          <t>Requires Bac+5 (Master) – likely not eligible; ask if 4-yr BS + experience accepted</t>
        </is>
      </c>
      <c r="Q482" s="25" t="inlineStr">
        <is>
          <t>2</t>
        </is>
      </c>
      <c r="R482" s="25" t="n"/>
      <c r="S482" s="27" t="n">
        <v>3950</v>
      </c>
      <c r="T482" s="27" t="n">
        <v>255</v>
      </c>
      <c r="U482" s="25" t="n">
        <v>1</v>
      </c>
      <c r="V482" s="27">
        <f>IF(S482="","",S482*U482)</f>
        <v/>
      </c>
      <c r="W482" s="26" t="inlineStr">
        <is>
          <t>Not in catalogue. Public national master → 2026-27 differentiated fee €3,950; exemption to ~€254-255 depends on university quota (25% cap in 2027-28).</t>
        </is>
      </c>
      <c r="X482" s="25" t="inlineStr">
        <is>
          <t>Medium</t>
        </is>
      </c>
      <c r="Y482" s="25" t="n"/>
      <c r="Z482" s="26" t="n"/>
      <c r="AA482" s="26" t="n"/>
      <c r="AB482" s="25" t="n"/>
      <c r="AC482" s="25" t="inlineStr">
        <is>
          <t>Open</t>
        </is>
      </c>
      <c r="AD482" s="25" t="inlineStr">
        <is>
          <t>2026-10-01</t>
        </is>
      </c>
      <c r="AE482" s="25" t="inlineStr">
        <is>
          <t>2027-03-15</t>
        </is>
      </c>
      <c r="AF482" s="25" t="inlineStr">
        <is>
          <t>Yes</t>
        </is>
      </c>
      <c r="AG482" s="28" t="inlineStr">
        <is>
          <t>http://www.enib.fr</t>
        </is>
      </c>
      <c r="AH482" s="26" t="n"/>
      <c r="AI482" s="28" t="inlineStr">
        <is>
          <t>Open in EEF</t>
        </is>
      </c>
    </row>
    <row r="483" ht="32.8" customHeight="1" s="19">
      <c r="A483" s="25" t="n">
        <v>482</v>
      </c>
      <c r="B483" s="25" t="inlineStr">
        <is>
          <t>★★★★☆</t>
        </is>
      </c>
      <c r="C483" s="25" t="inlineStr">
        <is>
          <t>4 – Strong fit (electronics/signal/robotics/IoT/sensors)</t>
        </is>
      </c>
      <c r="D483" s="25" t="inlineStr">
        <is>
          <t>Sensors / Instrumentation / Micro-Nano / Photonics</t>
        </is>
      </c>
      <c r="E483" s="26" t="inlineStr">
        <is>
          <t>Master Sciences, technologies, santé mention physique spécialité photonique</t>
        </is>
      </c>
      <c r="F483" s="26" t="inlineStr">
        <is>
          <t>Master Science, Technology, Health (STS) – major: Physics – specialisation: Photonics</t>
        </is>
      </c>
      <c r="G483" s="25" t="inlineStr">
        <is>
          <t>Master indifférencié (recherche et professionnel)</t>
        </is>
      </c>
      <c r="H483" s="25" t="inlineStr">
        <is>
          <t>IMT Atlantique</t>
        </is>
      </c>
      <c r="I483" s="25" t="inlineStr">
        <is>
          <t>IMT Atlantique</t>
        </is>
      </c>
      <c r="J483" s="25" t="inlineStr">
        <is>
          <t>Campus de Brest</t>
        </is>
      </c>
      <c r="K483" s="25" t="inlineStr">
        <is>
          <t>83818</t>
        </is>
      </c>
      <c r="L483" s="25" t="inlineStr">
        <is>
          <t>Public school / institute</t>
        </is>
      </c>
      <c r="M483" s="25" t="inlineStr">
        <is>
          <t>French</t>
        </is>
      </c>
      <c r="N483" s="25" t="inlineStr">
        <is>
          <t>General</t>
        </is>
      </c>
      <c r="O483" s="25" t="inlineStr">
        <is>
          <t>Bac +5</t>
        </is>
      </c>
      <c r="P483" s="26" t="inlineStr">
        <is>
          <t>Requires Bac+5 (Master) – likely not eligible; ask if 4-yr BS + experience accepted</t>
        </is>
      </c>
      <c r="Q483" s="25" t="inlineStr">
        <is>
          <t>2</t>
        </is>
      </c>
      <c r="R483" s="25" t="n"/>
      <c r="S483" s="27" t="n">
        <v>3950</v>
      </c>
      <c r="T483" s="27" t="n">
        <v>255</v>
      </c>
      <c r="U483" s="25" t="n">
        <v>1</v>
      </c>
      <c r="V483" s="27">
        <f>IF(S483="","",S483*U483)</f>
        <v/>
      </c>
      <c r="W483" s="26" t="inlineStr">
        <is>
          <t>Not in catalogue. Public national master → 2026-27 differentiated fee €3,950; exemption to ~€254-255 depends on university quota (25% cap in 2027-28).</t>
        </is>
      </c>
      <c r="X483" s="25" t="inlineStr">
        <is>
          <t>Medium</t>
        </is>
      </c>
      <c r="Y483" s="25" t="n"/>
      <c r="Z483" s="26" t="n"/>
      <c r="AA483" s="26" t="n"/>
      <c r="AB483" s="25" t="n"/>
      <c r="AC483" s="25" t="inlineStr">
        <is>
          <t>Open</t>
        </is>
      </c>
      <c r="AD483" s="25" t="inlineStr">
        <is>
          <t>2026-10-01</t>
        </is>
      </c>
      <c r="AE483" s="25" t="inlineStr">
        <is>
          <t>2027-03-15</t>
        </is>
      </c>
      <c r="AF483" s="25" t="inlineStr">
        <is>
          <t>No</t>
        </is>
      </c>
      <c r="AG483" s="28" t="inlineStr">
        <is>
          <t>http://www.imt-atlantique.fr</t>
        </is>
      </c>
      <c r="AH483" s="26" t="inlineStr">
        <is>
          <t>Formation en Master 2 ouverte uniquement aux candidats provenant d'un établissement ayant signé un partenariat avec IMT Atlantique (se renseigner au préalable auprès de l'administration de votre établissement d'origine).</t>
        </is>
      </c>
      <c r="AI483" s="28" t="inlineStr">
        <is>
          <t>Open in EEF</t>
        </is>
      </c>
    </row>
    <row r="484" ht="22.35" customHeight="1" s="19">
      <c r="A484" s="25" t="n">
        <v>483</v>
      </c>
      <c r="B484" s="25" t="inlineStr">
        <is>
          <t>★★★★☆</t>
        </is>
      </c>
      <c r="C484" s="25" t="inlineStr">
        <is>
          <t>4 – Strong fit (electronics/signal/robotics/IoT/sensors)</t>
        </is>
      </c>
      <c r="D484" s="25" t="inlineStr">
        <is>
          <t>Sensors / Instrumentation / Micro-Nano / Photonics</t>
        </is>
      </c>
      <c r="E484" s="26" t="inlineStr">
        <is>
          <t>Master rech. Sciences et technologies mention physique et applications spécialité capteurs, mesures et instrumentation</t>
        </is>
      </c>
      <c r="F484" s="26" t="inlineStr">
        <is>
          <t>Research Master Science &amp; Technology – major: Physics &amp; Applications – specialisation: Sensors, Measurements &amp; Instrumentation</t>
        </is>
      </c>
      <c r="G484" s="25" t="inlineStr">
        <is>
          <t>Master recherche</t>
        </is>
      </c>
      <c r="H484" s="25" t="inlineStr">
        <is>
          <t>Ecole supérieure de physique et de chimie industrielles ville de Paris</t>
        </is>
      </c>
      <c r="I484" s="25" t="n"/>
      <c r="J484" s="25" t="inlineStr">
        <is>
          <t>Site de Paris</t>
        </is>
      </c>
      <c r="K484" s="25" t="n"/>
      <c r="L484" s="25" t="inlineStr">
        <is>
          <t>Public school / institute</t>
        </is>
      </c>
      <c r="M484" s="25" t="inlineStr">
        <is>
          <t>French</t>
        </is>
      </c>
      <c r="N484" s="25" t="inlineStr">
        <is>
          <t>General</t>
        </is>
      </c>
      <c r="O484" s="25" t="inlineStr">
        <is>
          <t>Bac +5</t>
        </is>
      </c>
      <c r="P484" s="26" t="inlineStr">
        <is>
          <t>Requires Bac+5 (Master) – likely not eligible; ask if 4-yr BS + experience accepted</t>
        </is>
      </c>
      <c r="Q484" s="25" t="inlineStr">
        <is>
          <t>2</t>
        </is>
      </c>
      <c r="R484" s="25" t="n"/>
      <c r="S484" s="27" t="n">
        <v>3950</v>
      </c>
      <c r="T484" s="27" t="n">
        <v>255</v>
      </c>
      <c r="U484" s="25" t="n">
        <v>1</v>
      </c>
      <c r="V484" s="27">
        <f>IF(S484="","",S484*U484)</f>
        <v/>
      </c>
      <c r="W484" s="26" t="inlineStr">
        <is>
          <t>Not in catalogue. Public national master → 2026-27 differentiated fee €3,950; exemption to ~€254-255 depends on university quota (25% cap in 2027-28).</t>
        </is>
      </c>
      <c r="X484" s="25" t="inlineStr">
        <is>
          <t>Medium</t>
        </is>
      </c>
      <c r="Y484" s="25" t="n"/>
      <c r="Z484" s="26" t="n"/>
      <c r="AA484" s="26" t="n"/>
      <c r="AB484" s="25" t="n"/>
      <c r="AC484" s="25" t="inlineStr">
        <is>
          <t>Closed</t>
        </is>
      </c>
      <c r="AD484" s="25" t="n"/>
      <c r="AE484" s="25" t="n"/>
      <c r="AF484" s="25" t="inlineStr">
        <is>
          <t>No</t>
        </is>
      </c>
      <c r="AG484" s="28" t="inlineStr">
        <is>
          <t>http://www.espci.fr</t>
        </is>
      </c>
      <c r="AH484" s="26" t="n"/>
      <c r="AI484" s="28" t="inlineStr">
        <is>
          <t>Open in EEF</t>
        </is>
      </c>
    </row>
    <row r="485" ht="32.8" customHeight="1" s="19">
      <c r="A485" s="25" t="n">
        <v>484</v>
      </c>
      <c r="B485" s="25" t="inlineStr">
        <is>
          <t>★★★★☆</t>
        </is>
      </c>
      <c r="C485" s="25" t="inlineStr">
        <is>
          <t>4 – Strong fit (electronics/signal/robotics/IoT/sensors)</t>
        </is>
      </c>
      <c r="D485" s="25" t="inlineStr">
        <is>
          <t>IoT / Telecom / Networks</t>
        </is>
      </c>
      <c r="E485" s="26" t="inlineStr">
        <is>
          <t>Master rech. Sciences et technologies mention systèmes informatiques et génie électrique spécialité systèmes intelligents et communicants</t>
        </is>
      </c>
      <c r="F485" s="26" t="inlineStr">
        <is>
          <t>Research Master Science &amp; Technology – major: Systems informatiques &amp; Electrical Engineering – specialisation: Systems Intelligent &amp; Communicating</t>
        </is>
      </c>
      <c r="G485" s="25" t="inlineStr">
        <is>
          <t>Master recherche</t>
        </is>
      </c>
      <c r="H485" s="25" t="inlineStr">
        <is>
          <t>Ecole nationale supérieure de l'électronique et de ses applications</t>
        </is>
      </c>
      <c r="I485" s="25" t="n"/>
      <c r="J485" s="25" t="inlineStr">
        <is>
          <t>Site de Cergy</t>
        </is>
      </c>
      <c r="K485" s="25" t="n"/>
      <c r="L485" s="25" t="inlineStr">
        <is>
          <t>Public school / institute</t>
        </is>
      </c>
      <c r="M485" s="25" t="inlineStr">
        <is>
          <t>French</t>
        </is>
      </c>
      <c r="N485" s="25" t="inlineStr">
        <is>
          <t>General</t>
        </is>
      </c>
      <c r="O485" s="25" t="inlineStr">
        <is>
          <t>Bac +5</t>
        </is>
      </c>
      <c r="P485" s="26" t="inlineStr">
        <is>
          <t>Requires Bac+5 (Master) – likely not eligible; ask if 4-yr BS + experience accepted</t>
        </is>
      </c>
      <c r="Q485" s="25" t="inlineStr">
        <is>
          <t>2</t>
        </is>
      </c>
      <c r="R485" s="25" t="n"/>
      <c r="S485" s="27" t="n">
        <v>3950</v>
      </c>
      <c r="T485" s="27" t="n">
        <v>255</v>
      </c>
      <c r="U485" s="25" t="n">
        <v>1</v>
      </c>
      <c r="V485" s="27">
        <f>IF(S485="","",S485*U485)</f>
        <v/>
      </c>
      <c r="W485" s="26" t="inlineStr">
        <is>
          <t>Not in catalogue. Public national master → 2026-27 differentiated fee €3,950; exemption to ~€254-255 depends on university quota (25% cap in 2027-28).</t>
        </is>
      </c>
      <c r="X485" s="25" t="inlineStr">
        <is>
          <t>Medium</t>
        </is>
      </c>
      <c r="Y485" s="25" t="n"/>
      <c r="Z485" s="26" t="n"/>
      <c r="AA485" s="26" t="n"/>
      <c r="AB485" s="25" t="n"/>
      <c r="AC485" s="25" t="inlineStr">
        <is>
          <t>Closed</t>
        </is>
      </c>
      <c r="AD485" s="25" t="n"/>
      <c r="AE485" s="25" t="n"/>
      <c r="AF485" s="25" t="inlineStr">
        <is>
          <t>No</t>
        </is>
      </c>
      <c r="AG485" s="28" t="inlineStr">
        <is>
          <t>http://www.ensea.fr</t>
        </is>
      </c>
      <c r="AH485" s="26" t="n"/>
      <c r="AI485" s="28" t="inlineStr">
        <is>
          <t>Open in EEF</t>
        </is>
      </c>
    </row>
    <row r="486" ht="32.8" customHeight="1" s="19">
      <c r="A486" s="25" t="n">
        <v>485</v>
      </c>
      <c r="B486" s="25" t="inlineStr">
        <is>
          <t>★★★★☆</t>
        </is>
      </c>
      <c r="C486" s="25" t="inlineStr">
        <is>
          <t>4 – Strong fit (electronics/signal/robotics/IoT/sensors)</t>
        </is>
      </c>
      <c r="D486" s="25" t="inlineStr">
        <is>
          <t>Robotics / Automation / Mechatronics</t>
        </is>
      </c>
      <c r="E486" s="26" t="inlineStr">
        <is>
          <t>Master rech. Sciences, technologies, mention spécialité Ingénierie de Conception Mécanique, Matériaux, Mécatronique et Génie Civil</t>
        </is>
      </c>
      <c r="F486" s="26" t="inlineStr">
        <is>
          <t>Research Master Sciences, Technologies, – major: specialisation: Engineering of Design Mechanics, Materials, Mechatronics &amp; Engineering Civil</t>
        </is>
      </c>
      <c r="G486" s="25" t="inlineStr">
        <is>
          <t>Master recherche</t>
        </is>
      </c>
      <c r="H486" s="25" t="inlineStr">
        <is>
          <t>Faculté des sciences et sciences de l'ingénieur (Campus de Lorient)</t>
        </is>
      </c>
      <c r="I486" s="25" t="inlineStr">
        <is>
          <t>Université Bretagne-Sud</t>
        </is>
      </c>
      <c r="J486" s="25" t="inlineStr">
        <is>
          <t>Site de Lorient</t>
        </is>
      </c>
      <c r="K486" s="25" t="n"/>
      <c r="L486" s="25" t="inlineStr">
        <is>
          <t>Public university</t>
        </is>
      </c>
      <c r="M486" s="25" t="inlineStr">
        <is>
          <t>French</t>
        </is>
      </c>
      <c r="N486" s="25" t="inlineStr">
        <is>
          <t>General</t>
        </is>
      </c>
      <c r="O486" s="25" t="inlineStr">
        <is>
          <t>Bac +5</t>
        </is>
      </c>
      <c r="P486" s="26" t="inlineStr">
        <is>
          <t>Requires Bac+5 (Master) – likely not eligible; ask if 4-yr BS + experience accepted</t>
        </is>
      </c>
      <c r="Q486" s="25" t="inlineStr">
        <is>
          <t>2</t>
        </is>
      </c>
      <c r="R486" s="25" t="n"/>
      <c r="S486" s="27" t="n">
        <v>3950</v>
      </c>
      <c r="T486" s="27" t="n">
        <v>255</v>
      </c>
      <c r="U486" s="25" t="n">
        <v>1</v>
      </c>
      <c r="V486" s="27">
        <f>IF(S486="","",S486*U486)</f>
        <v/>
      </c>
      <c r="W486" s="26" t="inlineStr">
        <is>
          <t>Not in catalogue. Public national master → 2026-27 differentiated fee €3,950; exemption to ~€254-255 depends on university quota (25% cap in 2027-28).</t>
        </is>
      </c>
      <c r="X486" s="25" t="inlineStr">
        <is>
          <t>Medium</t>
        </is>
      </c>
      <c r="Y486" s="25" t="n"/>
      <c r="Z486" s="26" t="n"/>
      <c r="AA486" s="26" t="n"/>
      <c r="AB486" s="25" t="n"/>
      <c r="AC486" s="25" t="inlineStr">
        <is>
          <t>Open</t>
        </is>
      </c>
      <c r="AD486" s="25" t="inlineStr">
        <is>
          <t>2026-10-01</t>
        </is>
      </c>
      <c r="AE486" s="25" t="inlineStr">
        <is>
          <t>2027-03-15</t>
        </is>
      </c>
      <c r="AF486" s="25" t="inlineStr">
        <is>
          <t>No</t>
        </is>
      </c>
      <c r="AG486" s="25" t="n"/>
      <c r="AH486" s="26" t="inlineStr">
        <is>
          <t>Niveau minimum exigé en français : B2</t>
        </is>
      </c>
      <c r="AI486" s="28" t="inlineStr">
        <is>
          <t>Open in EEF</t>
        </is>
      </c>
    </row>
    <row r="487" ht="32.8" customHeight="1" s="19">
      <c r="A487" s="25" t="n">
        <v>486</v>
      </c>
      <c r="B487" s="25" t="inlineStr">
        <is>
          <t>★★★★☆</t>
        </is>
      </c>
      <c r="C487" s="25" t="inlineStr">
        <is>
          <t>4 – Strong fit (electronics/signal/robotics/IoT/sensors)</t>
        </is>
      </c>
      <c r="D487" s="25" t="inlineStr">
        <is>
          <t>Embedded systems / Electronics</t>
        </is>
      </c>
      <c r="E487" s="26" t="inlineStr">
        <is>
          <t>Master rech. Sciences, technologies, santé mention électronique, télécommunications et réseaux spécialité signaux et circuits</t>
        </is>
      </c>
      <c r="F487" s="26" t="inlineStr">
        <is>
          <t>Research Master Science, Technology, Health (STS) – major: Electronics, Telecommunications &amp; Networks – specialisation: signaux &amp; Circuits</t>
        </is>
      </c>
      <c r="G487" s="25" t="inlineStr">
        <is>
          <t>Master recherche</t>
        </is>
      </c>
      <c r="H487" s="25" t="inlineStr">
        <is>
          <t>Ecole nationale d'ingénieurs de Brest</t>
        </is>
      </c>
      <c r="I487" s="25" t="n"/>
      <c r="J487" s="25" t="inlineStr">
        <is>
          <t>Site de Brest</t>
        </is>
      </c>
      <c r="K487" s="25" t="n"/>
      <c r="L487" s="25" t="inlineStr">
        <is>
          <t>Public school / institute</t>
        </is>
      </c>
      <c r="M487" s="25" t="inlineStr">
        <is>
          <t>French</t>
        </is>
      </c>
      <c r="N487" s="25" t="inlineStr">
        <is>
          <t>General</t>
        </is>
      </c>
      <c r="O487" s="25" t="inlineStr">
        <is>
          <t>Bac +5</t>
        </is>
      </c>
      <c r="P487" s="26" t="inlineStr">
        <is>
          <t>Requires Bac+5 (Master) – likely not eligible; ask if 4-yr BS + experience accepted</t>
        </is>
      </c>
      <c r="Q487" s="25" t="inlineStr">
        <is>
          <t>2</t>
        </is>
      </c>
      <c r="R487" s="25" t="n"/>
      <c r="S487" s="27" t="n">
        <v>3950</v>
      </c>
      <c r="T487" s="27" t="n">
        <v>255</v>
      </c>
      <c r="U487" s="25" t="n">
        <v>1</v>
      </c>
      <c r="V487" s="27">
        <f>IF(S487="","",S487*U487)</f>
        <v/>
      </c>
      <c r="W487" s="26" t="inlineStr">
        <is>
          <t>Not in catalogue. Public national master → 2026-27 differentiated fee €3,950; exemption to ~€254-255 depends on university quota (25% cap in 2027-28).</t>
        </is>
      </c>
      <c r="X487" s="25" t="inlineStr">
        <is>
          <t>Medium</t>
        </is>
      </c>
      <c r="Y487" s="25" t="n"/>
      <c r="Z487" s="26" t="n"/>
      <c r="AA487" s="26" t="n"/>
      <c r="AB487" s="25" t="n"/>
      <c r="AC487" s="25" t="inlineStr">
        <is>
          <t>Open</t>
        </is>
      </c>
      <c r="AD487" s="25" t="inlineStr">
        <is>
          <t>2026-10-01</t>
        </is>
      </c>
      <c r="AE487" s="25" t="inlineStr">
        <is>
          <t>2027-03-15</t>
        </is>
      </c>
      <c r="AF487" s="25" t="inlineStr">
        <is>
          <t>Yes</t>
        </is>
      </c>
      <c r="AG487" s="28" t="inlineStr">
        <is>
          <t>http://www.enib.fr</t>
        </is>
      </c>
      <c r="AH487" s="26" t="n"/>
      <c r="AI487" s="28" t="inlineStr">
        <is>
          <t>Open in EEF</t>
        </is>
      </c>
    </row>
    <row r="488" ht="32.8" customHeight="1" s="19">
      <c r="A488" s="25" t="n">
        <v>487</v>
      </c>
      <c r="B488" s="25" t="inlineStr">
        <is>
          <t>★★★★☆</t>
        </is>
      </c>
      <c r="C488" s="25" t="inlineStr">
        <is>
          <t>4 – Strong fit (electronics/signal/robotics/IoT/sensors)</t>
        </is>
      </c>
      <c r="D488" s="25" t="inlineStr">
        <is>
          <t>Robotics / Automation / Mechatronics</t>
        </is>
      </c>
      <c r="E488" s="26" t="inlineStr">
        <is>
          <t>Master rech. Sciences, technologies, santé mention génie mécanique et civil, automatique, robotique spécialité mécaniques, matériaux, structures, fiabilité</t>
        </is>
      </c>
      <c r="F488" s="26" t="inlineStr">
        <is>
          <t>Research Master Science, Technology, Health (STS) – major: Engineering Mechanics &amp; civil, Automation, Robotics – specialisation: mécaniques, Materials, structures, Reliability</t>
        </is>
      </c>
      <c r="G488" s="25" t="inlineStr">
        <is>
          <t>Master recherche</t>
        </is>
      </c>
      <c r="H488" s="25" t="inlineStr">
        <is>
          <t>Institut français de mécanique avancée</t>
        </is>
      </c>
      <c r="I488" s="25" t="n"/>
      <c r="J488" s="25" t="inlineStr">
        <is>
          <t>Site de Aubière</t>
        </is>
      </c>
      <c r="K488" s="25" t="n"/>
      <c r="L488" s="25" t="inlineStr">
        <is>
          <t>Public school / institute</t>
        </is>
      </c>
      <c r="M488" s="25" t="inlineStr">
        <is>
          <t>French</t>
        </is>
      </c>
      <c r="N488" s="25" t="inlineStr">
        <is>
          <t>General</t>
        </is>
      </c>
      <c r="O488" s="25" t="inlineStr">
        <is>
          <t>Bac +5</t>
        </is>
      </c>
      <c r="P488" s="26" t="inlineStr">
        <is>
          <t>Requires Bac+5 (Master) – likely not eligible; ask if 4-yr BS + experience accepted</t>
        </is>
      </c>
      <c r="Q488" s="25" t="inlineStr">
        <is>
          <t>2</t>
        </is>
      </c>
      <c r="R488" s="25" t="n"/>
      <c r="S488" s="27" t="n">
        <v>3950</v>
      </c>
      <c r="T488" s="27" t="n">
        <v>255</v>
      </c>
      <c r="U488" s="25" t="n">
        <v>1</v>
      </c>
      <c r="V488" s="27">
        <f>IF(S488="","",S488*U488)</f>
        <v/>
      </c>
      <c r="W488" s="26" t="inlineStr">
        <is>
          <t>Not in catalogue. Public national master → 2026-27 differentiated fee €3,950; exemption to ~€254-255 depends on university quota (25% cap in 2027-28).</t>
        </is>
      </c>
      <c r="X488" s="25" t="inlineStr">
        <is>
          <t>Medium</t>
        </is>
      </c>
      <c r="Y488" s="25" t="n"/>
      <c r="Z488" s="26" t="n"/>
      <c r="AA488" s="26" t="n"/>
      <c r="AB488" s="25" t="n"/>
      <c r="AC488" s="25" t="inlineStr">
        <is>
          <t>Closed</t>
        </is>
      </c>
      <c r="AD488" s="25" t="n"/>
      <c r="AE488" s="25" t="n"/>
      <c r="AF488" s="25" t="inlineStr">
        <is>
          <t>No</t>
        </is>
      </c>
      <c r="AG488" s="28" t="inlineStr">
        <is>
          <t>http://www.ifma.fr</t>
        </is>
      </c>
      <c r="AH488" s="26" t="n"/>
      <c r="AI488" s="28" t="inlineStr">
        <is>
          <t>Open in EEF</t>
        </is>
      </c>
    </row>
    <row r="489" ht="32.8" customHeight="1" s="19">
      <c r="A489" s="25" t="n">
        <v>488</v>
      </c>
      <c r="B489" s="25" t="inlineStr">
        <is>
          <t>★★★★☆</t>
        </is>
      </c>
      <c r="C489" s="25" t="inlineStr">
        <is>
          <t>4 – Strong fit (electronics/signal/robotics/IoT/sensors)</t>
        </is>
      </c>
      <c r="D489" s="25" t="inlineStr">
        <is>
          <t>IoT / Telecom / Networks</t>
        </is>
      </c>
      <c r="E489" s="26" t="inlineStr">
        <is>
          <t>Master rech. Sciences, technologies, santé mention informatique spécialité informatique et télécommunication</t>
        </is>
      </c>
      <c r="F489" s="26" t="inlineStr">
        <is>
          <t>Research Master Science, Technology, Health (STS) – major: Computer Science – specialisation: Computer Science &amp; Telecommunication</t>
        </is>
      </c>
      <c r="G489" s="25" t="inlineStr">
        <is>
          <t>Master recherche</t>
        </is>
      </c>
      <c r="H489" s="25" t="inlineStr">
        <is>
          <t>Institut national des sciences appliquées de Toulouse</t>
        </is>
      </c>
      <c r="I489" s="25" t="n"/>
      <c r="J489" s="25" t="inlineStr">
        <is>
          <t>Site de Toulouse</t>
        </is>
      </c>
      <c r="K489" s="25" t="inlineStr">
        <is>
          <t>31077 Toulouse Cedex</t>
        </is>
      </c>
      <c r="L489" s="25" t="inlineStr">
        <is>
          <t>Public school / institute</t>
        </is>
      </c>
      <c r="M489" s="25" t="inlineStr">
        <is>
          <t>French</t>
        </is>
      </c>
      <c r="N489" s="25" t="inlineStr">
        <is>
          <t>General</t>
        </is>
      </c>
      <c r="O489" s="25" t="inlineStr">
        <is>
          <t>Bac +5</t>
        </is>
      </c>
      <c r="P489" s="26" t="inlineStr">
        <is>
          <t>Requires Bac+5 (Master) – likely not eligible; ask if 4-yr BS + experience accepted</t>
        </is>
      </c>
      <c r="Q489" s="25" t="inlineStr">
        <is>
          <t>2</t>
        </is>
      </c>
      <c r="R489" s="25" t="n"/>
      <c r="S489" s="27" t="n">
        <v>3950</v>
      </c>
      <c r="T489" s="27" t="n">
        <v>255</v>
      </c>
      <c r="U489" s="25" t="n">
        <v>1</v>
      </c>
      <c r="V489" s="27">
        <f>IF(S489="","",S489*U489)</f>
        <v/>
      </c>
      <c r="W489" s="26" t="inlineStr">
        <is>
          <t>Not in catalogue. Public national master → 2026-27 differentiated fee €3,950; exemption to ~€254-255 depends on university quota (25% cap in 2027-28).</t>
        </is>
      </c>
      <c r="X489" s="25" t="inlineStr">
        <is>
          <t>Medium</t>
        </is>
      </c>
      <c r="Y489" s="25" t="n"/>
      <c r="Z489" s="26" t="inlineStr">
        <is>
          <t>s extra-communautaires sont soumis aux droits d’inscription différenciés suivants : 3 770 euros pour les masters(années 1 et 2) Le Groupe INSA, d</t>
        </is>
      </c>
      <c r="AA489" s="26" t="n"/>
      <c r="AB489" s="25" t="n"/>
      <c r="AC489" s="25" t="inlineStr">
        <is>
          <t>Open</t>
        </is>
      </c>
      <c r="AD489" s="25" t="inlineStr">
        <is>
          <t>2026-10-01</t>
        </is>
      </c>
      <c r="AE489" s="25" t="inlineStr">
        <is>
          <t>2027-03-15</t>
        </is>
      </c>
      <c r="AF489" s="25" t="inlineStr">
        <is>
          <t>Yes</t>
        </is>
      </c>
      <c r="AG489" s="28" t="inlineStr">
        <is>
          <t>http://www.insa-toulouse.fr/fr/formation.html</t>
        </is>
      </c>
      <c r="AH489" s="26" t="inlineStr">
        <is>
          <t>Niveau M1 ou équivalent</t>
        </is>
      </c>
      <c r="AI489" s="28" t="inlineStr">
        <is>
          <t>Open in EEF</t>
        </is>
      </c>
    </row>
    <row r="490" ht="32.8" customHeight="1" s="19">
      <c r="A490" s="25" t="n">
        <v>489</v>
      </c>
      <c r="B490" s="25" t="inlineStr">
        <is>
          <t>★★★★☆</t>
        </is>
      </c>
      <c r="C490" s="25" t="inlineStr">
        <is>
          <t>4 – Strong fit (electronics/signal/robotics/IoT/sensors)</t>
        </is>
      </c>
      <c r="D490" s="25" t="inlineStr">
        <is>
          <t>Embedded systems / Electronics</t>
        </is>
      </c>
      <c r="E490" s="26" t="inlineStr">
        <is>
          <t>Master rech. Sciences, technologies, santé mention ingénierie des systèmes intelligents et modélisation spécialité électronique des systèmes autonomes</t>
        </is>
      </c>
      <c r="F490" s="26" t="inlineStr">
        <is>
          <t>Research Master Science, Technology, Health (STS) – major: Engineering of Systems Intelligent &amp; Modelling – specialisation: Electronics of Systems Autonomous</t>
        </is>
      </c>
      <c r="G490" s="25" t="inlineStr">
        <is>
          <t>Master recherche</t>
        </is>
      </c>
      <c r="H490" s="25" t="inlineStr">
        <is>
          <t>Ecole nationale supérieure de l'électronique et de ses applications</t>
        </is>
      </c>
      <c r="I490" s="25" t="n"/>
      <c r="J490" s="25" t="inlineStr">
        <is>
          <t>Site de Cergy</t>
        </is>
      </c>
      <c r="K490" s="25" t="n"/>
      <c r="L490" s="25" t="inlineStr">
        <is>
          <t>Public school / institute</t>
        </is>
      </c>
      <c r="M490" s="25" t="inlineStr">
        <is>
          <t>French</t>
        </is>
      </c>
      <c r="N490" s="25" t="inlineStr">
        <is>
          <t>General</t>
        </is>
      </c>
      <c r="O490" s="25" t="inlineStr">
        <is>
          <t>Bac +5</t>
        </is>
      </c>
      <c r="P490" s="26" t="inlineStr">
        <is>
          <t>Requires Bac+5 (Master) – likely not eligible; ask if 4-yr BS + experience accepted</t>
        </is>
      </c>
      <c r="Q490" s="25" t="inlineStr">
        <is>
          <t>2</t>
        </is>
      </c>
      <c r="R490" s="25" t="n"/>
      <c r="S490" s="27" t="n">
        <v>3950</v>
      </c>
      <c r="T490" s="27" t="n">
        <v>255</v>
      </c>
      <c r="U490" s="25" t="n">
        <v>1</v>
      </c>
      <c r="V490" s="27">
        <f>IF(S490="","",S490*U490)</f>
        <v/>
      </c>
      <c r="W490" s="26" t="inlineStr">
        <is>
          <t>Not in catalogue. Public national master → 2026-27 differentiated fee €3,950; exemption to ~€254-255 depends on university quota (25% cap in 2027-28).</t>
        </is>
      </c>
      <c r="X490" s="25" t="inlineStr">
        <is>
          <t>Medium</t>
        </is>
      </c>
      <c r="Y490" s="25" t="n"/>
      <c r="Z490" s="26" t="n"/>
      <c r="AA490" s="26" t="n"/>
      <c r="AB490" s="25" t="n"/>
      <c r="AC490" s="25" t="inlineStr">
        <is>
          <t>Closed</t>
        </is>
      </c>
      <c r="AD490" s="25" t="n"/>
      <c r="AE490" s="25" t="n"/>
      <c r="AF490" s="25" t="inlineStr">
        <is>
          <t>No</t>
        </is>
      </c>
      <c r="AG490" s="28" t="inlineStr">
        <is>
          <t>http://www.ensea.fr</t>
        </is>
      </c>
      <c r="AH490" s="26" t="n"/>
      <c r="AI490" s="28" t="inlineStr">
        <is>
          <t>Open in EEF</t>
        </is>
      </c>
    </row>
    <row r="491" ht="22.35" customHeight="1" s="19">
      <c r="A491" s="25" t="n">
        <v>490</v>
      </c>
      <c r="B491" s="25" t="inlineStr">
        <is>
          <t>★★★★☆</t>
        </is>
      </c>
      <c r="C491" s="25" t="inlineStr">
        <is>
          <t>4 – Strong fit (electronics/signal/robotics/IoT/sensors)</t>
        </is>
      </c>
      <c r="D491" s="25" t="inlineStr">
        <is>
          <t>Embedded systems / Electronics</t>
        </is>
      </c>
      <c r="E491" s="26" t="inlineStr">
        <is>
          <t>Master rech. Sciences, technologies, santé mention micro et nanoélectronique spécialité microélectronique</t>
        </is>
      </c>
      <c r="F491" s="26" t="inlineStr">
        <is>
          <t>Research Master Science, Technology, Health (STS) – major: micro &amp; Nanoelectronics – specialisation: Microelectronics</t>
        </is>
      </c>
      <c r="G491" s="25" t="inlineStr">
        <is>
          <t>Master recherche</t>
        </is>
      </c>
      <c r="H491" s="25" t="inlineStr">
        <is>
          <t>Ecole des Mines de Saint-Etienne - cycle ingénieur spec. en microélectronique informatique et nouv technologies</t>
        </is>
      </c>
      <c r="I491" s="25" t="n"/>
      <c r="J491" s="25" t="inlineStr">
        <is>
          <t>Site de Gardanne</t>
        </is>
      </c>
      <c r="K491" s="25" t="n"/>
      <c r="L491" s="25" t="inlineStr">
        <is>
          <t>Public school / institute</t>
        </is>
      </c>
      <c r="M491" s="25" t="inlineStr">
        <is>
          <t>French</t>
        </is>
      </c>
      <c r="N491" s="25" t="inlineStr">
        <is>
          <t>General</t>
        </is>
      </c>
      <c r="O491" s="25" t="inlineStr">
        <is>
          <t>Bac +5</t>
        </is>
      </c>
      <c r="P491" s="26" t="inlineStr">
        <is>
          <t>Requires Bac+5 (Master) – likely not eligible; ask if 4-yr BS + experience accepted</t>
        </is>
      </c>
      <c r="Q491" s="25" t="inlineStr">
        <is>
          <t>2</t>
        </is>
      </c>
      <c r="R491" s="25" t="n"/>
      <c r="S491" s="27" t="n">
        <v>3950</v>
      </c>
      <c r="T491" s="27" t="n">
        <v>255</v>
      </c>
      <c r="U491" s="25" t="n">
        <v>1</v>
      </c>
      <c r="V491" s="27">
        <f>IF(S491="","",S491*U491)</f>
        <v/>
      </c>
      <c r="W491" s="26" t="inlineStr">
        <is>
          <t>Not in catalogue. Public national master → 2026-27 differentiated fee €3,950; exemption to ~€254-255 depends on university quota (25% cap in 2027-28).</t>
        </is>
      </c>
      <c r="X491" s="25" t="inlineStr">
        <is>
          <t>Medium</t>
        </is>
      </c>
      <c r="Y491" s="25" t="n"/>
      <c r="Z491" s="26" t="n"/>
      <c r="AA491" s="26" t="n"/>
      <c r="AB491" s="25" t="n"/>
      <c r="AC491" s="25" t="inlineStr">
        <is>
          <t>Closed</t>
        </is>
      </c>
      <c r="AD491" s="25" t="n"/>
      <c r="AE491" s="25" t="n"/>
      <c r="AF491" s="25" t="inlineStr">
        <is>
          <t>No</t>
        </is>
      </c>
      <c r="AG491" s="28" t="inlineStr">
        <is>
          <t>http://www.ismin.fr</t>
        </is>
      </c>
      <c r="AH491" s="26" t="n"/>
      <c r="AI491" s="28" t="inlineStr">
        <is>
          <t>Open in EEF</t>
        </is>
      </c>
    </row>
    <row r="492" ht="32.8" customHeight="1" s="19">
      <c r="A492" s="25" t="n">
        <v>491</v>
      </c>
      <c r="B492" s="25" t="inlineStr">
        <is>
          <t>★★★★☆</t>
        </is>
      </c>
      <c r="C492" s="25" t="inlineStr">
        <is>
          <t>4 – Strong fit (electronics/signal/robotics/IoT/sensors)</t>
        </is>
      </c>
      <c r="D492" s="25" t="inlineStr">
        <is>
          <t>Sensors / Instrumentation / Micro-Nano / Photonics</t>
        </is>
      </c>
      <c r="E492" s="26" t="inlineStr">
        <is>
          <t>Master of Science Electrical and Optical Engineering - Optical track</t>
        </is>
      </c>
      <c r="F492" s="26" t="inlineStr">
        <is>
          <t>Master of Science Electrical and Optical Engineering - Optical track</t>
        </is>
      </c>
      <c r="G492" s="25" t="inlineStr">
        <is>
          <t>Mastère en sciences (MSc)</t>
        </is>
      </c>
      <c r="H492" s="25" t="inlineStr">
        <is>
          <t>Télécom SudParis</t>
        </is>
      </c>
      <c r="I492" s="25" t="n"/>
      <c r="J492" s="25" t="inlineStr">
        <is>
          <t>Site de Palaiseau</t>
        </is>
      </c>
      <c r="K492" s="25" t="n"/>
      <c r="L492" s="25" t="inlineStr">
        <is>
          <t>Public school / institute</t>
        </is>
      </c>
      <c r="M492" s="25" t="inlineStr">
        <is>
          <t>English</t>
        </is>
      </c>
      <c r="N492" s="25" t="inlineStr">
        <is>
          <t>General</t>
        </is>
      </c>
      <c r="O492" s="25" t="inlineStr">
        <is>
          <t>Bac +5</t>
        </is>
      </c>
      <c r="P492" s="26" t="inlineStr">
        <is>
          <t>Requires Bac+5 (Master) – likely not eligible; ask if 4-yr BS + experience accepted</t>
        </is>
      </c>
      <c r="Q492" s="25" t="inlineStr">
        <is>
          <t>2</t>
        </is>
      </c>
      <c r="R492" s="25" t="inlineStr">
        <is>
          <t>12</t>
        </is>
      </c>
      <c r="S492" s="27" t="n">
        <v>3770</v>
      </c>
      <c r="T492" s="27" t="n"/>
      <c r="U492" s="25" t="n">
        <v>1</v>
      </c>
      <c r="V492" s="27">
        <f>IF(S492="","",S492*U492)</f>
        <v/>
      </c>
      <c r="W492" s="26" t="inlineStr">
        <is>
          <t>Catalogue fee €3,770/yr (entered by institution).</t>
        </is>
      </c>
      <c r="X492" s="25" t="inlineStr">
        <is>
          <t>High</t>
        </is>
      </c>
      <c r="Y492" s="25" t="inlineStr">
        <is>
          <t>3770</t>
        </is>
      </c>
      <c r="Z492" s="26" t="n"/>
      <c r="AA492" s="26" t="n"/>
      <c r="AB492" s="25" t="n"/>
      <c r="AC492" s="25" t="inlineStr">
        <is>
          <t>Open</t>
        </is>
      </c>
      <c r="AD492" s="25" t="inlineStr">
        <is>
          <t>2026-10-01</t>
        </is>
      </c>
      <c r="AE492" s="25" t="inlineStr">
        <is>
          <t>2027-03-15</t>
        </is>
      </c>
      <c r="AF492" s="25" t="inlineStr">
        <is>
          <t>Yes</t>
        </is>
      </c>
      <c r="AG492" s="28" t="inlineStr">
        <is>
          <t>https://www.ip-paris.fr/en/education/masters/electrical-engineering-program/master-year-2-optical-networks-and-photonic-systems</t>
        </is>
      </c>
      <c r="AH492" s="26" t="inlineStr">
        <is>
          <t>Academic prerequisites Completion of the first year of a Master in Electrical Engineering at Institut Polytechnique de Paris or equivalent in France or abroad Physics: electromagnetism, optics, quantum physics, signal pr</t>
        </is>
      </c>
      <c r="AI492" s="28" t="inlineStr">
        <is>
          <t>Open in EEF</t>
        </is>
      </c>
    </row>
    <row r="493" ht="43.25" customHeight="1" s="19">
      <c r="A493" s="25" t="n">
        <v>492</v>
      </c>
      <c r="B493" s="25" t="inlineStr">
        <is>
          <t>★★★★☆</t>
        </is>
      </c>
      <c r="C493" s="25" t="inlineStr">
        <is>
          <t>4 – Strong fit (electronics/signal/robotics/IoT/sensors)</t>
        </is>
      </c>
      <c r="D493" s="25" t="inlineStr">
        <is>
          <t>IoT / Telecom / Networks</t>
        </is>
      </c>
      <c r="E493" s="26" t="inlineStr">
        <is>
          <t>Master of Science Electrical and Optical Engineering - Systèmes Radio (M2)</t>
        </is>
      </c>
      <c r="F493" s="26" t="inlineStr">
        <is>
          <t>Master of Science Electrical and Optical Engineering - Systèmes Radio (M2)</t>
        </is>
      </c>
      <c r="G493" s="25" t="inlineStr">
        <is>
          <t>Mastère en sciences (MSc)</t>
        </is>
      </c>
      <c r="H493" s="25" t="inlineStr">
        <is>
          <t>Télécom SudParis</t>
        </is>
      </c>
      <c r="I493" s="25" t="n"/>
      <c r="J493" s="25" t="inlineStr">
        <is>
          <t>Site de Palaiseau</t>
        </is>
      </c>
      <c r="K493" s="25" t="n"/>
      <c r="L493" s="25" t="inlineStr">
        <is>
          <t>Public school / institute</t>
        </is>
      </c>
      <c r="M493" s="25" t="inlineStr">
        <is>
          <t>French</t>
        </is>
      </c>
      <c r="N493" s="25" t="inlineStr">
        <is>
          <t>General</t>
        </is>
      </c>
      <c r="O493" s="25" t="inlineStr">
        <is>
          <t>Bac +5</t>
        </is>
      </c>
      <c r="P493" s="26" t="inlineStr">
        <is>
          <t>Requires Bac+5 (Master) – likely not eligible; ask if 4-yr BS + experience accepted</t>
        </is>
      </c>
      <c r="Q493" s="25" t="inlineStr">
        <is>
          <t>2</t>
        </is>
      </c>
      <c r="R493" s="25" t="inlineStr">
        <is>
          <t>12</t>
        </is>
      </c>
      <c r="S493" s="27" t="n">
        <v>3770</v>
      </c>
      <c r="T493" s="27" t="n"/>
      <c r="U493" s="25" t="n">
        <v>1</v>
      </c>
      <c r="V493" s="27">
        <f>IF(S493="","",S493*U493)</f>
        <v/>
      </c>
      <c r="W493" s="26" t="inlineStr">
        <is>
          <t>Catalogue fee €3,770/yr (entered by institution).</t>
        </is>
      </c>
      <c r="X493" s="25" t="inlineStr">
        <is>
          <t>High</t>
        </is>
      </c>
      <c r="Y493" s="25" t="inlineStr">
        <is>
          <t>3770</t>
        </is>
      </c>
      <c r="Z493" s="26" t="n"/>
      <c r="AA493" s="26" t="n"/>
      <c r="AB493" s="25" t="n"/>
      <c r="AC493" s="25" t="inlineStr">
        <is>
          <t>Open</t>
        </is>
      </c>
      <c r="AD493" s="25" t="inlineStr">
        <is>
          <t>2026-10-01</t>
        </is>
      </c>
      <c r="AE493" s="25" t="inlineStr">
        <is>
          <t>2027-03-15</t>
        </is>
      </c>
      <c r="AF493" s="25" t="inlineStr">
        <is>
          <t>Yes</t>
        </is>
      </c>
      <c r="AG493" s="28" t="inlineStr">
        <is>
          <t>https://www.ip-paris.fr/education/masters/mention-electronique-energie-electrique-et-automatique-e3a/master-2-systemes-radio</t>
        </is>
      </c>
      <c r="AH493" s="26" t="inlineStr">
        <is>
          <t>Prérequis académiques Accomplissement d’un Master 1 en Électronique, Énergie électrique et Automatique à l’Institut Polytechnique de Paris ou équivalent en France ou à l’étranger Connaissances : fondamentaux en électroni</t>
        </is>
      </c>
      <c r="AI493" s="28" t="inlineStr">
        <is>
          <t>Open in EEF</t>
        </is>
      </c>
    </row>
    <row r="494" ht="32.8" customHeight="1" s="19">
      <c r="A494" s="25" t="n">
        <v>493</v>
      </c>
      <c r="B494" s="25" t="inlineStr">
        <is>
          <t>★★★★☆</t>
        </is>
      </c>
      <c r="C494" s="25" t="inlineStr">
        <is>
          <t>4 – Strong fit (electronics/signal/robotics/IoT/sensors)</t>
        </is>
      </c>
      <c r="D494" s="25" t="inlineStr">
        <is>
          <t>Embedded systems / Electronics</t>
        </is>
      </c>
      <c r="E494" s="26" t="inlineStr">
        <is>
          <t>Diplôme d'ingénieur Formation d'ingénieur à dominante Electronique, energie electrique, automatique (CPI)</t>
        </is>
      </c>
      <c r="F494" s="26" t="inlineStr">
        <is>
          <t>Engineering diploma Training of Engineer at dominante Electronics, Electrical Energy &amp; Automation (EEA) (CPI)</t>
        </is>
      </c>
      <c r="G494" s="25" t="inlineStr">
        <is>
          <t>Diplôme d'ingénieur</t>
        </is>
      </c>
      <c r="H494" s="25" t="inlineStr">
        <is>
          <t>École d'Ingénieurs en Sciences Industrielles et Numérique</t>
        </is>
      </c>
      <c r="I494" s="25" t="inlineStr">
        <is>
          <t>Université de Reims Champagne-Ardenne</t>
        </is>
      </c>
      <c r="J494" s="25" t="inlineStr">
        <is>
          <t>Reims</t>
        </is>
      </c>
      <c r="K494" s="25" t="inlineStr">
        <is>
          <t>51100 REIMS</t>
        </is>
      </c>
      <c r="L494" s="25" t="inlineStr">
        <is>
          <t>Public school / institute</t>
        </is>
      </c>
      <c r="M494" s="25" t="inlineStr">
        <is>
          <t>French</t>
        </is>
      </c>
      <c r="N494" s="25" t="inlineStr">
        <is>
          <t>General</t>
        </is>
      </c>
      <c r="O494" s="25" t="inlineStr">
        <is>
          <t>Bac +1 / Bac +2</t>
        </is>
      </c>
      <c r="P494" s="26" t="inlineStr">
        <is>
          <t>Entry is at undergraduate level (Bac+1/2) – not a fit for you</t>
        </is>
      </c>
      <c r="Q494" s="25" t="inlineStr">
        <is>
          <t>1/2</t>
        </is>
      </c>
      <c r="R494" s="25" t="inlineStr">
        <is>
          <t>60/48</t>
        </is>
      </c>
      <c r="S494" s="27" t="n">
        <v>3950</v>
      </c>
      <c r="T494" s="27" t="n"/>
      <c r="U494" s="25" t="n">
        <v>2</v>
      </c>
      <c r="V494" s="27">
        <f>IF(S494="","",S494*U494)</f>
        <v/>
      </c>
      <c r="W494" s="26" t="inlineStr">
        <is>
          <t>Catalogue fee €3,950/yr (entered by institution).</t>
        </is>
      </c>
      <c r="X494" s="25" t="inlineStr">
        <is>
          <t>High</t>
        </is>
      </c>
      <c r="Y494" s="25" t="inlineStr">
        <is>
          <t>3950</t>
        </is>
      </c>
      <c r="Z494" s="26" t="n"/>
      <c r="AA494" s="26" t="n"/>
      <c r="AB494" s="25" t="n"/>
      <c r="AC494" s="25" t="inlineStr">
        <is>
          <t>Open</t>
        </is>
      </c>
      <c r="AD494" s="25" t="inlineStr">
        <is>
          <t>2026-10-01</t>
        </is>
      </c>
      <c r="AE494" s="25" t="inlineStr">
        <is>
          <t>2027-03-15</t>
        </is>
      </c>
      <c r="AF494" s="25" t="inlineStr">
        <is>
          <t>No</t>
        </is>
      </c>
      <c r="AG494" s="28" t="inlineStr">
        <is>
          <t>http://www.univ-reims.fr/eisine/</t>
        </is>
      </c>
      <c r="AH494" s="26" t="inlineStr">
        <is>
          <t>Niveau en langue française: * Niveau B2 minimum en langue française exigé (merci de prendre connaissance des profils dispensés d'un test de langue française ( qui est dispensé de test de langue française? ) Tarifs : * No</t>
        </is>
      </c>
      <c r="AI494" s="28" t="inlineStr">
        <is>
          <t>Open in EEF</t>
        </is>
      </c>
    </row>
    <row r="495" ht="22.35" customHeight="1" s="19">
      <c r="A495" s="25" t="n">
        <v>494</v>
      </c>
      <c r="B495" s="25" t="inlineStr">
        <is>
          <t>★★★★☆</t>
        </is>
      </c>
      <c r="C495" s="25" t="inlineStr">
        <is>
          <t>4 – Strong fit (electronics/signal/robotics/IoT/sensors)</t>
        </is>
      </c>
      <c r="D495" s="25" t="inlineStr">
        <is>
          <t>Signal / Image / Vision</t>
        </is>
      </c>
      <c r="E495" s="26" t="inlineStr">
        <is>
          <t>Master of science Mathematical Imaging and Spatial Pattern Analysis</t>
        </is>
      </c>
      <c r="F495" s="26" t="inlineStr">
        <is>
          <t>Master of science Mathematical Imaging and Spatial Pattern Analysis</t>
        </is>
      </c>
      <c r="G495" s="25" t="inlineStr">
        <is>
          <t>Master of Science (MSc)</t>
        </is>
      </c>
      <c r="H495" s="25" t="inlineStr">
        <is>
          <t>Ecole nationale supérieure des mines de Saint-Etienne</t>
        </is>
      </c>
      <c r="I495" s="25" t="n"/>
      <c r="J495" s="25" t="inlineStr">
        <is>
          <t>Site de Saint-Etienne</t>
        </is>
      </c>
      <c r="K495" s="25" t="n"/>
      <c r="L495" s="25" t="inlineStr">
        <is>
          <t>Public school / institute</t>
        </is>
      </c>
      <c r="M495" s="25" t="inlineStr">
        <is>
          <t>English</t>
        </is>
      </c>
      <c r="N495" s="25" t="inlineStr">
        <is>
          <t>Taught in English</t>
        </is>
      </c>
      <c r="O495" s="25" t="inlineStr">
        <is>
          <t>Bac +5</t>
        </is>
      </c>
      <c r="P495" s="26" t="inlineStr">
        <is>
          <t>Requires Bac+5 (Master) – likely not eligible; ask if 4-yr BS + experience accepted</t>
        </is>
      </c>
      <c r="Q495" s="25" t="inlineStr">
        <is>
          <t>2</t>
        </is>
      </c>
      <c r="R495" s="25" t="n"/>
      <c r="S495" s="27" t="n">
        <v>4150</v>
      </c>
      <c r="T495" s="27" t="n"/>
      <c r="U495" s="25" t="n">
        <v>1</v>
      </c>
      <c r="V495" s="27">
        <f>IF(S495="","",S495*U495)</f>
        <v/>
      </c>
      <c r="W495" s="26" t="inlineStr">
        <is>
          <t>Not in catalogue. Mastersportal lists €4,150/yr for Mines Saint-Étienne MSc (verify with school).</t>
        </is>
      </c>
      <c r="X495" s="25" t="inlineStr">
        <is>
          <t>Low</t>
        </is>
      </c>
      <c r="Y495" s="25" t="n"/>
      <c r="Z495" s="26" t="n"/>
      <c r="AA495" s="26" t="n"/>
      <c r="AB495" s="25" t="n"/>
      <c r="AC495" s="25" t="inlineStr">
        <is>
          <t>Open</t>
        </is>
      </c>
      <c r="AD495" s="25" t="inlineStr">
        <is>
          <t>2026-10-01</t>
        </is>
      </c>
      <c r="AE495" s="25" t="inlineStr">
        <is>
          <t>2027-03-15</t>
        </is>
      </c>
      <c r="AF495" s="25" t="inlineStr">
        <is>
          <t>Yes</t>
        </is>
      </c>
      <c r="AG495" s="28" t="inlineStr">
        <is>
          <t>https://www.mines-stetienne.fr/en/academic/msc-mathematical-imaging-and-spatial-pattern-analysis-mispa/</t>
        </is>
      </c>
      <c r="AH495" s="26" t="n"/>
      <c r="AI495" s="28" t="inlineStr">
        <is>
          <t>Open in EEF</t>
        </is>
      </c>
    </row>
    <row r="496" ht="22.35" customHeight="1" s="19">
      <c r="A496" s="25" t="n">
        <v>495</v>
      </c>
      <c r="B496" s="25" t="inlineStr">
        <is>
          <t>★★★★☆</t>
        </is>
      </c>
      <c r="C496" s="25" t="inlineStr">
        <is>
          <t>4 – Strong fit (electronics/signal/robotics/IoT/sensors)</t>
        </is>
      </c>
      <c r="D496" s="25" t="inlineStr">
        <is>
          <t>Embedded systems / Electronics</t>
        </is>
      </c>
      <c r="E496" s="26" t="inlineStr">
        <is>
          <t>Msc Hybrid Electronics</t>
        </is>
      </c>
      <c r="F496" s="26" t="inlineStr">
        <is>
          <t>Msc Hybrid Electronics</t>
        </is>
      </c>
      <c r="G496" s="25" t="inlineStr">
        <is>
          <t>Master indifférencié (recherche et professionnel)</t>
        </is>
      </c>
      <c r="H496" s="25" t="inlineStr">
        <is>
          <t>Ecole nationale supérieure des mines de Saint-Etienne</t>
        </is>
      </c>
      <c r="I496" s="25" t="n"/>
      <c r="J496" s="25" t="inlineStr">
        <is>
          <t>Campus Georges Charpak Provence</t>
        </is>
      </c>
      <c r="K496" s="25" t="n"/>
      <c r="L496" s="25" t="inlineStr">
        <is>
          <t>Public school / institute</t>
        </is>
      </c>
      <c r="M496" s="25" t="inlineStr">
        <is>
          <t>English</t>
        </is>
      </c>
      <c r="N496" s="25" t="inlineStr">
        <is>
          <t>Taught in English</t>
        </is>
      </c>
      <c r="O496" s="25" t="inlineStr">
        <is>
          <t>Bac +5</t>
        </is>
      </c>
      <c r="P496" s="26" t="inlineStr">
        <is>
          <t>Requires Bac+5 (Master) – likely not eligible; ask if 4-yr BS + experience accepted</t>
        </is>
      </c>
      <c r="Q496" s="25" t="inlineStr">
        <is>
          <t>2</t>
        </is>
      </c>
      <c r="R496" s="25" t="inlineStr">
        <is>
          <t>12</t>
        </is>
      </c>
      <c r="S496" s="27" t="n">
        <v>4150</v>
      </c>
      <c r="T496" s="27" t="n"/>
      <c r="U496" s="25" t="n">
        <v>1</v>
      </c>
      <c r="V496" s="27">
        <f>IF(S496="","",S496*U496)</f>
        <v/>
      </c>
      <c r="W496" s="26" t="inlineStr">
        <is>
          <t>Not in catalogue. Mastersportal lists €4,150/yr for Mines Saint-Étienne MSc (verify with school).</t>
        </is>
      </c>
      <c r="X496" s="25" t="inlineStr">
        <is>
          <t>Low</t>
        </is>
      </c>
      <c r="Y496" s="25" t="n"/>
      <c r="Z496" s="26" t="n"/>
      <c r="AA496" s="26" t="n"/>
      <c r="AB496" s="25" t="n"/>
      <c r="AC496" s="25" t="inlineStr">
        <is>
          <t>Open</t>
        </is>
      </c>
      <c r="AD496" s="25" t="inlineStr">
        <is>
          <t>2026-10-01</t>
        </is>
      </c>
      <c r="AE496" s="25" t="inlineStr">
        <is>
          <t>2027-03-15</t>
        </is>
      </c>
      <c r="AF496" s="25" t="inlineStr">
        <is>
          <t>Yes</t>
        </is>
      </c>
      <c r="AG496" s="25" t="n"/>
      <c r="AH496" s="26" t="n"/>
      <c r="AI496" s="28" t="inlineStr">
        <is>
          <t>Open in EEF</t>
        </is>
      </c>
    </row>
    <row r="497" ht="22.35" customHeight="1" s="19">
      <c r="A497" s="25" t="n">
        <v>496</v>
      </c>
      <c r="B497" s="25" t="inlineStr">
        <is>
          <t>★★★★☆</t>
        </is>
      </c>
      <c r="C497" s="25" t="inlineStr">
        <is>
          <t>4 – Strong fit (electronics/signal/robotics/IoT/sensors)</t>
        </is>
      </c>
      <c r="D497" s="25" t="inlineStr">
        <is>
          <t>Signal / Image / Vision</t>
        </is>
      </c>
      <c r="E497" s="26" t="inlineStr">
        <is>
          <t>Msc Mathematical Imaging and Spatial Pattern Analysis</t>
        </is>
      </c>
      <c r="F497" s="26" t="inlineStr">
        <is>
          <t>Msc Mathematical Imaging and Spatial Pattern Analysis</t>
        </is>
      </c>
      <c r="G497" s="25" t="inlineStr">
        <is>
          <t>Master indifférencié (recherche et professionnel)</t>
        </is>
      </c>
      <c r="H497" s="25" t="inlineStr">
        <is>
          <t>Ecole nationale supérieure des mines de Saint-Etienne</t>
        </is>
      </c>
      <c r="I497" s="25" t="n"/>
      <c r="J497" s="25" t="inlineStr">
        <is>
          <t>Site de Saint-Etienne</t>
        </is>
      </c>
      <c r="K497" s="25" t="n"/>
      <c r="L497" s="25" t="inlineStr">
        <is>
          <t>Public school / institute</t>
        </is>
      </c>
      <c r="M497" s="25" t="inlineStr">
        <is>
          <t>English</t>
        </is>
      </c>
      <c r="N497" s="25" t="inlineStr">
        <is>
          <t>Taught in English</t>
        </is>
      </c>
      <c r="O497" s="25" t="inlineStr">
        <is>
          <t>Bac +5</t>
        </is>
      </c>
      <c r="P497" s="26" t="inlineStr">
        <is>
          <t>Requires Bac+5 (Master) – likely not eligible; ask if 4-yr BS + experience accepted</t>
        </is>
      </c>
      <c r="Q497" s="25" t="inlineStr">
        <is>
          <t>2</t>
        </is>
      </c>
      <c r="R497" s="25" t="inlineStr">
        <is>
          <t>12</t>
        </is>
      </c>
      <c r="S497" s="27" t="n">
        <v>4150</v>
      </c>
      <c r="T497" s="27" t="n"/>
      <c r="U497" s="25" t="n">
        <v>1</v>
      </c>
      <c r="V497" s="27">
        <f>IF(S497="","",S497*U497)</f>
        <v/>
      </c>
      <c r="W497" s="26" t="inlineStr">
        <is>
          <t>Not in catalogue. Mastersportal lists €4,150/yr for Mines Saint-Étienne MSc (verify with school).</t>
        </is>
      </c>
      <c r="X497" s="25" t="inlineStr">
        <is>
          <t>Low</t>
        </is>
      </c>
      <c r="Y497" s="25" t="n"/>
      <c r="Z497" s="26" t="n"/>
      <c r="AA497" s="26" t="n"/>
      <c r="AB497" s="25" t="n"/>
      <c r="AC497" s="25" t="inlineStr">
        <is>
          <t>Open</t>
        </is>
      </c>
      <c r="AD497" s="25" t="inlineStr">
        <is>
          <t>2026-10-01</t>
        </is>
      </c>
      <c r="AE497" s="25" t="inlineStr">
        <is>
          <t>2027-03-15</t>
        </is>
      </c>
      <c r="AF497" s="25" t="inlineStr">
        <is>
          <t>Yes</t>
        </is>
      </c>
      <c r="AG497" s="28" t="inlineStr">
        <is>
          <t>http://www.mines-stetienne.fr/formation-mines-saint-etienne/</t>
        </is>
      </c>
      <c r="AH497" s="26" t="n"/>
      <c r="AI497" s="28" t="inlineStr">
        <is>
          <t>Open in EEF</t>
        </is>
      </c>
    </row>
    <row r="498" ht="32.8" customHeight="1" s="19">
      <c r="A498" s="25" t="n">
        <v>497</v>
      </c>
      <c r="B498" s="25" t="inlineStr">
        <is>
          <t>★★★★☆</t>
        </is>
      </c>
      <c r="C498" s="25" t="inlineStr">
        <is>
          <t>4 – Strong fit (electronics/signal/robotics/IoT/sensors)</t>
        </is>
      </c>
      <c r="D498" s="25" t="inlineStr">
        <is>
          <t>IoT / Telecom / Networks</t>
        </is>
      </c>
      <c r="E498" s="26" t="inlineStr">
        <is>
          <t>Diplôme d'ingénieur de l'Institut Mines Télécom Lille Douai (IMT Nord Europe)</t>
        </is>
      </c>
      <c r="F498" s="26" t="inlineStr">
        <is>
          <t>Engineering diploma of Institute Mines Télécom Lille Douai (IMT Nord Europe)</t>
        </is>
      </c>
      <c r="G498" s="25" t="inlineStr">
        <is>
          <t>Diplôme d'ingénieur</t>
        </is>
      </c>
      <c r="H498" s="25" t="inlineStr">
        <is>
          <t>IMT Nord Europe</t>
        </is>
      </c>
      <c r="I498" s="25" t="inlineStr">
        <is>
          <t>IMT Lille Douai</t>
        </is>
      </c>
      <c r="J498" s="25" t="inlineStr">
        <is>
          <t>IMT Nord Europe - Villeneuve d'Ascq Campus</t>
        </is>
      </c>
      <c r="K498" s="25" t="n"/>
      <c r="L498" s="25" t="inlineStr">
        <is>
          <t>Public school / institute</t>
        </is>
      </c>
      <c r="M498" s="25" t="inlineStr">
        <is>
          <t>French</t>
        </is>
      </c>
      <c r="N498" s="25" t="inlineStr">
        <is>
          <t>General</t>
        </is>
      </c>
      <c r="O498" s="25" t="inlineStr">
        <is>
          <t>Bac +1</t>
        </is>
      </c>
      <c r="P498" s="26" t="inlineStr">
        <is>
          <t>Entry is at undergraduate level (Bac+1/2) – not a fit for you</t>
        </is>
      </c>
      <c r="Q498" s="25" t="inlineStr">
        <is>
          <t>1</t>
        </is>
      </c>
      <c r="R498" s="25" t="n"/>
      <c r="S498" s="27" t="n">
        <v>4150</v>
      </c>
      <c r="T498" s="27" t="n"/>
      <c r="U498" s="25" t="n">
        <v>2</v>
      </c>
      <c r="V498" s="27">
        <f>IF(S498="","",S498*U498)</f>
        <v/>
      </c>
      <c r="W498" s="26" t="inlineStr">
        <is>
          <t>Catalogue fee €4,150/yr (entered by institution).</t>
        </is>
      </c>
      <c r="X498" s="25" t="inlineStr">
        <is>
          <t>High</t>
        </is>
      </c>
      <c r="Y498" s="25" t="inlineStr">
        <is>
          <t>4150</t>
        </is>
      </c>
      <c r="Z498" s="26" t="n"/>
      <c r="AA498" s="26" t="n"/>
      <c r="AB498" s="25" t="n"/>
      <c r="AC498" s="25" t="inlineStr">
        <is>
          <t>Open</t>
        </is>
      </c>
      <c r="AD498" s="25" t="inlineStr">
        <is>
          <t>2026-10-01</t>
        </is>
      </c>
      <c r="AE498" s="25" t="inlineStr">
        <is>
          <t>2027-03-15</t>
        </is>
      </c>
      <c r="AF498" s="25" t="inlineStr">
        <is>
          <t>Yes</t>
        </is>
      </c>
      <c r="AG498" s="28" t="inlineStr">
        <is>
          <t>https://imt-nord-europe.fr/annuaire-formations/ingenieur-generaliste/</t>
        </is>
      </c>
      <c r="AH498" s="26" t="inlineStr">
        <is>
          <t>Admission post-bac : le concours Geipi Polytech Bac Général 2022 s'adresse : aux élèves de Terminale Générale inscrits dans un lycée français ou un lycée homologué par l’AEFE. aux étudiants titulaires d'un Bac Général ob</t>
        </is>
      </c>
      <c r="AI498" s="28" t="inlineStr">
        <is>
          <t>Open in EEF</t>
        </is>
      </c>
    </row>
    <row r="499" ht="32.8" customHeight="1" s="19">
      <c r="A499" s="25" t="n">
        <v>498</v>
      </c>
      <c r="B499" s="25" t="inlineStr">
        <is>
          <t>★★★★☆</t>
        </is>
      </c>
      <c r="C499" s="25" t="inlineStr">
        <is>
          <t>4 – Strong fit (electronics/signal/robotics/IoT/sensors)</t>
        </is>
      </c>
      <c r="D499" s="25" t="inlineStr">
        <is>
          <t>Signal / Image / Vision</t>
        </is>
      </c>
      <c r="E499" s="26" t="inlineStr">
        <is>
          <t>Master indifférencié (recherche et professionnel) Sciences, technologies, santé mention optique, image, vision parcours Master of science Mathematical Imaging and Spatial Pattern Analysis</t>
        </is>
      </c>
      <c r="F499" s="26" t="inlineStr">
        <is>
          <t>Science, Technology, Health (STS) – major: Optics, Image, Vision – track: Master of Science Mathematical Imaging and Spatial Pattern Analysis</t>
        </is>
      </c>
      <c r="G499" s="25" t="inlineStr">
        <is>
          <t>Master indifférencié (recherche et professionnel)</t>
        </is>
      </c>
      <c r="H499" s="25" t="inlineStr">
        <is>
          <t>Ecole nationale supérieure des mines de Saint-Etienne</t>
        </is>
      </c>
      <c r="I499" s="25" t="n"/>
      <c r="J499" s="25" t="inlineStr">
        <is>
          <t>Site de Saint-Etienne</t>
        </is>
      </c>
      <c r="K499" s="25" t="n"/>
      <c r="L499" s="25" t="inlineStr">
        <is>
          <t>Public school / institute</t>
        </is>
      </c>
      <c r="M499" s="25" t="inlineStr">
        <is>
          <t>French</t>
        </is>
      </c>
      <c r="N499" s="25" t="inlineStr">
        <is>
          <t>General</t>
        </is>
      </c>
      <c r="O499" s="25" t="inlineStr">
        <is>
          <t>Bac +5</t>
        </is>
      </c>
      <c r="P499" s="26" t="inlineStr">
        <is>
          <t>Requires Bac+5 (Master) – likely not eligible; ask if 4-yr BS + experience accepted</t>
        </is>
      </c>
      <c r="Q499" s="25" t="inlineStr">
        <is>
          <t>2</t>
        </is>
      </c>
      <c r="R499" s="25" t="inlineStr">
        <is>
          <t>12</t>
        </is>
      </c>
      <c r="S499" s="27" t="n">
        <v>4150</v>
      </c>
      <c r="T499" s="27" t="n"/>
      <c r="U499" s="25" t="n">
        <v>1</v>
      </c>
      <c r="V499" s="27">
        <f>IF(S499="","",S499*U499)</f>
        <v/>
      </c>
      <c r="W499" s="26" t="inlineStr">
        <is>
          <t>Not in catalogue. Mastersportal lists €4,150/yr for Mines Saint-Étienne MSc (verify with school).</t>
        </is>
      </c>
      <c r="X499" s="25" t="inlineStr">
        <is>
          <t>Low</t>
        </is>
      </c>
      <c r="Y499" s="25" t="n"/>
      <c r="Z499" s="26" t="n"/>
      <c r="AA499" s="26" t="n"/>
      <c r="AB499" s="25" t="n"/>
      <c r="AC499" s="25" t="inlineStr">
        <is>
          <t>Open</t>
        </is>
      </c>
      <c r="AD499" s="25" t="inlineStr">
        <is>
          <t>2026-10-01</t>
        </is>
      </c>
      <c r="AE499" s="25" t="inlineStr">
        <is>
          <t>2027-03-15</t>
        </is>
      </c>
      <c r="AF499" s="25" t="inlineStr">
        <is>
          <t>Yes</t>
        </is>
      </c>
      <c r="AG499" s="28" t="inlineStr">
        <is>
          <t>http://www.mines-stetienne.fr/formation-mines-saint-etienne/</t>
        </is>
      </c>
      <c r="AH499" s="26" t="n"/>
      <c r="AI499" s="28" t="inlineStr">
        <is>
          <t>Open in EEF</t>
        </is>
      </c>
    </row>
    <row r="500" ht="22.35" customHeight="1" s="19">
      <c r="A500" s="25" t="n">
        <v>499</v>
      </c>
      <c r="B500" s="25" t="inlineStr">
        <is>
          <t>★★★★☆</t>
        </is>
      </c>
      <c r="C500" s="25" t="inlineStr">
        <is>
          <t>4 – Strong fit (electronics/signal/robotics/IoT/sensors)</t>
        </is>
      </c>
      <c r="D500" s="25" t="inlineStr">
        <is>
          <t>Embedded systems / Electronics</t>
        </is>
      </c>
      <c r="E500" s="26" t="inlineStr">
        <is>
          <t>Master recherche Sciences, technologies, santé mention micro et nanoélectronique parcours Master of Science Hybrid Electronics</t>
        </is>
      </c>
      <c r="F500" s="26" t="inlineStr">
        <is>
          <t>Research Master Science, Technology, Health (STS) – major: micro &amp; Nanoelectronics – track: Master of Science Hybrid Electronics</t>
        </is>
      </c>
      <c r="G500" s="25" t="inlineStr">
        <is>
          <t>Master recherche</t>
        </is>
      </c>
      <c r="H500" s="25" t="inlineStr">
        <is>
          <t>Ecole nationale supérieure des mines de Saint-Etienne</t>
        </is>
      </c>
      <c r="I500" s="25" t="n"/>
      <c r="J500" s="25" t="inlineStr">
        <is>
          <t>Site de Saint-Etienne</t>
        </is>
      </c>
      <c r="K500" s="25" t="n"/>
      <c r="L500" s="25" t="inlineStr">
        <is>
          <t>Public school / institute</t>
        </is>
      </c>
      <c r="M500" s="25" t="inlineStr">
        <is>
          <t>French</t>
        </is>
      </c>
      <c r="N500" s="25" t="inlineStr">
        <is>
          <t>General</t>
        </is>
      </c>
      <c r="O500" s="25" t="inlineStr">
        <is>
          <t>Bac +5</t>
        </is>
      </c>
      <c r="P500" s="26" t="inlineStr">
        <is>
          <t>Requires Bac+5 (Master) – likely not eligible; ask if 4-yr BS + experience accepted</t>
        </is>
      </c>
      <c r="Q500" s="25" t="inlineStr">
        <is>
          <t>2</t>
        </is>
      </c>
      <c r="R500" s="25" t="inlineStr">
        <is>
          <t>12</t>
        </is>
      </c>
      <c r="S500" s="27" t="n">
        <v>4150</v>
      </c>
      <c r="T500" s="27" t="n"/>
      <c r="U500" s="25" t="n">
        <v>1</v>
      </c>
      <c r="V500" s="27">
        <f>IF(S500="","",S500*U500)</f>
        <v/>
      </c>
      <c r="W500" s="26" t="inlineStr">
        <is>
          <t>Not in catalogue. Mastersportal lists €4,150/yr for Mines Saint-Étienne MSc (verify with school).</t>
        </is>
      </c>
      <c r="X500" s="25" t="inlineStr">
        <is>
          <t>Low</t>
        </is>
      </c>
      <c r="Y500" s="25" t="n"/>
      <c r="Z500" s="26" t="n"/>
      <c r="AA500" s="26" t="n"/>
      <c r="AB500" s="25" t="n"/>
      <c r="AC500" s="25" t="inlineStr">
        <is>
          <t>Open</t>
        </is>
      </c>
      <c r="AD500" s="25" t="inlineStr">
        <is>
          <t>2026-10-01</t>
        </is>
      </c>
      <c r="AE500" s="25" t="inlineStr">
        <is>
          <t>2027-03-15</t>
        </is>
      </c>
      <c r="AF500" s="25" t="inlineStr">
        <is>
          <t>Yes</t>
        </is>
      </c>
      <c r="AG500" s="28" t="inlineStr">
        <is>
          <t>http://www.mines-stetienne.fr/formation-mines-saint-etienne/</t>
        </is>
      </c>
      <c r="AH500" s="26" t="n"/>
      <c r="AI500" s="28" t="inlineStr">
        <is>
          <t>Open in EEF</t>
        </is>
      </c>
    </row>
    <row r="501" ht="32.8" customHeight="1" s="19">
      <c r="A501" s="25" t="n">
        <v>500</v>
      </c>
      <c r="B501" s="25" t="inlineStr">
        <is>
          <t>★★★★☆</t>
        </is>
      </c>
      <c r="C501" s="25" t="inlineStr">
        <is>
          <t>4 – Strong fit (electronics/signal/robotics/IoT/sensors)</t>
        </is>
      </c>
      <c r="D501" s="25" t="inlineStr">
        <is>
          <t>Embedded systems / Electronics</t>
        </is>
      </c>
      <c r="E501" s="26" t="inlineStr">
        <is>
          <t>Master Sciences, technologies, santé mention information, systèmes et technologie spécialité électronique pour les télécoms et les microcapteurs</t>
        </is>
      </c>
      <c r="F501" s="26" t="inlineStr">
        <is>
          <t>Master Science, Technology, Health (STS) – major: Information, Systems &amp; Technology – specialisation: Electronics for the télécoms &amp; the Microsensors</t>
        </is>
      </c>
      <c r="G501" s="25" t="inlineStr">
        <is>
          <t>Master indifférencié (recherche et professionnel)</t>
        </is>
      </c>
      <c r="H501" s="25" t="inlineStr">
        <is>
          <t>Ecole nationale supérieure de techniques avancées</t>
        </is>
      </c>
      <c r="I501" s="25" t="n"/>
      <c r="J501" s="25" t="inlineStr">
        <is>
          <t>Site de Palaiseau</t>
        </is>
      </c>
      <c r="K501" s="25" t="n"/>
      <c r="L501" s="25" t="inlineStr">
        <is>
          <t>Public school / institute</t>
        </is>
      </c>
      <c r="M501" s="25" t="inlineStr">
        <is>
          <t>French</t>
        </is>
      </c>
      <c r="N501" s="25" t="inlineStr">
        <is>
          <t>General</t>
        </is>
      </c>
      <c r="O501" s="25" t="inlineStr">
        <is>
          <t>Bac +5</t>
        </is>
      </c>
      <c r="P501" s="26" t="inlineStr">
        <is>
          <t>Requires Bac+5 (Master) – likely not eligible; ask if 4-yr BS + experience accepted</t>
        </is>
      </c>
      <c r="Q501" s="25" t="inlineStr">
        <is>
          <t>2</t>
        </is>
      </c>
      <c r="R501" s="25" t="n"/>
      <c r="S501" s="27" t="n">
        <v>4317</v>
      </c>
      <c r="T501" s="27" t="n"/>
      <c r="U501" s="25" t="n">
        <v>1</v>
      </c>
      <c r="V501" s="27">
        <f>IF(S501="","",S501*U501)</f>
        <v/>
      </c>
      <c r="W501" s="26" t="inlineStr">
        <is>
          <t>Not in catalogue. IP Paris 2026-27: national master €4,317 non-EU (international-track masters €7,148).</t>
        </is>
      </c>
      <c r="X501" s="25" t="inlineStr">
        <is>
          <t>High</t>
        </is>
      </c>
      <c r="Y501" s="25" t="n"/>
      <c r="Z501" s="26" t="n"/>
      <c r="AA501" s="26" t="n"/>
      <c r="AB501" s="25" t="n"/>
      <c r="AC501" s="25" t="inlineStr">
        <is>
          <t>Closed</t>
        </is>
      </c>
      <c r="AD501" s="25" t="n"/>
      <c r="AE501" s="25" t="n"/>
      <c r="AF501" s="25" t="inlineStr">
        <is>
          <t>No</t>
        </is>
      </c>
      <c r="AG501" s="28" t="inlineStr">
        <is>
          <t>http://www.ensta-paristech.fr</t>
        </is>
      </c>
      <c r="AH501" s="26" t="n"/>
      <c r="AI501" s="28" t="inlineStr">
        <is>
          <t>Open in EEF</t>
        </is>
      </c>
    </row>
    <row r="502" ht="32.8" customHeight="1" s="19">
      <c r="A502" s="25" t="n">
        <v>501</v>
      </c>
      <c r="B502" s="25" t="inlineStr">
        <is>
          <t>★★★★☆</t>
        </is>
      </c>
      <c r="C502" s="25" t="inlineStr">
        <is>
          <t>4 – Strong fit (electronics/signal/robotics/IoT/sensors)</t>
        </is>
      </c>
      <c r="D502" s="25" t="inlineStr">
        <is>
          <t>IoT / Telecom / Networks</t>
        </is>
      </c>
      <c r="E502" s="26" t="inlineStr">
        <is>
          <t>Master's degree in Telecommunications and Networks</t>
        </is>
      </c>
      <c r="F502" s="26" t="inlineStr">
        <is>
          <t>Master's degree in Telecommunications and Networks</t>
        </is>
      </c>
      <c r="G502" s="25" t="inlineStr">
        <is>
          <t>Master indifférencié (recherche et professionnel)</t>
        </is>
      </c>
      <c r="H502" s="25" t="inlineStr">
        <is>
          <t>Conservatoire national des arts et métiers - CNAM</t>
        </is>
      </c>
      <c r="I502" s="25" t="n"/>
      <c r="J502" s="25" t="inlineStr">
        <is>
          <t>Cnam Etablissement Public - EPN3 Electronics, Electrical engineering, Applied physics</t>
        </is>
      </c>
      <c r="K502" s="25" t="n"/>
      <c r="L502" s="25" t="inlineStr">
        <is>
          <t>Public school / institute</t>
        </is>
      </c>
      <c r="M502" s="25" t="inlineStr">
        <is>
          <t>English</t>
        </is>
      </c>
      <c r="N502" s="25" t="inlineStr">
        <is>
          <t>Taught in English</t>
        </is>
      </c>
      <c r="O502" s="25" t="inlineStr">
        <is>
          <t>Bac +5</t>
        </is>
      </c>
      <c r="P502" s="26" t="inlineStr">
        <is>
          <t>Requires Bac+5 (Master) – likely not eligible; ask if 4-yr BS + experience accepted</t>
        </is>
      </c>
      <c r="Q502" s="25" t="inlineStr">
        <is>
          <t>2</t>
        </is>
      </c>
      <c r="R502" s="25" t="n"/>
      <c r="S502" s="27" t="n">
        <v>6000</v>
      </c>
      <c r="T502" s="27" t="n"/>
      <c r="U502" s="25" t="n">
        <v>1</v>
      </c>
      <c r="V502" s="27">
        <f>IF(S502="","",S502*U502)</f>
        <v/>
      </c>
      <c r="W502" s="26" t="inlineStr">
        <is>
          <t>Catalogue fee €6,000/yr (entered by institution).</t>
        </is>
      </c>
      <c r="X502" s="25" t="inlineStr">
        <is>
          <t>High</t>
        </is>
      </c>
      <c r="Y502" s="25" t="inlineStr">
        <is>
          <t>6000</t>
        </is>
      </c>
      <c r="Z502" s="26" t="n"/>
      <c r="AA502" s="26" t="n"/>
      <c r="AB502" s="25" t="n"/>
      <c r="AC502" s="25" t="inlineStr">
        <is>
          <t>Open</t>
        </is>
      </c>
      <c r="AD502" s="25" t="inlineStr">
        <is>
          <t>2026-10-01</t>
        </is>
      </c>
      <c r="AE502" s="25" t="inlineStr">
        <is>
          <t>2027-03-15</t>
        </is>
      </c>
      <c r="AF502" s="25" t="inlineStr">
        <is>
          <t>Yes</t>
        </is>
      </c>
      <c r="AG502" s="28" t="inlineStr">
        <is>
          <t>https://eeap.cnam.fr</t>
        </is>
      </c>
      <c r="AH502" s="26" t="inlineStr">
        <is>
          <t>This program is aimed at graduates with a Bachelor of Science or equivalent degree obtained after 4 years' higher education in Telecommunications and Networks. Application procedure opens from early April to late June. A</t>
        </is>
      </c>
      <c r="AI502" s="28" t="inlineStr">
        <is>
          <t>Open in EEF</t>
        </is>
      </c>
    </row>
    <row r="503" ht="22.35" customHeight="1" s="19">
      <c r="A503" s="25" t="n">
        <v>502</v>
      </c>
      <c r="B503" s="25" t="inlineStr">
        <is>
          <t>★★★★☆</t>
        </is>
      </c>
      <c r="C503" s="25" t="inlineStr">
        <is>
          <t>4 – Strong fit (electronics/signal/robotics/IoT/sensors)</t>
        </is>
      </c>
      <c r="D503" s="25" t="inlineStr">
        <is>
          <t>IoT / Telecom / Networks</t>
        </is>
      </c>
      <c r="E503" s="26" t="inlineStr">
        <is>
          <t>Master indifférencié (recherche et professionnel) Master of Science Radio and Telecommunication Systems</t>
        </is>
      </c>
      <c r="F503" s="26" t="inlineStr">
        <is>
          <t>Master of Science Radio and Telecommunication Systems</t>
        </is>
      </c>
      <c r="G503" s="25" t="inlineStr">
        <is>
          <t>Master indifférencié (recherche et professionnel)</t>
        </is>
      </c>
      <c r="H503" s="25" t="inlineStr">
        <is>
          <t>ENS d'électronique, informatique, télécommunications, mathématiques et mécanique de Bordeaux</t>
        </is>
      </c>
      <c r="I503" s="25" t="inlineStr">
        <is>
          <t>Institut national polytechnique de Bordeaux</t>
        </is>
      </c>
      <c r="J503" s="25" t="inlineStr">
        <is>
          <t>Site de Talence</t>
        </is>
      </c>
      <c r="K503" s="25" t="n"/>
      <c r="L503" s="25" t="inlineStr">
        <is>
          <t>Public school / institute</t>
        </is>
      </c>
      <c r="M503" s="25" t="inlineStr">
        <is>
          <t>English</t>
        </is>
      </c>
      <c r="N503" s="25" t="inlineStr">
        <is>
          <t>Taught in English</t>
        </is>
      </c>
      <c r="O503" s="25" t="inlineStr">
        <is>
          <t>Bac +5</t>
        </is>
      </c>
      <c r="P503" s="26" t="inlineStr">
        <is>
          <t>Requires Bac+5 (Master) – likely not eligible; ask if 4-yr BS + experience accepted</t>
        </is>
      </c>
      <c r="Q503" s="25" t="inlineStr">
        <is>
          <t>5</t>
        </is>
      </c>
      <c r="R503" s="25" t="inlineStr">
        <is>
          <t>12</t>
        </is>
      </c>
      <c r="S503" s="27" t="n">
        <v>7300</v>
      </c>
      <c r="T503" s="27" t="n"/>
      <c r="U503" s="25" t="n">
        <v>1</v>
      </c>
      <c r="V503" s="27">
        <f>IF(S503="","",S503*U503)</f>
        <v/>
      </c>
      <c r="W503" s="26" t="inlineStr">
        <is>
          <t>Catalogue fee €7,300/yr (entered by institution).</t>
        </is>
      </c>
      <c r="X503" s="25" t="inlineStr">
        <is>
          <t>High</t>
        </is>
      </c>
      <c r="Y503" s="25" t="inlineStr">
        <is>
          <t>7300</t>
        </is>
      </c>
      <c r="Z503" s="26" t="n"/>
      <c r="AA503" s="26" t="n"/>
      <c r="AB503" s="25" t="n"/>
      <c r="AC503" s="25" t="inlineStr">
        <is>
          <t>Open</t>
        </is>
      </c>
      <c r="AD503" s="25" t="inlineStr">
        <is>
          <t>2026-10-01</t>
        </is>
      </c>
      <c r="AE503" s="25" t="inlineStr">
        <is>
          <t>2027-03-15</t>
        </is>
      </c>
      <c r="AF503" s="25" t="inlineStr">
        <is>
          <t>No</t>
        </is>
      </c>
      <c r="AG503" s="28" t="inlineStr">
        <is>
          <t>http://www.enseirb-matmeca.fr</t>
        </is>
      </c>
      <c r="AH503" s="26" t="inlineStr">
        <is>
          <t>Good knowledge and skills in analog and digital electronics.</t>
        </is>
      </c>
      <c r="AI503" s="28" t="inlineStr">
        <is>
          <t>Open in EEF</t>
        </is>
      </c>
    </row>
    <row r="504" ht="32.8" customHeight="1" s="19">
      <c r="A504" s="25" t="n">
        <v>503</v>
      </c>
      <c r="B504" s="25" t="inlineStr">
        <is>
          <t>★★★★☆</t>
        </is>
      </c>
      <c r="C504" s="25" t="inlineStr">
        <is>
          <t>4 – Strong fit (electronics/signal/robotics/IoT/sensors)</t>
        </is>
      </c>
      <c r="D504" s="25" t="inlineStr">
        <is>
          <t>Embedded systems / Electronics</t>
        </is>
      </c>
      <c r="E504" s="26" t="inlineStr">
        <is>
          <t>Cycle préparatoire intégré Informatique &amp; Electronique ESEO</t>
        </is>
      </c>
      <c r="F504" s="26" t="inlineStr">
        <is>
          <t>cycle Preparatory Integrated Computer Science &amp; Electronics ESEO</t>
        </is>
      </c>
      <c r="G504" s="25" t="inlineStr">
        <is>
          <t>Diplôme d'ingénieur</t>
        </is>
      </c>
      <c r="H504" s="25" t="inlineStr">
        <is>
          <t>ESEO</t>
        </is>
      </c>
      <c r="I504" s="25" t="n"/>
      <c r="J504" s="25" t="inlineStr">
        <is>
          <t>ESEO site d'Angers</t>
        </is>
      </c>
      <c r="K504" s="25" t="inlineStr">
        <is>
          <t>49100 Angers</t>
        </is>
      </c>
      <c r="L504" s="25" t="inlineStr">
        <is>
          <t>Private / EESPIG</t>
        </is>
      </c>
      <c r="M504" s="25" t="inlineStr">
        <is>
          <t>French</t>
        </is>
      </c>
      <c r="N504" s="25" t="inlineStr">
        <is>
          <t>General</t>
        </is>
      </c>
      <c r="O504" s="25" t="inlineStr">
        <is>
          <t>Bac +1 / Bac +2</t>
        </is>
      </c>
      <c r="P504" s="26" t="inlineStr">
        <is>
          <t>Entry is at undergraduate level (Bac+1/2) – not a fit for you</t>
        </is>
      </c>
      <c r="Q504" s="25" t="inlineStr">
        <is>
          <t>1/2</t>
        </is>
      </c>
      <c r="R504" s="25" t="n"/>
      <c r="S504" s="27" t="n">
        <v>7550</v>
      </c>
      <c r="T504" s="27" t="n"/>
      <c r="U504" s="25" t="n">
        <v>2</v>
      </c>
      <c r="V504" s="27">
        <f>IF(S504="","",S504*U504)</f>
        <v/>
      </c>
      <c r="W504" s="26" t="inlineStr">
        <is>
          <t>Catalogue fee €7,550/yr (entered by institution).</t>
        </is>
      </c>
      <c r="X504" s="25" t="inlineStr">
        <is>
          <t>High</t>
        </is>
      </c>
      <c r="Y504" s="25" t="inlineStr">
        <is>
          <t>7550</t>
        </is>
      </c>
      <c r="Z504" s="26" t="n"/>
      <c r="AA504" s="26" t="n"/>
      <c r="AB504" s="25" t="n"/>
      <c r="AC504" s="25" t="inlineStr">
        <is>
          <t>Open</t>
        </is>
      </c>
      <c r="AD504" s="25" t="inlineStr">
        <is>
          <t>2026-10-01</t>
        </is>
      </c>
      <c r="AE504" s="25" t="inlineStr">
        <is>
          <t>2027-03-15</t>
        </is>
      </c>
      <c r="AF504" s="25" t="inlineStr">
        <is>
          <t>No</t>
        </is>
      </c>
      <c r="AG504" s="28" t="inlineStr">
        <is>
          <t>https://www.eseo.fr/formations/prepa-ingenieur-informatique-electronique/</t>
        </is>
      </c>
      <c r="AH504" s="26" t="inlineStr">
        <is>
          <t>Cette formation s’adresse aux candidats internationaux ayant un profil scientifique ou technologique , qui souhaitent se préparer à la poursuite d’études dans le domaine du numérique, notamment en informatique et en élec</t>
        </is>
      </c>
      <c r="AI504" s="28" t="inlineStr">
        <is>
          <t>Open in EEF</t>
        </is>
      </c>
    </row>
    <row r="505" ht="32.8" customHeight="1" s="19">
      <c r="A505" s="25" t="n">
        <v>504</v>
      </c>
      <c r="B505" s="25" t="inlineStr">
        <is>
          <t>★★★★☆</t>
        </is>
      </c>
      <c r="C505" s="25" t="inlineStr">
        <is>
          <t>4 – Strong fit (electronics/signal/robotics/IoT/sensors)</t>
        </is>
      </c>
      <c r="D505" s="25" t="inlineStr">
        <is>
          <t>Embedded systems / Electronics</t>
        </is>
      </c>
      <c r="E505" s="26" t="inlineStr">
        <is>
          <t>Cycle préparatoire intégré Informatique &amp; Electronique ESEO</t>
        </is>
      </c>
      <c r="F505" s="26" t="inlineStr">
        <is>
          <t>cycle Preparatory Integrated Computer Science &amp; Electronics ESEO</t>
        </is>
      </c>
      <c r="G505" s="25" t="inlineStr">
        <is>
          <t>Diplôme d'ingénieur</t>
        </is>
      </c>
      <c r="H505" s="25" t="inlineStr">
        <is>
          <t>ESEO</t>
        </is>
      </c>
      <c r="I505" s="25" t="n"/>
      <c r="J505" s="25" t="inlineStr">
        <is>
          <t>ESEO site de Dijon</t>
        </is>
      </c>
      <c r="K505" s="25" t="inlineStr">
        <is>
          <t>21000 Dijon</t>
        </is>
      </c>
      <c r="L505" s="25" t="inlineStr">
        <is>
          <t>Private / EESPIG</t>
        </is>
      </c>
      <c r="M505" s="25" t="inlineStr">
        <is>
          <t>French</t>
        </is>
      </c>
      <c r="N505" s="25" t="inlineStr">
        <is>
          <t>General</t>
        </is>
      </c>
      <c r="O505" s="25" t="inlineStr">
        <is>
          <t>Bac +1 / Bac +2</t>
        </is>
      </c>
      <c r="P505" s="26" t="inlineStr">
        <is>
          <t>Entry is at undergraduate level (Bac+1/2) – not a fit for you</t>
        </is>
      </c>
      <c r="Q505" s="25" t="inlineStr">
        <is>
          <t>1/2</t>
        </is>
      </c>
      <c r="R505" s="25" t="inlineStr">
        <is>
          <t>12</t>
        </is>
      </c>
      <c r="S505" s="27" t="n">
        <v>7550</v>
      </c>
      <c r="T505" s="27" t="n"/>
      <c r="U505" s="25" t="n">
        <v>2</v>
      </c>
      <c r="V505" s="27">
        <f>IF(S505="","",S505*U505)</f>
        <v/>
      </c>
      <c r="W505" s="26" t="inlineStr">
        <is>
          <t>Catalogue fee €7,550/yr (entered by institution).</t>
        </is>
      </c>
      <c r="X505" s="25" t="inlineStr">
        <is>
          <t>High</t>
        </is>
      </c>
      <c r="Y505" s="25" t="inlineStr">
        <is>
          <t>7550</t>
        </is>
      </c>
      <c r="Z505" s="26" t="n"/>
      <c r="AA505" s="26" t="n"/>
      <c r="AB505" s="25" t="n"/>
      <c r="AC505" s="25" t="inlineStr">
        <is>
          <t>Open</t>
        </is>
      </c>
      <c r="AD505" s="25" t="inlineStr">
        <is>
          <t>2026-10-01</t>
        </is>
      </c>
      <c r="AE505" s="25" t="inlineStr">
        <is>
          <t>2027-03-15</t>
        </is>
      </c>
      <c r="AF505" s="25" t="inlineStr">
        <is>
          <t>No</t>
        </is>
      </c>
      <c r="AG505" s="28" t="inlineStr">
        <is>
          <t>https://www.eseo.fr/formations/prepa-ingenieur-informatique-electronique/</t>
        </is>
      </c>
      <c r="AH505" s="26" t="inlineStr">
        <is>
          <t>Cette formation s’adresse aux candidats internationaux ayant un profil scientifique ou technologique , qui souhaitent se préparer à la poursuite d’études dans le domaine du numérique, notamment en informatique et en élec</t>
        </is>
      </c>
      <c r="AI505" s="28" t="inlineStr">
        <is>
          <t>Open in EEF</t>
        </is>
      </c>
    </row>
    <row r="506" ht="32.8" customHeight="1" s="19">
      <c r="A506" s="25" t="n">
        <v>505</v>
      </c>
      <c r="B506" s="25" t="inlineStr">
        <is>
          <t>★★★★☆</t>
        </is>
      </c>
      <c r="C506" s="25" t="inlineStr">
        <is>
          <t>4 – Strong fit (electronics/signal/robotics/IoT/sensors)</t>
        </is>
      </c>
      <c r="D506" s="25" t="inlineStr">
        <is>
          <t>Embedded systems / Electronics</t>
        </is>
      </c>
      <c r="E506" s="26" t="inlineStr">
        <is>
          <t>Cycle préparatoire intégré Informatique &amp; Electronique ESEO</t>
        </is>
      </c>
      <c r="F506" s="26" t="inlineStr">
        <is>
          <t>cycle Preparatory Integrated Computer Science &amp; Electronics ESEO</t>
        </is>
      </c>
      <c r="G506" s="25" t="inlineStr">
        <is>
          <t>Diplôme d'ingénieur</t>
        </is>
      </c>
      <c r="H506" s="25" t="inlineStr">
        <is>
          <t>ESEO</t>
        </is>
      </c>
      <c r="I506" s="25" t="n"/>
      <c r="J506" s="25" t="inlineStr">
        <is>
          <t>ESEO site de Paris-Vélizy</t>
        </is>
      </c>
      <c r="K506" s="25" t="inlineStr">
        <is>
          <t>78140 Vélizy-Villacoublay</t>
        </is>
      </c>
      <c r="L506" s="25" t="inlineStr">
        <is>
          <t>Private / EESPIG</t>
        </is>
      </c>
      <c r="M506" s="25" t="inlineStr">
        <is>
          <t>French</t>
        </is>
      </c>
      <c r="N506" s="25" t="inlineStr">
        <is>
          <t>General</t>
        </is>
      </c>
      <c r="O506" s="25" t="inlineStr">
        <is>
          <t>Bac +1 / Bac +2</t>
        </is>
      </c>
      <c r="P506" s="26" t="inlineStr">
        <is>
          <t>Entry is at undergraduate level (Bac+1/2) – not a fit for you</t>
        </is>
      </c>
      <c r="Q506" s="25" t="inlineStr">
        <is>
          <t>1/2</t>
        </is>
      </c>
      <c r="R506" s="25" t="inlineStr">
        <is>
          <t>12</t>
        </is>
      </c>
      <c r="S506" s="27" t="n">
        <v>8600</v>
      </c>
      <c r="T506" s="27" t="n"/>
      <c r="U506" s="25" t="n">
        <v>2</v>
      </c>
      <c r="V506" s="27">
        <f>IF(S506="","",S506*U506)</f>
        <v/>
      </c>
      <c r="W506" s="26" t="inlineStr">
        <is>
          <t>Catalogue fee €8,600/yr (entered by institution).</t>
        </is>
      </c>
      <c r="X506" s="25" t="inlineStr">
        <is>
          <t>High</t>
        </is>
      </c>
      <c r="Y506" s="25" t="inlineStr">
        <is>
          <t>8600</t>
        </is>
      </c>
      <c r="Z506" s="26" t="n"/>
      <c r="AA506" s="26" t="n"/>
      <c r="AB506" s="25" t="n"/>
      <c r="AC506" s="25" t="inlineStr">
        <is>
          <t>Open</t>
        </is>
      </c>
      <c r="AD506" s="25" t="inlineStr">
        <is>
          <t>2026-10-01</t>
        </is>
      </c>
      <c r="AE506" s="25" t="inlineStr">
        <is>
          <t>2027-03-15</t>
        </is>
      </c>
      <c r="AF506" s="25" t="inlineStr">
        <is>
          <t>No</t>
        </is>
      </c>
      <c r="AG506" s="28" t="inlineStr">
        <is>
          <t>https://www.eseo.fr/formations/prepa-ingenieur-informatique-electronique/</t>
        </is>
      </c>
      <c r="AH506" s="26" t="inlineStr">
        <is>
          <t>Cette formation s’adresse aux candidats internationaux ayant un profil scientifique ou technologique , qui souhaitent se préparer à la poursuite d’études dans le domaine du numérique, notamment en informatique et en élec</t>
        </is>
      </c>
      <c r="AI506" s="28" t="inlineStr">
        <is>
          <t>Open in EEF</t>
        </is>
      </c>
    </row>
    <row r="507" ht="32.8" customHeight="1" s="19">
      <c r="A507" s="25" t="n">
        <v>506</v>
      </c>
      <c r="B507" s="25" t="inlineStr">
        <is>
          <t>★★★★☆</t>
        </is>
      </c>
      <c r="C507" s="25" t="inlineStr">
        <is>
          <t>4 – Strong fit (electronics/signal/robotics/IoT/sensors)</t>
        </is>
      </c>
      <c r="D507" s="25" t="inlineStr">
        <is>
          <t>Robotics / Automation / Mechatronics</t>
        </is>
      </c>
      <c r="E507" s="26" t="inlineStr">
        <is>
          <t>Diplôme d'ingénieur Diplôme d'ingénieur franco-allemand en production et automatisation</t>
        </is>
      </c>
      <c r="F507" s="26" t="inlineStr">
        <is>
          <t>Engineering diploma Engineering diploma franco-allemand in Production &amp; Automation</t>
        </is>
      </c>
      <c r="G507" s="25" t="inlineStr">
        <is>
          <t>Diplôme d'ingénieur</t>
        </is>
      </c>
      <c r="H507" s="25" t="inlineStr">
        <is>
          <t>EPF école d'ingénieurs généralistes - site de Paris-Cachan</t>
        </is>
      </c>
      <c r="I507" s="25" t="inlineStr">
        <is>
          <t>EPF, ENGINEERING SCHOOL</t>
        </is>
      </c>
      <c r="J507" s="25" t="inlineStr">
        <is>
          <t>Campus de Paris Cachan</t>
        </is>
      </c>
      <c r="K507" s="25" t="inlineStr">
        <is>
          <t>94230 Cachan- FRANCE</t>
        </is>
      </c>
      <c r="L507" s="25" t="inlineStr">
        <is>
          <t>Private / EESPIG</t>
        </is>
      </c>
      <c r="M507" s="25" t="inlineStr">
        <is>
          <t>n/a</t>
        </is>
      </c>
      <c r="N507" s="25" t="inlineStr">
        <is>
          <t>General</t>
        </is>
      </c>
      <c r="O507" s="25" t="inlineStr">
        <is>
          <t>Bac +1</t>
        </is>
      </c>
      <c r="P507" s="26" t="inlineStr">
        <is>
          <t>Entry is at undergraduate level (Bac+1/2) – not a fit for you</t>
        </is>
      </c>
      <c r="Q507" s="25" t="inlineStr">
        <is>
          <t>1</t>
        </is>
      </c>
      <c r="R507" s="25" t="inlineStr">
        <is>
          <t>12</t>
        </is>
      </c>
      <c r="S507" s="27" t="n">
        <v>9880</v>
      </c>
      <c r="T507" s="27" t="n"/>
      <c r="U507" s="25" t="n">
        <v>2</v>
      </c>
      <c r="V507" s="27">
        <f>IF(S507="","",S507*U507)</f>
        <v/>
      </c>
      <c r="W507" s="26" t="inlineStr">
        <is>
          <t>Catalogue fee €9,880/yr (entered by institution).</t>
        </is>
      </c>
      <c r="X507" s="25" t="inlineStr">
        <is>
          <t>High</t>
        </is>
      </c>
      <c r="Y507" s="25" t="inlineStr">
        <is>
          <t>9880</t>
        </is>
      </c>
      <c r="Z507" s="26" t="n"/>
      <c r="AA507" s="26" t="n"/>
      <c r="AB507" s="25" t="n"/>
      <c r="AC507" s="25" t="inlineStr">
        <is>
          <t>Open</t>
        </is>
      </c>
      <c r="AD507" s="25" t="inlineStr">
        <is>
          <t>2026-10-01</t>
        </is>
      </c>
      <c r="AE507" s="25" t="inlineStr">
        <is>
          <t>2027-03-15</t>
        </is>
      </c>
      <c r="AF507" s="25" t="inlineStr">
        <is>
          <t>Yes</t>
        </is>
      </c>
      <c r="AG507" s="28" t="inlineStr">
        <is>
          <t>https://www.epf.fr/formations/diplome-ingenieur-franco-allemand</t>
        </is>
      </c>
      <c r="AH507" s="26" t="inlineStr">
        <is>
          <t>Seul diplôme binational accrédité par la CTI en France et l'ASIN en Allemagne , devenez ingénieur trilingue (français, allemand, anglais) spécialiste de la production et de l'automatisation. En alternance géographique en</t>
        </is>
      </c>
      <c r="AI507" s="28" t="inlineStr">
        <is>
          <t>Open in EEF</t>
        </is>
      </c>
    </row>
    <row r="508" ht="43.25" customHeight="1" s="19">
      <c r="A508" s="25" t="n">
        <v>507</v>
      </c>
      <c r="B508" s="25" t="inlineStr">
        <is>
          <t>★★★★☆</t>
        </is>
      </c>
      <c r="C508" s="25" t="inlineStr">
        <is>
          <t>4 – Strong fit (electronics/signal/robotics/IoT/sensors)</t>
        </is>
      </c>
      <c r="D508" s="25" t="inlineStr">
        <is>
          <t>Electrical energy</t>
        </is>
      </c>
      <c r="E508" s="26" t="inlineStr">
        <is>
          <t>Master 2 in Electrical Energy</t>
        </is>
      </c>
      <c r="F508" s="26" t="inlineStr">
        <is>
          <t>Master 2 in Electrical Energy</t>
        </is>
      </c>
      <c r="G508" s="25" t="inlineStr">
        <is>
          <t>Master indifférencié (recherche et professionnel)</t>
        </is>
      </c>
      <c r="H508" s="25" t="inlineStr">
        <is>
          <t>Polytech Nantes</t>
        </is>
      </c>
      <c r="I508" s="25" t="inlineStr">
        <is>
          <t>Groupement Polytech</t>
        </is>
      </c>
      <c r="J508" s="25" t="inlineStr">
        <is>
          <t>Masters Internationaux Polytech</t>
        </is>
      </c>
      <c r="K508" s="25" t="inlineStr">
        <is>
          <t>50609</t>
        </is>
      </c>
      <c r="L508" s="25" t="inlineStr">
        <is>
          <t>Public school / institute</t>
        </is>
      </c>
      <c r="M508" s="25" t="inlineStr">
        <is>
          <t>English</t>
        </is>
      </c>
      <c r="N508" s="25" t="inlineStr">
        <is>
          <t>Taught in English</t>
        </is>
      </c>
      <c r="O508" s="25" t="inlineStr">
        <is>
          <t>Bac +5</t>
        </is>
      </c>
      <c r="P508" s="26" t="inlineStr">
        <is>
          <t>Requires Bac+5 (Master) – likely not eligible; ask if 4-yr BS + experience accepted</t>
        </is>
      </c>
      <c r="Q508" s="25" t="inlineStr">
        <is>
          <t>2</t>
        </is>
      </c>
      <c r="R508" s="25" t="n"/>
      <c r="S508" s="27" t="n">
        <v>12000</v>
      </c>
      <c r="T508" s="27" t="n"/>
      <c r="U508" s="25" t="n">
        <v>1</v>
      </c>
      <c r="V508" s="27">
        <f>IF(S508="","",S508*U508)</f>
        <v/>
      </c>
      <c r="W508" s="26" t="inlineStr">
        <is>
          <t>Catalogue fee €12,000/yr (entered by institution).</t>
        </is>
      </c>
      <c r="X508" s="25" t="inlineStr">
        <is>
          <t>High</t>
        </is>
      </c>
      <c r="Y508" s="25" t="inlineStr">
        <is>
          <t>12000</t>
        </is>
      </c>
      <c r="Z508" s="26" t="inlineStr">
        <is>
          <t>COSTS: 12000€: tuition fees - International Master programs 10500€: early bird (students paying 1500€ of confirmatio … n fees before April the 30th) 0€: students holding a Eiffel Excellence Scolarship 6000€: students ho</t>
        </is>
      </c>
      <c r="AA508" s="26" t="n"/>
      <c r="AB508" s="25" t="n"/>
      <c r="AC508" s="25" t="inlineStr">
        <is>
          <t>Open</t>
        </is>
      </c>
      <c r="AD508" s="25" t="inlineStr">
        <is>
          <t>2026-10-01</t>
        </is>
      </c>
      <c r="AE508" s="25" t="inlineStr">
        <is>
          <t>2027-03-15</t>
        </is>
      </c>
      <c r="AF508" s="25" t="inlineStr">
        <is>
          <t>No</t>
        </is>
      </c>
      <c r="AG508" s="28" t="inlineStr">
        <is>
          <t>https://polytech.univ-nantes.fr/integrer-polytech-nantes/masters-internationaux/electrical-energy-master-s-degree-ee--2355193.kjsp?RH=1382971139912</t>
        </is>
      </c>
      <c r="AH508" s="26" t="inlineStr">
        <is>
          <t>This master is located in Saint-Nazaire (Heinlex campus). Admission requirements: Applicants should hold a degree which is at least a 4-year degree in higher education equivalent to the first year of a master (i.e. 3-yea</t>
        </is>
      </c>
      <c r="AI508" s="28" t="inlineStr">
        <is>
          <t>Open in EEF</t>
        </is>
      </c>
    </row>
    <row r="509" ht="32.8" customHeight="1" s="19">
      <c r="A509" s="25" t="n">
        <v>508</v>
      </c>
      <c r="B509" s="25" t="inlineStr">
        <is>
          <t>★★★★☆</t>
        </is>
      </c>
      <c r="C509" s="25" t="inlineStr">
        <is>
          <t>4 – Strong fit (electronics/signal/robotics/IoT/sensors)</t>
        </is>
      </c>
      <c r="D509" s="25" t="inlineStr">
        <is>
          <t>IoT / Telecom / Networks</t>
        </is>
      </c>
      <c r="E509" s="26" t="inlineStr">
        <is>
          <t>Diplôme d'ingénieur Diplôme d'ingénieur généraliste de l'Institut Mines Télécom Lille Douai (IMT Nord Europe) FCD</t>
        </is>
      </c>
      <c r="F509" s="26" t="inlineStr">
        <is>
          <t>Engineering diploma Engineering diploma General of Institute Mines Télécom Lille Douai (IMT Nord Europe) FCD</t>
        </is>
      </c>
      <c r="G509" s="25" t="inlineStr">
        <is>
          <t>Diplôme d'ingénieur</t>
        </is>
      </c>
      <c r="H509" s="25" t="inlineStr">
        <is>
          <t>IMT Nord Europe</t>
        </is>
      </c>
      <c r="I509" s="25" t="inlineStr">
        <is>
          <t>IMT Lille Douai</t>
        </is>
      </c>
      <c r="J509" s="25" t="inlineStr">
        <is>
          <t>IMT Nord Europe - Douai Campus</t>
        </is>
      </c>
      <c r="K509" s="25" t="n"/>
      <c r="L509" s="25" t="inlineStr">
        <is>
          <t>Public school / institute</t>
        </is>
      </c>
      <c r="M509" s="25" t="inlineStr">
        <is>
          <t>French</t>
        </is>
      </c>
      <c r="N509" s="25" t="inlineStr">
        <is>
          <t>General</t>
        </is>
      </c>
      <c r="O509" s="25" t="inlineStr">
        <is>
          <t>Bac +2</t>
        </is>
      </c>
      <c r="P509" s="26" t="inlineStr">
        <is>
          <t>Entry is at undergraduate level (Bac+1/2) – not a fit for you</t>
        </is>
      </c>
      <c r="Q509" s="25" t="inlineStr">
        <is>
          <t>4</t>
        </is>
      </c>
      <c r="R509" s="25" t="inlineStr">
        <is>
          <t>18</t>
        </is>
      </c>
      <c r="S509" s="27" t="n">
        <v>12350</v>
      </c>
      <c r="T509" s="27" t="n"/>
      <c r="U509" s="25" t="n">
        <v>2</v>
      </c>
      <c r="V509" s="27">
        <f>IF(S509="","",S509*U509)</f>
        <v/>
      </c>
      <c r="W509" s="26" t="inlineStr">
        <is>
          <t>Catalogue fee €12,350/yr (entered by institution).</t>
        </is>
      </c>
      <c r="X509" s="25" t="inlineStr">
        <is>
          <t>High</t>
        </is>
      </c>
      <c r="Y509" s="25" t="inlineStr">
        <is>
          <t>12350</t>
        </is>
      </c>
      <c r="Z509" s="26" t="n"/>
      <c r="AA509" s="26" t="n"/>
      <c r="AB509" s="25" t="n"/>
      <c r="AC509" s="25" t="inlineStr">
        <is>
          <t>Open</t>
        </is>
      </c>
      <c r="AD509" s="25" t="inlineStr">
        <is>
          <t>2026-10-01</t>
        </is>
      </c>
      <c r="AE509" s="25" t="inlineStr">
        <is>
          <t>2027-03-15</t>
        </is>
      </c>
      <c r="AF509" s="25" t="inlineStr">
        <is>
          <t>Yes</t>
        </is>
      </c>
      <c r="AG509" s="28" t="inlineStr">
        <is>
          <t>https://imt-nord-europe.fr/annuaire-formations/ingenieur-generaliste-par-la-formation-continue/</t>
        </is>
      </c>
      <c r="AH509" s="26" t="inlineStr">
        <is>
          <t>Le diplôme d’ingénieur d’IMT Nord Europe est accessible par la voie de la formation continue diplômante pour les techniciens supérieurs français ou étrangers titulaires d’un diplôme de niveau Bac+2 scientifique ou techni</t>
        </is>
      </c>
      <c r="AI509" s="28" t="inlineStr">
        <is>
          <t>Open in EEF</t>
        </is>
      </c>
    </row>
    <row r="510" ht="32.8" customHeight="1" s="19">
      <c r="A510" s="25" t="n">
        <v>509</v>
      </c>
      <c r="B510" s="25" t="inlineStr">
        <is>
          <t>★★★☆☆</t>
        </is>
      </c>
      <c r="C510" s="25" t="inlineStr">
        <is>
          <t>3 – Adjacent (AI/data/CS/cyber/energy)</t>
        </is>
      </c>
      <c r="D510" s="25" t="inlineStr">
        <is>
          <t>AI / Data science</t>
        </is>
      </c>
      <c r="E510" s="26" t="inlineStr">
        <is>
          <t>Master Sciences, technologies, santé mention Intelligence artificielle et ingénierie des systèmes parcours Modèles et apprentissage</t>
        </is>
      </c>
      <c r="F510" s="26" t="inlineStr">
        <is>
          <t>Master Science, Technology, Health (STS) – major: Artificial Intelligence &amp; Engineering of Systems – track: Models &amp; Apprenticeship</t>
        </is>
      </c>
      <c r="G510" s="25" t="inlineStr">
        <is>
          <t>Master indifférencié (recherche et professionnel)</t>
        </is>
      </c>
      <c r="H510" s="25" t="inlineStr">
        <is>
          <t>UFR des Sciences Exactes et Expérimentales (SEE)</t>
        </is>
      </c>
      <c r="I510" s="25" t="inlineStr">
        <is>
          <t>Université de Perpignan Via Domitia</t>
        </is>
      </c>
      <c r="J510" s="25" t="inlineStr">
        <is>
          <t>Site de Perpignan</t>
        </is>
      </c>
      <c r="K510" s="25" t="n"/>
      <c r="L510" s="25" t="inlineStr">
        <is>
          <t>Apprenticeship (CFA/ITII)</t>
        </is>
      </c>
      <c r="M510" s="25" t="inlineStr">
        <is>
          <t>French</t>
        </is>
      </c>
      <c r="N510" s="25" t="inlineStr">
        <is>
          <t>General</t>
        </is>
      </c>
      <c r="O510" s="25" t="inlineStr">
        <is>
          <t>Bac +4 / Bac +5</t>
        </is>
      </c>
      <c r="P510" s="26" t="inlineStr">
        <is>
          <t>Eligible on level (4-yr BS ≈ Bac+4)</t>
        </is>
      </c>
      <c r="Q510" s="25" t="inlineStr">
        <is>
          <t>1/2</t>
        </is>
      </c>
      <c r="R510" s="25" t="n"/>
      <c r="S510" s="27" t="n">
        <v>0</v>
      </c>
      <c r="T510" s="27" t="n"/>
      <c r="U510" s="25" t="n">
        <v>2</v>
      </c>
      <c r="V510" s="27">
        <f>IF(S510="","",S510*U510)</f>
        <v/>
      </c>
      <c r="W510" s="26" t="inlineStr">
        <is>
          <t>Apprenticeship: tuition paid by employer (€0 to student) BUT requires a French employment contract + residence permit – practically not accessible from abroad.</t>
        </is>
      </c>
      <c r="X510" s="25" t="inlineStr">
        <is>
          <t>High</t>
        </is>
      </c>
      <c r="Y510" s="25" t="inlineStr">
        <is>
          <t>3950</t>
        </is>
      </c>
      <c r="Z510" s="26" t="n"/>
      <c r="AA510" s="26" t="n"/>
      <c r="AB510" s="25" t="n"/>
      <c r="AC510" s="25" t="inlineStr">
        <is>
          <t>Open</t>
        </is>
      </c>
      <c r="AD510" s="25" t="inlineStr">
        <is>
          <t>2026-10-01</t>
        </is>
      </c>
      <c r="AE510" s="25" t="inlineStr">
        <is>
          <t>2027-03-15</t>
        </is>
      </c>
      <c r="AF510" s="25" t="inlineStr">
        <is>
          <t>No</t>
        </is>
      </c>
      <c r="AG510" s="25" t="n"/>
      <c r="AH510" s="26" t="n"/>
      <c r="AI510" s="28" t="inlineStr">
        <is>
          <t>Open in EEF</t>
        </is>
      </c>
    </row>
    <row r="511" ht="43.25" customHeight="1" s="19">
      <c r="A511" s="25" t="n">
        <v>510</v>
      </c>
      <c r="B511" s="25" t="inlineStr">
        <is>
          <t>★★★☆☆</t>
        </is>
      </c>
      <c r="C511" s="25" t="inlineStr">
        <is>
          <t>3 – Adjacent (AI/data/CS/cyber/energy)</t>
        </is>
      </c>
      <c r="D511" s="25" t="inlineStr">
        <is>
          <t>Computer science / Software</t>
        </is>
      </c>
      <c r="E511" s="26" t="inlineStr">
        <is>
          <t>diplôme d'ingénieur de l'Ecole nationale supérieure de sciences appliquées et de technologie de Lannion de l'université Rennes 1 parcours Informatique et technologies de l'Information, en partenariat avec l'ITII Bretagne</t>
        </is>
      </c>
      <c r="F511" s="26" t="inlineStr">
        <is>
          <t>Engineering diploma of the National Graduate School of Sciences Applied &amp; of Technology of Lannion of University Rennes 1 – track: Computer Science &amp; Technologies of Information, in partnership with l'ITII Bretagne</t>
        </is>
      </c>
      <c r="G511" s="25" t="inlineStr">
        <is>
          <t>Diplôme d'ingénieur</t>
        </is>
      </c>
      <c r="H511" s="25" t="inlineStr">
        <is>
          <t>Ecole nationale supérieure des sciences appliquées et de technologie</t>
        </is>
      </c>
      <c r="I511" s="25" t="inlineStr">
        <is>
          <t>Université de Rennes</t>
        </is>
      </c>
      <c r="J511" s="25" t="inlineStr">
        <is>
          <t>Site de Lannion</t>
        </is>
      </c>
      <c r="K511" s="25" t="n"/>
      <c r="L511" s="25" t="inlineStr">
        <is>
          <t>Apprenticeship (CFA/ITII)</t>
        </is>
      </c>
      <c r="M511" s="25" t="inlineStr">
        <is>
          <t>French</t>
        </is>
      </c>
      <c r="N511" s="25" t="inlineStr">
        <is>
          <t>General</t>
        </is>
      </c>
      <c r="O511" s="25" t="inlineStr">
        <is>
          <t>Bac +3</t>
        </is>
      </c>
      <c r="P511" s="26" t="inlineStr">
        <is>
          <t>Eligible on level (4-yr BS ≈ Bac+4)</t>
        </is>
      </c>
      <c r="Q511" s="25" t="inlineStr">
        <is>
          <t>1</t>
        </is>
      </c>
      <c r="R511" s="25" t="n"/>
      <c r="S511" s="27" t="n">
        <v>0</v>
      </c>
      <c r="T511" s="27" t="n"/>
      <c r="U511" s="25" t="n">
        <v>2</v>
      </c>
      <c r="V511" s="27">
        <f>IF(S511="","",S511*U511)</f>
        <v/>
      </c>
      <c r="W511" s="26" t="inlineStr">
        <is>
          <t>Apprenticeship: tuition paid by employer (€0 to student) BUT requires a French employment contract + residence permit – practically not accessible from abroad.</t>
        </is>
      </c>
      <c r="X511" s="25" t="inlineStr">
        <is>
          <t>High</t>
        </is>
      </c>
      <c r="Y511" s="25" t="n"/>
      <c r="Z511" s="26" t="n"/>
      <c r="AA511" s="26" t="n"/>
      <c r="AB511" s="25" t="n"/>
      <c r="AC511" s="25" t="inlineStr">
        <is>
          <t>Open</t>
        </is>
      </c>
      <c r="AD511" s="25" t="inlineStr">
        <is>
          <t>2026-10-01</t>
        </is>
      </c>
      <c r="AE511" s="25" t="inlineStr">
        <is>
          <t>2027-03-15</t>
        </is>
      </c>
      <c r="AF511" s="25" t="inlineStr">
        <is>
          <t>Yes</t>
        </is>
      </c>
      <c r="AG511" s="28" t="inlineStr">
        <is>
          <t>http://www.enssat.fr/</t>
        </is>
      </c>
      <c r="AH511" s="26" t="inlineStr">
        <is>
          <t>Pour intégrer cette formation, il est obligatoire de s'inscrire sur le concours sur titres de l'Enssat, à partir du site web : http://www.enssat.fr/fr_FR/formations/admissions#expand_1.</t>
        </is>
      </c>
      <c r="AI511" s="28" t="inlineStr">
        <is>
          <t>Open in EEF</t>
        </is>
      </c>
    </row>
    <row r="512" ht="43.25" customHeight="1" s="19">
      <c r="A512" s="25" t="n">
        <v>511</v>
      </c>
      <c r="B512" s="25" t="inlineStr">
        <is>
          <t>★★★☆☆</t>
        </is>
      </c>
      <c r="C512" s="25" t="inlineStr">
        <is>
          <t>3 – Adjacent (AI/data/CS/cyber/energy)</t>
        </is>
      </c>
      <c r="D512" s="25" t="inlineStr">
        <is>
          <t>IoT / Telecom / Networks</t>
        </is>
      </c>
      <c r="E512" s="26" t="inlineStr">
        <is>
          <t>diplôme d'ingénieur de l'Ecole nationale supérieure de sciences appliquées et de technologie de Lannion de l'université Rennes 1 spécialité informatique, multimédia et réseaux en partenariat avec l'ITII Bretagne</t>
        </is>
      </c>
      <c r="F512" s="26" t="inlineStr">
        <is>
          <t>Engineering diploma of the National Graduate School of Sciences Applied &amp; of Technology of Lannion of University Rennes 1 – specialisation: Computer Science, Multimedia &amp; Networks in partnership with l'ITII Bretagne</t>
        </is>
      </c>
      <c r="G512" s="25" t="inlineStr">
        <is>
          <t>Diplôme d'ingénieur</t>
        </is>
      </c>
      <c r="H512" s="25" t="inlineStr">
        <is>
          <t>Institut des techniques d'ingénieur de l'industrie de Bretagne</t>
        </is>
      </c>
      <c r="I512" s="25" t="n"/>
      <c r="J512" s="25" t="inlineStr">
        <is>
          <t>Site de Plérin</t>
        </is>
      </c>
      <c r="K512" s="25" t="n"/>
      <c r="L512" s="25" t="inlineStr">
        <is>
          <t>Apprenticeship (CFA/ITII)</t>
        </is>
      </c>
      <c r="M512" s="25" t="inlineStr">
        <is>
          <t>French</t>
        </is>
      </c>
      <c r="N512" s="25" t="inlineStr">
        <is>
          <t>General</t>
        </is>
      </c>
      <c r="O512" s="25" t="inlineStr">
        <is>
          <t>Bac +3 / Bac +5</t>
        </is>
      </c>
      <c r="P512" s="26" t="inlineStr">
        <is>
          <t>Eligible on level (4-yr BS ≈ Bac+4)</t>
        </is>
      </c>
      <c r="Q512" s="25" t="inlineStr">
        <is>
          <t>1/3</t>
        </is>
      </c>
      <c r="R512" s="25" t="n"/>
      <c r="S512" s="27" t="n">
        <v>0</v>
      </c>
      <c r="T512" s="27" t="n"/>
      <c r="U512" s="25" t="n">
        <v>2</v>
      </c>
      <c r="V512" s="27">
        <f>IF(S512="","",S512*U512)</f>
        <v/>
      </c>
      <c r="W512" s="26" t="inlineStr">
        <is>
          <t>Apprenticeship: tuition paid by employer (€0 to student) BUT requires a French employment contract + residence permit – practically not accessible from abroad.</t>
        </is>
      </c>
      <c r="X512" s="25" t="inlineStr">
        <is>
          <t>High</t>
        </is>
      </c>
      <c r="Y512" s="25" t="n"/>
      <c r="Z512" s="26" t="n"/>
      <c r="AA512" s="26" t="n"/>
      <c r="AB512" s="25" t="n"/>
      <c r="AC512" s="25" t="inlineStr">
        <is>
          <t>Closed</t>
        </is>
      </c>
      <c r="AD512" s="25" t="n"/>
      <c r="AE512" s="25" t="n"/>
      <c r="AF512" s="25" t="inlineStr">
        <is>
          <t>No</t>
        </is>
      </c>
      <c r="AG512" s="28" t="inlineStr">
        <is>
          <t>http://www.itiibretagne.fr</t>
        </is>
      </c>
      <c r="AH512" s="26" t="n"/>
      <c r="AI512" s="28" t="inlineStr">
        <is>
          <t>Open in EEF</t>
        </is>
      </c>
    </row>
    <row r="513" ht="32.8" customHeight="1" s="19">
      <c r="A513" s="25" t="n">
        <v>512</v>
      </c>
      <c r="B513" s="25" t="inlineStr">
        <is>
          <t>★★★☆☆</t>
        </is>
      </c>
      <c r="C513" s="25" t="inlineStr">
        <is>
          <t>3 – Adjacent (AI/data/CS/cyber/energy)</t>
        </is>
      </c>
      <c r="D513" s="25" t="inlineStr">
        <is>
          <t>Computer science / Software</t>
        </is>
      </c>
      <c r="E513" s="26" t="inlineStr">
        <is>
          <t>diplôme d'ingénieur de l'Ecole nationale supérieure d'informatique pour l'industrie et l'entreprise spécialité informatique en partenariat avec l'ITII Ile-de-France</t>
        </is>
      </c>
      <c r="F513" s="26" t="inlineStr">
        <is>
          <t>Engineering diploma of the National Graduate School of Computer Science for Industry &amp; the Company – specialisation: Computer Science in partnership with l'ITII Ile-de-France</t>
        </is>
      </c>
      <c r="G513" s="25" t="inlineStr">
        <is>
          <t>Diplôme d'ingénieur</t>
        </is>
      </c>
      <c r="H513" s="25" t="inlineStr">
        <is>
          <t>Ecole nationale supérieure d'informatique pour l'industrie et l'entreprise</t>
        </is>
      </c>
      <c r="I513" s="25" t="n"/>
      <c r="J513" s="25" t="inlineStr">
        <is>
          <t>EVRY</t>
        </is>
      </c>
      <c r="K513" s="25" t="n"/>
      <c r="L513" s="25" t="inlineStr">
        <is>
          <t>Apprenticeship (CFA/ITII)</t>
        </is>
      </c>
      <c r="M513" s="25" t="inlineStr">
        <is>
          <t>French</t>
        </is>
      </c>
      <c r="N513" s="25" t="inlineStr">
        <is>
          <t>General</t>
        </is>
      </c>
      <c r="O513" s="25" t="inlineStr">
        <is>
          <t>Bac +3 / Bac +4 / Bac +5</t>
        </is>
      </c>
      <c r="P513" s="26" t="inlineStr">
        <is>
          <t>Eligible on level (4-yr BS ≈ Bac+4)</t>
        </is>
      </c>
      <c r="Q513" s="25" t="inlineStr">
        <is>
          <t>1/2/3</t>
        </is>
      </c>
      <c r="R513" s="25" t="n"/>
      <c r="S513" s="27" t="n">
        <v>0</v>
      </c>
      <c r="T513" s="27" t="n"/>
      <c r="U513" s="25" t="n">
        <v>2</v>
      </c>
      <c r="V513" s="27">
        <f>IF(S513="","",S513*U513)</f>
        <v/>
      </c>
      <c r="W513" s="26" t="inlineStr">
        <is>
          <t>Apprenticeship: tuition paid by employer (€0 to student) BUT requires a French employment contract + residence permit – practically not accessible from abroad.</t>
        </is>
      </c>
      <c r="X513" s="25" t="inlineStr">
        <is>
          <t>High</t>
        </is>
      </c>
      <c r="Y513" s="25" t="n"/>
      <c r="Z513" s="26" t="n"/>
      <c r="AA513" s="26" t="n"/>
      <c r="AB513" s="25" t="n"/>
      <c r="AC513" s="25" t="inlineStr">
        <is>
          <t>Open</t>
        </is>
      </c>
      <c r="AD513" s="25" t="inlineStr">
        <is>
          <t>2026-10-01</t>
        </is>
      </c>
      <c r="AE513" s="25" t="inlineStr">
        <is>
          <t>2027-03-15</t>
        </is>
      </c>
      <c r="AF513" s="25" t="inlineStr">
        <is>
          <t>No</t>
        </is>
      </c>
      <c r="AG513" s="28" t="inlineStr">
        <is>
          <t>http://www.ensiie.fr</t>
        </is>
      </c>
      <c r="AH513" s="26" t="n"/>
      <c r="AI513" s="28" t="inlineStr">
        <is>
          <t>Open in EEF</t>
        </is>
      </c>
    </row>
    <row r="514" ht="32.8" customHeight="1" s="19">
      <c r="A514" s="25" t="n">
        <v>513</v>
      </c>
      <c r="B514" s="25" t="inlineStr">
        <is>
          <t>★★★☆☆</t>
        </is>
      </c>
      <c r="C514" s="25" t="inlineStr">
        <is>
          <t>3 – Adjacent (AI/data/CS/cyber/energy)</t>
        </is>
      </c>
      <c r="D514" s="25" t="inlineStr">
        <is>
          <t>Computer science / Software</t>
        </is>
      </c>
      <c r="E514" s="26" t="inlineStr">
        <is>
          <t>diplôme d'ingénieur de l'Ecole nationale supérieure d'informatique pour l'industrie et l'entreprise spécialité informatique en partenariat avec l'ITII Ile-de-France</t>
        </is>
      </c>
      <c r="F514" s="26" t="inlineStr">
        <is>
          <t>Engineering diploma of the National Graduate School of Computer Science for Industry &amp; the Company – specialisation: Computer Science in partnership with l'ITII Ile-de-France</t>
        </is>
      </c>
      <c r="G514" s="25" t="inlineStr">
        <is>
          <t>Diplôme d'ingénieur</t>
        </is>
      </c>
      <c r="H514" s="25" t="inlineStr">
        <is>
          <t>Institut des techniques d'ingénieur de l'industrie Ile-de-France</t>
        </is>
      </c>
      <c r="I514" s="25" t="n"/>
      <c r="J514" s="25" t="inlineStr">
        <is>
          <t>Site de Neuilly-sur-Seine</t>
        </is>
      </c>
      <c r="K514" s="25" t="n"/>
      <c r="L514" s="25" t="inlineStr">
        <is>
          <t>Apprenticeship (CFA/ITII)</t>
        </is>
      </c>
      <c r="M514" s="25" t="inlineStr">
        <is>
          <t>French</t>
        </is>
      </c>
      <c r="N514" s="25" t="inlineStr">
        <is>
          <t>General</t>
        </is>
      </c>
      <c r="O514" s="25" t="inlineStr">
        <is>
          <t>Bac +3 / Bac +4</t>
        </is>
      </c>
      <c r="P514" s="26" t="inlineStr">
        <is>
          <t>Eligible on level (4-yr BS ≈ Bac+4)</t>
        </is>
      </c>
      <c r="Q514" s="25" t="inlineStr">
        <is>
          <t>1/2</t>
        </is>
      </c>
      <c r="R514" s="25" t="n"/>
      <c r="S514" s="27" t="n">
        <v>0</v>
      </c>
      <c r="T514" s="27" t="n"/>
      <c r="U514" s="25" t="n">
        <v>2</v>
      </c>
      <c r="V514" s="27">
        <f>IF(S514="","",S514*U514)</f>
        <v/>
      </c>
      <c r="W514" s="26" t="inlineStr">
        <is>
          <t>Apprenticeship: tuition paid by employer (€0 to student) BUT requires a French employment contract + residence permit – practically not accessible from abroad.</t>
        </is>
      </c>
      <c r="X514" s="25" t="inlineStr">
        <is>
          <t>High</t>
        </is>
      </c>
      <c r="Y514" s="25" t="n"/>
      <c r="Z514" s="26" t="n"/>
      <c r="AA514" s="26" t="n"/>
      <c r="AB514" s="25" t="n"/>
      <c r="AC514" s="25" t="inlineStr">
        <is>
          <t>Closed</t>
        </is>
      </c>
      <c r="AD514" s="25" t="n"/>
      <c r="AE514" s="25" t="n"/>
      <c r="AF514" s="25" t="inlineStr">
        <is>
          <t>No</t>
        </is>
      </c>
      <c r="AG514" s="28" t="inlineStr">
        <is>
          <t>http://www.itii-iledefrance.fr:8080/article.php3?id_article=1</t>
        </is>
      </c>
      <c r="AH514" s="26" t="n"/>
      <c r="AI514" s="28" t="inlineStr">
        <is>
          <t>Open in EEF</t>
        </is>
      </c>
    </row>
    <row r="515" ht="32.8" customHeight="1" s="19">
      <c r="A515" s="25" t="n">
        <v>514</v>
      </c>
      <c r="B515" s="25" t="inlineStr">
        <is>
          <t>★★★☆☆</t>
        </is>
      </c>
      <c r="C515" s="25" t="inlineStr">
        <is>
          <t>3 – Adjacent (AI/data/CS/cyber/energy)</t>
        </is>
      </c>
      <c r="D515" s="25" t="inlineStr">
        <is>
          <t>Cybersecurity</t>
        </is>
      </c>
      <c r="E515" s="26" t="inlineStr">
        <is>
          <t>diplôme d'ingénieur de l'Ecole nationale supérieure d'ingénieurs de Bretagne Sud de l'université de Bretagne Sud spécialité sécurité des systèmes d'information en partenariat avec l'ITII Bretagne</t>
        </is>
      </c>
      <c r="F515" s="26" t="inlineStr">
        <is>
          <t>Engineering diploma of the National Graduate School of Engineers of Bretagne Sud of University of Bretagne Sud – specialisation: Security of Information Systems in partnership with l'ITII Bretagne</t>
        </is>
      </c>
      <c r="G515" s="25" t="inlineStr">
        <is>
          <t>Diplôme d'ingénieur</t>
        </is>
      </c>
      <c r="H515" s="25" t="inlineStr">
        <is>
          <t>Institut des techniques d'ingénieur de l'industrie de Bretagne</t>
        </is>
      </c>
      <c r="I515" s="25" t="n"/>
      <c r="J515" s="25" t="inlineStr">
        <is>
          <t>Site de Plérin</t>
        </is>
      </c>
      <c r="K515" s="25" t="n"/>
      <c r="L515" s="25" t="inlineStr">
        <is>
          <t>Apprenticeship (CFA/ITII)</t>
        </is>
      </c>
      <c r="M515" s="25" t="inlineStr">
        <is>
          <t>French</t>
        </is>
      </c>
      <c r="N515" s="25" t="inlineStr">
        <is>
          <t>General</t>
        </is>
      </c>
      <c r="O515" s="25" t="inlineStr">
        <is>
          <t>Bac +3 / Bac +4</t>
        </is>
      </c>
      <c r="P515" s="26" t="inlineStr">
        <is>
          <t>Eligible on level (4-yr BS ≈ Bac+4)</t>
        </is>
      </c>
      <c r="Q515" s="25" t="inlineStr">
        <is>
          <t>1/2</t>
        </is>
      </c>
      <c r="R515" s="25" t="n"/>
      <c r="S515" s="27" t="n">
        <v>0</v>
      </c>
      <c r="T515" s="27" t="n"/>
      <c r="U515" s="25" t="n">
        <v>2</v>
      </c>
      <c r="V515" s="27">
        <f>IF(S515="","",S515*U515)</f>
        <v/>
      </c>
      <c r="W515" s="26" t="inlineStr">
        <is>
          <t>Apprenticeship: tuition paid by employer (€0 to student) BUT requires a French employment contract + residence permit – practically not accessible from abroad.</t>
        </is>
      </c>
      <c r="X515" s="25" t="inlineStr">
        <is>
          <t>High</t>
        </is>
      </c>
      <c r="Y515" s="25" t="n"/>
      <c r="Z515" s="26" t="n"/>
      <c r="AA515" s="26" t="n"/>
      <c r="AB515" s="25" t="n"/>
      <c r="AC515" s="25" t="inlineStr">
        <is>
          <t>Closed</t>
        </is>
      </c>
      <c r="AD515" s="25" t="n"/>
      <c r="AE515" s="25" t="n"/>
      <c r="AF515" s="25" t="inlineStr">
        <is>
          <t>No</t>
        </is>
      </c>
      <c r="AG515" s="28" t="inlineStr">
        <is>
          <t>http://www.itiibretagne.fr</t>
        </is>
      </c>
      <c r="AH515" s="26" t="n"/>
      <c r="AI515" s="28" t="inlineStr">
        <is>
          <t>Open in EEF</t>
        </is>
      </c>
    </row>
    <row r="516" ht="32.8" customHeight="1" s="19">
      <c r="A516" s="25" t="n">
        <v>515</v>
      </c>
      <c r="B516" s="25" t="inlineStr">
        <is>
          <t>★★★☆☆</t>
        </is>
      </c>
      <c r="C516" s="25" t="inlineStr">
        <is>
          <t>3 – Adjacent (AI/data/CS/cyber/energy)</t>
        </is>
      </c>
      <c r="D516" s="25" t="inlineStr">
        <is>
          <t>Computer science / Software</t>
        </is>
      </c>
      <c r="E516" s="26" t="inlineStr">
        <is>
          <t>diplôme d'ingénieur de l'Ecole polytechnique de l'université Paris XI spécialité informatique en partenariat avec l'ITII Ile de France</t>
        </is>
      </c>
      <c r="F516" s="26" t="inlineStr">
        <is>
          <t>Engineering diploma of School polytechnique of University Paris XI – specialisation: Computer Science in partnership with l'ITII Ile of France</t>
        </is>
      </c>
      <c r="G516" s="25" t="inlineStr">
        <is>
          <t>Diplôme d'ingénieur</t>
        </is>
      </c>
      <c r="H516" s="25" t="inlineStr">
        <is>
          <t>Institut des techniques d'ingénieur de l'industrie Ile-de-France</t>
        </is>
      </c>
      <c r="I516" s="25" t="n"/>
      <c r="J516" s="25" t="inlineStr">
        <is>
          <t>Site de Neuilly-sur-Seine</t>
        </is>
      </c>
      <c r="K516" s="25" t="n"/>
      <c r="L516" s="25" t="inlineStr">
        <is>
          <t>Apprenticeship (CFA/ITII)</t>
        </is>
      </c>
      <c r="M516" s="25" t="inlineStr">
        <is>
          <t>French</t>
        </is>
      </c>
      <c r="N516" s="25" t="inlineStr">
        <is>
          <t>General</t>
        </is>
      </c>
      <c r="O516" s="25" t="inlineStr">
        <is>
          <t>Bac +3</t>
        </is>
      </c>
      <c r="P516" s="26" t="inlineStr">
        <is>
          <t>Eligible on level (4-yr BS ≈ Bac+4)</t>
        </is>
      </c>
      <c r="Q516" s="25" t="inlineStr">
        <is>
          <t>1</t>
        </is>
      </c>
      <c r="R516" s="25" t="n"/>
      <c r="S516" s="27" t="n">
        <v>0</v>
      </c>
      <c r="T516" s="27" t="n"/>
      <c r="U516" s="25" t="n">
        <v>2</v>
      </c>
      <c r="V516" s="27">
        <f>IF(S516="","",S516*U516)</f>
        <v/>
      </c>
      <c r="W516" s="26" t="inlineStr">
        <is>
          <t>Apprenticeship: tuition paid by employer (€0 to student) BUT requires a French employment contract + residence permit – practically not accessible from abroad.</t>
        </is>
      </c>
      <c r="X516" s="25" t="inlineStr">
        <is>
          <t>High</t>
        </is>
      </c>
      <c r="Y516" s="25" t="n"/>
      <c r="Z516" s="26" t="n"/>
      <c r="AA516" s="26" t="n"/>
      <c r="AB516" s="25" t="n"/>
      <c r="AC516" s="25" t="inlineStr">
        <is>
          <t>Closed</t>
        </is>
      </c>
      <c r="AD516" s="25" t="n"/>
      <c r="AE516" s="25" t="n"/>
      <c r="AF516" s="25" t="inlineStr">
        <is>
          <t>No</t>
        </is>
      </c>
      <c r="AG516" s="28" t="inlineStr">
        <is>
          <t>http://www.itii-iledefrance.fr:8080/article.php3?id_article=1</t>
        </is>
      </c>
      <c r="AH516" s="26" t="n"/>
      <c r="AI516" s="28" t="inlineStr">
        <is>
          <t>Open in EEF</t>
        </is>
      </c>
    </row>
    <row r="517" ht="32.8" customHeight="1" s="19">
      <c r="A517" s="25" t="n">
        <v>516</v>
      </c>
      <c r="B517" s="25" t="inlineStr">
        <is>
          <t>★★★☆☆</t>
        </is>
      </c>
      <c r="C517" s="25" t="inlineStr">
        <is>
          <t>3 – Adjacent (AI/data/CS/cyber/energy)</t>
        </is>
      </c>
      <c r="D517" s="25" t="inlineStr">
        <is>
          <t>Cybersecurity</t>
        </is>
      </c>
      <c r="E517" s="26" t="inlineStr">
        <is>
          <t>diplôme d'ingénieur de l'Ecole supérieure angevine d'informatique et de productique spécialité sécurité et prévention des risques en partenariat avec l'ITII Pays de la Loire</t>
        </is>
      </c>
      <c r="F517" s="26" t="inlineStr">
        <is>
          <t>Engineering diploma of School Higher angevine of Computer Science &amp; of Production Engineering – specialisation: Security &amp; Prevention of Risks in partnership with l'ITII Pays of the Loire</t>
        </is>
      </c>
      <c r="G517" s="25" t="inlineStr">
        <is>
          <t>Diplôme d'ingénieur</t>
        </is>
      </c>
      <c r="H517" s="25" t="inlineStr">
        <is>
          <t>Institut des techniques d'ingénieur de l'industrie des Pays de la Loire</t>
        </is>
      </c>
      <c r="I517" s="25" t="n"/>
      <c r="J517" s="25" t="inlineStr">
        <is>
          <t>Site de Saint-Herblain</t>
        </is>
      </c>
      <c r="K517" s="25" t="n"/>
      <c r="L517" s="25" t="inlineStr">
        <is>
          <t>Apprenticeship (CFA/ITII)</t>
        </is>
      </c>
      <c r="M517" s="25" t="inlineStr">
        <is>
          <t>French</t>
        </is>
      </c>
      <c r="N517" s="25" t="inlineStr">
        <is>
          <t>General</t>
        </is>
      </c>
      <c r="O517" s="25" t="inlineStr">
        <is>
          <t>Bac +3</t>
        </is>
      </c>
      <c r="P517" s="26" t="inlineStr">
        <is>
          <t>Eligible on level (4-yr BS ≈ Bac+4)</t>
        </is>
      </c>
      <c r="Q517" s="25" t="inlineStr">
        <is>
          <t>1</t>
        </is>
      </c>
      <c r="R517" s="25" t="n"/>
      <c r="S517" s="27" t="n">
        <v>0</v>
      </c>
      <c r="T517" s="27" t="n"/>
      <c r="U517" s="25" t="n">
        <v>2</v>
      </c>
      <c r="V517" s="27">
        <f>IF(S517="","",S517*U517)</f>
        <v/>
      </c>
      <c r="W517" s="26" t="inlineStr">
        <is>
          <t>Apprenticeship: tuition paid by employer (€0 to student) BUT requires a French employment contract + residence permit – practically not accessible from abroad.</t>
        </is>
      </c>
      <c r="X517" s="25" t="inlineStr">
        <is>
          <t>High</t>
        </is>
      </c>
      <c r="Y517" s="25" t="n"/>
      <c r="Z517" s="26" t="n"/>
      <c r="AA517" s="26" t="n"/>
      <c r="AB517" s="25" t="n"/>
      <c r="AC517" s="25" t="inlineStr">
        <is>
          <t>Closed</t>
        </is>
      </c>
      <c r="AD517" s="25" t="n"/>
      <c r="AE517" s="25" t="n"/>
      <c r="AF517" s="25" t="inlineStr">
        <is>
          <t>No</t>
        </is>
      </c>
      <c r="AG517" s="28" t="inlineStr">
        <is>
          <t>http://www.itii-pdl.com</t>
        </is>
      </c>
      <c r="AH517" s="26" t="n"/>
      <c r="AI517" s="28" t="inlineStr">
        <is>
          <t>Open in EEF</t>
        </is>
      </c>
    </row>
    <row r="518" ht="32.8" customHeight="1" s="19">
      <c r="A518" s="25" t="n">
        <v>517</v>
      </c>
      <c r="B518" s="25" t="inlineStr">
        <is>
          <t>★★★☆☆</t>
        </is>
      </c>
      <c r="C518" s="25" t="inlineStr">
        <is>
          <t>3 – Adjacent (AI/data/CS/cyber/energy)</t>
        </is>
      </c>
      <c r="D518" s="25" t="inlineStr">
        <is>
          <t>Computer science / Software</t>
        </is>
      </c>
      <c r="E518" s="26" t="inlineStr">
        <is>
          <t>diplôme d'ingénieur de l'EPF spécialité systèmes informatiques et industriels en partenariat avec l'ITII Ile de France</t>
        </is>
      </c>
      <c r="F518" s="26" t="inlineStr">
        <is>
          <t>Engineering diploma of l'EPF – specialisation: Systems informatiques &amp; Industrial in partnership with l'ITII Ile of France</t>
        </is>
      </c>
      <c r="G518" s="25" t="inlineStr">
        <is>
          <t>Diplôme d'ingénieur</t>
        </is>
      </c>
      <c r="H518" s="25" t="inlineStr">
        <is>
          <t>Institut des techniques d'ingénieur de l'industrie Ile-de-France</t>
        </is>
      </c>
      <c r="I518" s="25" t="n"/>
      <c r="J518" s="25" t="inlineStr">
        <is>
          <t>Site de Neuilly-sur-Seine</t>
        </is>
      </c>
      <c r="K518" s="25" t="n"/>
      <c r="L518" s="25" t="inlineStr">
        <is>
          <t>Apprenticeship (CFA/ITII)</t>
        </is>
      </c>
      <c r="M518" s="25" t="inlineStr">
        <is>
          <t>French</t>
        </is>
      </c>
      <c r="N518" s="25" t="inlineStr">
        <is>
          <t>General</t>
        </is>
      </c>
      <c r="O518" s="25" t="inlineStr">
        <is>
          <t>Bac +3 / Bac +4 / Bac +5</t>
        </is>
      </c>
      <c r="P518" s="26" t="inlineStr">
        <is>
          <t>Eligible on level (4-yr BS ≈ Bac+4)</t>
        </is>
      </c>
      <c r="Q518" s="25" t="inlineStr">
        <is>
          <t>1/2/3</t>
        </is>
      </c>
      <c r="R518" s="25" t="n"/>
      <c r="S518" s="27" t="n">
        <v>0</v>
      </c>
      <c r="T518" s="27" t="n"/>
      <c r="U518" s="25" t="n">
        <v>2</v>
      </c>
      <c r="V518" s="27">
        <f>IF(S518="","",S518*U518)</f>
        <v/>
      </c>
      <c r="W518" s="26" t="inlineStr">
        <is>
          <t>Apprenticeship: tuition paid by employer (€0 to student) BUT requires a French employment contract + residence permit – practically not accessible from abroad.</t>
        </is>
      </c>
      <c r="X518" s="25" t="inlineStr">
        <is>
          <t>High</t>
        </is>
      </c>
      <c r="Y518" s="25" t="n"/>
      <c r="Z518" s="26" t="n"/>
      <c r="AA518" s="26" t="n"/>
      <c r="AB518" s="25" t="n"/>
      <c r="AC518" s="25" t="inlineStr">
        <is>
          <t>Closed</t>
        </is>
      </c>
      <c r="AD518" s="25" t="n"/>
      <c r="AE518" s="25" t="n"/>
      <c r="AF518" s="25" t="inlineStr">
        <is>
          <t>No</t>
        </is>
      </c>
      <c r="AG518" s="28" t="inlineStr">
        <is>
          <t>http://www.itii-iledefrance.fr:8080/article.php3?id_article=1</t>
        </is>
      </c>
      <c r="AH518" s="26" t="n"/>
      <c r="AI518" s="28" t="inlineStr">
        <is>
          <t>Open in EEF</t>
        </is>
      </c>
    </row>
    <row r="519" ht="43.25" customHeight="1" s="19">
      <c r="A519" s="25" t="n">
        <v>518</v>
      </c>
      <c r="B519" s="25" t="inlineStr">
        <is>
          <t>★★★☆☆</t>
        </is>
      </c>
      <c r="C519" s="25" t="inlineStr">
        <is>
          <t>3 – Adjacent (AI/data/CS/cyber/energy)</t>
        </is>
      </c>
      <c r="D519" s="25" t="inlineStr">
        <is>
          <t>Computer science / Software</t>
        </is>
      </c>
      <c r="E519" s="26" t="inlineStr">
        <is>
          <t>Diplôme d'ingénieur de l'Institut polytechnique de Grenoble - Ecole nationale supérieure d'informatique et de mathématiques appliquées spécialité informatique et systèmes d'information en partenariat avec l'ITII Dauphiné-Vivarais</t>
        </is>
      </c>
      <c r="F519" s="26" t="inlineStr">
        <is>
          <t>Engineering diploma of Institute polytechnique of Grenoble - National Graduate School of Computer Science &amp; of Applied Mathematics – specialisation: Computer Science &amp; Information Systems in partnership with l'ITII Dauphiné-Vivarais</t>
        </is>
      </c>
      <c r="G519" s="25" t="inlineStr">
        <is>
          <t>Diplôme d'ingénieur</t>
        </is>
      </c>
      <c r="H519" s="25" t="inlineStr">
        <is>
          <t>Institut des techniques d'ingénieur de l'industrie Dauphiné-Vivarais</t>
        </is>
      </c>
      <c r="I519" s="25" t="n"/>
      <c r="J519" s="25" t="inlineStr">
        <is>
          <t>Site de Valence</t>
        </is>
      </c>
      <c r="K519" s="25" t="n"/>
      <c r="L519" s="25" t="inlineStr">
        <is>
          <t>Apprenticeship (CFA/ITII)</t>
        </is>
      </c>
      <c r="M519" s="25" t="inlineStr">
        <is>
          <t>French</t>
        </is>
      </c>
      <c r="N519" s="25" t="inlineStr">
        <is>
          <t>General</t>
        </is>
      </c>
      <c r="O519" s="25" t="inlineStr">
        <is>
          <t>Bac +3 / Bac +5</t>
        </is>
      </c>
      <c r="P519" s="26" t="inlineStr">
        <is>
          <t>Eligible on level (4-yr BS ≈ Bac+4)</t>
        </is>
      </c>
      <c r="Q519" s="25" t="inlineStr">
        <is>
          <t>1/3</t>
        </is>
      </c>
      <c r="R519" s="25" t="n"/>
      <c r="S519" s="27" t="n">
        <v>0</v>
      </c>
      <c r="T519" s="27" t="n"/>
      <c r="U519" s="25" t="n">
        <v>2</v>
      </c>
      <c r="V519" s="27">
        <f>IF(S519="","",S519*U519)</f>
        <v/>
      </c>
      <c r="W519" s="26" t="inlineStr">
        <is>
          <t>Apprenticeship: tuition paid by employer (€0 to student) BUT requires a French employment contract + residence permit – practically not accessible from abroad.</t>
        </is>
      </c>
      <c r="X519" s="25" t="inlineStr">
        <is>
          <t>High</t>
        </is>
      </c>
      <c r="Y519" s="25" t="n"/>
      <c r="Z519" s="26" t="n"/>
      <c r="AA519" s="26" t="inlineStr">
        <is>
          <t>UGA (incl. Grenoble INP masters): 2026-27 broad exemptions on request (pay national €254). From 2027-28 the decree caps apply; exemptions based on resources.</t>
        </is>
      </c>
      <c r="AB519" s="28" t="inlineStr">
        <is>
          <t>https://www.univ-grenoble-alpes.fr/actualites/a-la-une/actualites-universite/etudiants-internationaux-ce-que-change-le-nouveau-decret-sur-les-droits-d-inscription-a-l-uga-1775870.kjsp</t>
        </is>
      </c>
      <c r="AC519" s="25" t="inlineStr">
        <is>
          <t>Closed</t>
        </is>
      </c>
      <c r="AD519" s="25" t="n"/>
      <c r="AE519" s="25" t="n"/>
      <c r="AF519" s="25" t="inlineStr">
        <is>
          <t>No</t>
        </is>
      </c>
      <c r="AG519" s="28" t="inlineStr">
        <is>
          <t>http://www.grenoble-inp.fr</t>
        </is>
      </c>
      <c r="AH519" s="26" t="n"/>
      <c r="AI519" s="28" t="inlineStr">
        <is>
          <t>Open in EEF</t>
        </is>
      </c>
    </row>
    <row r="520" ht="32.8" customHeight="1" s="19">
      <c r="A520" s="25" t="n">
        <v>519</v>
      </c>
      <c r="B520" s="25" t="inlineStr">
        <is>
          <t>★★★☆☆</t>
        </is>
      </c>
      <c r="C520" s="25" t="inlineStr">
        <is>
          <t>3 – Adjacent (AI/data/CS/cyber/energy)</t>
        </is>
      </c>
      <c r="D520" s="25" t="inlineStr">
        <is>
          <t>Computer science / Software</t>
        </is>
      </c>
      <c r="E520" s="26" t="inlineStr">
        <is>
          <t>diplôme d'ingénieur de l'université de technologie de Belfort-Montbéliard spécialité informatique en partenariat avec l'ITII Franche-Comté</t>
        </is>
      </c>
      <c r="F520" s="26" t="inlineStr">
        <is>
          <t>Engineering diploma of University of Technology of Belfort-Montbéliard – specialisation: Computer Science in partnership with l'ITII Franche-Comté</t>
        </is>
      </c>
      <c r="G520" s="25" t="inlineStr">
        <is>
          <t>Diplôme d'ingénieur</t>
        </is>
      </c>
      <c r="H520" s="25" t="inlineStr">
        <is>
          <t>Institut des techniques d'ingénieur de l'industrie de Franche-Comté</t>
        </is>
      </c>
      <c r="I520" s="25" t="n"/>
      <c r="J520" s="25" t="inlineStr">
        <is>
          <t>Site de Besançon</t>
        </is>
      </c>
      <c r="K520" s="25" t="n"/>
      <c r="L520" s="25" t="inlineStr">
        <is>
          <t>Apprenticeship (CFA/ITII)</t>
        </is>
      </c>
      <c r="M520" s="25" t="inlineStr">
        <is>
          <t>French</t>
        </is>
      </c>
      <c r="N520" s="25" t="inlineStr">
        <is>
          <t>General</t>
        </is>
      </c>
      <c r="O520" s="25" t="inlineStr">
        <is>
          <t>Bac +3</t>
        </is>
      </c>
      <c r="P520" s="26" t="inlineStr">
        <is>
          <t>Eligible on level (4-yr BS ≈ Bac+4)</t>
        </is>
      </c>
      <c r="Q520" s="25" t="inlineStr">
        <is>
          <t>1</t>
        </is>
      </c>
      <c r="R520" s="25" t="n"/>
      <c r="S520" s="27" t="n">
        <v>0</v>
      </c>
      <c r="T520" s="27" t="n"/>
      <c r="U520" s="25" t="n">
        <v>2</v>
      </c>
      <c r="V520" s="27">
        <f>IF(S520="","",S520*U520)</f>
        <v/>
      </c>
      <c r="W520" s="26" t="inlineStr">
        <is>
          <t>Apprenticeship: tuition paid by employer (€0 to student) BUT requires a French employment contract + residence permit – practically not accessible from abroad.</t>
        </is>
      </c>
      <c r="X520" s="25" t="inlineStr">
        <is>
          <t>High</t>
        </is>
      </c>
      <c r="Y520" s="25" t="n"/>
      <c r="Z520" s="26" t="n"/>
      <c r="AA520" s="26" t="n"/>
      <c r="AB520" s="25" t="n"/>
      <c r="AC520" s="25" t="inlineStr">
        <is>
          <t>Closed</t>
        </is>
      </c>
      <c r="AD520" s="25" t="n"/>
      <c r="AE520" s="25" t="n"/>
      <c r="AF520" s="25" t="inlineStr">
        <is>
          <t>No</t>
        </is>
      </c>
      <c r="AG520" s="28" t="inlineStr">
        <is>
          <t>http://www.itii-franche-comte.org</t>
        </is>
      </c>
      <c r="AH520" s="26" t="n"/>
      <c r="AI520" s="28" t="inlineStr">
        <is>
          <t>Open in EEF</t>
        </is>
      </c>
    </row>
    <row r="521" ht="32.8" customHeight="1" s="19">
      <c r="A521" s="25" t="n">
        <v>520</v>
      </c>
      <c r="B521" s="25" t="inlineStr">
        <is>
          <t>★★★☆☆</t>
        </is>
      </c>
      <c r="C521" s="25" t="inlineStr">
        <is>
          <t>3 – Adjacent (AI/data/CS/cyber/energy)</t>
        </is>
      </c>
      <c r="D521" s="25" t="inlineStr">
        <is>
          <t>Computer science / Software</t>
        </is>
      </c>
      <c r="E521" s="26" t="inlineStr">
        <is>
          <t>diplôme d'ingénieur du CNAM spécialité informatique, en partenariat avec l'ITII Alsace</t>
        </is>
      </c>
      <c r="F521" s="26" t="inlineStr">
        <is>
          <t>Engineering diploma of CNAM – specialisation: Computer Science, in partnership with l'ITII Alsace</t>
        </is>
      </c>
      <c r="G521" s="25" t="inlineStr">
        <is>
          <t>Diplôme d'ingénieur</t>
        </is>
      </c>
      <c r="H521" s="25" t="inlineStr">
        <is>
          <t>Ecole d'ingénieurs du Conservatoire national des arts et métiers d'Alsace</t>
        </is>
      </c>
      <c r="I521" s="25" t="n"/>
      <c r="J521" s="25" t="inlineStr">
        <is>
          <t>Site de Illkirch-Graffenstaden</t>
        </is>
      </c>
      <c r="K521" s="25" t="n"/>
      <c r="L521" s="25" t="inlineStr">
        <is>
          <t>Apprenticeship (CFA/ITII)</t>
        </is>
      </c>
      <c r="M521" s="25" t="inlineStr">
        <is>
          <t>French</t>
        </is>
      </c>
      <c r="N521" s="25" t="inlineStr">
        <is>
          <t>General</t>
        </is>
      </c>
      <c r="O521" s="25" t="inlineStr">
        <is>
          <t>Bac +3</t>
        </is>
      </c>
      <c r="P521" s="26" t="inlineStr">
        <is>
          <t>Eligible on level (4-yr BS ≈ Bac+4)</t>
        </is>
      </c>
      <c r="Q521" s="25" t="inlineStr">
        <is>
          <t>1</t>
        </is>
      </c>
      <c r="R521" s="25" t="n"/>
      <c r="S521" s="27" t="n">
        <v>0</v>
      </c>
      <c r="T521" s="27" t="n"/>
      <c r="U521" s="25" t="n">
        <v>2</v>
      </c>
      <c r="V521" s="27">
        <f>IF(S521="","",S521*U521)</f>
        <v/>
      </c>
      <c r="W521" s="26" t="inlineStr">
        <is>
          <t>Apprenticeship: tuition paid by employer (€0 to student) BUT requires a French employment contract + residence permit – practically not accessible from abroad.</t>
        </is>
      </c>
      <c r="X521" s="25" t="inlineStr">
        <is>
          <t>High</t>
        </is>
      </c>
      <c r="Y521" s="25" t="n"/>
      <c r="Z521" s="26" t="n"/>
      <c r="AA521" s="26" t="n"/>
      <c r="AB521" s="25" t="n"/>
      <c r="AC521" s="25" t="inlineStr">
        <is>
          <t>Closed</t>
        </is>
      </c>
      <c r="AD521" s="25" t="n"/>
      <c r="AE521" s="25" t="n"/>
      <c r="AF521" s="25" t="inlineStr">
        <is>
          <t>No</t>
        </is>
      </c>
      <c r="AG521" s="28" t="inlineStr">
        <is>
          <t>http://www.cnam-alsace.fr</t>
        </is>
      </c>
      <c r="AH521" s="26" t="n"/>
      <c r="AI521" s="28" t="inlineStr">
        <is>
          <t>Open in EEF</t>
        </is>
      </c>
    </row>
    <row r="522" ht="32.8" customHeight="1" s="19">
      <c r="A522" s="25" t="n">
        <v>521</v>
      </c>
      <c r="B522" s="25" t="inlineStr">
        <is>
          <t>★★★☆☆</t>
        </is>
      </c>
      <c r="C522" s="25" t="inlineStr">
        <is>
          <t>3 – Adjacent (AI/data/CS/cyber/energy)</t>
        </is>
      </c>
      <c r="D522" s="25" t="inlineStr">
        <is>
          <t>Computer science / Software</t>
        </is>
      </c>
      <c r="E522" s="26" t="inlineStr">
        <is>
          <t>diplôme d'ingénieur du CNAM spécialité informatique en partenariat avec l'ITII Picardie</t>
        </is>
      </c>
      <c r="F522" s="26" t="inlineStr">
        <is>
          <t>Engineering diploma of CNAM – specialisation: Computer Science in partnership with l'ITII Picardie</t>
        </is>
      </c>
      <c r="G522" s="25" t="inlineStr">
        <is>
          <t>Diplôme d'ingénieur</t>
        </is>
      </c>
      <c r="H522" s="25" t="inlineStr">
        <is>
          <t>Ecole d'ingénieurs du Conservatoire national des arts et métiers de Picardie</t>
        </is>
      </c>
      <c r="I522" s="25" t="n"/>
      <c r="J522" s="25" t="inlineStr">
        <is>
          <t>Site de Amiens</t>
        </is>
      </c>
      <c r="K522" s="25" t="n"/>
      <c r="L522" s="25" t="inlineStr">
        <is>
          <t>Apprenticeship (CFA/ITII)</t>
        </is>
      </c>
      <c r="M522" s="25" t="inlineStr">
        <is>
          <t>French</t>
        </is>
      </c>
      <c r="N522" s="25" t="inlineStr">
        <is>
          <t>General</t>
        </is>
      </c>
      <c r="O522" s="25" t="inlineStr">
        <is>
          <t>Bac +3</t>
        </is>
      </c>
      <c r="P522" s="26" t="inlineStr">
        <is>
          <t>Eligible on level (4-yr BS ≈ Bac+4)</t>
        </is>
      </c>
      <c r="Q522" s="25" t="inlineStr">
        <is>
          <t>1</t>
        </is>
      </c>
      <c r="R522" s="25" t="n"/>
      <c r="S522" s="27" t="n">
        <v>0</v>
      </c>
      <c r="T522" s="27" t="n"/>
      <c r="U522" s="25" t="n">
        <v>2</v>
      </c>
      <c r="V522" s="27">
        <f>IF(S522="","",S522*U522)</f>
        <v/>
      </c>
      <c r="W522" s="26" t="inlineStr">
        <is>
          <t>Apprenticeship: tuition paid by employer (€0 to student) BUT requires a French employment contract + residence permit – practically not accessible from abroad.</t>
        </is>
      </c>
      <c r="X522" s="25" t="inlineStr">
        <is>
          <t>High</t>
        </is>
      </c>
      <c r="Y522" s="25" t="n"/>
      <c r="Z522" s="26" t="n"/>
      <c r="AA522" s="26" t="n"/>
      <c r="AB522" s="25" t="n"/>
      <c r="AC522" s="25" t="inlineStr">
        <is>
          <t>Closed</t>
        </is>
      </c>
      <c r="AD522" s="25" t="n"/>
      <c r="AE522" s="25" t="n"/>
      <c r="AF522" s="25" t="inlineStr">
        <is>
          <t>No</t>
        </is>
      </c>
      <c r="AG522" s="28" t="inlineStr">
        <is>
          <t>http://www.formationcnampicardie.com</t>
        </is>
      </c>
      <c r="AH522" s="26" t="n"/>
      <c r="AI522" s="28" t="inlineStr">
        <is>
          <t>Open in EEF</t>
        </is>
      </c>
    </row>
    <row r="523" ht="32.8" customHeight="1" s="19">
      <c r="A523" s="25" t="n">
        <v>522</v>
      </c>
      <c r="B523" s="25" t="inlineStr">
        <is>
          <t>★★★☆☆</t>
        </is>
      </c>
      <c r="C523" s="25" t="inlineStr">
        <is>
          <t>3 – Adjacent (AI/data/CS/cyber/energy)</t>
        </is>
      </c>
      <c r="D523" s="25" t="inlineStr">
        <is>
          <t>Computer science / Software</t>
        </is>
      </c>
      <c r="E523" s="26" t="inlineStr">
        <is>
          <t>diplôme d'ingénieur du CNAM spécialité informatique en partenariat avec l'ITII Picardie</t>
        </is>
      </c>
      <c r="F523" s="26" t="inlineStr">
        <is>
          <t>Engineering diploma of CNAM – specialisation: Computer Science in partnership with l'ITII Picardie</t>
        </is>
      </c>
      <c r="G523" s="25" t="inlineStr">
        <is>
          <t>Diplôme d'ingénieur</t>
        </is>
      </c>
      <c r="H523" s="25" t="inlineStr">
        <is>
          <t>PROMEO CFAI Oise, site de Beauvais</t>
        </is>
      </c>
      <c r="I523" s="25" t="n"/>
      <c r="J523" s="25" t="inlineStr">
        <is>
          <t>Site de Beauvais</t>
        </is>
      </c>
      <c r="K523" s="25" t="n"/>
      <c r="L523" s="25" t="inlineStr">
        <is>
          <t>Apprenticeship (CFA/ITII)</t>
        </is>
      </c>
      <c r="M523" s="25" t="inlineStr">
        <is>
          <t>French</t>
        </is>
      </c>
      <c r="N523" s="25" t="inlineStr">
        <is>
          <t>General</t>
        </is>
      </c>
      <c r="O523" s="25" t="inlineStr">
        <is>
          <t>Bac +3</t>
        </is>
      </c>
      <c r="P523" s="26" t="inlineStr">
        <is>
          <t>Eligible on level (4-yr BS ≈ Bac+4)</t>
        </is>
      </c>
      <c r="Q523" s="25" t="inlineStr">
        <is>
          <t>1</t>
        </is>
      </c>
      <c r="R523" s="25" t="n"/>
      <c r="S523" s="27" t="n">
        <v>0</v>
      </c>
      <c r="T523" s="27" t="n"/>
      <c r="U523" s="25" t="n">
        <v>2</v>
      </c>
      <c r="V523" s="27">
        <f>IF(S523="","",S523*U523)</f>
        <v/>
      </c>
      <c r="W523" s="26" t="inlineStr">
        <is>
          <t>Apprenticeship: tuition paid by employer (€0 to student) BUT requires a French employment contract + residence permit – practically not accessible from abroad.</t>
        </is>
      </c>
      <c r="X523" s="25" t="inlineStr">
        <is>
          <t>High</t>
        </is>
      </c>
      <c r="Y523" s="25" t="n"/>
      <c r="Z523" s="26" t="n"/>
      <c r="AA523" s="26" t="n"/>
      <c r="AB523" s="25" t="n"/>
      <c r="AC523" s="25" t="inlineStr">
        <is>
          <t>Closed</t>
        </is>
      </c>
      <c r="AD523" s="25" t="n"/>
      <c r="AE523" s="25" t="n"/>
      <c r="AF523" s="25" t="inlineStr">
        <is>
          <t>No</t>
        </is>
      </c>
      <c r="AG523" s="28" t="inlineStr">
        <is>
          <t>http://www.promeo-formation.fr</t>
        </is>
      </c>
      <c r="AH523" s="26" t="n"/>
      <c r="AI523" s="28" t="inlineStr">
        <is>
          <t>Open in EEF</t>
        </is>
      </c>
    </row>
    <row r="524" ht="32.8" customHeight="1" s="19">
      <c r="A524" s="25" t="n">
        <v>523</v>
      </c>
      <c r="B524" s="25" t="inlineStr">
        <is>
          <t>★★★☆☆</t>
        </is>
      </c>
      <c r="C524" s="25" t="inlineStr">
        <is>
          <t>3 – Adjacent (AI/data/CS/cyber/energy)</t>
        </is>
      </c>
      <c r="D524" s="25" t="inlineStr">
        <is>
          <t>Electrical energy</t>
        </is>
      </c>
      <c r="E524" s="26" t="inlineStr">
        <is>
          <t>diplôme d'ingénieur du CNAM spécialité systèmes électriques en partenariat avec l'ITII Picardie</t>
        </is>
      </c>
      <c r="F524" s="26" t="inlineStr">
        <is>
          <t>Engineering diploma of CNAM – specialisation: Systems Electrical in partnership with l'ITII Picardie</t>
        </is>
      </c>
      <c r="G524" s="25" t="inlineStr">
        <is>
          <t>Diplôme d'ingénieur</t>
        </is>
      </c>
      <c r="H524" s="25" t="inlineStr">
        <is>
          <t>Ecole d'ingénieurs du Conservatoire national des arts et métiers de Picardie</t>
        </is>
      </c>
      <c r="I524" s="25" t="n"/>
      <c r="J524" s="25" t="inlineStr">
        <is>
          <t>Site de Amiens</t>
        </is>
      </c>
      <c r="K524" s="25" t="n"/>
      <c r="L524" s="25" t="inlineStr">
        <is>
          <t>Apprenticeship (CFA/ITII)</t>
        </is>
      </c>
      <c r="M524" s="25" t="inlineStr">
        <is>
          <t>French</t>
        </is>
      </c>
      <c r="N524" s="25" t="inlineStr">
        <is>
          <t>General</t>
        </is>
      </c>
      <c r="O524" s="25" t="inlineStr">
        <is>
          <t>Bac +3</t>
        </is>
      </c>
      <c r="P524" s="26" t="inlineStr">
        <is>
          <t>Eligible on level (4-yr BS ≈ Bac+4)</t>
        </is>
      </c>
      <c r="Q524" s="25" t="inlineStr">
        <is>
          <t>1</t>
        </is>
      </c>
      <c r="R524" s="25" t="n"/>
      <c r="S524" s="27" t="n">
        <v>0</v>
      </c>
      <c r="T524" s="27" t="n"/>
      <c r="U524" s="25" t="n">
        <v>2</v>
      </c>
      <c r="V524" s="27">
        <f>IF(S524="","",S524*U524)</f>
        <v/>
      </c>
      <c r="W524" s="26" t="inlineStr">
        <is>
          <t>Apprenticeship: tuition paid by employer (€0 to student) BUT requires a French employment contract + residence permit – practically not accessible from abroad.</t>
        </is>
      </c>
      <c r="X524" s="25" t="inlineStr">
        <is>
          <t>High</t>
        </is>
      </c>
      <c r="Y524" s="25" t="n"/>
      <c r="Z524" s="26" t="n"/>
      <c r="AA524" s="26" t="n"/>
      <c r="AB524" s="25" t="n"/>
      <c r="AC524" s="25" t="inlineStr">
        <is>
          <t>Closed</t>
        </is>
      </c>
      <c r="AD524" s="25" t="n"/>
      <c r="AE524" s="25" t="n"/>
      <c r="AF524" s="25" t="inlineStr">
        <is>
          <t>No</t>
        </is>
      </c>
      <c r="AG524" s="28" t="inlineStr">
        <is>
          <t>http://www.formationcnampicardie.com</t>
        </is>
      </c>
      <c r="AH524" s="26" t="n"/>
      <c r="AI524" s="28" t="inlineStr">
        <is>
          <t>Open in EEF</t>
        </is>
      </c>
    </row>
    <row r="525" ht="32.8" customHeight="1" s="19">
      <c r="A525" s="25" t="n">
        <v>524</v>
      </c>
      <c r="B525" s="25" t="inlineStr">
        <is>
          <t>★★★☆☆</t>
        </is>
      </c>
      <c r="C525" s="25" t="inlineStr">
        <is>
          <t>3 – Adjacent (AI/data/CS/cyber/energy)</t>
        </is>
      </c>
      <c r="D525" s="25" t="inlineStr">
        <is>
          <t>AI / Data science</t>
        </is>
      </c>
      <c r="E525" s="26" t="inlineStr">
        <is>
          <t>Diplôme d'ingénieur mention Diplôme d'Ingénieur Apprentissage Filière Informatique et Applications</t>
        </is>
      </c>
      <c r="F525" s="26" t="inlineStr">
        <is>
          <t>Engineering diploma – major: Engineering diploma Apprenticeship stream Computer Science &amp; Applications</t>
        </is>
      </c>
      <c r="G525" s="25" t="inlineStr">
        <is>
          <t>Diplôme d'ingénieur</t>
        </is>
      </c>
      <c r="H525" s="25" t="inlineStr">
        <is>
          <t>ESIEE - Paris</t>
        </is>
      </c>
      <c r="I525" s="25" t="inlineStr">
        <is>
          <t>ESIEE - École Supérieure d'Ingénieurs en Électronique et Électrotechnique</t>
        </is>
      </c>
      <c r="J525" s="25" t="inlineStr">
        <is>
          <t>Site de Noisy-le-Grand</t>
        </is>
      </c>
      <c r="K525" s="25" t="n"/>
      <c r="L525" s="25" t="inlineStr">
        <is>
          <t>Apprenticeship (CFA/ITII)</t>
        </is>
      </c>
      <c r="M525" s="25" t="inlineStr">
        <is>
          <t>French</t>
        </is>
      </c>
      <c r="N525" s="25" t="inlineStr">
        <is>
          <t>General</t>
        </is>
      </c>
      <c r="O525" s="25" t="inlineStr">
        <is>
          <t>Bac +3</t>
        </is>
      </c>
      <c r="P525" s="26" t="inlineStr">
        <is>
          <t>Eligible on level (4-yr BS ≈ Bac+4)</t>
        </is>
      </c>
      <c r="Q525" s="25" t="inlineStr">
        <is>
          <t>3</t>
        </is>
      </c>
      <c r="R525" s="25" t="n"/>
      <c r="S525" s="27" t="n">
        <v>0</v>
      </c>
      <c r="T525" s="27" t="n"/>
      <c r="U525" s="25" t="n">
        <v>2</v>
      </c>
      <c r="V525" s="27">
        <f>IF(S525="","",S525*U525)</f>
        <v/>
      </c>
      <c r="W525" s="26" t="inlineStr">
        <is>
          <t>Apprenticeship: tuition paid by employer (€0 to student) BUT requires a French employment contract + residence permit – practically not accessible from abroad.</t>
        </is>
      </c>
      <c r="X525" s="25" t="inlineStr">
        <is>
          <t>High</t>
        </is>
      </c>
      <c r="Y525" s="25" t="n"/>
      <c r="Z525" s="26" t="n"/>
      <c r="AA525" s="26" t="n"/>
      <c r="AB525" s="25" t="n"/>
      <c r="AC525" s="25" t="inlineStr">
        <is>
          <t>Open</t>
        </is>
      </c>
      <c r="AD525" s="25" t="inlineStr">
        <is>
          <t>2026-10-01</t>
        </is>
      </c>
      <c r="AE525" s="25" t="inlineStr">
        <is>
          <t>2027-03-15</t>
        </is>
      </c>
      <c r="AF525" s="25" t="inlineStr">
        <is>
          <t>Yes</t>
        </is>
      </c>
      <c r="AG525" s="25" t="n"/>
      <c r="AH525" s="26" t="n"/>
      <c r="AI525" s="28" t="inlineStr">
        <is>
          <t>Open in EEF</t>
        </is>
      </c>
    </row>
    <row r="526" ht="32.8" customHeight="1" s="19">
      <c r="A526" s="25" t="n">
        <v>525</v>
      </c>
      <c r="B526" s="25" t="inlineStr">
        <is>
          <t>★★★☆☆</t>
        </is>
      </c>
      <c r="C526" s="25" t="inlineStr">
        <is>
          <t>3 – Adjacent (AI/data/CS/cyber/energy)</t>
        </is>
      </c>
      <c r="D526" s="25" t="inlineStr">
        <is>
          <t>IoT / Telecom / Networks</t>
        </is>
      </c>
      <c r="E526" s="26" t="inlineStr">
        <is>
          <t>Diplôme d'ingénieur mention Diplôme d'Ingénieur Apprentissage Filière Réseaux et Sécurité</t>
        </is>
      </c>
      <c r="F526" s="26" t="inlineStr">
        <is>
          <t>Engineering diploma – major: Engineering diploma Apprenticeship stream Networks &amp; Security</t>
        </is>
      </c>
      <c r="G526" s="25" t="inlineStr">
        <is>
          <t>Diplôme d'ingénieur</t>
        </is>
      </c>
      <c r="H526" s="25" t="inlineStr">
        <is>
          <t>ESIEE - Paris</t>
        </is>
      </c>
      <c r="I526" s="25" t="inlineStr">
        <is>
          <t>ESIEE - École Supérieure d'Ingénieurs en Électronique et Électrotechnique</t>
        </is>
      </c>
      <c r="J526" s="25" t="inlineStr">
        <is>
          <t>Site de Noisy-le-Grand</t>
        </is>
      </c>
      <c r="K526" s="25" t="n"/>
      <c r="L526" s="25" t="inlineStr">
        <is>
          <t>Apprenticeship (CFA/ITII)</t>
        </is>
      </c>
      <c r="M526" s="25" t="inlineStr">
        <is>
          <t>French</t>
        </is>
      </c>
      <c r="N526" s="25" t="inlineStr">
        <is>
          <t>General</t>
        </is>
      </c>
      <c r="O526" s="25" t="inlineStr">
        <is>
          <t>Bac +3</t>
        </is>
      </c>
      <c r="P526" s="26" t="inlineStr">
        <is>
          <t>Eligible on level (4-yr BS ≈ Bac+4)</t>
        </is>
      </c>
      <c r="Q526" s="25" t="inlineStr">
        <is>
          <t>3</t>
        </is>
      </c>
      <c r="R526" s="25" t="n"/>
      <c r="S526" s="27" t="n">
        <v>0</v>
      </c>
      <c r="T526" s="27" t="n"/>
      <c r="U526" s="25" t="n">
        <v>2</v>
      </c>
      <c r="V526" s="27">
        <f>IF(S526="","",S526*U526)</f>
        <v/>
      </c>
      <c r="W526" s="26" t="inlineStr">
        <is>
          <t>Apprenticeship: tuition paid by employer (€0 to student) BUT requires a French employment contract + residence permit – practically not accessible from abroad.</t>
        </is>
      </c>
      <c r="X526" s="25" t="inlineStr">
        <is>
          <t>High</t>
        </is>
      </c>
      <c r="Y526" s="25" t="n"/>
      <c r="Z526" s="26" t="n"/>
      <c r="AA526" s="26" t="n"/>
      <c r="AB526" s="25" t="n"/>
      <c r="AC526" s="25" t="inlineStr">
        <is>
          <t>Open</t>
        </is>
      </c>
      <c r="AD526" s="25" t="inlineStr">
        <is>
          <t>2026-10-01</t>
        </is>
      </c>
      <c r="AE526" s="25" t="inlineStr">
        <is>
          <t>2027-03-15</t>
        </is>
      </c>
      <c r="AF526" s="25" t="inlineStr">
        <is>
          <t>Yes</t>
        </is>
      </c>
      <c r="AG526" s="25" t="n"/>
      <c r="AH526" s="26" t="n"/>
      <c r="AI526" s="28" t="inlineStr">
        <is>
          <t>Open in EEF</t>
        </is>
      </c>
    </row>
    <row r="527" ht="32.8" customHeight="1" s="19">
      <c r="A527" s="25" t="n">
        <v>526</v>
      </c>
      <c r="B527" s="25" t="inlineStr">
        <is>
          <t>★★★☆☆</t>
        </is>
      </c>
      <c r="C527" s="25" t="inlineStr">
        <is>
          <t>3 – Adjacent (AI/data/CS/cyber/energy)</t>
        </is>
      </c>
      <c r="D527" s="25" t="inlineStr">
        <is>
          <t>IoT / Telecom / Networks</t>
        </is>
      </c>
      <c r="E527" s="26" t="inlineStr">
        <is>
          <t>Diplôme d'ingénieur spécialité Diplôme d'ingénieur en apprentissage spécialité Informatique et Réseaux</t>
        </is>
      </c>
      <c r="F527" s="26" t="inlineStr">
        <is>
          <t>Engineering diploma – specialisation: Engineering diploma in Apprenticeship – specialisation: Computer Science &amp; Networks</t>
        </is>
      </c>
      <c r="G527" s="25" t="inlineStr">
        <is>
          <t>Diplôme d'ingénieur</t>
        </is>
      </c>
      <c r="H527" s="25" t="inlineStr">
        <is>
          <t>Télécom SudParis</t>
        </is>
      </c>
      <c r="I527" s="25" t="n"/>
      <c r="J527" s="25" t="inlineStr">
        <is>
          <t>Site de Evry</t>
        </is>
      </c>
      <c r="K527" s="25" t="n"/>
      <c r="L527" s="25" t="inlineStr">
        <is>
          <t>Apprenticeship (CFA/ITII)</t>
        </is>
      </c>
      <c r="M527" s="25" t="inlineStr">
        <is>
          <t>French</t>
        </is>
      </c>
      <c r="N527" s="25" t="inlineStr">
        <is>
          <t>General</t>
        </is>
      </c>
      <c r="O527" s="25" t="inlineStr">
        <is>
          <t>Bac +3 / Bac +4</t>
        </is>
      </c>
      <c r="P527" s="26" t="inlineStr">
        <is>
          <t>Eligible on level (4-yr BS ≈ Bac+4)</t>
        </is>
      </c>
      <c r="Q527" s="25" t="inlineStr">
        <is>
          <t>1/2</t>
        </is>
      </c>
      <c r="R527" s="25" t="inlineStr">
        <is>
          <t>36/24</t>
        </is>
      </c>
      <c r="S527" s="27" t="n">
        <v>0</v>
      </c>
      <c r="T527" s="27" t="n"/>
      <c r="U527" s="25" t="n">
        <v>2</v>
      </c>
      <c r="V527" s="27">
        <f>IF(S527="","",S527*U527)</f>
        <v/>
      </c>
      <c r="W527" s="26" t="inlineStr">
        <is>
          <t>Apprenticeship: tuition paid by employer (€0 to student) BUT requires a French employment contract + residence permit – practically not accessible from abroad.</t>
        </is>
      </c>
      <c r="X527" s="25" t="inlineStr">
        <is>
          <t>High</t>
        </is>
      </c>
      <c r="Y527" s="25" t="n"/>
      <c r="Z527" s="26" t="n"/>
      <c r="AA527" s="26" t="n"/>
      <c r="AB527" s="25" t="n"/>
      <c r="AC527" s="25" t="inlineStr">
        <is>
          <t>Open</t>
        </is>
      </c>
      <c r="AD527" s="25" t="inlineStr">
        <is>
          <t>2026-10-01</t>
        </is>
      </c>
      <c r="AE527" s="25" t="inlineStr">
        <is>
          <t>2027-03-15</t>
        </is>
      </c>
      <c r="AF527" s="25" t="inlineStr">
        <is>
          <t>Yes</t>
        </is>
      </c>
      <c r="AG527" s="28" t="inlineStr">
        <is>
          <t>https://www.telecom-sudparis.eu/formation/ingenieur-informatique-reseaux-apprentissage/</t>
        </is>
      </c>
      <c r="AH527" s="26" t="inlineStr">
        <is>
          <t>Informations en ligne sur le site de Télécom SudParis</t>
        </is>
      </c>
      <c r="AI527" s="28" t="inlineStr">
        <is>
          <t>Open in EEF</t>
        </is>
      </c>
    </row>
    <row r="528" ht="32.8" customHeight="1" s="19">
      <c r="A528" s="25" t="n">
        <v>527</v>
      </c>
      <c r="B528" s="25" t="inlineStr">
        <is>
          <t>★★★☆☆</t>
        </is>
      </c>
      <c r="C528" s="25" t="inlineStr">
        <is>
          <t>3 – Adjacent (AI/data/CS/cyber/energy)</t>
        </is>
      </c>
      <c r="D528" s="25" t="inlineStr">
        <is>
          <t>Other engineering / maths</t>
        </is>
      </c>
      <c r="E528" s="26" t="inlineStr">
        <is>
          <t>Master Sciences, technologies, santé mention Ingénierie des systèmes complexes Ingénierie des systèmes complexes parcours Smart integrated systems</t>
        </is>
      </c>
      <c r="F528" s="26" t="inlineStr">
        <is>
          <t>Master Science, Technology, Health (STS) – major: Complex Systems Engineering Complex Systems Engineering – track: Smart integrated systems</t>
        </is>
      </c>
      <c r="G528" s="25" t="inlineStr">
        <is>
          <t>Master indifférencié (recherche et professionnel)</t>
        </is>
      </c>
      <c r="H528" s="25" t="inlineStr">
        <is>
          <t>UFR Sciences et Techniques</t>
        </is>
      </c>
      <c r="I528" s="25" t="inlineStr">
        <is>
          <t>Université Marie et Louis Pasteur</t>
        </is>
      </c>
      <c r="J528" s="25" t="inlineStr">
        <is>
          <t>Site de Besançon</t>
        </is>
      </c>
      <c r="K528" s="25" t="inlineStr">
        <is>
          <t>25030 BESANCON CEDEX</t>
        </is>
      </c>
      <c r="L528" s="25" t="inlineStr">
        <is>
          <t>Public university</t>
        </is>
      </c>
      <c r="M528" s="25" t="inlineStr">
        <is>
          <t>English</t>
        </is>
      </c>
      <c r="N528" s="25" t="inlineStr">
        <is>
          <t>General</t>
        </is>
      </c>
      <c r="O528" s="25" t="inlineStr">
        <is>
          <t>Bac +4</t>
        </is>
      </c>
      <c r="P528" s="26" t="inlineStr">
        <is>
          <t>Eligible on level (4-yr BS ≈ Bac+4)</t>
        </is>
      </c>
      <c r="Q528" s="25" t="inlineStr">
        <is>
          <t>1</t>
        </is>
      </c>
      <c r="R528" s="25" t="inlineStr">
        <is>
          <t>12</t>
        </is>
      </c>
      <c r="S528" s="27" t="n">
        <v>243</v>
      </c>
      <c r="T528" s="27" t="n"/>
      <c r="U528" s="25" t="n">
        <v>2</v>
      </c>
      <c r="V528" s="27">
        <f>IF(S528="","",S528*U528)</f>
        <v/>
      </c>
      <c r="W528" s="26" t="inlineStr">
        <is>
          <t>Catalogue lists €243 (EU/national rate). Confirm whether non-EU surcharge applies.</t>
        </is>
      </c>
      <c r="X528" s="25" t="inlineStr">
        <is>
          <t>Medium</t>
        </is>
      </c>
      <c r="Y528" s="25" t="inlineStr">
        <is>
          <t>243</t>
        </is>
      </c>
      <c r="Z528" s="26" t="n"/>
      <c r="AA528" s="26" t="inlineStr">
        <is>
          <t>UMLP: individual exemption requests assessed on personal resources.</t>
        </is>
      </c>
      <c r="AB528" s="28" t="inlineStr">
        <is>
          <t>https://www.umlp.fr/sites/default/files/2026-07-02-page-droits-differencies-vf.pdf</t>
        </is>
      </c>
      <c r="AC528" s="25" t="inlineStr">
        <is>
          <t>Open</t>
        </is>
      </c>
      <c r="AD528" s="25" t="inlineStr">
        <is>
          <t>2026-10-01</t>
        </is>
      </c>
      <c r="AE528" s="25" t="inlineStr">
        <is>
          <t>2027-03-15</t>
        </is>
      </c>
      <c r="AF528" s="25" t="inlineStr">
        <is>
          <t>No</t>
        </is>
      </c>
      <c r="AG528" s="28" t="inlineStr">
        <is>
          <t>https://gradschool.eiphi.ubfc.fr/?page_id=1357</t>
        </is>
      </c>
      <c r="AH528" s="26" t="inlineStr">
        <is>
          <t>The selection criteria for the ISC master's degree research track SIS are the level of excellence of the academic record and the level of excellence in the following subjects: C programming in Linux, C programming in gen</t>
        </is>
      </c>
      <c r="AI528" s="28" t="inlineStr">
        <is>
          <t>Open in EEF</t>
        </is>
      </c>
    </row>
    <row r="529" ht="32.8" customHeight="1" s="19">
      <c r="A529" s="25" t="n">
        <v>528</v>
      </c>
      <c r="B529" s="25" t="inlineStr">
        <is>
          <t>★★★☆☆</t>
        </is>
      </c>
      <c r="C529" s="25" t="inlineStr">
        <is>
          <t>3 – Adjacent (AI/data/CS/cyber/energy)</t>
        </is>
      </c>
      <c r="D529" s="25" t="inlineStr">
        <is>
          <t>Cybersecurity</t>
        </is>
      </c>
      <c r="E529" s="26" t="inlineStr">
        <is>
          <t>Master indifférencié (recherche et professionnel) Sciences, technologies, santé mention Informatique parcours Parcours CRYPTIS sécurité de l'information et cryptologie- Parcours Graduate School “Information security”</t>
        </is>
      </c>
      <c r="F529" s="26" t="inlineStr">
        <is>
          <t>Science, Technology, Health (STS) – major: Computer Science – track: track: CRYPTIS Security of Information &amp; cryptologie- – track: Graduate School “Information security”</t>
        </is>
      </c>
      <c r="G529" s="25" t="inlineStr">
        <is>
          <t>Master indifférencié (recherche et professionnel)</t>
        </is>
      </c>
      <c r="H529" s="25" t="inlineStr">
        <is>
          <t>Faculté des Sciences et Techniques</t>
        </is>
      </c>
      <c r="I529" s="25" t="inlineStr">
        <is>
          <t>Université de Limoges</t>
        </is>
      </c>
      <c r="J529" s="25" t="inlineStr">
        <is>
          <t>Campus de la Borie Limoges</t>
        </is>
      </c>
      <c r="K529" s="25" t="n"/>
      <c r="L529" s="25" t="inlineStr">
        <is>
          <t>Public university</t>
        </is>
      </c>
      <c r="M529" s="25" t="inlineStr">
        <is>
          <t>French &amp; English</t>
        </is>
      </c>
      <c r="N529" s="25" t="inlineStr">
        <is>
          <t>General</t>
        </is>
      </c>
      <c r="O529" s="25" t="inlineStr">
        <is>
          <t>Bac +4 / Bac +5</t>
        </is>
      </c>
      <c r="P529" s="26" t="inlineStr">
        <is>
          <t>Eligible on level (4-yr BS ≈ Bac+4)</t>
        </is>
      </c>
      <c r="Q529" s="25" t="inlineStr">
        <is>
          <t>1/2</t>
        </is>
      </c>
      <c r="R529" s="25" t="n"/>
      <c r="S529" s="27" t="n">
        <v>254</v>
      </c>
      <c r="T529" s="27" t="n"/>
      <c r="U529" s="25" t="n">
        <v>2</v>
      </c>
      <c r="V529" s="27">
        <f>IF(S529="","",S529*U529)</f>
        <v/>
      </c>
      <c r="W529" s="26" t="inlineStr">
        <is>
          <t>Catalogue lists €254 (EU/national rate). Confirm whether non-EU surcharge applies.</t>
        </is>
      </c>
      <c r="X529" s="25" t="inlineStr">
        <is>
          <t>Medium</t>
        </is>
      </c>
      <c r="Y529" s="25" t="inlineStr">
        <is>
          <t>254/3950</t>
        </is>
      </c>
      <c r="Z529" s="26" t="inlineStr">
        <is>
          <t>En 2025-2026 : ces droits nationaux s'élèvent à 254€ + 105 € pour la CVEC</t>
        </is>
      </c>
      <c r="AA529" s="26" t="n"/>
      <c r="AB529" s="25" t="n"/>
      <c r="AC529" s="25" t="inlineStr">
        <is>
          <t>Open</t>
        </is>
      </c>
      <c r="AD529" s="25" t="inlineStr">
        <is>
          <t>2026-10-01</t>
        </is>
      </c>
      <c r="AE529" s="25" t="inlineStr">
        <is>
          <t>2027-03-15</t>
        </is>
      </c>
      <c r="AF529" s="25" t="inlineStr">
        <is>
          <t>No</t>
        </is>
      </c>
      <c r="AG529" s="28" t="inlineStr">
        <is>
          <t>https://www.unilim.fr/gradschool-ceramics-ict/</t>
        </is>
      </c>
      <c r="AH529" s="26" t="inlineStr">
        <is>
          <t>This is the graduate school side of the Cryptis Master. Applicants wanting to later continue with an applied PhD are encouraged to (also) apply here. 1st year : Applicants need to have a computer science bachelor (or equ</t>
        </is>
      </c>
      <c r="AI529" s="28" t="inlineStr">
        <is>
          <t>Open in EEF</t>
        </is>
      </c>
    </row>
    <row r="530" ht="32.8" customHeight="1" s="19">
      <c r="A530" s="25" t="n">
        <v>529</v>
      </c>
      <c r="B530" s="25" t="inlineStr">
        <is>
          <t>★★★☆☆</t>
        </is>
      </c>
      <c r="C530" s="25" t="inlineStr">
        <is>
          <t>3 – Adjacent (AI/data/CS/cyber/energy)</t>
        </is>
      </c>
      <c r="D530" s="25" t="inlineStr">
        <is>
          <t>IoT / Telecom / Networks</t>
        </is>
      </c>
      <c r="E530" s="26" t="inlineStr">
        <is>
          <t>Master indifférencié (recherche et professionnel) Sciences, technologies, santé mention Ingénierie des systèmes complexes parcours systèmes distribués et technologies des réseaux (SDTR)</t>
        </is>
      </c>
      <c r="F530" s="26" t="inlineStr">
        <is>
          <t>Science, Technology, Health (STS) – major: Complex Systems Engineering – track: Systems Distributed &amp; Technologies of Networks (SDTR)</t>
        </is>
      </c>
      <c r="G530" s="25" t="inlineStr">
        <is>
          <t>Master indifférencié (recherche et professionnel)</t>
        </is>
      </c>
      <c r="H530" s="25" t="inlineStr">
        <is>
          <t>UFR des sciences et technologie</t>
        </is>
      </c>
      <c r="I530" s="25" t="inlineStr">
        <is>
          <t>Université Paris-Est Créteil Val-de-Marne</t>
        </is>
      </c>
      <c r="J530" s="25" t="inlineStr">
        <is>
          <t>Site de Créteil</t>
        </is>
      </c>
      <c r="K530" s="25" t="n"/>
      <c r="L530" s="25" t="inlineStr">
        <is>
          <t>Public university</t>
        </is>
      </c>
      <c r="M530" s="25" t="inlineStr">
        <is>
          <t>French</t>
        </is>
      </c>
      <c r="N530" s="25" t="inlineStr">
        <is>
          <t>General</t>
        </is>
      </c>
      <c r="O530" s="25" t="inlineStr">
        <is>
          <t>Bac +4 / Bac +5</t>
        </is>
      </c>
      <c r="P530" s="26" t="inlineStr">
        <is>
          <t>Eligible on level (4-yr BS ≈ Bac+4)</t>
        </is>
      </c>
      <c r="Q530" s="25" t="inlineStr">
        <is>
          <t>1/2</t>
        </is>
      </c>
      <c r="R530" s="25" t="inlineStr">
        <is>
          <t>12</t>
        </is>
      </c>
      <c r="S530" s="27" t="n">
        <v>254</v>
      </c>
      <c r="T530" s="27" t="n"/>
      <c r="U530" s="25" t="n">
        <v>2</v>
      </c>
      <c r="V530" s="27">
        <f>IF(S530="","",S530*U530)</f>
        <v/>
      </c>
      <c r="W530" s="26" t="inlineStr">
        <is>
          <t>Catalogue lists €254 (EU/national rate). Confirm whether non-EU surcharge applies.</t>
        </is>
      </c>
      <c r="X530" s="25" t="inlineStr">
        <is>
          <t>Medium</t>
        </is>
      </c>
      <c r="Y530" s="25" t="inlineStr">
        <is>
          <t>254/3950</t>
        </is>
      </c>
      <c r="Z530" s="26" t="n"/>
      <c r="AA530" s="26" t="n"/>
      <c r="AB530" s="25" t="n"/>
      <c r="AC530" s="25" t="inlineStr">
        <is>
          <t>Open</t>
        </is>
      </c>
      <c r="AD530" s="25" t="inlineStr">
        <is>
          <t>2026-10-01</t>
        </is>
      </c>
      <c r="AE530" s="25" t="inlineStr">
        <is>
          <t>2027-03-15</t>
        </is>
      </c>
      <c r="AF530" s="25" t="inlineStr">
        <is>
          <t>No</t>
        </is>
      </c>
      <c r="AG530" s="28" t="inlineStr">
        <is>
          <t>http://sciences-tech.u-pec.fr</t>
        </is>
      </c>
      <c r="AH530" s="26" t="n"/>
      <c r="AI530" s="28" t="inlineStr">
        <is>
          <t>Open in EEF</t>
        </is>
      </c>
    </row>
    <row r="531" ht="22.35" customHeight="1" s="19">
      <c r="A531" s="25" t="n">
        <v>530</v>
      </c>
      <c r="B531" s="25" t="inlineStr">
        <is>
          <t>★★★☆☆</t>
        </is>
      </c>
      <c r="C531" s="25" t="inlineStr">
        <is>
          <t>3 – Adjacent (AI/data/CS/cyber/energy)</t>
        </is>
      </c>
      <c r="D531" s="25" t="inlineStr">
        <is>
          <t>Other engineering / maths</t>
        </is>
      </c>
      <c r="E531" s="26" t="inlineStr">
        <is>
          <t>Master Sciences, technologies, santé, mention Ingénierie des systèmes complexes</t>
        </is>
      </c>
      <c r="F531" s="26" t="inlineStr">
        <is>
          <t>Master Science, Technology, Health (STS), – major: Complex Systems Engineering</t>
        </is>
      </c>
      <c r="G531" s="25" t="inlineStr">
        <is>
          <t>Master indifférencié (recherche et professionnel)</t>
        </is>
      </c>
      <c r="H531" s="25" t="inlineStr">
        <is>
          <t>Polytech Angers</t>
        </is>
      </c>
      <c r="I531" s="25" t="inlineStr">
        <is>
          <t>Université d'Angers</t>
        </is>
      </c>
      <c r="J531" s="25" t="inlineStr">
        <is>
          <t>Site de Angers</t>
        </is>
      </c>
      <c r="K531" s="25" t="n"/>
      <c r="L531" s="25" t="inlineStr">
        <is>
          <t>Public school / institute</t>
        </is>
      </c>
      <c r="M531" s="25" t="inlineStr">
        <is>
          <t>French</t>
        </is>
      </c>
      <c r="N531" s="25" t="inlineStr">
        <is>
          <t>General</t>
        </is>
      </c>
      <c r="O531" s="25" t="inlineStr">
        <is>
          <t>Bac +4</t>
        </is>
      </c>
      <c r="P531" s="26" t="inlineStr">
        <is>
          <t>Eligible on level (4-yr BS ≈ Bac+4)</t>
        </is>
      </c>
      <c r="Q531" s="25" t="inlineStr">
        <is>
          <t>1</t>
        </is>
      </c>
      <c r="R531" s="25" t="n"/>
      <c r="S531" s="27" t="n">
        <v>255</v>
      </c>
      <c r="T531" s="27" t="n"/>
      <c r="U531" s="25" t="n">
        <v>2</v>
      </c>
      <c r="V531" s="27">
        <f>IF(S531="","",S531*U531)</f>
        <v/>
      </c>
      <c r="W531" s="26" t="inlineStr">
        <is>
          <t>Catalogue lists €255 (EU/national rate). Confirm whether non-EU surcharge applies.</t>
        </is>
      </c>
      <c r="X531" s="25" t="inlineStr">
        <is>
          <t>Medium</t>
        </is>
      </c>
      <c r="Y531" s="25" t="inlineStr">
        <is>
          <t>255</t>
        </is>
      </c>
      <c r="Z531" s="26" t="n"/>
      <c r="AA531" s="26" t="n"/>
      <c r="AB531" s="25" t="n"/>
      <c r="AC531" s="25" t="inlineStr">
        <is>
          <t>Open</t>
        </is>
      </c>
      <c r="AD531" s="25" t="inlineStr">
        <is>
          <t>2026-10-01</t>
        </is>
      </c>
      <c r="AE531" s="25" t="inlineStr">
        <is>
          <t>2027-03-15</t>
        </is>
      </c>
      <c r="AF531" s="25" t="inlineStr">
        <is>
          <t>Yes</t>
        </is>
      </c>
      <c r="AG531" s="28" t="inlineStr">
        <is>
          <t>https://www.univ-angers.fr/fr/acces-directs/facultes-et-instituts/polytech-angers.html</t>
        </is>
      </c>
      <c r="AH531" s="26" t="inlineStr">
        <is>
          <t>Etre au moins titulaire d'un cursus bac+3. Avoir au moins obtenu le niveau B2 en langue française pour les pays non francophones.</t>
        </is>
      </c>
      <c r="AI531" s="28" t="inlineStr">
        <is>
          <t>Open in EEF</t>
        </is>
      </c>
    </row>
    <row r="532" ht="22.35" customHeight="1" s="19">
      <c r="A532" s="25" t="n">
        <v>531</v>
      </c>
      <c r="B532" s="25" t="inlineStr">
        <is>
          <t>★★★☆☆</t>
        </is>
      </c>
      <c r="C532" s="25" t="inlineStr">
        <is>
          <t>3 – Adjacent (AI/data/CS/cyber/energy)</t>
        </is>
      </c>
      <c r="D532" s="25" t="inlineStr">
        <is>
          <t>AI / Data science</t>
        </is>
      </c>
      <c r="E532" s="26" t="inlineStr">
        <is>
          <t>Master indifférencié (recherche et professionnel) Artificial Intelligence for Connected Industries</t>
        </is>
      </c>
      <c r="F532" s="26" t="inlineStr">
        <is>
          <t>Artificial Intelligence for Connected Industries</t>
        </is>
      </c>
      <c r="G532" s="25" t="inlineStr">
        <is>
          <t>Master indifférencié (recherche et professionnel)</t>
        </is>
      </c>
      <c r="H532" s="25" t="inlineStr">
        <is>
          <t>Conservatoire national des arts et métiers - CNAM</t>
        </is>
      </c>
      <c r="I532" s="25" t="n"/>
      <c r="J532" s="25" t="inlineStr">
        <is>
          <t>Cnam Etablissement Public - EPN5 Computer Science</t>
        </is>
      </c>
      <c r="K532" s="25" t="inlineStr">
        <is>
          <t>75003 Paris</t>
        </is>
      </c>
      <c r="L532" s="25" t="inlineStr">
        <is>
          <t>Public school / institute</t>
        </is>
      </c>
      <c r="M532" s="25" t="inlineStr">
        <is>
          <t>English</t>
        </is>
      </c>
      <c r="N532" s="25" t="inlineStr">
        <is>
          <t>Taught in English</t>
        </is>
      </c>
      <c r="O532" s="25" t="inlineStr">
        <is>
          <t>Bac +4 / Bac +5</t>
        </is>
      </c>
      <c r="P532" s="26" t="inlineStr">
        <is>
          <t>Eligible on level (4-yr BS ≈ Bac+4)</t>
        </is>
      </c>
      <c r="Q532" s="25" t="inlineStr">
        <is>
          <t>1/2</t>
        </is>
      </c>
      <c r="R532" s="25" t="inlineStr">
        <is>
          <t>24/12</t>
        </is>
      </c>
      <c r="S532" s="27" t="n">
        <v>3950</v>
      </c>
      <c r="T532" s="27" t="n">
        <v>255</v>
      </c>
      <c r="U532" s="25" t="n">
        <v>2</v>
      </c>
      <c r="V532" s="27">
        <f>IF(S532="","",S532*U532)</f>
        <v/>
      </c>
      <c r="W532" s="26" t="inlineStr">
        <is>
          <t>Catalogue: €3,770. = national differentiated master fee (2026-27: €3,950). Exemption to ~€255 possible (university quota).</t>
        </is>
      </c>
      <c r="X532" s="25" t="inlineStr">
        <is>
          <t>High</t>
        </is>
      </c>
      <c r="Y532" s="25" t="inlineStr">
        <is>
          <t>3770</t>
        </is>
      </c>
      <c r="Z532" s="26" t="n"/>
      <c r="AA532" s="26" t="n"/>
      <c r="AB532" s="25" t="n"/>
      <c r="AC532" s="25" t="inlineStr">
        <is>
          <t>Open</t>
        </is>
      </c>
      <c r="AD532" s="25" t="inlineStr">
        <is>
          <t>2026-10-01</t>
        </is>
      </c>
      <c r="AE532" s="25" t="inlineStr">
        <is>
          <t>2027-03-15</t>
        </is>
      </c>
      <c r="AF532" s="25" t="inlineStr">
        <is>
          <t>Yes</t>
        </is>
      </c>
      <c r="AG532" s="25" t="n"/>
      <c r="AH532" s="26" t="n"/>
      <c r="AI532" s="28" t="inlineStr">
        <is>
          <t>Open in EEF</t>
        </is>
      </c>
    </row>
    <row r="533" ht="32.8" customHeight="1" s="19">
      <c r="A533" s="25" t="n">
        <v>532</v>
      </c>
      <c r="B533" s="25" t="inlineStr">
        <is>
          <t>★★★☆☆</t>
        </is>
      </c>
      <c r="C533" s="25" t="inlineStr">
        <is>
          <t>3 – Adjacent (AI/data/CS/cyber/energy)</t>
        </is>
      </c>
      <c r="D533" s="25" t="inlineStr">
        <is>
          <t>Computer science / Software</t>
        </is>
      </c>
      <c r="E533" s="26" t="inlineStr">
        <is>
          <t>Master indifférencié (recherche et professionnel) mention Informatique. parcours Computer Sciences.</t>
        </is>
      </c>
      <c r="F533" s="26" t="inlineStr">
        <is>
          <t>major: Computer Science. – track: Computer Sciences.</t>
        </is>
      </c>
      <c r="G533" s="25" t="inlineStr">
        <is>
          <t>Master indifférencié (recherche et professionnel)</t>
        </is>
      </c>
      <c r="H533" s="25" t="inlineStr">
        <is>
          <t>Faculté des sciences et technologies</t>
        </is>
      </c>
      <c r="I533" s="25" t="inlineStr">
        <is>
          <t>Université de Lille</t>
        </is>
      </c>
      <c r="J533" s="25" t="inlineStr">
        <is>
          <t>Département Informatique</t>
        </is>
      </c>
      <c r="K533" s="25" t="n"/>
      <c r="L533" s="25" t="inlineStr">
        <is>
          <t>Public university</t>
        </is>
      </c>
      <c r="M533" s="25" t="inlineStr">
        <is>
          <t>English</t>
        </is>
      </c>
      <c r="N533" s="25" t="inlineStr">
        <is>
          <t>Taught in English</t>
        </is>
      </c>
      <c r="O533" s="25" t="inlineStr">
        <is>
          <t>Bac +4</t>
        </is>
      </c>
      <c r="P533" s="26" t="inlineStr">
        <is>
          <t>Eligible on level (4-yr BS ≈ Bac+4)</t>
        </is>
      </c>
      <c r="Q533" s="25" t="inlineStr">
        <is>
          <t>1</t>
        </is>
      </c>
      <c r="R533" s="25" t="inlineStr">
        <is>
          <t>12</t>
        </is>
      </c>
      <c r="S533" s="27" t="n">
        <v>3950</v>
      </c>
      <c r="T533" s="27" t="n">
        <v>255</v>
      </c>
      <c r="U533" s="25" t="n">
        <v>2</v>
      </c>
      <c r="V533" s="27">
        <f>IF(S533="","",S533*U533)</f>
        <v/>
      </c>
      <c r="W533" s="26" t="inlineStr">
        <is>
          <t>Catalogue: €3,950. = national differentiated master fee (2026-27: €3,950). Exemption to ~€255 possible (university quota).</t>
        </is>
      </c>
      <c r="X533" s="25" t="inlineStr">
        <is>
          <t>High</t>
        </is>
      </c>
      <c r="Y533" s="25" t="inlineStr">
        <is>
          <t>3950</t>
        </is>
      </c>
      <c r="Z533" s="26" t="n"/>
      <c r="AA533" s="26" t="inlineStr">
        <is>
          <t>Lille opposed the decree; continues exemptions for part of non-EU students (master €254 if exempted). Apply for exemption early.</t>
        </is>
      </c>
      <c r="AB533" s="28" t="inlineStr">
        <is>
          <t>https://observalgerie.com/2026/06/13/misc/frais-dinscription-en-france-lille-maintient-un-avantage-pour-les-etudiants-etrangers/</t>
        </is>
      </c>
      <c r="AC533" s="25" t="inlineStr">
        <is>
          <t>Open</t>
        </is>
      </c>
      <c r="AD533" s="25" t="inlineStr">
        <is>
          <t>2026-10-01</t>
        </is>
      </c>
      <c r="AE533" s="25" t="inlineStr">
        <is>
          <t>2027-03-15</t>
        </is>
      </c>
      <c r="AF533" s="25" t="inlineStr">
        <is>
          <t>No</t>
        </is>
      </c>
      <c r="AG533" s="28" t="inlineStr">
        <is>
          <t>https://formation.univ-lille.fr/fr/offre-de-formation/master-lmd-XB/master-informatique-MG001981/computer-sciences-MX195387.html</t>
        </is>
      </c>
      <c r="AH533" s="26" t="inlineStr">
        <is>
          <t>To enter in the computer science master program, the successful student should have been awareded a bachelor in Computer Science or an equivalent diploma. The curriculum of that degree should cover the following topics :</t>
        </is>
      </c>
      <c r="AI533" s="28" t="inlineStr">
        <is>
          <t>Open in EEF</t>
        </is>
      </c>
    </row>
    <row r="534" ht="43.25" customHeight="1" s="19">
      <c r="A534" s="25" t="n">
        <v>533</v>
      </c>
      <c r="B534" s="25" t="inlineStr">
        <is>
          <t>★★★☆☆</t>
        </is>
      </c>
      <c r="C534" s="25" t="inlineStr">
        <is>
          <t>3 – Adjacent (AI/data/CS/cyber/energy)</t>
        </is>
      </c>
      <c r="D534" s="25" t="inlineStr">
        <is>
          <t>Computer science / Software</t>
        </is>
      </c>
      <c r="E534" s="26" t="inlineStr">
        <is>
          <t>Master indifférencié (recherche et professionnel) mention Master of Information Technology Innovative Information Systems - 2IS</t>
        </is>
      </c>
      <c r="F534" s="26" t="inlineStr">
        <is>
          <t>major: Master of Information Technology Innovative Information Systems - 2IS</t>
        </is>
      </c>
      <c r="G534" s="25" t="inlineStr">
        <is>
          <t>Master indifférencié (recherche et professionnel)</t>
        </is>
      </c>
      <c r="H534" s="25" t="inlineStr">
        <is>
          <t>Faculté d'informatique</t>
        </is>
      </c>
      <c r="I534" s="25" t="inlineStr">
        <is>
          <t>Université Toulouse I Capitole</t>
        </is>
      </c>
      <c r="J534" s="25" t="inlineStr">
        <is>
          <t>Site de Toulouse</t>
        </is>
      </c>
      <c r="K534" s="25" t="n"/>
      <c r="L534" s="25" t="inlineStr">
        <is>
          <t>Public university</t>
        </is>
      </c>
      <c r="M534" s="25" t="inlineStr">
        <is>
          <t>English</t>
        </is>
      </c>
      <c r="N534" s="25" t="inlineStr">
        <is>
          <t>Taught in English</t>
        </is>
      </c>
      <c r="O534" s="25" t="inlineStr">
        <is>
          <t>Bac +4 / Bac +5</t>
        </is>
      </c>
      <c r="P534" s="26" t="inlineStr">
        <is>
          <t>Eligible on level (4-yr BS ≈ Bac+4)</t>
        </is>
      </c>
      <c r="Q534" s="25" t="inlineStr">
        <is>
          <t>1/2</t>
        </is>
      </c>
      <c r="R534" s="25" t="n"/>
      <c r="S534" s="27" t="n">
        <v>3950</v>
      </c>
      <c r="T534" s="27" t="n">
        <v>255</v>
      </c>
      <c r="U534" s="25" t="n">
        <v>2</v>
      </c>
      <c r="V534" s="27">
        <f>IF(S534="","",S534*U534)</f>
        <v/>
      </c>
      <c r="W534" s="26" t="inlineStr">
        <is>
          <t>Catalogue: €3,950. = national differentiated master fee (2026-27: €3,950). Exemption to ~€255 possible (university quota).</t>
        </is>
      </c>
      <c r="X534" s="25" t="inlineStr">
        <is>
          <t>High</t>
        </is>
      </c>
      <c r="Y534" s="25" t="inlineStr">
        <is>
          <t>3950</t>
        </is>
      </c>
      <c r="Z534" s="26" t="inlineStr">
        <is>
          <t>higher education course at the university in France will have to pay an enrolment fee of €2902 for the Licence and €3950 for the Master … higher education course at the university in France will have to pay an enrolmen</t>
        </is>
      </c>
      <c r="AA534" s="26" t="n"/>
      <c r="AB534" s="25" t="n"/>
      <c r="AC534" s="25" t="inlineStr">
        <is>
          <t>Open</t>
        </is>
      </c>
      <c r="AD534" s="25" t="inlineStr">
        <is>
          <t>2026-10-01</t>
        </is>
      </c>
      <c r="AE534" s="25" t="inlineStr">
        <is>
          <t>2027-03-15</t>
        </is>
      </c>
      <c r="AF534" s="25" t="inlineStr">
        <is>
          <t>No</t>
        </is>
      </c>
      <c r="AG534" s="28" t="inlineStr">
        <is>
          <t>http://www.ut-capitole.fr</t>
        </is>
      </c>
      <c r="AH534" s="26" t="inlineStr">
        <is>
          <t>A language certificate is compulsory. The required level of english is B2. Minimum requirements in english are as follows : - CAMBRIDGE - FCE, CAE, CPE - IELTS (Academic module) overall 6 - TOEFL iBT 79</t>
        </is>
      </c>
      <c r="AI534" s="28" t="inlineStr">
        <is>
          <t>Open in EEF</t>
        </is>
      </c>
    </row>
    <row r="535" ht="43.25" customHeight="1" s="19">
      <c r="A535" s="25" t="n">
        <v>534</v>
      </c>
      <c r="B535" s="25" t="inlineStr">
        <is>
          <t>★★★☆☆</t>
        </is>
      </c>
      <c r="C535" s="25" t="inlineStr">
        <is>
          <t>3 – Adjacent (AI/data/CS/cyber/energy)</t>
        </is>
      </c>
      <c r="D535" s="25" t="inlineStr">
        <is>
          <t>IoT / Telecom / Networks</t>
        </is>
      </c>
      <c r="E535" s="26" t="inlineStr">
        <is>
          <t>Master indifférencié (recherche et professionnel) Sciences, technologies, santé mention Informatique parcours Cloud and Network Infrastructures (CNI)</t>
        </is>
      </c>
      <c r="F535" s="26" t="inlineStr">
        <is>
          <t>Science, Technology, Health (STS) – major: Computer Science – track: Cloud and Network Infrastructures (CNI)</t>
        </is>
      </c>
      <c r="G535" s="25" t="inlineStr">
        <is>
          <t>Master indifférencié (recherche et professionnel)</t>
        </is>
      </c>
      <c r="H535" s="25" t="inlineStr">
        <is>
          <t>Campus scientifique de BEAULIEU</t>
        </is>
      </c>
      <c r="I535" s="25" t="inlineStr">
        <is>
          <t>Université de Rennes</t>
        </is>
      </c>
      <c r="J535" s="25" t="inlineStr">
        <is>
          <t>Site de Rennes - ISTIC</t>
        </is>
      </c>
      <c r="K535" s="25" t="inlineStr">
        <is>
          <t>35042 RENNES Cedex</t>
        </is>
      </c>
      <c r="L535" s="25" t="inlineStr">
        <is>
          <t>Public university</t>
        </is>
      </c>
      <c r="M535" s="25" t="inlineStr">
        <is>
          <t>English</t>
        </is>
      </c>
      <c r="N535" s="25" t="inlineStr">
        <is>
          <t>Taught in English</t>
        </is>
      </c>
      <c r="O535" s="25" t="inlineStr">
        <is>
          <t>Bac +4 / Bac +5</t>
        </is>
      </c>
      <c r="P535" s="26" t="inlineStr">
        <is>
          <t>Eligible on level (4-yr BS ≈ Bac+4)</t>
        </is>
      </c>
      <c r="Q535" s="25" t="inlineStr">
        <is>
          <t>1/2</t>
        </is>
      </c>
      <c r="R535" s="25" t="inlineStr">
        <is>
          <t>12</t>
        </is>
      </c>
      <c r="S535" s="27" t="n">
        <v>3950</v>
      </c>
      <c r="T535" s="27" t="n">
        <v>255</v>
      </c>
      <c r="U535" s="25" t="n">
        <v>2</v>
      </c>
      <c r="V535" s="27">
        <f>IF(S535="","",S535*U535)</f>
        <v/>
      </c>
      <c r="W535" s="26" t="inlineStr">
        <is>
          <t>Catalogue: €3,950. = national differentiated master fee (2026-27: €3,950). Exemption to ~€255 possible (university quota).</t>
        </is>
      </c>
      <c r="X535" s="25" t="inlineStr">
        <is>
          <t>High</t>
        </is>
      </c>
      <c r="Y535" s="25" t="inlineStr">
        <is>
          <t>3950</t>
        </is>
      </c>
      <c r="Z535" s="26" t="inlineStr">
        <is>
          <t>ue, il faudra vous acquitter obligatoirement des frais d'inscription d'un montant de 3950 euros pour vous inscrire dans la formation … ue, il faudra vous acquitter obligatoirement des frais d'inscription d'un montant de</t>
        </is>
      </c>
      <c r="AA535" s="26" t="n"/>
      <c r="AB535" s="25" t="n"/>
      <c r="AC535" s="25" t="inlineStr">
        <is>
          <t>Open</t>
        </is>
      </c>
      <c r="AD535" s="25" t="inlineStr">
        <is>
          <t>2026-10-01</t>
        </is>
      </c>
      <c r="AE535" s="25" t="inlineStr">
        <is>
          <t>2027-03-15</t>
        </is>
      </c>
      <c r="AF535" s="25" t="inlineStr">
        <is>
          <t>No</t>
        </is>
      </c>
      <c r="AG535" s="28" t="inlineStr">
        <is>
          <t>http://cni.istic.univ-rennes.fr/</t>
        </is>
      </c>
      <c r="AH535" s="26" t="inlineStr">
        <is>
          <t>M2 CNI: Candidates should demonstrate strong foundations in the topics that are taught to students of the master 1 CNI program: classical cloud and networking technologies; software architectures; distributed system;inno</t>
        </is>
      </c>
      <c r="AI535" s="28" t="inlineStr">
        <is>
          <t>Open in EEF</t>
        </is>
      </c>
    </row>
    <row r="536" ht="32.8" customHeight="1" s="19">
      <c r="A536" s="25" t="n">
        <v>535</v>
      </c>
      <c r="B536" s="25" t="inlineStr">
        <is>
          <t>★★★☆☆</t>
        </is>
      </c>
      <c r="C536" s="25" t="inlineStr">
        <is>
          <t>3 – Adjacent (AI/data/CS/cyber/energy)</t>
        </is>
      </c>
      <c r="D536" s="25" t="inlineStr">
        <is>
          <t>Robotics / Automation / Mechatronics</t>
        </is>
      </c>
      <c r="E536" s="26" t="inlineStr">
        <is>
          <t>Master indifférencié (recherche et professionnel) Sciences, technologies, santé mention informatique parcours SIIA : Systèmes interactifs, intelligents et autonomes</t>
        </is>
      </c>
      <c r="F536" s="26" t="inlineStr">
        <is>
          <t>Science, Technology, Health (STS) – major: Computer Science – track: SIIA : Systems interactifs, Intelligent &amp; Autonomous</t>
        </is>
      </c>
      <c r="G536" s="25" t="inlineStr">
        <is>
          <t>Master indifférencié (recherche et professionnel)</t>
        </is>
      </c>
      <c r="H536" s="25" t="inlineStr">
        <is>
          <t>UFR sciences et techniques</t>
        </is>
      </c>
      <c r="I536" s="25" t="inlineStr">
        <is>
          <t>Université de Bretagne Occidentale</t>
        </is>
      </c>
      <c r="J536" s="25" t="inlineStr">
        <is>
          <t>Site de Brest</t>
        </is>
      </c>
      <c r="K536" s="25" t="n"/>
      <c r="L536" s="25" t="inlineStr">
        <is>
          <t>Public university</t>
        </is>
      </c>
      <c r="M536" s="25" t="inlineStr">
        <is>
          <t>English</t>
        </is>
      </c>
      <c r="N536" s="25" t="inlineStr">
        <is>
          <t>General</t>
        </is>
      </c>
      <c r="O536" s="25" t="inlineStr">
        <is>
          <t>Bac +4</t>
        </is>
      </c>
      <c r="P536" s="26" t="inlineStr">
        <is>
          <t>Eligible on level (4-yr BS ≈ Bac+4)</t>
        </is>
      </c>
      <c r="Q536" s="25" t="inlineStr">
        <is>
          <t>1</t>
        </is>
      </c>
      <c r="R536" s="25" t="inlineStr">
        <is>
          <t>12</t>
        </is>
      </c>
      <c r="S536" s="27" t="n">
        <v>3950</v>
      </c>
      <c r="T536" s="27" t="n">
        <v>255</v>
      </c>
      <c r="U536" s="25" t="n">
        <v>2</v>
      </c>
      <c r="V536" s="27">
        <f>IF(S536="","",S536*U536)</f>
        <v/>
      </c>
      <c r="W536" s="26" t="inlineStr">
        <is>
          <t>Catalogue: €3,950. = national differentiated master fee (2026-27: €3,950). Exemption to ~€255 possible (university quota).</t>
        </is>
      </c>
      <c r="X536" s="25" t="inlineStr">
        <is>
          <t>High</t>
        </is>
      </c>
      <c r="Y536" s="25" t="inlineStr">
        <is>
          <t>3950</t>
        </is>
      </c>
      <c r="Z536" s="26" t="n"/>
      <c r="AA536" s="26" t="n"/>
      <c r="AB536" s="25" t="n"/>
      <c r="AC536" s="25" t="inlineStr">
        <is>
          <t>Open</t>
        </is>
      </c>
      <c r="AD536" s="25" t="inlineStr">
        <is>
          <t>2026-10-01</t>
        </is>
      </c>
      <c r="AE536" s="25" t="inlineStr">
        <is>
          <t>2027-03-15</t>
        </is>
      </c>
      <c r="AF536" s="25" t="inlineStr">
        <is>
          <t>No</t>
        </is>
      </c>
      <c r="AG536" s="28" t="inlineStr">
        <is>
          <t>http://www.univ-brest.fr/ufr-sciences</t>
        </is>
      </c>
      <c r="AH536" s="26" t="inlineStr">
        <is>
          <t>Le master 2 est enseigné en anglais pour 100% Pour l'entrée en master 1, un bon niveau d'anglais est demandé L'université de Bretagne occidentale demande de présenter un Test de connaissance en français pour tous les can</t>
        </is>
      </c>
      <c r="AI536" s="28" t="inlineStr">
        <is>
          <t>Open in EEF</t>
        </is>
      </c>
    </row>
    <row r="537" ht="32.8" customHeight="1" s="19">
      <c r="A537" s="25" t="n">
        <v>536</v>
      </c>
      <c r="B537" s="25" t="inlineStr">
        <is>
          <t>★★★☆☆</t>
        </is>
      </c>
      <c r="C537" s="25" t="inlineStr">
        <is>
          <t>3 – Adjacent (AI/data/CS/cyber/energy)</t>
        </is>
      </c>
      <c r="D537" s="25" t="inlineStr">
        <is>
          <t>IoT / Telecom / Networks</t>
        </is>
      </c>
      <c r="E537" s="26" t="inlineStr">
        <is>
          <t>Master indifférencié (recherche et professionnel) Sciences, technologies, santé mention Informatique parcours Ubiquitous Networking (UBINET)</t>
        </is>
      </c>
      <c r="F537" s="26" t="inlineStr">
        <is>
          <t>Science, Technology, Health (STS) – major: Computer Science – track: Ubiquitous Networking (UBINET)</t>
        </is>
      </c>
      <c r="G537" s="25" t="inlineStr">
        <is>
          <t>Master indifférencié (recherche et professionnel)</t>
        </is>
      </c>
      <c r="H537" s="25" t="inlineStr">
        <is>
          <t>Sciences</t>
        </is>
      </c>
      <c r="I537" s="25" t="inlineStr">
        <is>
          <t>Université Côte d'Azur</t>
        </is>
      </c>
      <c r="J537" s="25" t="inlineStr">
        <is>
          <t>Site de Sophia Tech</t>
        </is>
      </c>
      <c r="K537" s="25" t="n"/>
      <c r="L537" s="25" t="inlineStr">
        <is>
          <t>Public university</t>
        </is>
      </c>
      <c r="M537" s="25" t="inlineStr">
        <is>
          <t>English</t>
        </is>
      </c>
      <c r="N537" s="25" t="inlineStr">
        <is>
          <t>General</t>
        </is>
      </c>
      <c r="O537" s="25" t="inlineStr">
        <is>
          <t>Bac +4 / Bac +5</t>
        </is>
      </c>
      <c r="P537" s="26" t="inlineStr">
        <is>
          <t>Eligible on level (4-yr BS ≈ Bac+4)</t>
        </is>
      </c>
      <c r="Q537" s="25" t="inlineStr">
        <is>
          <t>1/2</t>
        </is>
      </c>
      <c r="R537" s="25" t="inlineStr">
        <is>
          <t>12</t>
        </is>
      </c>
      <c r="S537" s="27" t="n">
        <v>3950</v>
      </c>
      <c r="T537" s="27" t="n">
        <v>255</v>
      </c>
      <c r="U537" s="25" t="n">
        <v>2</v>
      </c>
      <c r="V537" s="27">
        <f>IF(S537="","",S537*U537)</f>
        <v/>
      </c>
      <c r="W537" s="26" t="inlineStr">
        <is>
          <t>Catalogue: €3,941. = national differentiated master fee (2026-27: €3,950). Exemption to ~€255 possible (university quota).</t>
        </is>
      </c>
      <c r="X537" s="25" t="inlineStr">
        <is>
          <t>High</t>
        </is>
      </c>
      <c r="Y537" s="25" t="inlineStr">
        <is>
          <t>3941/3950</t>
        </is>
      </c>
      <c r="Z537" s="26" t="inlineStr">
        <is>
          <t>AUX ETUDIANTS EXTRACOMMUNAUTAIRES Pour l’année universitaire 2026-2027 : Licence : 2 902 € M</t>
        </is>
      </c>
      <c r="AA537" s="26" t="n"/>
      <c r="AB537" s="25" t="n"/>
      <c r="AC537" s="25" t="inlineStr">
        <is>
          <t>Open</t>
        </is>
      </c>
      <c r="AD537" s="25" t="inlineStr">
        <is>
          <t>2026-10-01</t>
        </is>
      </c>
      <c r="AE537" s="25" t="inlineStr">
        <is>
          <t>2027-03-15</t>
        </is>
      </c>
      <c r="AF537" s="25" t="inlineStr">
        <is>
          <t>No</t>
        </is>
      </c>
      <c r="AG537" s="28" t="inlineStr">
        <is>
          <t>https://univ-cotedazur.fr/formation/offre-de-formation/parcours-de-master/master-informatique-m2-parcours-ubinet</t>
        </is>
      </c>
      <c r="AH537" s="26" t="inlineStr">
        <is>
          <t>Le niveau de langue demandé est: - Niveau B2 en Anglais Les pré-requis sont: - de très bonnes bases en Mathématiques - un très bon niveau en Algorithmique - un très bon niveau en Programmation (Programmation Orientée Obj</t>
        </is>
      </c>
      <c r="AI537" s="28" t="inlineStr">
        <is>
          <t>Open in EEF</t>
        </is>
      </c>
    </row>
    <row r="538" ht="32.8" customHeight="1" s="19">
      <c r="A538" s="25" t="n">
        <v>537</v>
      </c>
      <c r="B538" s="25" t="inlineStr">
        <is>
          <t>★★★☆☆</t>
        </is>
      </c>
      <c r="C538" s="25" t="inlineStr">
        <is>
          <t>3 – Adjacent (AI/data/CS/cyber/energy)</t>
        </is>
      </c>
      <c r="D538" s="25" t="inlineStr">
        <is>
          <t>AI / Data science</t>
        </is>
      </c>
      <c r="E538" s="26" t="inlineStr">
        <is>
          <t>Master indifférencié (recherche et professionnel) Sciences, technologies, santé Méthodes informatiques parcours International EIT Fintech/Data Science</t>
        </is>
      </c>
      <c r="F538" s="26" t="inlineStr">
        <is>
          <t>Science, Technology, Health (STS) Methods informatiques – track: International EIT Fintech/Data Science</t>
        </is>
      </c>
      <c r="G538" s="25" t="inlineStr">
        <is>
          <t>Master indifférencié (recherche et professionnel)</t>
        </is>
      </c>
      <c r="H538" s="25" t="inlineStr">
        <is>
          <t>Campus scientifique de BEAULIEU</t>
        </is>
      </c>
      <c r="I538" s="25" t="inlineStr">
        <is>
          <t>Université de Rennes</t>
        </is>
      </c>
      <c r="J538" s="25" t="inlineStr">
        <is>
          <t>Site de Rennes - ISTIC</t>
        </is>
      </c>
      <c r="K538" s="25" t="inlineStr">
        <is>
          <t>35042 RENNES Cedex</t>
        </is>
      </c>
      <c r="L538" s="25" t="inlineStr">
        <is>
          <t>Public university</t>
        </is>
      </c>
      <c r="M538" s="25" t="inlineStr">
        <is>
          <t>English</t>
        </is>
      </c>
      <c r="N538" s="25" t="inlineStr">
        <is>
          <t>Taught in English</t>
        </is>
      </c>
      <c r="O538" s="25" t="inlineStr">
        <is>
          <t>Bac +4</t>
        </is>
      </c>
      <c r="P538" s="26" t="inlineStr">
        <is>
          <t>Eligible on level (4-yr BS ≈ Bac+4)</t>
        </is>
      </c>
      <c r="Q538" s="25" t="inlineStr">
        <is>
          <t>1</t>
        </is>
      </c>
      <c r="R538" s="25" t="inlineStr">
        <is>
          <t>12</t>
        </is>
      </c>
      <c r="S538" s="27" t="n">
        <v>3950</v>
      </c>
      <c r="T538" s="27" t="n">
        <v>255</v>
      </c>
      <c r="U538" s="25" t="n">
        <v>2</v>
      </c>
      <c r="V538" s="27">
        <f>IF(S538="","",S538*U538)</f>
        <v/>
      </c>
      <c r="W538" s="26" t="inlineStr">
        <is>
          <t>Catalogue: €3,950. = national differentiated master fee (2026-27: €3,950). Exemption to ~€255 possible (university quota).</t>
        </is>
      </c>
      <c r="X538" s="25" t="inlineStr">
        <is>
          <t>High</t>
        </is>
      </c>
      <c r="Y538" s="25" t="inlineStr">
        <is>
          <t>3950</t>
        </is>
      </c>
      <c r="Z538" s="26" t="inlineStr">
        <is>
          <t>ue, il faudra vous acquitter obligatoirement des frais d'inscription d'un montant de 3950 euros pour vous inscrire dans la formation</t>
        </is>
      </c>
      <c r="AA538" s="26" t="n"/>
      <c r="AB538" s="25" t="n"/>
      <c r="AC538" s="25" t="inlineStr">
        <is>
          <t>Open</t>
        </is>
      </c>
      <c r="AD538" s="25" t="inlineStr">
        <is>
          <t>2026-10-01</t>
        </is>
      </c>
      <c r="AE538" s="25" t="inlineStr">
        <is>
          <t>2027-03-15</t>
        </is>
      </c>
      <c r="AF538" s="25" t="inlineStr">
        <is>
          <t>No</t>
        </is>
      </c>
      <c r="AG538" s="28" t="inlineStr">
        <is>
          <t>https://istic.univ-rennes.fr/en/financial-technologies-track-eit-digital-master-school</t>
        </is>
      </c>
      <c r="AH538" s="26" t="inlineStr">
        <is>
          <t>The prerequisite includes: a professional English level for comprehension and communication ; at least 60 ECTS in computer sciences ; and an interest in innovation and entrepreneurship. Student applicants must have a str</t>
        </is>
      </c>
      <c r="AI538" s="28" t="inlineStr">
        <is>
          <t>Open in EEF</t>
        </is>
      </c>
    </row>
    <row r="539" ht="32.8" customHeight="1" s="19">
      <c r="A539" s="25" t="n">
        <v>538</v>
      </c>
      <c r="B539" s="25" t="inlineStr">
        <is>
          <t>★★★☆☆</t>
        </is>
      </c>
      <c r="C539" s="25" t="inlineStr">
        <is>
          <t>3 – Adjacent (AI/data/CS/cyber/energy)</t>
        </is>
      </c>
      <c r="D539" s="25" t="inlineStr">
        <is>
          <t>Computer science / Software</t>
        </is>
      </c>
      <c r="E539" s="26" t="inlineStr">
        <is>
          <t>Master Sciences, technologies, santé mention informatique parcours Computer Sciences</t>
        </is>
      </c>
      <c r="F539" s="26" t="inlineStr">
        <is>
          <t>Master Science, Technology, Health (STS) – major: Computer Science – track: Computer Sciences</t>
        </is>
      </c>
      <c r="G539" s="25" t="inlineStr">
        <is>
          <t>Master indifférencié (recherche et professionnel)</t>
        </is>
      </c>
      <c r="H539" s="25" t="inlineStr">
        <is>
          <t>Faculté des sciences et technologies</t>
        </is>
      </c>
      <c r="I539" s="25" t="inlineStr">
        <is>
          <t>Université de Lille</t>
        </is>
      </c>
      <c r="J539" s="25" t="inlineStr">
        <is>
          <t>Département Informatique</t>
        </is>
      </c>
      <c r="K539" s="25" t="n"/>
      <c r="L539" s="25" t="inlineStr">
        <is>
          <t>Public university</t>
        </is>
      </c>
      <c r="M539" s="25" t="inlineStr">
        <is>
          <t>English</t>
        </is>
      </c>
      <c r="N539" s="25" t="inlineStr">
        <is>
          <t>General</t>
        </is>
      </c>
      <c r="O539" s="25" t="inlineStr">
        <is>
          <t>Bac +4</t>
        </is>
      </c>
      <c r="P539" s="26" t="inlineStr">
        <is>
          <t>Eligible on level (4-yr BS ≈ Bac+4)</t>
        </is>
      </c>
      <c r="Q539" s="25" t="inlineStr">
        <is>
          <t>1</t>
        </is>
      </c>
      <c r="R539" s="25" t="inlineStr">
        <is>
          <t>12</t>
        </is>
      </c>
      <c r="S539" s="27" t="n">
        <v>3950</v>
      </c>
      <c r="T539" s="27" t="n">
        <v>255</v>
      </c>
      <c r="U539" s="25" t="n">
        <v>2</v>
      </c>
      <c r="V539" s="27">
        <f>IF(S539="","",S539*U539)</f>
        <v/>
      </c>
      <c r="W539" s="26" t="inlineStr">
        <is>
          <t>Catalogue: €3,950. = national differentiated master fee (2026-27: €3,950). Exemption to ~€255 possible (university quota).</t>
        </is>
      </c>
      <c r="X539" s="25" t="inlineStr">
        <is>
          <t>High</t>
        </is>
      </c>
      <c r="Y539" s="25" t="inlineStr">
        <is>
          <t>3950</t>
        </is>
      </c>
      <c r="Z539" s="26" t="n"/>
      <c r="AA539" s="26" t="inlineStr">
        <is>
          <t>Lille opposed the decree; continues exemptions for part of non-EU students (master €254 if exempted). Apply for exemption early.</t>
        </is>
      </c>
      <c r="AB539" s="28" t="inlineStr">
        <is>
          <t>https://observalgerie.com/2026/06/13/misc/frais-dinscription-en-france-lille-maintient-un-avantage-pour-les-etudiants-etrangers/</t>
        </is>
      </c>
      <c r="AC539" s="25" t="inlineStr">
        <is>
          <t>Open</t>
        </is>
      </c>
      <c r="AD539" s="25" t="inlineStr">
        <is>
          <t>2026-10-01</t>
        </is>
      </c>
      <c r="AE539" s="25" t="inlineStr">
        <is>
          <t>2027-03-15</t>
        </is>
      </c>
      <c r="AF539" s="25" t="inlineStr">
        <is>
          <t>No</t>
        </is>
      </c>
      <c r="AG539" s="28" t="inlineStr">
        <is>
          <t>https://formation.univ-lille.fr/fr/offre-de-formation/master-lmd-XB/master-informatique-MG001981/computer-sciences-MX195387.html</t>
        </is>
      </c>
      <c r="AH539" s="26" t="inlineStr">
        <is>
          <t>To enter in the computer science master program, the successful student should have been awareded a bachelor in Computer Science or an equivalent diploma. The curriculum of that degree should cover the following topics :</t>
        </is>
      </c>
      <c r="AI539" s="28" t="inlineStr">
        <is>
          <t>Open in EEF</t>
        </is>
      </c>
    </row>
    <row r="540" ht="32.8" customHeight="1" s="19">
      <c r="A540" s="25" t="n">
        <v>539</v>
      </c>
      <c r="B540" s="25" t="inlineStr">
        <is>
          <t>★★★☆☆</t>
        </is>
      </c>
      <c r="C540" s="25" t="inlineStr">
        <is>
          <t>3 – Adjacent (AI/data/CS/cyber/energy)</t>
        </is>
      </c>
      <c r="D540" s="25" t="inlineStr">
        <is>
          <t>AI / Data science</t>
        </is>
      </c>
      <c r="E540" s="26" t="inlineStr">
        <is>
          <t>Master Sciences, technologies, santé mention Sciences des données. parcours Data science.</t>
        </is>
      </c>
      <c r="F540" s="26" t="inlineStr">
        <is>
          <t>Master Science, Technology, Health (STS) – major: Data Science. – track: Data Science.</t>
        </is>
      </c>
      <c r="G540" s="25" t="inlineStr">
        <is>
          <t>Master indifférencié (recherche et professionnel)</t>
        </is>
      </c>
      <c r="H540" s="25" t="inlineStr">
        <is>
          <t>Faculté des sciences et technologies</t>
        </is>
      </c>
      <c r="I540" s="25" t="inlineStr">
        <is>
          <t>Université de Lille</t>
        </is>
      </c>
      <c r="J540" s="25" t="inlineStr">
        <is>
          <t>Département Informatique</t>
        </is>
      </c>
      <c r="K540" s="25" t="n"/>
      <c r="L540" s="25" t="inlineStr">
        <is>
          <t>Public university</t>
        </is>
      </c>
      <c r="M540" s="25" t="inlineStr">
        <is>
          <t>English</t>
        </is>
      </c>
      <c r="N540" s="25" t="inlineStr">
        <is>
          <t>General</t>
        </is>
      </c>
      <c r="O540" s="25" t="inlineStr">
        <is>
          <t>Bac +4 / Bac +5</t>
        </is>
      </c>
      <c r="P540" s="26" t="inlineStr">
        <is>
          <t>Eligible on level (4-yr BS ≈ Bac+4)</t>
        </is>
      </c>
      <c r="Q540" s="25" t="inlineStr">
        <is>
          <t>1/2</t>
        </is>
      </c>
      <c r="R540" s="25" t="inlineStr">
        <is>
          <t>12</t>
        </is>
      </c>
      <c r="S540" s="27" t="n">
        <v>3950</v>
      </c>
      <c r="T540" s="27" t="n">
        <v>255</v>
      </c>
      <c r="U540" s="25" t="n">
        <v>2</v>
      </c>
      <c r="V540" s="27">
        <f>IF(S540="","",S540*U540)</f>
        <v/>
      </c>
      <c r="W540" s="26" t="inlineStr">
        <is>
          <t>Catalogue: €3,950. = national differentiated master fee (2026-27: €3,950). Exemption to ~€255 possible (university quota).</t>
        </is>
      </c>
      <c r="X540" s="25" t="inlineStr">
        <is>
          <t>High</t>
        </is>
      </c>
      <c r="Y540" s="25" t="inlineStr">
        <is>
          <t>3950</t>
        </is>
      </c>
      <c r="Z540" s="26" t="n"/>
      <c r="AA540" s="26" t="inlineStr">
        <is>
          <t>Lille opposed the decree; continues exemptions for part of non-EU students (master €254 if exempted). Apply for exemption early.</t>
        </is>
      </c>
      <c r="AB540" s="28" t="inlineStr">
        <is>
          <t>https://observalgerie.com/2026/06/13/misc/frais-dinscription-en-france-lille-maintient-un-avantage-pour-les-etudiants-etrangers/</t>
        </is>
      </c>
      <c r="AC540" s="25" t="inlineStr">
        <is>
          <t>Open</t>
        </is>
      </c>
      <c r="AD540" s="25" t="inlineStr">
        <is>
          <t>2026-10-01</t>
        </is>
      </c>
      <c r="AE540" s="25" t="inlineStr">
        <is>
          <t>2027-03-15</t>
        </is>
      </c>
      <c r="AF540" s="25" t="inlineStr">
        <is>
          <t>No</t>
        </is>
      </c>
      <c r="AG540" s="28" t="inlineStr">
        <is>
          <t>https://formation.univ-lille.fr/fr/offre-de-formation/master-lmd-XB/master-science-des-donnees-MG020709/data-science-MX148265.html</t>
        </is>
      </c>
      <c r="AH540" s="26" t="inlineStr">
        <is>
          <t>Bachelor in mathematics, computer science, or maths/computer science for humanities (MIASHS). A very good level in maths and/or computer science is expected. English test with B2 level or official letter from English tea</t>
        </is>
      </c>
      <c r="AI540" s="28" t="inlineStr">
        <is>
          <t>Open in EEF</t>
        </is>
      </c>
    </row>
    <row r="541" ht="32.8" customHeight="1" s="19">
      <c r="A541" s="25" t="n">
        <v>540</v>
      </c>
      <c r="B541" s="25" t="inlineStr">
        <is>
          <t>★★★☆☆</t>
        </is>
      </c>
      <c r="C541" s="25" t="inlineStr">
        <is>
          <t>3 – Adjacent (AI/data/CS/cyber/energy)</t>
        </is>
      </c>
      <c r="D541" s="25" t="inlineStr">
        <is>
          <t>Computer science / Software</t>
        </is>
      </c>
      <c r="E541" s="26" t="inlineStr">
        <is>
          <t>Master indifférencié (recherche et professionnel) Computer Science Master of Computer Science - Quantum Information (IQ)</t>
        </is>
      </c>
      <c r="F541" s="26" t="inlineStr">
        <is>
          <t>Computer Science Master of Computer Science - Quantum Information (IQ)</t>
        </is>
      </c>
      <c r="G541" s="25" t="inlineStr">
        <is>
          <t>Master indifférencié (recherche et professionnel)</t>
        </is>
      </c>
      <c r="H541" s="25" t="inlineStr">
        <is>
          <t>Sciences et Ingénierie</t>
        </is>
      </c>
      <c r="I541" s="25" t="inlineStr">
        <is>
          <t>Sorbonne Université</t>
        </is>
      </c>
      <c r="J541" s="25" t="inlineStr">
        <is>
          <t>Site de Paris</t>
        </is>
      </c>
      <c r="K541" s="25" t="n"/>
      <c r="L541" s="25" t="inlineStr">
        <is>
          <t>Public university</t>
        </is>
      </c>
      <c r="M541" s="25" t="inlineStr">
        <is>
          <t>English</t>
        </is>
      </c>
      <c r="N541" s="25" t="inlineStr">
        <is>
          <t>Taught in English</t>
        </is>
      </c>
      <c r="O541" s="25" t="inlineStr">
        <is>
          <t>Bac +4 / Bac +5</t>
        </is>
      </c>
      <c r="P541" s="26" t="inlineStr">
        <is>
          <t>Eligible on level (4-yr BS ≈ Bac+4)</t>
        </is>
      </c>
      <c r="Q541" s="25" t="inlineStr">
        <is>
          <t>1/2</t>
        </is>
      </c>
      <c r="R541" s="25" t="n"/>
      <c r="S541" s="27" t="n">
        <v>3950</v>
      </c>
      <c r="T541" s="27" t="n">
        <v>255</v>
      </c>
      <c r="U541" s="25" t="n">
        <v>2</v>
      </c>
      <c r="V541" s="27">
        <f>IF(S541="","",S541*U541)</f>
        <v/>
      </c>
      <c r="W541" s="26" t="inlineStr">
        <is>
          <t>Not in catalogue. Public national master → 2026-27 differentiated fee €3,950; exemption to ~€254-255 depends on university quota (25% cap in 2027-28).</t>
        </is>
      </c>
      <c r="X541" s="25" t="inlineStr">
        <is>
          <t>Medium</t>
        </is>
      </c>
      <c r="Y541" s="25" t="n"/>
      <c r="Z541" s="26" t="n"/>
      <c r="AA541" s="26" t="inlineStr">
        <is>
          <t>Board vote 7 Jul 2026: Sorbonne Université says it can exempt all eligible non-EU applicants (pay same as EU, ~€254) for 2026-27.</t>
        </is>
      </c>
      <c r="AB541" s="28" t="inlineStr">
        <is>
          <t>https://www.sorbonne-universite.fr/actualites/le-conseil-dadministration-de-sorbonne-universite-vote-lunanimite-le-7-juillet-2026-sa</t>
        </is>
      </c>
      <c r="AC541" s="25" t="inlineStr">
        <is>
          <t>Open</t>
        </is>
      </c>
      <c r="AD541" s="25" t="inlineStr">
        <is>
          <t>2026-10-01</t>
        </is>
      </c>
      <c r="AE541" s="25" t="inlineStr">
        <is>
          <t>2027-03-15</t>
        </is>
      </c>
      <c r="AF541" s="25" t="inlineStr">
        <is>
          <t>No</t>
        </is>
      </c>
      <c r="AG541" s="28" t="inlineStr">
        <is>
          <t>https://sciences.sorbonne-universite.fr/en/masters/master-computer-science/qi</t>
        </is>
      </c>
      <c r="AH541" s="26" t="inlineStr">
        <is>
          <t>Bachelor’s holders in Computer Science, Computer Engineering or Information Systems. Students should have competence in mathematics, theoretical foundations of computer science, algorithms and computer architectures, and</t>
        </is>
      </c>
      <c r="AI541" s="28" t="inlineStr">
        <is>
          <t>Open in EEF</t>
        </is>
      </c>
    </row>
    <row r="542" ht="32.8" customHeight="1" s="19">
      <c r="A542" s="25" t="n">
        <v>541</v>
      </c>
      <c r="B542" s="25" t="inlineStr">
        <is>
          <t>★★★☆☆</t>
        </is>
      </c>
      <c r="C542" s="25" t="inlineStr">
        <is>
          <t>3 – Adjacent (AI/data/CS/cyber/energy)</t>
        </is>
      </c>
      <c r="D542" s="25" t="inlineStr">
        <is>
          <t>Computer science / Software</t>
        </is>
      </c>
      <c r="E542" s="26" t="inlineStr">
        <is>
          <t>Master indifférencié (recherche et professionnel) Computer Science Master of Computer Science - DIGIT : International Program</t>
        </is>
      </c>
      <c r="F542" s="26" t="inlineStr">
        <is>
          <t>Computer Science Master of Computer Science - DIGIT : International Program</t>
        </is>
      </c>
      <c r="G542" s="25" t="inlineStr">
        <is>
          <t>Master indifférencié (recherche et professionnel)</t>
        </is>
      </c>
      <c r="H542" s="25" t="inlineStr">
        <is>
          <t>Sciences et Ingénierie</t>
        </is>
      </c>
      <c r="I542" s="25" t="inlineStr">
        <is>
          <t>Sorbonne Université</t>
        </is>
      </c>
      <c r="J542" s="25" t="inlineStr">
        <is>
          <t>Site de Paris</t>
        </is>
      </c>
      <c r="K542" s="25" t="n"/>
      <c r="L542" s="25" t="inlineStr">
        <is>
          <t>Public university</t>
        </is>
      </c>
      <c r="M542" s="25" t="inlineStr">
        <is>
          <t>English</t>
        </is>
      </c>
      <c r="N542" s="25" t="inlineStr">
        <is>
          <t>Taught in English</t>
        </is>
      </c>
      <c r="O542" s="25" t="inlineStr">
        <is>
          <t>Bac +4 / Bac +5</t>
        </is>
      </c>
      <c r="P542" s="26" t="inlineStr">
        <is>
          <t>Eligible on level (4-yr BS ≈ Bac+4)</t>
        </is>
      </c>
      <c r="Q542" s="25" t="inlineStr">
        <is>
          <t>1/2</t>
        </is>
      </c>
      <c r="R542" s="25" t="n"/>
      <c r="S542" s="27" t="n">
        <v>3950</v>
      </c>
      <c r="T542" s="27" t="n">
        <v>255</v>
      </c>
      <c r="U542" s="25" t="n">
        <v>2</v>
      </c>
      <c r="V542" s="27">
        <f>IF(S542="","",S542*U542)</f>
        <v/>
      </c>
      <c r="W542" s="26" t="inlineStr">
        <is>
          <t>Not in catalogue. Public national master → 2026-27 differentiated fee €3,950; exemption to ~€254-255 depends on university quota (25% cap in 2027-28).</t>
        </is>
      </c>
      <c r="X542" s="25" t="inlineStr">
        <is>
          <t>Medium</t>
        </is>
      </c>
      <c r="Y542" s="25" t="n"/>
      <c r="Z542" s="26" t="n"/>
      <c r="AA542" s="26" t="inlineStr">
        <is>
          <t>Board vote 7 Jul 2026: Sorbonne Université says it can exempt all eligible non-EU applicants (pay same as EU, ~€254) for 2026-27.</t>
        </is>
      </c>
      <c r="AB542" s="28" t="inlineStr">
        <is>
          <t>https://www.sorbonne-universite.fr/actualites/le-conseil-dadministration-de-sorbonne-universite-vote-lunanimite-le-7-juillet-2026-sa</t>
        </is>
      </c>
      <c r="AC542" s="25" t="inlineStr">
        <is>
          <t>Open</t>
        </is>
      </c>
      <c r="AD542" s="25" t="inlineStr">
        <is>
          <t>2026-10-01</t>
        </is>
      </c>
      <c r="AE542" s="25" t="inlineStr">
        <is>
          <t>2027-03-15</t>
        </is>
      </c>
      <c r="AF542" s="25" t="inlineStr">
        <is>
          <t>No</t>
        </is>
      </c>
      <c r="AG542" s="28" t="inlineStr">
        <is>
          <t>https://sciences.sorbonne-universite.fr/en/formation-sciences/masters/master-informatique/digit-international</t>
        </is>
      </c>
      <c r="AH542" s="26" t="inlineStr">
        <is>
          <t>All courses are taught in English ADMISSION A Master of Science in Computer Science, Computer Engineering, or Information Systems. Students should have basic competence in mathematics, theoretical foundations of computer</t>
        </is>
      </c>
      <c r="AI542" s="28" t="inlineStr">
        <is>
          <t>Open in EEF</t>
        </is>
      </c>
    </row>
    <row r="543" ht="32.8" customHeight="1" s="19">
      <c r="A543" s="25" t="n">
        <v>542</v>
      </c>
      <c r="B543" s="25" t="inlineStr">
        <is>
          <t>★★★☆☆</t>
        </is>
      </c>
      <c r="C543" s="25" t="inlineStr">
        <is>
          <t>3 – Adjacent (AI/data/CS/cyber/energy)</t>
        </is>
      </c>
      <c r="D543" s="25" t="inlineStr">
        <is>
          <t>Computer science / Software</t>
        </is>
      </c>
      <c r="E543" s="26" t="inlineStr">
        <is>
          <t>Master indifférencié (recherche et professionnel) Computer Science parcours Master of Computer Science - High Performance Computing</t>
        </is>
      </c>
      <c r="F543" s="26" t="inlineStr">
        <is>
          <t>Computer Science – track: Master of Computer Science - High Performance Computing</t>
        </is>
      </c>
      <c r="G543" s="25" t="inlineStr">
        <is>
          <t>Master indifférencié (recherche et professionnel)</t>
        </is>
      </c>
      <c r="H543" s="25" t="inlineStr">
        <is>
          <t>Sciences et Ingénierie</t>
        </is>
      </c>
      <c r="I543" s="25" t="inlineStr">
        <is>
          <t>Sorbonne Université</t>
        </is>
      </c>
      <c r="J543" s="25" t="inlineStr">
        <is>
          <t>Site de Paris</t>
        </is>
      </c>
      <c r="K543" s="25" t="n"/>
      <c r="L543" s="25" t="inlineStr">
        <is>
          <t>Public university</t>
        </is>
      </c>
      <c r="M543" s="25" t="inlineStr">
        <is>
          <t>English</t>
        </is>
      </c>
      <c r="N543" s="25" t="inlineStr">
        <is>
          <t>Taught in English</t>
        </is>
      </c>
      <c r="O543" s="25" t="inlineStr">
        <is>
          <t>Bac +4</t>
        </is>
      </c>
      <c r="P543" s="26" t="inlineStr">
        <is>
          <t>Eligible on level (4-yr BS ≈ Bac+4)</t>
        </is>
      </c>
      <c r="Q543" s="25" t="inlineStr">
        <is>
          <t>1</t>
        </is>
      </c>
      <c r="R543" s="25" t="n"/>
      <c r="S543" s="27" t="n">
        <v>3950</v>
      </c>
      <c r="T543" s="27" t="n">
        <v>255</v>
      </c>
      <c r="U543" s="25" t="n">
        <v>2</v>
      </c>
      <c r="V543" s="27">
        <f>IF(S543="","",S543*U543)</f>
        <v/>
      </c>
      <c r="W543" s="26" t="inlineStr">
        <is>
          <t>Not in catalogue. Public national master → 2026-27 differentiated fee €3,950; exemption to ~€254-255 depends on university quota (25% cap in 2027-28).</t>
        </is>
      </c>
      <c r="X543" s="25" t="inlineStr">
        <is>
          <t>Medium</t>
        </is>
      </c>
      <c r="Y543" s="25" t="n"/>
      <c r="Z543" s="26" t="n"/>
      <c r="AA543" s="26" t="inlineStr">
        <is>
          <t>Board vote 7 Jul 2026: Sorbonne Université says it can exempt all eligible non-EU applicants (pay same as EU, ~€254) for 2026-27.</t>
        </is>
      </c>
      <c r="AB543" s="28" t="inlineStr">
        <is>
          <t>https://www.sorbonne-universite.fr/actualites/le-conseil-dadministration-de-sorbonne-universite-vote-lunanimite-le-7-juillet-2026-sa</t>
        </is>
      </c>
      <c r="AC543" s="25" t="inlineStr">
        <is>
          <t>Open</t>
        </is>
      </c>
      <c r="AD543" s="25" t="inlineStr">
        <is>
          <t>2026-10-01</t>
        </is>
      </c>
      <c r="AE543" s="25" t="inlineStr">
        <is>
          <t>2027-03-15</t>
        </is>
      </c>
      <c r="AF543" s="25" t="inlineStr">
        <is>
          <t>No</t>
        </is>
      </c>
      <c r="AG543" s="28" t="inlineStr">
        <is>
          <t>https://sciences.sorbonne-universite.fr/en/Masters/masters-degree-mathematics-and-applications/masters-high-performance-computing-hpc</t>
        </is>
      </c>
      <c r="AH543" s="26" t="inlineStr">
        <is>
          <t>Level Required : Bachelor (Licence) degree in Mathematics and/or Computer Science English proficiency : English speaking/writing skills strong enough to follow a curriculum taught in English (CECRL B2). All students must</t>
        </is>
      </c>
      <c r="AI543" s="28" t="inlineStr">
        <is>
          <t>Open in EEF</t>
        </is>
      </c>
    </row>
    <row r="544" ht="32.8" customHeight="1" s="19">
      <c r="A544" s="25" t="n">
        <v>543</v>
      </c>
      <c r="B544" s="25" t="inlineStr">
        <is>
          <t>★★★☆☆</t>
        </is>
      </c>
      <c r="C544" s="25" t="inlineStr">
        <is>
          <t>3 – Adjacent (AI/data/CS/cyber/energy)</t>
        </is>
      </c>
      <c r="D544" s="25" t="inlineStr">
        <is>
          <t>Computer science / Software</t>
        </is>
      </c>
      <c r="E544" s="26" t="inlineStr">
        <is>
          <t>Master indifférencié (recherche et professionnel) mention Master in Applied Mathematics and Informatics</t>
        </is>
      </c>
      <c r="F544" s="26" t="inlineStr">
        <is>
          <t>major: Master in Applied Mathematics and Informatics</t>
        </is>
      </c>
      <c r="G544" s="25" t="inlineStr">
        <is>
          <t>Master indifférencié (recherche et professionnel)</t>
        </is>
      </c>
      <c r="H544" s="25" t="inlineStr">
        <is>
          <t>Ecole nationale supérieure d'informatique et de mathématiques appliquées (Ensimag) - Grenoble INP</t>
        </is>
      </c>
      <c r="I544" s="25" t="inlineStr">
        <is>
          <t>Grenoble INP</t>
        </is>
      </c>
      <c r="J544" s="25" t="inlineStr">
        <is>
          <t>Site de Saint-Martin-d'Hères</t>
        </is>
      </c>
      <c r="K544" s="25" t="n"/>
      <c r="L544" s="25" t="inlineStr">
        <is>
          <t>Public school / institute</t>
        </is>
      </c>
      <c r="M544" s="25" t="inlineStr">
        <is>
          <t>English</t>
        </is>
      </c>
      <c r="N544" s="25" t="inlineStr">
        <is>
          <t>Taught in English</t>
        </is>
      </c>
      <c r="O544" s="25" t="inlineStr">
        <is>
          <t>Bac +4 / Bac +5</t>
        </is>
      </c>
      <c r="P544" s="26" t="inlineStr">
        <is>
          <t>Eligible on level (4-yr BS ≈ Bac+4)</t>
        </is>
      </c>
      <c r="Q544" s="25" t="inlineStr">
        <is>
          <t>1/2</t>
        </is>
      </c>
      <c r="R544" s="25" t="n"/>
      <c r="S544" s="27" t="n">
        <v>3950</v>
      </c>
      <c r="T544" s="27" t="n">
        <v>255</v>
      </c>
      <c r="U544" s="25" t="n">
        <v>2</v>
      </c>
      <c r="V544" s="27">
        <f>IF(S544="","",S544*U544)</f>
        <v/>
      </c>
      <c r="W544" s="26" t="inlineStr">
        <is>
          <t>Not in catalogue. Public national master → 2026-27 differentiated fee €3,950; exemption to ~€254-255 depends on university quota (25% cap in 2027-28).</t>
        </is>
      </c>
      <c r="X544" s="25" t="inlineStr">
        <is>
          <t>Medium</t>
        </is>
      </c>
      <c r="Y544" s="25" t="n"/>
      <c r="Z544" s="26" t="n"/>
      <c r="AA544" s="26" t="inlineStr">
        <is>
          <t>UGA (incl. Grenoble INP masters): 2026-27 broad exemptions on request (pay national €254). From 2027-28 the decree caps apply; exemptions based on resources.</t>
        </is>
      </c>
      <c r="AB544" s="28" t="inlineStr">
        <is>
          <t>https://www.univ-grenoble-alpes.fr/actualites/a-la-une/actualites-universite/etudiants-internationaux-ce-que-change-le-nouveau-decret-sur-les-droits-d-inscription-a-l-uga-1775870.kjsp</t>
        </is>
      </c>
      <c r="AC544" s="25" t="inlineStr">
        <is>
          <t>Open</t>
        </is>
      </c>
      <c r="AD544" s="25" t="inlineStr">
        <is>
          <t>2026-10-01</t>
        </is>
      </c>
      <c r="AE544" s="25" t="inlineStr">
        <is>
          <t>2027-03-15</t>
        </is>
      </c>
      <c r="AF544" s="25" t="inlineStr">
        <is>
          <t>No</t>
        </is>
      </c>
      <c r="AG544" s="28" t="inlineStr">
        <is>
          <t>https://m-ai.imag.fr/</t>
        </is>
      </c>
      <c r="AH544" s="26" t="inlineStr">
        <is>
          <t>***PAGE CURRENTLY BEING UPDATED FOR THE 2027–2028 ACADEMIC YEAR*** Before applying, it is important to check the cost of the programme as well as the level of financial resources required for your year of study in France</t>
        </is>
      </c>
      <c r="AI544" s="28" t="inlineStr">
        <is>
          <t>Open in EEF</t>
        </is>
      </c>
    </row>
    <row r="545" ht="32.8" customHeight="1" s="19">
      <c r="A545" s="25" t="n">
        <v>544</v>
      </c>
      <c r="B545" s="25" t="inlineStr">
        <is>
          <t>★★★☆☆</t>
        </is>
      </c>
      <c r="C545" s="25" t="inlineStr">
        <is>
          <t>3 – Adjacent (AI/data/CS/cyber/energy)</t>
        </is>
      </c>
      <c r="D545" s="25" t="inlineStr">
        <is>
          <t>Computer science / Software</t>
        </is>
      </c>
      <c r="E545" s="26" t="inlineStr">
        <is>
          <t>Master indifférencié (recherche et professionnel) parcours Information Technology for Smart and Sustainable Mobility (IT4SSM) - EUNICE Alliance</t>
        </is>
      </c>
      <c r="F545" s="26" t="inlineStr">
        <is>
          <t>track: Information Technology for Smart and Sustainable Mobility (IT4SSM) - EUNICE Alliance</t>
        </is>
      </c>
      <c r="G545" s="25" t="inlineStr">
        <is>
          <t>Master indifférencié (recherche et professionnel)</t>
        </is>
      </c>
      <c r="H545" s="25" t="inlineStr">
        <is>
          <t>INSA HAUTS-DE-FRANCE</t>
        </is>
      </c>
      <c r="I545" s="25" t="inlineStr">
        <is>
          <t>Université polytechnique Hauts-de-France (UPHF)</t>
        </is>
      </c>
      <c r="J545" s="25" t="inlineStr">
        <is>
          <t>Site de Valenciennes</t>
        </is>
      </c>
      <c r="K545" s="25" t="n"/>
      <c r="L545" s="25" t="inlineStr">
        <is>
          <t>Public school / institute</t>
        </is>
      </c>
      <c r="M545" s="25" t="inlineStr">
        <is>
          <t>English</t>
        </is>
      </c>
      <c r="N545" s="25" t="inlineStr">
        <is>
          <t>Taught in English</t>
        </is>
      </c>
      <c r="O545" s="25" t="inlineStr">
        <is>
          <t>Bac +4</t>
        </is>
      </c>
      <c r="P545" s="26" t="inlineStr">
        <is>
          <t>Eligible on level (4-yr BS ≈ Bac+4)</t>
        </is>
      </c>
      <c r="Q545" s="25" t="inlineStr">
        <is>
          <t>1</t>
        </is>
      </c>
      <c r="R545" s="25" t="inlineStr">
        <is>
          <t>10</t>
        </is>
      </c>
      <c r="S545" s="27" t="n">
        <v>3950</v>
      </c>
      <c r="T545" s="27" t="n">
        <v>255</v>
      </c>
      <c r="U545" s="25" t="n">
        <v>2</v>
      </c>
      <c r="V545" s="27">
        <f>IF(S545="","",S545*U545)</f>
        <v/>
      </c>
      <c r="W545" s="26" t="inlineStr">
        <is>
          <t>Not in catalogue. Public national master → 2026-27 differentiated fee €3,950; exemption to ~€254-255 depends on university quota (25% cap in 2027-28).</t>
        </is>
      </c>
      <c r="X545" s="25" t="inlineStr">
        <is>
          <t>Medium</t>
        </is>
      </c>
      <c r="Y545" s="25" t="n"/>
      <c r="Z545" s="26" t="n"/>
      <c r="AA545" s="26" t="n"/>
      <c r="AB545" s="25" t="n"/>
      <c r="AC545" s="25" t="inlineStr">
        <is>
          <t>Open</t>
        </is>
      </c>
      <c r="AD545" s="25" t="inlineStr">
        <is>
          <t>2026-10-01</t>
        </is>
      </c>
      <c r="AE545" s="25" t="inlineStr">
        <is>
          <t>2027-03-15</t>
        </is>
      </c>
      <c r="AF545" s="25" t="inlineStr">
        <is>
          <t>No</t>
        </is>
      </c>
      <c r="AG545" s="28" t="inlineStr">
        <is>
          <t>https://formations.uphf.fr/fr/formations/master-master/master-informatique-KZZQ4B8O/information-technology-for-smart-and-sustainable-mobility-it4ssm-eunice-alliance-LS4R6Q1G.html</t>
        </is>
      </c>
      <c r="AH545" s="26" t="inlineStr">
        <is>
          <t>ADMISSION REQUIREMENTS :For the first year - Master 1 : open to students with Bachelor degree in computer science (after a licence / bachelor), or another engineering or technology specialty that fulfills the following r</t>
        </is>
      </c>
      <c r="AI545" s="28" t="inlineStr">
        <is>
          <t>Open in EEF</t>
        </is>
      </c>
    </row>
    <row r="546" ht="32.8" customHeight="1" s="19">
      <c r="A546" s="25" t="n">
        <v>545</v>
      </c>
      <c r="B546" s="25" t="inlineStr">
        <is>
          <t>★★★☆☆</t>
        </is>
      </c>
      <c r="C546" s="25" t="inlineStr">
        <is>
          <t>3 – Adjacent (AI/data/CS/cyber/energy)</t>
        </is>
      </c>
      <c r="D546" s="25" t="inlineStr">
        <is>
          <t>Computer science / Software</t>
        </is>
      </c>
      <c r="E546" s="26" t="inlineStr">
        <is>
          <t>Master indifférencié (recherche et professionnel) parcours Master of Science in Informatics at Grenoble (MOSIG)</t>
        </is>
      </c>
      <c r="F546" s="26" t="inlineStr">
        <is>
          <t>track: Master of Science in Informatics at Grenoble (MOSIG)</t>
        </is>
      </c>
      <c r="G546" s="25" t="inlineStr">
        <is>
          <t>Master indifférencié (recherche et professionnel)</t>
        </is>
      </c>
      <c r="H546" s="25" t="inlineStr">
        <is>
          <t>Ecole nationale supérieure d'informatique et de mathématiques appliquées (Ensimag) - Grenoble INP</t>
        </is>
      </c>
      <c r="I546" s="25" t="inlineStr">
        <is>
          <t>Grenoble INP</t>
        </is>
      </c>
      <c r="J546" s="25" t="inlineStr">
        <is>
          <t>Site de Saint-Martin-d'Hères</t>
        </is>
      </c>
      <c r="K546" s="25" t="n"/>
      <c r="L546" s="25" t="inlineStr">
        <is>
          <t>Public school / institute</t>
        </is>
      </c>
      <c r="M546" s="25" t="inlineStr">
        <is>
          <t>English</t>
        </is>
      </c>
      <c r="N546" s="25" t="inlineStr">
        <is>
          <t>Taught in English</t>
        </is>
      </c>
      <c r="O546" s="25" t="inlineStr">
        <is>
          <t>Bac +4 / Bac +5</t>
        </is>
      </c>
      <c r="P546" s="26" t="inlineStr">
        <is>
          <t>Eligible on level (4-yr BS ≈ Bac+4)</t>
        </is>
      </c>
      <c r="Q546" s="25" t="inlineStr">
        <is>
          <t>1/2</t>
        </is>
      </c>
      <c r="R546" s="25" t="n"/>
      <c r="S546" s="27" t="n">
        <v>3950</v>
      </c>
      <c r="T546" s="27" t="n">
        <v>255</v>
      </c>
      <c r="U546" s="25" t="n">
        <v>2</v>
      </c>
      <c r="V546" s="27">
        <f>IF(S546="","",S546*U546)</f>
        <v/>
      </c>
      <c r="W546" s="26" t="inlineStr">
        <is>
          <t>Not in catalogue. Public national master → 2026-27 differentiated fee €3,950; exemption to ~€254-255 depends on university quota (25% cap in 2027-28).</t>
        </is>
      </c>
      <c r="X546" s="25" t="inlineStr">
        <is>
          <t>Medium</t>
        </is>
      </c>
      <c r="Y546" s="25" t="n"/>
      <c r="Z546" s="26" t="n"/>
      <c r="AA546" s="26" t="inlineStr">
        <is>
          <t>UGA (incl. Grenoble INP masters): 2026-27 broad exemptions on request (pay national €254). From 2027-28 the decree caps apply; exemptions based on resources.</t>
        </is>
      </c>
      <c r="AB546" s="28" t="inlineStr">
        <is>
          <t>https://www.univ-grenoble-alpes.fr/actualites/a-la-une/actualites-universite/etudiants-internationaux-ce-que-change-le-nouveau-decret-sur-les-droits-d-inscription-a-l-uga-1775870.kjsp</t>
        </is>
      </c>
      <c r="AC546" s="25" t="inlineStr">
        <is>
          <t>Open</t>
        </is>
      </c>
      <c r="AD546" s="25" t="inlineStr">
        <is>
          <t>2026-10-01</t>
        </is>
      </c>
      <c r="AE546" s="25" t="inlineStr">
        <is>
          <t>2027-03-15</t>
        </is>
      </c>
      <c r="AF546" s="25" t="inlineStr">
        <is>
          <t>Yes</t>
        </is>
      </c>
      <c r="AG546" s="28" t="inlineStr">
        <is>
          <t>https://mosig.imag.fr/</t>
        </is>
      </c>
      <c r="AH546" s="26" t="inlineStr">
        <is>
          <t>***PAGE CURRENTLY BEING UPDATED FOR THE 2027–2028 ACADEMIC YEAR*** Before applying, it is important to check the cost of the programme as well as the level of financial resources required for your year of study in France</t>
        </is>
      </c>
      <c r="AI546" s="28" t="inlineStr">
        <is>
          <t>Open in EEF</t>
        </is>
      </c>
    </row>
    <row r="547" ht="32.8" customHeight="1" s="19">
      <c r="A547" s="25" t="n">
        <v>546</v>
      </c>
      <c r="B547" s="25" t="inlineStr">
        <is>
          <t>★★★☆☆</t>
        </is>
      </c>
      <c r="C547" s="25" t="inlineStr">
        <is>
          <t>3 – Adjacent (AI/data/CS/cyber/energy)</t>
        </is>
      </c>
      <c r="D547" s="25" t="inlineStr">
        <is>
          <t>AI / Data science</t>
        </is>
      </c>
      <c r="E547" s="26" t="inlineStr">
        <is>
          <t>Master indifférencié (recherche et professionnel) Sciences, Technologies, Santé mention Artificial Intelligence parcours Artificial Intelligence</t>
        </is>
      </c>
      <c r="F547" s="26" t="inlineStr">
        <is>
          <t>Science, Technology, Health (STS) – major: Artificial Intelligence – track: Artificial Intelligence</t>
        </is>
      </c>
      <c r="G547" s="25" t="inlineStr">
        <is>
          <t>Master indifférencié (recherche et professionnel)</t>
        </is>
      </c>
      <c r="H547" s="25" t="inlineStr">
        <is>
          <t>UFR d'informatique, mathématiques et mathématiques appliquées</t>
        </is>
      </c>
      <c r="I547" s="25" t="inlineStr">
        <is>
          <t>Université de Grenoble Alpes</t>
        </is>
      </c>
      <c r="J547" s="25" t="inlineStr">
        <is>
          <t>Site de Grenoble - Campus de Saint Martin d'Hères</t>
        </is>
      </c>
      <c r="K547" s="25" t="n"/>
      <c r="L547" s="25" t="inlineStr">
        <is>
          <t>Public university</t>
        </is>
      </c>
      <c r="M547" s="25" t="inlineStr">
        <is>
          <t>English</t>
        </is>
      </c>
      <c r="N547" s="25" t="inlineStr">
        <is>
          <t>Taught in English</t>
        </is>
      </c>
      <c r="O547" s="25" t="inlineStr">
        <is>
          <t>Bac +4 / Bac +5</t>
        </is>
      </c>
      <c r="P547" s="26" t="inlineStr">
        <is>
          <t>Eligible on level (4-yr BS ≈ Bac+4)</t>
        </is>
      </c>
      <c r="Q547" s="25" t="inlineStr">
        <is>
          <t>1/2</t>
        </is>
      </c>
      <c r="R547" s="25" t="n"/>
      <c r="S547" s="27" t="n">
        <v>3950</v>
      </c>
      <c r="T547" s="27" t="n">
        <v>255</v>
      </c>
      <c r="U547" s="25" t="n">
        <v>2</v>
      </c>
      <c r="V547" s="27">
        <f>IF(S547="","",S547*U547)</f>
        <v/>
      </c>
      <c r="W547" s="26" t="inlineStr">
        <is>
          <t>Not in catalogue. Public national master → 2026-27 differentiated fee €3,950; exemption to ~€254-255 depends on university quota (25% cap in 2027-28).</t>
        </is>
      </c>
      <c r="X547" s="25" t="inlineStr">
        <is>
          <t>Medium</t>
        </is>
      </c>
      <c r="Y547" s="25" t="n"/>
      <c r="Z547" s="26" t="n"/>
      <c r="AA547" s="26" t="inlineStr">
        <is>
          <t>UGA (incl. Grenoble INP masters): 2026-27 broad exemptions on request (pay national €254). From 2027-28 the decree caps apply; exemptions based on resources.</t>
        </is>
      </c>
      <c r="AB547" s="28" t="inlineStr">
        <is>
          <t>https://www.univ-grenoble-alpes.fr/actualites/a-la-une/actualites-universite/etudiants-internationaux-ce-que-change-le-nouveau-decret-sur-les-droits-d-inscription-a-l-uga-1775870.kjsp</t>
        </is>
      </c>
      <c r="AC547" s="25" t="inlineStr">
        <is>
          <t>Open</t>
        </is>
      </c>
      <c r="AD547" s="25" t="inlineStr">
        <is>
          <t>2026-10-01</t>
        </is>
      </c>
      <c r="AE547" s="25" t="inlineStr">
        <is>
          <t>2027-03-15</t>
        </is>
      </c>
      <c r="AF547" s="25" t="inlineStr">
        <is>
          <t>Yes</t>
        </is>
      </c>
      <c r="AG547" s="28" t="inlineStr">
        <is>
          <t>https://m-ai.imag.fr/</t>
        </is>
      </c>
      <c r="AH547" s="26" t="inlineStr">
        <is>
          <t>To be admitted to the program, candidates must have previously completed their undergraduate studies and been awarded a Bachelor degree (or or an equivalent degree) in computer science, computer engineering, mathematics</t>
        </is>
      </c>
      <c r="AI547" s="28" t="inlineStr">
        <is>
          <t>Open in EEF</t>
        </is>
      </c>
    </row>
    <row r="548" ht="32.8" customHeight="1" s="19">
      <c r="A548" s="25" t="n">
        <v>547</v>
      </c>
      <c r="B548" s="25" t="inlineStr">
        <is>
          <t>★★★☆☆</t>
        </is>
      </c>
      <c r="C548" s="25" t="inlineStr">
        <is>
          <t>3 – Adjacent (AI/data/CS/cyber/energy)</t>
        </is>
      </c>
      <c r="D548" s="25" t="inlineStr">
        <is>
          <t>Cybersecurity</t>
        </is>
      </c>
      <c r="E548" s="26" t="inlineStr">
        <is>
          <t>Master indifférencié (recherche et professionnel) Sciences, Technologies, Santé mention Cybersecurity parcours Cybersecurity</t>
        </is>
      </c>
      <c r="F548" s="26" t="inlineStr">
        <is>
          <t>Science, Technology, Health (STS) – major: Cybersecurity – track: Cybersecurity</t>
        </is>
      </c>
      <c r="G548" s="25" t="inlineStr">
        <is>
          <t>Master indifférencié (recherche et professionnel)</t>
        </is>
      </c>
      <c r="H548" s="25" t="inlineStr">
        <is>
          <t>UFR d'informatique, mathématiques et mathématiques appliquées</t>
        </is>
      </c>
      <c r="I548" s="25" t="inlineStr">
        <is>
          <t>Université de Grenoble Alpes</t>
        </is>
      </c>
      <c r="J548" s="25" t="inlineStr">
        <is>
          <t>Site de Grenoble - Campus de Saint Martin d'Hères</t>
        </is>
      </c>
      <c r="K548" s="25" t="n"/>
      <c r="L548" s="25" t="inlineStr">
        <is>
          <t>Public university</t>
        </is>
      </c>
      <c r="M548" s="25" t="inlineStr">
        <is>
          <t>English</t>
        </is>
      </c>
      <c r="N548" s="25" t="inlineStr">
        <is>
          <t>Taught in English</t>
        </is>
      </c>
      <c r="O548" s="25" t="inlineStr">
        <is>
          <t>Bac +4 / Bac +5</t>
        </is>
      </c>
      <c r="P548" s="26" t="inlineStr">
        <is>
          <t>Eligible on level (4-yr BS ≈ Bac+4)</t>
        </is>
      </c>
      <c r="Q548" s="25" t="inlineStr">
        <is>
          <t>1/2</t>
        </is>
      </c>
      <c r="R548" s="25" t="n"/>
      <c r="S548" s="27" t="n">
        <v>3950</v>
      </c>
      <c r="T548" s="27" t="n">
        <v>255</v>
      </c>
      <c r="U548" s="25" t="n">
        <v>2</v>
      </c>
      <c r="V548" s="27">
        <f>IF(S548="","",S548*U548)</f>
        <v/>
      </c>
      <c r="W548" s="26" t="inlineStr">
        <is>
          <t>Not in catalogue. Public national master → 2026-27 differentiated fee €3,950; exemption to ~€254-255 depends on university quota (25% cap in 2027-28).</t>
        </is>
      </c>
      <c r="X548" s="25" t="inlineStr">
        <is>
          <t>Medium</t>
        </is>
      </c>
      <c r="Y548" s="25" t="n"/>
      <c r="Z548" s="26" t="n"/>
      <c r="AA548" s="26" t="inlineStr">
        <is>
          <t>UGA (incl. Grenoble INP masters): 2026-27 broad exemptions on request (pay national €254). From 2027-28 the decree caps apply; exemptions based on resources.</t>
        </is>
      </c>
      <c r="AB548" s="28" t="inlineStr">
        <is>
          <t>https://www.univ-grenoble-alpes.fr/actualites/a-la-une/actualites-universite/etudiants-internationaux-ce-que-change-le-nouveau-decret-sur-les-droits-d-inscription-a-l-uga-1775870.kjsp</t>
        </is>
      </c>
      <c r="AC548" s="25" t="inlineStr">
        <is>
          <t>Open</t>
        </is>
      </c>
      <c r="AD548" s="25" t="inlineStr">
        <is>
          <t>2026-10-01</t>
        </is>
      </c>
      <c r="AE548" s="25" t="inlineStr">
        <is>
          <t>2027-03-15</t>
        </is>
      </c>
      <c r="AF548" s="25" t="inlineStr">
        <is>
          <t>Yes</t>
        </is>
      </c>
      <c r="AG548" s="28" t="inlineStr">
        <is>
          <t>https://im2ag.univ-grenoble-alpes.fr/formation/offre-de-formation/</t>
        </is>
      </c>
      <c r="AH548" s="26" t="inlineStr">
        <is>
          <t>- English proficiency : English scores required (equivalent to CEFR level B2): Cambridge C1 Advanced (CAE), score C / Cambridge C2 Proficiency (CPE) score C / IELTS Academic score 6.0 / Pearson Test of English Academic P</t>
        </is>
      </c>
      <c r="AI548" s="28" t="inlineStr">
        <is>
          <t>Open in EEF</t>
        </is>
      </c>
    </row>
    <row r="549" ht="22.35" customHeight="1" s="19">
      <c r="A549" s="25" t="n">
        <v>548</v>
      </c>
      <c r="B549" s="25" t="inlineStr">
        <is>
          <t>★★★☆☆</t>
        </is>
      </c>
      <c r="C549" s="25" t="inlineStr">
        <is>
          <t>3 – Adjacent (AI/data/CS/cyber/energy)</t>
        </is>
      </c>
      <c r="D549" s="25" t="inlineStr">
        <is>
          <t>Computer science / Software</t>
        </is>
      </c>
      <c r="E549" s="26" t="inlineStr">
        <is>
          <t>Master indifférencié (recherche et professionnel) Sciences, technologies, santé mention Informatique</t>
        </is>
      </c>
      <c r="F549" s="26" t="inlineStr">
        <is>
          <t>Science, Technology, Health (STS) – major: Computer Science</t>
        </is>
      </c>
      <c r="G549" s="25" t="inlineStr">
        <is>
          <t>Master indifférencié (recherche et professionnel)</t>
        </is>
      </c>
      <c r="H549" s="25" t="inlineStr">
        <is>
          <t>UFR Sciences et Techniques</t>
        </is>
      </c>
      <c r="I549" s="25" t="inlineStr">
        <is>
          <t>Université Marie et Louis Pasteur</t>
        </is>
      </c>
      <c r="J549" s="25" t="inlineStr">
        <is>
          <t>Site de Besançon</t>
        </is>
      </c>
      <c r="K549" s="25" t="inlineStr">
        <is>
          <t>25030 BESANCON CEDEX</t>
        </is>
      </c>
      <c r="L549" s="25" t="inlineStr">
        <is>
          <t>Public university</t>
        </is>
      </c>
      <c r="M549" s="25" t="inlineStr">
        <is>
          <t>English</t>
        </is>
      </c>
      <c r="N549" s="25" t="inlineStr">
        <is>
          <t>Taught in English</t>
        </is>
      </c>
      <c r="O549" s="25" t="inlineStr">
        <is>
          <t>Bac +4</t>
        </is>
      </c>
      <c r="P549" s="26" t="inlineStr">
        <is>
          <t>Eligible on level (4-yr BS ≈ Bac+4)</t>
        </is>
      </c>
      <c r="Q549" s="25" t="inlineStr">
        <is>
          <t>1</t>
        </is>
      </c>
      <c r="R549" s="25" t="inlineStr">
        <is>
          <t>12</t>
        </is>
      </c>
      <c r="S549" s="27" t="n">
        <v>3950</v>
      </c>
      <c r="T549" s="27" t="n">
        <v>255</v>
      </c>
      <c r="U549" s="25" t="n">
        <v>2</v>
      </c>
      <c r="V549" s="27">
        <f>IF(S549="","",S549*U549)</f>
        <v/>
      </c>
      <c r="W549" s="26" t="inlineStr">
        <is>
          <t>Not in catalogue. Public national master → 2026-27 differentiated fee €3,950; exemption to ~€254-255 depends on university quota (25% cap in 2027-28).</t>
        </is>
      </c>
      <c r="X549" s="25" t="inlineStr">
        <is>
          <t>Medium</t>
        </is>
      </c>
      <c r="Y549" s="25" t="n"/>
      <c r="Z549" s="26" t="n"/>
      <c r="AA549" s="26" t="inlineStr">
        <is>
          <t>UMLP: individual exemption requests assessed on personal resources.</t>
        </is>
      </c>
      <c r="AB549" s="28" t="inlineStr">
        <is>
          <t>https://www.umlp.fr/sites/default/files/2026-07-02-page-droits-differencies-vf.pdf</t>
        </is>
      </c>
      <c r="AC549" s="25" t="inlineStr">
        <is>
          <t>Open</t>
        </is>
      </c>
      <c r="AD549" s="25" t="inlineStr">
        <is>
          <t>2026-10-01</t>
        </is>
      </c>
      <c r="AE549" s="25" t="inlineStr">
        <is>
          <t>2027-03-15</t>
        </is>
      </c>
      <c r="AF549" s="25" t="inlineStr">
        <is>
          <t>No</t>
        </is>
      </c>
      <c r="AG549" s="28" t="inlineStr">
        <is>
          <t>https://taughtie.campusfrance.org/tiesearch/#/program/3544</t>
        </is>
      </c>
      <c r="AH549" s="26" t="inlineStr">
        <is>
          <t>Please follow the link : https://etudesenfrance.diplomatie.gouv.fr/catalogue-formations/formation/60857/site/6954</t>
        </is>
      </c>
      <c r="AI549" s="28" t="inlineStr">
        <is>
          <t>Open in EEF</t>
        </is>
      </c>
    </row>
    <row r="550" ht="32.8" customHeight="1" s="19">
      <c r="A550" s="25" t="n">
        <v>549</v>
      </c>
      <c r="B550" s="25" t="inlineStr">
        <is>
          <t>★★★☆☆</t>
        </is>
      </c>
      <c r="C550" s="25" t="inlineStr">
        <is>
          <t>3 – Adjacent (AI/data/CS/cyber/energy)</t>
        </is>
      </c>
      <c r="D550" s="25" t="inlineStr">
        <is>
          <t>Computer science / Software</t>
        </is>
      </c>
      <c r="E550" s="26" t="inlineStr">
        <is>
          <t>Master indifférencié (recherche et professionnel) Sciences, Technologies, Santé mention Informatique parcours Computer Science</t>
        </is>
      </c>
      <c r="F550" s="26" t="inlineStr">
        <is>
          <t>Science, Technology, Health (STS) – major: Computer Science – track: Computer Science</t>
        </is>
      </c>
      <c r="G550" s="25" t="inlineStr">
        <is>
          <t>Master indifférencié (recherche et professionnel)</t>
        </is>
      </c>
      <c r="H550" s="25" t="inlineStr">
        <is>
          <t>UFR d'informatique, mathématiques et mathématiques appliquées</t>
        </is>
      </c>
      <c r="I550" s="25" t="inlineStr">
        <is>
          <t>Université de Grenoble Alpes</t>
        </is>
      </c>
      <c r="J550" s="25" t="inlineStr">
        <is>
          <t>Site de Grenoble - Campus de Saint Martin d'Hères</t>
        </is>
      </c>
      <c r="K550" s="25" t="n"/>
      <c r="L550" s="25" t="inlineStr">
        <is>
          <t>Public university</t>
        </is>
      </c>
      <c r="M550" s="25" t="inlineStr">
        <is>
          <t>English</t>
        </is>
      </c>
      <c r="N550" s="25" t="inlineStr">
        <is>
          <t>Taught in English</t>
        </is>
      </c>
      <c r="O550" s="25" t="inlineStr">
        <is>
          <t>Bac +4</t>
        </is>
      </c>
      <c r="P550" s="26" t="inlineStr">
        <is>
          <t>Eligible on level (4-yr BS ≈ Bac+4)</t>
        </is>
      </c>
      <c r="Q550" s="25" t="inlineStr">
        <is>
          <t>1</t>
        </is>
      </c>
      <c r="R550" s="25" t="n"/>
      <c r="S550" s="27" t="n">
        <v>3950</v>
      </c>
      <c r="T550" s="27" t="n">
        <v>255</v>
      </c>
      <c r="U550" s="25" t="n">
        <v>2</v>
      </c>
      <c r="V550" s="27">
        <f>IF(S550="","",S550*U550)</f>
        <v/>
      </c>
      <c r="W550" s="26" t="inlineStr">
        <is>
          <t>Not in catalogue. Public national master → 2026-27 differentiated fee €3,950; exemption to ~€254-255 depends on university quota (25% cap in 2027-28).</t>
        </is>
      </c>
      <c r="X550" s="25" t="inlineStr">
        <is>
          <t>Medium</t>
        </is>
      </c>
      <c r="Y550" s="25" t="n"/>
      <c r="Z550" s="26" t="n"/>
      <c r="AA550" s="26" t="inlineStr">
        <is>
          <t>UGA (incl. Grenoble INP masters): 2026-27 broad exemptions on request (pay national €254). From 2027-28 the decree caps apply; exemptions based on resources.</t>
        </is>
      </c>
      <c r="AB550" s="28" t="inlineStr">
        <is>
          <t>https://www.univ-grenoble-alpes.fr/actualites/a-la-une/actualites-universite/etudiants-internationaux-ce-que-change-le-nouveau-decret-sur-les-droits-d-inscription-a-l-uga-1775870.kjsp</t>
        </is>
      </c>
      <c r="AC550" s="25" t="inlineStr">
        <is>
          <t>Open</t>
        </is>
      </c>
      <c r="AD550" s="25" t="inlineStr">
        <is>
          <t>2026-10-01</t>
        </is>
      </c>
      <c r="AE550" s="25" t="inlineStr">
        <is>
          <t>2027-03-15</t>
        </is>
      </c>
      <c r="AF550" s="25" t="inlineStr">
        <is>
          <t>Yes</t>
        </is>
      </c>
      <c r="AG550" s="28" t="inlineStr">
        <is>
          <t>https://mosig.imag.fr</t>
        </is>
      </c>
      <c r="AH550" s="26" t="inlineStr">
        <is>
          <t>Requirements: Admission to the program: having previously completed undergraduate studies and having been awarded a Bachelor degree in either Science (BSc) or Engineering (BEng) that includes courses in computing and sol</t>
        </is>
      </c>
      <c r="AI550" s="28" t="inlineStr">
        <is>
          <t>Open in EEF</t>
        </is>
      </c>
    </row>
    <row r="551" ht="32.8" customHeight="1" s="19">
      <c r="A551" s="25" t="n">
        <v>550</v>
      </c>
      <c r="B551" s="25" t="inlineStr">
        <is>
          <t>★★★☆☆</t>
        </is>
      </c>
      <c r="C551" s="25" t="inlineStr">
        <is>
          <t>3 – Adjacent (AI/data/CS/cyber/energy)</t>
        </is>
      </c>
      <c r="D551" s="25" t="inlineStr">
        <is>
          <t>Computer science / Software</t>
        </is>
      </c>
      <c r="E551" s="26" t="inlineStr">
        <is>
          <t>Master indifférencié (recherche et professionnel) Sciences, technologies, santé mention informatique parcours international of computer science</t>
        </is>
      </c>
      <c r="F551" s="26" t="inlineStr">
        <is>
          <t>Science, Technology, Health (STS) – major: Computer Science – track: international of computer Science</t>
        </is>
      </c>
      <c r="G551" s="25" t="inlineStr">
        <is>
          <t>Master indifférencié (recherche et professionnel)</t>
        </is>
      </c>
      <c r="H551" s="25" t="inlineStr">
        <is>
          <t>ISIMA</t>
        </is>
      </c>
      <c r="I551" s="25" t="inlineStr">
        <is>
          <t>Université Clermont Auvergne</t>
        </is>
      </c>
      <c r="J551" s="25" t="inlineStr">
        <is>
          <t>Site de Aubière</t>
        </is>
      </c>
      <c r="K551" s="25" t="n"/>
      <c r="L551" s="25" t="inlineStr">
        <is>
          <t>Public university</t>
        </is>
      </c>
      <c r="M551" s="25" t="inlineStr">
        <is>
          <t>English</t>
        </is>
      </c>
      <c r="N551" s="25" t="inlineStr">
        <is>
          <t>General</t>
        </is>
      </c>
      <c r="O551" s="25" t="inlineStr">
        <is>
          <t>Bac +4 / Bac +5</t>
        </is>
      </c>
      <c r="P551" s="26" t="inlineStr">
        <is>
          <t>Eligible on level (4-yr BS ≈ Bac+4)</t>
        </is>
      </c>
      <c r="Q551" s="25" t="inlineStr">
        <is>
          <t>1/2</t>
        </is>
      </c>
      <c r="R551" s="25" t="n"/>
      <c r="S551" s="27" t="n">
        <v>3950</v>
      </c>
      <c r="T551" s="27" t="n">
        <v>255</v>
      </c>
      <c r="U551" s="25" t="n">
        <v>2</v>
      </c>
      <c r="V551" s="27">
        <f>IF(S551="","",S551*U551)</f>
        <v/>
      </c>
      <c r="W551" s="26" t="inlineStr">
        <is>
          <t>Not in catalogue. Public national master → 2026-27 differentiated fee €3,950; exemption to ~€254-255 depends on university quota (25% cap in 2027-28).</t>
        </is>
      </c>
      <c r="X551" s="25" t="inlineStr">
        <is>
          <t>Medium</t>
        </is>
      </c>
      <c r="Y551" s="25" t="n"/>
      <c r="Z551" s="26" t="n"/>
      <c r="AA551" s="26" t="inlineStr">
        <is>
          <t>UCA board (Dec 2025) kept its partial-exemption framework for 2026-27 (pre-decree; re-check).</t>
        </is>
      </c>
      <c r="AB551" s="28" t="inlineStr">
        <is>
          <t>https://www.uca.fr/medias/fichier/delib-ca-20251205-15-tarifs-differencies_1765204050111-pdf</t>
        </is>
      </c>
      <c r="AC551" s="25" t="inlineStr">
        <is>
          <t>Open</t>
        </is>
      </c>
      <c r="AD551" s="25" t="inlineStr">
        <is>
          <t>2026-10-01</t>
        </is>
      </c>
      <c r="AE551" s="25" t="inlineStr">
        <is>
          <t>2027-03-15</t>
        </is>
      </c>
      <c r="AF551" s="25" t="inlineStr">
        <is>
          <t>No</t>
        </is>
      </c>
      <c r="AG551" s="28" t="inlineStr">
        <is>
          <t>https://www.uca.fr/formation/nos-formations/catalogue-des-formations/master-info</t>
        </is>
      </c>
      <c r="AH551" s="26" t="inlineStr">
        <is>
          <t>M1 Informatique ou équivalent (doctorants et ingénieurs pour les étudiants étrangers) pour l'admission en M2. Un test est recommandé seulement en anglais avec un niveau B2. Capacité d'accueil limitée à 15 places.</t>
        </is>
      </c>
      <c r="AI551" s="28" t="inlineStr">
        <is>
          <t>Open in EEF</t>
        </is>
      </c>
    </row>
    <row r="552" ht="32.8" customHeight="1" s="19">
      <c r="A552" s="25" t="n">
        <v>551</v>
      </c>
      <c r="B552" s="25" t="inlineStr">
        <is>
          <t>★★★☆☆</t>
        </is>
      </c>
      <c r="C552" s="25" t="inlineStr">
        <is>
          <t>3 – Adjacent (AI/data/CS/cyber/energy)</t>
        </is>
      </c>
      <c r="D552" s="25" t="inlineStr">
        <is>
          <t>Computer science / Software</t>
        </is>
      </c>
      <c r="E552" s="26" t="inlineStr">
        <is>
          <t>Master indifférencié (recherche et professionnel) Sciences, technologies, santé mention Informatique parcours Parcours international EIPHI*</t>
        </is>
      </c>
      <c r="F552" s="26" t="inlineStr">
        <is>
          <t>Science, Technology, Health (STS) – major: Computer Science – track: track: international EIPHI*</t>
        </is>
      </c>
      <c r="G552" s="25" t="inlineStr">
        <is>
          <t>Master indifférencié (recherche et professionnel)</t>
        </is>
      </c>
      <c r="H552" s="25" t="inlineStr">
        <is>
          <t>UFR Sciences et Techniques</t>
        </is>
      </c>
      <c r="I552" s="25" t="inlineStr">
        <is>
          <t>Université Marie et Louis Pasteur</t>
        </is>
      </c>
      <c r="J552" s="25" t="inlineStr">
        <is>
          <t>Site de Besançon</t>
        </is>
      </c>
      <c r="K552" s="25" t="inlineStr">
        <is>
          <t>25030 BESANCON CEDEX</t>
        </is>
      </c>
      <c r="L552" s="25" t="inlineStr">
        <is>
          <t>Public university</t>
        </is>
      </c>
      <c r="M552" s="25" t="inlineStr">
        <is>
          <t>English</t>
        </is>
      </c>
      <c r="N552" s="25" t="inlineStr">
        <is>
          <t>Taught in English</t>
        </is>
      </c>
      <c r="O552" s="25" t="inlineStr">
        <is>
          <t>Bac +4</t>
        </is>
      </c>
      <c r="P552" s="26" t="inlineStr">
        <is>
          <t>Eligible on level (4-yr BS ≈ Bac+4)</t>
        </is>
      </c>
      <c r="Q552" s="25" t="inlineStr">
        <is>
          <t>1</t>
        </is>
      </c>
      <c r="R552" s="25" t="inlineStr">
        <is>
          <t>12</t>
        </is>
      </c>
      <c r="S552" s="27" t="n">
        <v>3950</v>
      </c>
      <c r="T552" s="27" t="n">
        <v>255</v>
      </c>
      <c r="U552" s="25" t="n">
        <v>2</v>
      </c>
      <c r="V552" s="27">
        <f>IF(S552="","",S552*U552)</f>
        <v/>
      </c>
      <c r="W552" s="26" t="inlineStr">
        <is>
          <t>Not in catalogue. Public national master → 2026-27 differentiated fee €3,950; exemption to ~€254-255 depends on university quota (25% cap in 2027-28).</t>
        </is>
      </c>
      <c r="X552" s="25" t="inlineStr">
        <is>
          <t>Medium</t>
        </is>
      </c>
      <c r="Y552" s="25" t="n"/>
      <c r="Z552" s="26" t="n"/>
      <c r="AA552" s="26" t="inlineStr">
        <is>
          <t>UMLP: individual exemption requests assessed on personal resources.</t>
        </is>
      </c>
      <c r="AB552" s="28" t="inlineStr">
        <is>
          <t>https://www.umlp.fr/sites/default/files/2026-07-02-page-droits-differencies-vf.pdf</t>
        </is>
      </c>
      <c r="AC552" s="25" t="inlineStr">
        <is>
          <t>Open</t>
        </is>
      </c>
      <c r="AD552" s="25" t="inlineStr">
        <is>
          <t>2026-10-01</t>
        </is>
      </c>
      <c r="AE552" s="25" t="inlineStr">
        <is>
          <t>2027-03-15</t>
        </is>
      </c>
      <c r="AF552" s="25" t="inlineStr">
        <is>
          <t>No</t>
        </is>
      </c>
      <c r="AG552" s="28" t="inlineStr">
        <is>
          <t>https://taughtie.campusfrance.org/tiesearch/#/program/3544</t>
        </is>
      </c>
      <c r="AH552" s="26" t="inlineStr">
        <is>
          <t>We are looking for motivated students interested in computer science and its applications in Information Technology and Engineering Sciences. A precise description of program's expectations and goals can be found at http</t>
        </is>
      </c>
      <c r="AI552" s="28" t="inlineStr">
        <is>
          <t>Open in EEF</t>
        </is>
      </c>
    </row>
    <row r="553" ht="32.8" customHeight="1" s="19">
      <c r="A553" s="25" t="n">
        <v>552</v>
      </c>
      <c r="B553" s="25" t="inlineStr">
        <is>
          <t>★★★☆☆</t>
        </is>
      </c>
      <c r="C553" s="25" t="inlineStr">
        <is>
          <t>3 – Adjacent (AI/data/CS/cyber/energy)</t>
        </is>
      </c>
      <c r="D553" s="25" t="inlineStr">
        <is>
          <t>Computer science / Software</t>
        </is>
      </c>
      <c r="E553" s="26" t="inlineStr">
        <is>
          <t>Master Sciences, technologies, santé Information Technology for Smart and Sustainable Mobility (IT4SSM) - EUNICE Alliance</t>
        </is>
      </c>
      <c r="F553" s="26" t="inlineStr">
        <is>
          <t>Master Science, Technology, Health (STS) Information Technology for Smart and Sustainable Mobility (IT4SSM) - EUNICE Alliance</t>
        </is>
      </c>
      <c r="G553" s="25" t="inlineStr">
        <is>
          <t>Master indifférencié (recherche et professionnel)</t>
        </is>
      </c>
      <c r="H553" s="25" t="inlineStr">
        <is>
          <t>INSA HAUTS-DE-FRANCE</t>
        </is>
      </c>
      <c r="I553" s="25" t="inlineStr">
        <is>
          <t>Université polytechnique Hauts-de-France (UPHF)</t>
        </is>
      </c>
      <c r="J553" s="25" t="inlineStr">
        <is>
          <t>Site de Valenciennes</t>
        </is>
      </c>
      <c r="K553" s="25" t="n"/>
      <c r="L553" s="25" t="inlineStr">
        <is>
          <t>Public school / institute</t>
        </is>
      </c>
      <c r="M553" s="25" t="inlineStr">
        <is>
          <t>English</t>
        </is>
      </c>
      <c r="N553" s="25" t="inlineStr">
        <is>
          <t>General</t>
        </is>
      </c>
      <c r="O553" s="25" t="inlineStr">
        <is>
          <t>Bac +4</t>
        </is>
      </c>
      <c r="P553" s="26" t="inlineStr">
        <is>
          <t>Eligible on level (4-yr BS ≈ Bac+4)</t>
        </is>
      </c>
      <c r="Q553" s="25" t="inlineStr">
        <is>
          <t>1</t>
        </is>
      </c>
      <c r="R553" s="25" t="inlineStr">
        <is>
          <t>10</t>
        </is>
      </c>
      <c r="S553" s="27" t="n">
        <v>3950</v>
      </c>
      <c r="T553" s="27" t="n">
        <v>255</v>
      </c>
      <c r="U553" s="25" t="n">
        <v>2</v>
      </c>
      <c r="V553" s="27">
        <f>IF(S553="","",S553*U553)</f>
        <v/>
      </c>
      <c r="W553" s="26" t="inlineStr">
        <is>
          <t>Not in catalogue. Public national master → 2026-27 differentiated fee €3,950; exemption to ~€254-255 depends on university quota (25% cap in 2027-28).</t>
        </is>
      </c>
      <c r="X553" s="25" t="inlineStr">
        <is>
          <t>Medium</t>
        </is>
      </c>
      <c r="Y553" s="25" t="n"/>
      <c r="Z553" s="26" t="n"/>
      <c r="AA553" s="26" t="n"/>
      <c r="AB553" s="25" t="n"/>
      <c r="AC553" s="25" t="inlineStr">
        <is>
          <t>Open</t>
        </is>
      </c>
      <c r="AD553" s="25" t="inlineStr">
        <is>
          <t>2026-10-01</t>
        </is>
      </c>
      <c r="AE553" s="25" t="inlineStr">
        <is>
          <t>2027-03-15</t>
        </is>
      </c>
      <c r="AF553" s="25" t="inlineStr">
        <is>
          <t>No</t>
        </is>
      </c>
      <c r="AG553" s="28" t="inlineStr">
        <is>
          <t>https://formations.uphf.fr/fr/formations/master-master/master-informatique-KZZQ4B8O/information-technology-for-smart-and-sustainable-mobility-it4ssm-eunice-alliance-LS4R6Q1G.html</t>
        </is>
      </c>
      <c r="AH553" s="26" t="inlineStr">
        <is>
          <t>ADMISSION REQUIREMENTS :For the first year - Master 1 : open to students with Bachelor degree in computer science (after a licence / bachelor), or another engineering or technology specialty that fulfills the following r</t>
        </is>
      </c>
      <c r="AI553" s="28" t="inlineStr">
        <is>
          <t>Open in EEF</t>
        </is>
      </c>
    </row>
    <row r="554" ht="43.25" customHeight="1" s="19">
      <c r="A554" s="25" t="n">
        <v>553</v>
      </c>
      <c r="B554" s="25" t="inlineStr">
        <is>
          <t>★★★☆☆</t>
        </is>
      </c>
      <c r="C554" s="25" t="inlineStr">
        <is>
          <t>3 – Adjacent (AI/data/CS/cyber/energy)</t>
        </is>
      </c>
      <c r="D554" s="25" t="inlineStr">
        <is>
          <t>Computer science / Software</t>
        </is>
      </c>
      <c r="E554" s="26" t="inlineStr">
        <is>
          <t>Master indifférencié (recherche et professionnel) Sciences, technologies, santé mention mathématiques et leurs applications parcours Méthodes Stochastiques et Informatique pour la Décision MSID</t>
        </is>
      </c>
      <c r="F554" s="26" t="inlineStr">
        <is>
          <t>Science, Technology, Health (STS) – major: Mathematics &amp; their Applications – track: Methods Stochastiques &amp; Computer Science for the Decision MSID</t>
        </is>
      </c>
      <c r="G554" s="25" t="inlineStr">
        <is>
          <t>Master indifférencié (recherche et professionnel)</t>
        </is>
      </c>
      <c r="H554" s="25" t="inlineStr">
        <is>
          <t>Collège STEE - Sciences et Technologies pour l'Energie et l'Environnement</t>
        </is>
      </c>
      <c r="I554" s="25" t="inlineStr">
        <is>
          <t>Université Pau et Pays de l'Adour</t>
        </is>
      </c>
      <c r="J554" s="25" t="inlineStr">
        <is>
          <t>Collège STEE - site de Pau</t>
        </is>
      </c>
      <c r="K554" s="25" t="n"/>
      <c r="L554" s="25" t="inlineStr">
        <is>
          <t>Public university</t>
        </is>
      </c>
      <c r="M554" s="25" t="inlineStr">
        <is>
          <t>French &amp; English</t>
        </is>
      </c>
      <c r="N554" s="25" t="inlineStr">
        <is>
          <t>General</t>
        </is>
      </c>
      <c r="O554" s="25" t="inlineStr">
        <is>
          <t>Bac +4 / Bac +5</t>
        </is>
      </c>
      <c r="P554" s="26" t="inlineStr">
        <is>
          <t>Eligible on level (4-yr BS ≈ Bac+4)</t>
        </is>
      </c>
      <c r="Q554" s="25" t="inlineStr">
        <is>
          <t>1/2</t>
        </is>
      </c>
      <c r="R554" s="25" t="n"/>
      <c r="S554" s="27" t="n">
        <v>3950</v>
      </c>
      <c r="T554" s="27" t="n">
        <v>255</v>
      </c>
      <c r="U554" s="25" t="n">
        <v>2</v>
      </c>
      <c r="V554" s="27">
        <f>IF(S554="","",S554*U554)</f>
        <v/>
      </c>
      <c r="W554" s="26" t="inlineStr">
        <is>
          <t>Catalogue: €3,950. = national differentiated master fee (2026-27: €3,950). Exemption to ~€255 possible (university quota).</t>
        </is>
      </c>
      <c r="X554" s="25" t="inlineStr">
        <is>
          <t>High</t>
        </is>
      </c>
      <c r="Y554" s="25" t="inlineStr">
        <is>
          <t>3950</t>
        </is>
      </c>
      <c r="Z554" s="26" t="inlineStr">
        <is>
          <t>oits d'inscription nationaux pour une inscription en formation initiale s'élèvent à 3 950 € / an (les droits différenciés sont appliqués aux … ployeur, par exemple) doivent payer des droits spécifiques , s'élevant au mi</t>
        </is>
      </c>
      <c r="AA554" s="26" t="n"/>
      <c r="AB554" s="25" t="n"/>
      <c r="AC554" s="25" t="inlineStr">
        <is>
          <t>Open</t>
        </is>
      </c>
      <c r="AD554" s="25" t="inlineStr">
        <is>
          <t>2026-10-01</t>
        </is>
      </c>
      <c r="AE554" s="25" t="inlineStr">
        <is>
          <t>2027-03-15</t>
        </is>
      </c>
      <c r="AF554" s="25" t="inlineStr">
        <is>
          <t>No</t>
        </is>
      </c>
      <c r="AG554" s="28" t="inlineStr">
        <is>
          <t>https://formation.univ-pau.fr/fr/catalogue/master-XB/master-mention-mathematiques-et-applications-L3Y9AGO1/parcours-methodes-stochastiques-et-informatiques-pour-la-decision-L3Y9BRCU.html</t>
        </is>
      </c>
      <c r="AH554" s="26" t="inlineStr">
        <is>
          <t>Compétences fondamentales requises pour accéder à la formation Niveau licence de mathématiques en analyse, algèbre linéaire et bilinéaire Niveau licence de mathématiques en probabilités Notions en programmation et bases</t>
        </is>
      </c>
      <c r="AI554" s="28" t="inlineStr">
        <is>
          <t>Open in EEF</t>
        </is>
      </c>
    </row>
    <row r="555" ht="32.8" customHeight="1" s="19">
      <c r="A555" s="25" t="n">
        <v>554</v>
      </c>
      <c r="B555" s="25" t="inlineStr">
        <is>
          <t>★★★☆☆</t>
        </is>
      </c>
      <c r="C555" s="25" t="inlineStr">
        <is>
          <t>3 – Adjacent (AI/data/CS/cyber/energy)</t>
        </is>
      </c>
      <c r="D555" s="25" t="inlineStr">
        <is>
          <t>Computer science / Software</t>
        </is>
      </c>
      <c r="E555" s="26" t="inlineStr">
        <is>
          <t>Master Indifférencié Sciences, technologies, santé mention informatique parcours Graduate Programme Smart Computing</t>
        </is>
      </c>
      <c r="F555" s="26" t="inlineStr">
        <is>
          <t>Master Indifférencié Science, Technology, Health (STS) – major: Computer Science – track: Graduate Programme Smart Computing</t>
        </is>
      </c>
      <c r="G555" s="25" t="inlineStr">
        <is>
          <t>Master indifférencié (recherche et professionnel)</t>
        </is>
      </c>
      <c r="H555" s="25" t="inlineStr">
        <is>
          <t>UFR de sciences et techniques</t>
        </is>
      </c>
      <c r="I555" s="25" t="inlineStr">
        <is>
          <t>Nantes Université</t>
        </is>
      </c>
      <c r="J555" s="25" t="inlineStr">
        <is>
          <t>Site de Nantes</t>
        </is>
      </c>
      <c r="K555" s="25" t="n"/>
      <c r="L555" s="25" t="inlineStr">
        <is>
          <t>Public university</t>
        </is>
      </c>
      <c r="M555" s="25" t="inlineStr">
        <is>
          <t>French &amp; English</t>
        </is>
      </c>
      <c r="N555" s="25" t="inlineStr">
        <is>
          <t>General</t>
        </is>
      </c>
      <c r="O555" s="25" t="inlineStr">
        <is>
          <t>Bac +4 / Bac +5</t>
        </is>
      </c>
      <c r="P555" s="26" t="inlineStr">
        <is>
          <t>Eligible on level (4-yr BS ≈ Bac+4)</t>
        </is>
      </c>
      <c r="Q555" s="25" t="inlineStr">
        <is>
          <t>1/2</t>
        </is>
      </c>
      <c r="R555" s="25" t="n"/>
      <c r="S555" s="27" t="n">
        <v>3950</v>
      </c>
      <c r="T555" s="27" t="n">
        <v>255</v>
      </c>
      <c r="U555" s="25" t="n">
        <v>2</v>
      </c>
      <c r="V555" s="27">
        <f>IF(S555="","",S555*U555)</f>
        <v/>
      </c>
      <c r="W555" s="26" t="inlineStr">
        <is>
          <t>Catalogue: €3,950. = national differentiated master fee (2026-27: €3,950). Exemption to ~€255 possible (university quota).</t>
        </is>
      </c>
      <c r="X555" s="25" t="inlineStr">
        <is>
          <t>High</t>
        </is>
      </c>
      <c r="Y555" s="25" t="inlineStr">
        <is>
          <t>3950</t>
        </is>
      </c>
      <c r="Z555" s="26" t="n"/>
      <c r="AA555" s="26" t="n"/>
      <c r="AB555" s="25" t="n"/>
      <c r="AC555" s="25" t="inlineStr">
        <is>
          <t>Open</t>
        </is>
      </c>
      <c r="AD555" s="25" t="inlineStr">
        <is>
          <t>2026-10-01</t>
        </is>
      </c>
      <c r="AE555" s="25" t="inlineStr">
        <is>
          <t>2027-03-15</t>
        </is>
      </c>
      <c r="AF555" s="25" t="inlineStr">
        <is>
          <t>Yes</t>
        </is>
      </c>
      <c r="AG555" s="28" t="inlineStr">
        <is>
          <t>https://sciences-techniques.univ-nantes.fr/formations/masters/graduate-programme-smart-computing-master-level</t>
        </is>
      </c>
      <c r="AH555" s="26" t="inlineStr">
        <is>
          <t>Vous souhaitez rejoindre notre formation et enrichir votre parcours académique en France ? Découvrez ci-dessous les conditions d'admission à Nantes Université, pour préparer votre dossier en toute sérénité. Master 1 : Pr</t>
        </is>
      </c>
      <c r="AI555" s="28" t="inlineStr">
        <is>
          <t>Open in EEF</t>
        </is>
      </c>
    </row>
    <row r="556" ht="32.8" customHeight="1" s="19">
      <c r="A556" s="25" t="n">
        <v>555</v>
      </c>
      <c r="B556" s="25" t="inlineStr">
        <is>
          <t>★★★☆☆</t>
        </is>
      </c>
      <c r="C556" s="25" t="inlineStr">
        <is>
          <t>3 – Adjacent (AI/data/CS/cyber/energy)</t>
        </is>
      </c>
      <c r="D556" s="25" t="inlineStr">
        <is>
          <t>AI / Data science</t>
        </is>
      </c>
      <c r="E556" s="26" t="inlineStr">
        <is>
          <t>Master Sciences, technologies, santé, mention Informatique Intelligence Artificielle</t>
        </is>
      </c>
      <c r="F556" s="26" t="inlineStr">
        <is>
          <t>Master Science, Technology, Health (STS), – major: Computer Science Artificial Intelligence</t>
        </is>
      </c>
      <c r="G556" s="25" t="inlineStr">
        <is>
          <t>Master indifférencié (recherche et professionnel)</t>
        </is>
      </c>
      <c r="H556" s="25" t="inlineStr">
        <is>
          <t>Sciences</t>
        </is>
      </c>
      <c r="I556" s="25" t="inlineStr">
        <is>
          <t>Université Côte d'Azur</t>
        </is>
      </c>
      <c r="J556" s="25" t="inlineStr">
        <is>
          <t>Site de Sophia Tech</t>
        </is>
      </c>
      <c r="K556" s="25" t="n"/>
      <c r="L556" s="25" t="inlineStr">
        <is>
          <t>Public university</t>
        </is>
      </c>
      <c r="M556" s="25" t="inlineStr">
        <is>
          <t>French &amp; English</t>
        </is>
      </c>
      <c r="N556" s="25" t="inlineStr">
        <is>
          <t>General</t>
        </is>
      </c>
      <c r="O556" s="25" t="inlineStr">
        <is>
          <t>Bac +4</t>
        </is>
      </c>
      <c r="P556" s="26" t="inlineStr">
        <is>
          <t>Eligible on level (4-yr BS ≈ Bac+4)</t>
        </is>
      </c>
      <c r="Q556" s="25" t="inlineStr">
        <is>
          <t>1</t>
        </is>
      </c>
      <c r="R556" s="25" t="inlineStr">
        <is>
          <t>12</t>
        </is>
      </c>
      <c r="S556" s="27" t="n">
        <v>3950</v>
      </c>
      <c r="T556" s="27" t="n">
        <v>255</v>
      </c>
      <c r="U556" s="25" t="n">
        <v>2</v>
      </c>
      <c r="V556" s="27">
        <f>IF(S556="","",S556*U556)</f>
        <v/>
      </c>
      <c r="W556" s="26" t="inlineStr">
        <is>
          <t>Catalogue: €3,950. = national differentiated master fee (2026-27: €3,950). Exemption to ~€255 possible (university quota).</t>
        </is>
      </c>
      <c r="X556" s="25" t="inlineStr">
        <is>
          <t>High</t>
        </is>
      </c>
      <c r="Y556" s="25" t="inlineStr">
        <is>
          <t>3950</t>
        </is>
      </c>
      <c r="Z556" s="26" t="inlineStr">
        <is>
          <t>AUX ETUDIANTS EXTRACOMMUNAUTAIRES Pour l’année universitaire 2026-2027 : Licence : 2 902 € M</t>
        </is>
      </c>
      <c r="AA556" s="26" t="n"/>
      <c r="AB556" s="25" t="n"/>
      <c r="AC556" s="25" t="inlineStr">
        <is>
          <t>Open</t>
        </is>
      </c>
      <c r="AD556" s="25" t="inlineStr">
        <is>
          <t>2026-10-01</t>
        </is>
      </c>
      <c r="AE556" s="25" t="inlineStr">
        <is>
          <t>2027-03-15</t>
        </is>
      </c>
      <c r="AF556" s="25" t="inlineStr">
        <is>
          <t>No</t>
        </is>
      </c>
      <c r="AG556" s="28" t="inlineStr">
        <is>
          <t>https://univ-cotedazur.fr/formation/offre-de-formation/parcours-de-master/master-informatique-parcours-intelligence-artificielle</t>
        </is>
      </c>
      <c r="AH556" s="26" t="inlineStr">
        <is>
          <t>Diplôme : Licence en Informatique ou diplôme équivalent. Niveau académique : le candidat doit être classé parmi les 10 % meilleurs étudiants de sa promotion lors de sa dernière année d’études. Français : niveau B2 minimu</t>
        </is>
      </c>
      <c r="AI556" s="28" t="inlineStr">
        <is>
          <t>Open in EEF</t>
        </is>
      </c>
    </row>
    <row r="557" ht="32.8" customHeight="1" s="19">
      <c r="A557" s="25" t="n">
        <v>556</v>
      </c>
      <c r="B557" s="25" t="inlineStr">
        <is>
          <t>★★★☆☆</t>
        </is>
      </c>
      <c r="C557" s="25" t="inlineStr">
        <is>
          <t>3 – Adjacent (AI/data/CS/cyber/energy)</t>
        </is>
      </c>
      <c r="D557" s="25" t="inlineStr">
        <is>
          <t>AI / Data science</t>
        </is>
      </c>
      <c r="E557" s="26" t="inlineStr">
        <is>
          <t>Master Sciences, technologies, santé mention informatique parcours Artificial Intelligence For Connected Industries (AI4CI)</t>
        </is>
      </c>
      <c r="F557" s="26" t="inlineStr">
        <is>
          <t>Master Science, Technology, Health (STS) – major: Computer Science – track: Artificial Intelligence For Connected Industries (AI4CI)</t>
        </is>
      </c>
      <c r="G557" s="25" t="inlineStr">
        <is>
          <t>Master indifférencié (recherche et professionnel)</t>
        </is>
      </c>
      <c r="H557" s="25" t="inlineStr">
        <is>
          <t>Centre d'enseignement et de recherche en informatique</t>
        </is>
      </c>
      <c r="I557" s="25" t="inlineStr">
        <is>
          <t>Avignon Université</t>
        </is>
      </c>
      <c r="J557" s="25" t="inlineStr">
        <is>
          <t>Site de Avignon</t>
        </is>
      </c>
      <c r="K557" s="25" t="n"/>
      <c r="L557" s="25" t="inlineStr">
        <is>
          <t>Public university</t>
        </is>
      </c>
      <c r="M557" s="25" t="inlineStr">
        <is>
          <t>French &amp; English</t>
        </is>
      </c>
      <c r="N557" s="25" t="inlineStr">
        <is>
          <t>General</t>
        </is>
      </c>
      <c r="O557" s="25" t="inlineStr">
        <is>
          <t>Bac +4 / Bac +5</t>
        </is>
      </c>
      <c r="P557" s="26" t="inlineStr">
        <is>
          <t>Eligible on level (4-yr BS ≈ Bac+4)</t>
        </is>
      </c>
      <c r="Q557" s="25" t="inlineStr">
        <is>
          <t>1/2</t>
        </is>
      </c>
      <c r="R557" s="25" t="n"/>
      <c r="S557" s="27" t="n">
        <v>3950</v>
      </c>
      <c r="T557" s="27" t="n">
        <v>255</v>
      </c>
      <c r="U557" s="25" t="n">
        <v>2</v>
      </c>
      <c r="V557" s="27">
        <f>IF(S557="","",S557*U557)</f>
        <v/>
      </c>
      <c r="W557" s="26" t="inlineStr">
        <is>
          <t>Catalogue: €3,950. = national differentiated master fee (2026-27: €3,950). Exemption to ~€255 possible (university quota).</t>
        </is>
      </c>
      <c r="X557" s="25" t="inlineStr">
        <is>
          <t>High</t>
        </is>
      </c>
      <c r="Y557" s="25" t="inlineStr">
        <is>
          <t>3950</t>
        </is>
      </c>
      <c r="Z557" s="26" t="n"/>
      <c r="AA557" s="26" t="n"/>
      <c r="AB557" s="25" t="n"/>
      <c r="AC557" s="25" t="inlineStr">
        <is>
          <t>Open</t>
        </is>
      </c>
      <c r="AD557" s="25" t="inlineStr">
        <is>
          <t>2026-10-01</t>
        </is>
      </c>
      <c r="AE557" s="25" t="inlineStr">
        <is>
          <t>2027-03-15</t>
        </is>
      </c>
      <c r="AF557" s="25" t="inlineStr">
        <is>
          <t>No</t>
        </is>
      </c>
      <c r="AG557" s="28" t="inlineStr">
        <is>
          <t>https://ai4ci.eu/</t>
        </is>
      </c>
      <c r="AH557" s="26" t="inlineStr">
        <is>
          <t>Le master a une mention en informatique. Il fait partie d’un master international coordonné par le CNAM. AI4CI répond à un défi majeur auquel est confronté l'ensemble du secteur industriel européen : le besoin de profess</t>
        </is>
      </c>
      <c r="AI557" s="28" t="inlineStr">
        <is>
          <t>Open in EEF</t>
        </is>
      </c>
    </row>
    <row r="558" ht="53.7" customHeight="1" s="19">
      <c r="A558" s="25" t="n">
        <v>557</v>
      </c>
      <c r="B558" s="25" t="inlineStr">
        <is>
          <t>★★★☆☆</t>
        </is>
      </c>
      <c r="C558" s="25" t="inlineStr">
        <is>
          <t>3 – Adjacent (AI/data/CS/cyber/energy)</t>
        </is>
      </c>
      <c r="D558" s="25" t="inlineStr">
        <is>
          <t>Computer science / Software</t>
        </is>
      </c>
      <c r="E558" s="26" t="inlineStr">
        <is>
          <t>Master Sciences, technologies, santé, mention Informatique parcours Systèmes logiciels et calculs distribués (SLCD)</t>
        </is>
      </c>
      <c r="F558" s="26" t="inlineStr">
        <is>
          <t>Master Science, Technology, Health (STS), – major: Computer Science – track: Systems Software &amp; calculs Distributed (SLCD)</t>
        </is>
      </c>
      <c r="G558" s="25" t="inlineStr">
        <is>
          <t>Master indifférencié (recherche et professionnel)</t>
        </is>
      </c>
      <c r="H558" s="25" t="inlineStr">
        <is>
          <t>Sciences</t>
        </is>
      </c>
      <c r="I558" s="25" t="inlineStr">
        <is>
          <t>Université Côte d'Azur</t>
        </is>
      </c>
      <c r="J558" s="25" t="inlineStr">
        <is>
          <t>Site de Sophia Tech</t>
        </is>
      </c>
      <c r="K558" s="25" t="n"/>
      <c r="L558" s="25" t="inlineStr">
        <is>
          <t>Public university</t>
        </is>
      </c>
      <c r="M558" s="25" t="inlineStr">
        <is>
          <t>French &amp; English</t>
        </is>
      </c>
      <c r="N558" s="25" t="inlineStr">
        <is>
          <t>General</t>
        </is>
      </c>
      <c r="O558" s="25" t="inlineStr">
        <is>
          <t>Bac +4 / Bac +5</t>
        </is>
      </c>
      <c r="P558" s="26" t="inlineStr">
        <is>
          <t>Eligible on level (4-yr BS ≈ Bac+4)</t>
        </is>
      </c>
      <c r="Q558" s="25" t="inlineStr">
        <is>
          <t>1/2</t>
        </is>
      </c>
      <c r="R558" s="25" t="inlineStr">
        <is>
          <t>12</t>
        </is>
      </c>
      <c r="S558" s="27" t="n">
        <v>3950</v>
      </c>
      <c r="T558" s="27" t="n">
        <v>255</v>
      </c>
      <c r="U558" s="25" t="n">
        <v>2</v>
      </c>
      <c r="V558" s="27">
        <f>IF(S558="","",S558*U558)</f>
        <v/>
      </c>
      <c r="W558" s="26" t="inlineStr">
        <is>
          <t>Catalogue: €3,950. = national differentiated master fee (2026-27: €3,950). Exemption to ~€255 possible (university quota).</t>
        </is>
      </c>
      <c r="X558" s="25" t="inlineStr">
        <is>
          <t>High</t>
        </is>
      </c>
      <c r="Y558" s="25" t="inlineStr">
        <is>
          <t>3950</t>
        </is>
      </c>
      <c r="Z558" s="26" t="inlineStr">
        <is>
          <t>AUX ETUDIANTS EXTRACOMMUNAUTAIRES Pour l’année universitaire 2026-2027 : Licence : 2 902 € M PROCEDURE D’INSCRIPTION L’étudiant(e) doit effe … AUX ETUDIANTS EXTRACOMMUNAUTAIRES Pour l’année universitaire 2026-2027 : Li</t>
        </is>
      </c>
      <c r="AA558" s="26" t="n"/>
      <c r="AB558" s="25" t="n"/>
      <c r="AC558" s="25" t="inlineStr">
        <is>
          <t>Open</t>
        </is>
      </c>
      <c r="AD558" s="25" t="inlineStr">
        <is>
          <t>2026-10-01</t>
        </is>
      </c>
      <c r="AE558" s="25" t="inlineStr">
        <is>
          <t>2027-03-15</t>
        </is>
      </c>
      <c r="AF558" s="25" t="inlineStr">
        <is>
          <t>No</t>
        </is>
      </c>
      <c r="AG558" s="28" t="inlineStr">
        <is>
          <t>https://univ-cotedazur.fr/formation/offre-de-formation/parcours-de-master/master-informatique-parcours-systemes-logiciels-et-calculs-distribues</t>
        </is>
      </c>
      <c r="AH558" s="26" t="inlineStr">
        <is>
          <t>Connaissances fondamentales requises : solides bases en informatique, notamment en programmation, algorithmique, structures de données, systèmes et réseaux. Des connaissances en intelligence artificielle (IA) et en techn</t>
        </is>
      </c>
      <c r="AI558" s="28" t="inlineStr">
        <is>
          <t>Open in EEF</t>
        </is>
      </c>
    </row>
    <row r="559" ht="32.8" customHeight="1" s="19">
      <c r="A559" s="25" t="n">
        <v>558</v>
      </c>
      <c r="B559" s="25" t="inlineStr">
        <is>
          <t>★★★☆☆</t>
        </is>
      </c>
      <c r="C559" s="25" t="inlineStr">
        <is>
          <t>3 – Adjacent (AI/data/CS/cyber/energy)</t>
        </is>
      </c>
      <c r="D559" s="25" t="inlineStr">
        <is>
          <t>AI / Data science</t>
        </is>
      </c>
      <c r="E559" s="26" t="inlineStr">
        <is>
          <t>Master Sciences, technologies, santé, mention Ingénierie des systèmes complexes parcours Bioinformatique et Intelligence Artificielle</t>
        </is>
      </c>
      <c r="F559" s="26" t="inlineStr">
        <is>
          <t>Master Science, Technology, Health (STS), – major: Complex Systems Engineering – track: Bioinformatics &amp; Artificial Intelligence</t>
        </is>
      </c>
      <c r="G559" s="25" t="inlineStr">
        <is>
          <t>Master indifférencié (recherche et professionnel)</t>
        </is>
      </c>
      <c r="H559" s="25" t="inlineStr">
        <is>
          <t>Université de technologie de Compiègne</t>
        </is>
      </c>
      <c r="I559" s="25" t="n"/>
      <c r="J559" s="25" t="inlineStr">
        <is>
          <t>Site de Compiègne</t>
        </is>
      </c>
      <c r="K559" s="25" t="n"/>
      <c r="L559" s="25" t="inlineStr">
        <is>
          <t>Public university</t>
        </is>
      </c>
      <c r="M559" s="25" t="inlineStr">
        <is>
          <t>French &amp; English</t>
        </is>
      </c>
      <c r="N559" s="25" t="inlineStr">
        <is>
          <t>General</t>
        </is>
      </c>
      <c r="O559" s="25" t="inlineStr">
        <is>
          <t>Bac +4 / Bac +5</t>
        </is>
      </c>
      <c r="P559" s="26" t="inlineStr">
        <is>
          <t>Eligible on level (4-yr BS ≈ Bac+4)</t>
        </is>
      </c>
      <c r="Q559" s="25" t="inlineStr">
        <is>
          <t>1/2</t>
        </is>
      </c>
      <c r="R559" s="25" t="n"/>
      <c r="S559" s="27" t="n">
        <v>3950</v>
      </c>
      <c r="T559" s="27" t="n">
        <v>255</v>
      </c>
      <c r="U559" s="25" t="n">
        <v>2</v>
      </c>
      <c r="V559" s="27">
        <f>IF(S559="","",S559*U559)</f>
        <v/>
      </c>
      <c r="W559" s="26" t="inlineStr">
        <is>
          <t>Catalogue: €3,950. = national differentiated master fee (2026-27: €3,950). Exemption to ~€255 possible (university quota).</t>
        </is>
      </c>
      <c r="X559" s="25" t="inlineStr">
        <is>
          <t>High</t>
        </is>
      </c>
      <c r="Y559" s="25" t="inlineStr">
        <is>
          <t>3950</t>
        </is>
      </c>
      <c r="Z559" s="26" t="n"/>
      <c r="AA559" s="26" t="n"/>
      <c r="AB559" s="25" t="n"/>
      <c r="AC559" s="25" t="inlineStr">
        <is>
          <t>Open</t>
        </is>
      </c>
      <c r="AD559" s="25" t="inlineStr">
        <is>
          <t>2026-10-01</t>
        </is>
      </c>
      <c r="AE559" s="25" t="inlineStr">
        <is>
          <t>2027-03-15</t>
        </is>
      </c>
      <c r="AF559" s="25" t="inlineStr">
        <is>
          <t>No</t>
        </is>
      </c>
      <c r="AG559" s="25" t="n"/>
      <c r="AH559" s="26" t="inlineStr">
        <is>
          <t>Avoir validé le diplôme d'accès avec une moyenne supérieure ou égale à 12/20. Mentions de licences conseillées pour une entrée en M1 : Bioinformatique Mathématiques Informatique Sciences de la vie Biologie Biotechnologie</t>
        </is>
      </c>
      <c r="AI559" s="28" t="inlineStr">
        <is>
          <t>Open in EEF</t>
        </is>
      </c>
    </row>
    <row r="560" ht="32.8" customHeight="1" s="19">
      <c r="A560" s="25" t="n">
        <v>559</v>
      </c>
      <c r="B560" s="25" t="inlineStr">
        <is>
          <t>★★★☆☆</t>
        </is>
      </c>
      <c r="C560" s="25" t="inlineStr">
        <is>
          <t>3 – Adjacent (AI/data/CS/cyber/energy)</t>
        </is>
      </c>
      <c r="D560" s="25" t="inlineStr">
        <is>
          <t>AI / Data science</t>
        </is>
      </c>
      <c r="E560" s="26" t="inlineStr">
        <is>
          <t>Master Sciences, technologies, santé parcours Santé et Intelligence Artificielle</t>
        </is>
      </c>
      <c r="F560" s="26" t="inlineStr">
        <is>
          <t>Master Science, Technology, Health (STS) – track: Health &amp; Artificial Intelligence</t>
        </is>
      </c>
      <c r="G560" s="25" t="inlineStr">
        <is>
          <t>Master indifférencié (recherche et professionnel)</t>
        </is>
      </c>
      <c r="H560" s="25" t="inlineStr">
        <is>
          <t>UFR de Sciences et techniques</t>
        </is>
      </c>
      <c r="I560" s="25" t="inlineStr">
        <is>
          <t>Université Bourgogne Europe</t>
        </is>
      </c>
      <c r="J560" s="25" t="inlineStr">
        <is>
          <t>Site de Dijon</t>
        </is>
      </c>
      <c r="K560" s="25" t="n"/>
      <c r="L560" s="25" t="inlineStr">
        <is>
          <t>Public university</t>
        </is>
      </c>
      <c r="M560" s="25" t="inlineStr">
        <is>
          <t>French &amp; English</t>
        </is>
      </c>
      <c r="N560" s="25" t="inlineStr">
        <is>
          <t>General</t>
        </is>
      </c>
      <c r="O560" s="25" t="inlineStr">
        <is>
          <t>Bac +4</t>
        </is>
      </c>
      <c r="P560" s="26" t="inlineStr">
        <is>
          <t>Eligible on level (4-yr BS ≈ Bac+4)</t>
        </is>
      </c>
      <c r="Q560" s="25" t="inlineStr">
        <is>
          <t>1</t>
        </is>
      </c>
      <c r="R560" s="25" t="n"/>
      <c r="S560" s="27" t="n">
        <v>3950</v>
      </c>
      <c r="T560" s="27" t="n">
        <v>255</v>
      </c>
      <c r="U560" s="25" t="n">
        <v>2</v>
      </c>
      <c r="V560" s="27">
        <f>IF(S560="","",S560*U560)</f>
        <v/>
      </c>
      <c r="W560" s="26" t="inlineStr">
        <is>
          <t>Catalogue: €3,950. = national differentiated master fee (2026-27: €3,950). Exemption to ~€255 possible (university quota).</t>
        </is>
      </c>
      <c r="X560" s="25" t="inlineStr">
        <is>
          <t>High</t>
        </is>
      </c>
      <c r="Y560" s="25" t="inlineStr">
        <is>
          <t>3950</t>
        </is>
      </c>
      <c r="Z560" s="26" t="n"/>
      <c r="AA560" s="26" t="n"/>
      <c r="AB560" s="25" t="n"/>
      <c r="AC560" s="25" t="inlineStr">
        <is>
          <t>Open</t>
        </is>
      </c>
      <c r="AD560" s="25" t="inlineStr">
        <is>
          <t>2026-10-01</t>
        </is>
      </c>
      <c r="AE560" s="25" t="inlineStr">
        <is>
          <t>2027-03-15</t>
        </is>
      </c>
      <c r="AF560" s="25" t="inlineStr">
        <is>
          <t>No</t>
        </is>
      </c>
      <c r="AG560" s="28" t="inlineStr">
        <is>
          <t>https://formations.ube.fr/fr/offre-de-formation/master-XB/master-informatique-LMGC26NA/sante-et-intelligence-artificielle-health-ai-LMGEPLWL.html</t>
        </is>
      </c>
      <c r="AH560" s="26" t="inlineStr">
        <is>
          <t>Le test de connaissance du français de niveau B2 est exigé pour cette formation, sauf pour les candidats issus de pays francophones et dont la langue officielle est le français. En ANGLAIS : B2 attesté par TOFL/TOEIC/IEL</t>
        </is>
      </c>
      <c r="AI560" s="28" t="inlineStr">
        <is>
          <t>Open in EEF</t>
        </is>
      </c>
    </row>
    <row r="561" ht="32.8" customHeight="1" s="19">
      <c r="A561" s="25" t="n">
        <v>560</v>
      </c>
      <c r="B561" s="25" t="inlineStr">
        <is>
          <t>★★★☆☆</t>
        </is>
      </c>
      <c r="C561" s="25" t="inlineStr">
        <is>
          <t>3 – Adjacent (AI/data/CS/cyber/energy)</t>
        </is>
      </c>
      <c r="D561" s="25" t="inlineStr">
        <is>
          <t>AI / Data science</t>
        </is>
      </c>
      <c r="E561" s="26" t="inlineStr">
        <is>
          <t>Informatique parcours Intelligence artificielle</t>
        </is>
      </c>
      <c r="F561" s="26" t="inlineStr">
        <is>
          <t>Computer Science – track: Artificial Intelligence</t>
        </is>
      </c>
      <c r="G561" s="25" t="inlineStr">
        <is>
          <t>Master indifférencié (recherche et professionnel)</t>
        </is>
      </c>
      <c r="H561" s="25" t="inlineStr">
        <is>
          <t>UFR Sciences Exactes et Naturelles</t>
        </is>
      </c>
      <c r="I561" s="25" t="inlineStr">
        <is>
          <t>Université de Reims Champagne-Ardenne</t>
        </is>
      </c>
      <c r="J561" s="25" t="inlineStr">
        <is>
          <t>Reims</t>
        </is>
      </c>
      <c r="K561" s="25" t="inlineStr">
        <is>
          <t>51100 REIMS</t>
        </is>
      </c>
      <c r="L561" s="25" t="inlineStr">
        <is>
          <t>Public university</t>
        </is>
      </c>
      <c r="M561" s="25" t="inlineStr">
        <is>
          <t>French</t>
        </is>
      </c>
      <c r="N561" s="25" t="inlineStr">
        <is>
          <t>General</t>
        </is>
      </c>
      <c r="O561" s="25" t="inlineStr">
        <is>
          <t>Bac +4 / Bac +5</t>
        </is>
      </c>
      <c r="P561" s="26" t="inlineStr">
        <is>
          <t>Eligible on level (4-yr BS ≈ Bac+4)</t>
        </is>
      </c>
      <c r="Q561" s="25" t="inlineStr">
        <is>
          <t>1/2</t>
        </is>
      </c>
      <c r="R561" s="25" t="inlineStr">
        <is>
          <t>24/12</t>
        </is>
      </c>
      <c r="S561" s="27" t="n">
        <v>3950</v>
      </c>
      <c r="T561" s="27" t="n">
        <v>255</v>
      </c>
      <c r="U561" s="25" t="n">
        <v>2</v>
      </c>
      <c r="V561" s="27">
        <f>IF(S561="","",S561*U561)</f>
        <v/>
      </c>
      <c r="W561" s="26" t="inlineStr">
        <is>
          <t>Catalogue: €3,950. = national differentiated master fee (2026-27: €3,950). Exemption to ~€255 possible (university quota).</t>
        </is>
      </c>
      <c r="X561" s="25" t="inlineStr">
        <is>
          <t>High</t>
        </is>
      </c>
      <c r="Y561" s="25" t="inlineStr">
        <is>
          <t>3950</t>
        </is>
      </c>
      <c r="Z561" s="26" t="n"/>
      <c r="AA561" s="26" t="n"/>
      <c r="AB561" s="25" t="n"/>
      <c r="AC561" s="25" t="inlineStr">
        <is>
          <t>Open</t>
        </is>
      </c>
      <c r="AD561" s="25" t="inlineStr">
        <is>
          <t>2026-10-01</t>
        </is>
      </c>
      <c r="AE561" s="25" t="inlineStr">
        <is>
          <t>2027-03-15</t>
        </is>
      </c>
      <c r="AF561" s="25" t="inlineStr">
        <is>
          <t>No</t>
        </is>
      </c>
      <c r="AG561" s="28" t="inlineStr">
        <is>
          <t>https://www.univ-reims.fr/ufrsciences/</t>
        </is>
      </c>
      <c r="AH561" s="26" t="inlineStr">
        <is>
          <t>Niveau en langue française: * Niveau B2 minimum en langue française exigé (merci de prendre connaissance des profils dispensés d'un test de langue française ( qui est dispensé de test de langue française? ) Tarifs : * No</t>
        </is>
      </c>
      <c r="AI561" s="28" t="inlineStr">
        <is>
          <t>Open in EEF</t>
        </is>
      </c>
    </row>
    <row r="562" ht="32.8" customHeight="1" s="19">
      <c r="A562" s="25" t="n">
        <v>561</v>
      </c>
      <c r="B562" s="25" t="inlineStr">
        <is>
          <t>★★★☆☆</t>
        </is>
      </c>
      <c r="C562" s="25" t="inlineStr">
        <is>
          <t>3 – Adjacent (AI/data/CS/cyber/energy)</t>
        </is>
      </c>
      <c r="D562" s="25" t="inlineStr">
        <is>
          <t>AI / Data science</t>
        </is>
      </c>
      <c r="E562" s="26" t="inlineStr">
        <is>
          <t>MASERATI : méthodes appliquées de la statistique et de l’économétrie pour la recherche, l’analyse et le traitement de l’information – Data Analyst</t>
        </is>
      </c>
      <c r="F562" s="26" t="inlineStr">
        <is>
          <t>MASERATI : Methods Applied of the Statistics &amp; of l’économétrie for the Research, Analysis &amp; the Processing of Information – Data Analyst</t>
        </is>
      </c>
      <c r="G562" s="25" t="inlineStr">
        <is>
          <t>Master indifférencié (recherche et professionnel)</t>
        </is>
      </c>
      <c r="H562" s="25" t="inlineStr">
        <is>
          <t>UFR des sciences économiques et gestion</t>
        </is>
      </c>
      <c r="I562" s="25" t="inlineStr">
        <is>
          <t>Université Paris-Est Créteil Val-de-Marne</t>
        </is>
      </c>
      <c r="J562" s="25" t="inlineStr">
        <is>
          <t>Site de Créteil</t>
        </is>
      </c>
      <c r="K562" s="25" t="n"/>
      <c r="L562" s="25" t="inlineStr">
        <is>
          <t>Public university</t>
        </is>
      </c>
      <c r="M562" s="25" t="inlineStr">
        <is>
          <t>French</t>
        </is>
      </c>
      <c r="N562" s="25" t="inlineStr">
        <is>
          <t>General</t>
        </is>
      </c>
      <c r="O562" s="25" t="inlineStr">
        <is>
          <t>Bac +4 / Bac +5</t>
        </is>
      </c>
      <c r="P562" s="26" t="inlineStr">
        <is>
          <t>Eligible on level (4-yr BS ≈ Bac+4)</t>
        </is>
      </c>
      <c r="Q562" s="25" t="inlineStr">
        <is>
          <t>1/2</t>
        </is>
      </c>
      <c r="R562" s="25" t="n"/>
      <c r="S562" s="27" t="n">
        <v>3950</v>
      </c>
      <c r="T562" s="27" t="n">
        <v>255</v>
      </c>
      <c r="U562" s="25" t="n">
        <v>2</v>
      </c>
      <c r="V562" s="27">
        <f>IF(S562="","",S562*U562)</f>
        <v/>
      </c>
      <c r="W562" s="26" t="inlineStr">
        <is>
          <t>Catalogue: €3,950. = national differentiated master fee (2026-27: €3,950). Exemption to ~€255 possible (university quota).</t>
        </is>
      </c>
      <c r="X562" s="25" t="inlineStr">
        <is>
          <t>High</t>
        </is>
      </c>
      <c r="Y562" s="25" t="inlineStr">
        <is>
          <t>3950</t>
        </is>
      </c>
      <c r="Z562" s="26" t="n"/>
      <c r="AA562" s="26" t="n"/>
      <c r="AB562" s="25" t="n"/>
      <c r="AC562" s="25" t="inlineStr">
        <is>
          <t>Open</t>
        </is>
      </c>
      <c r="AD562" s="25" t="inlineStr">
        <is>
          <t>2026-10-01</t>
        </is>
      </c>
      <c r="AE562" s="25" t="inlineStr">
        <is>
          <t>2027-03-15</t>
        </is>
      </c>
      <c r="AF562" s="25" t="inlineStr">
        <is>
          <t>No</t>
        </is>
      </c>
      <c r="AG562" s="28" t="inlineStr">
        <is>
          <t>https://fseg.u-pec.fr/masters/master-economie-appliquee-parcours-methodes-appliquees-de-la-statistique-et-de-leconometrie-pour-la-recherche-lanalyse-et-le-traitement-dinformation-maserati-data-analyst</t>
        </is>
      </c>
      <c r="AH562" s="26" t="inlineStr">
        <is>
          <t>Il faut être issu d’une formation contenant forcément le mot « économie » , dans le parcours ou la mention. Dernier diplôme obtenu au minimum Bac+3 avec mention assez bien . Niveau de langue française minimum requis : B2</t>
        </is>
      </c>
      <c r="AI562" s="28" t="inlineStr">
        <is>
          <t>Open in EEF</t>
        </is>
      </c>
    </row>
    <row r="563" ht="32.8" customHeight="1" s="19">
      <c r="A563" s="25" t="n">
        <v>562</v>
      </c>
      <c r="B563" s="25" t="inlineStr">
        <is>
          <t>★★★☆☆</t>
        </is>
      </c>
      <c r="C563" s="25" t="inlineStr">
        <is>
          <t>3 – Adjacent (AI/data/CS/cyber/energy)</t>
        </is>
      </c>
      <c r="D563" s="25" t="inlineStr">
        <is>
          <t>AI / Data science</t>
        </is>
      </c>
      <c r="E563" s="26" t="inlineStr">
        <is>
          <t>MASERATI : méthodes appliquées de la statistique et de l’économétrie pour la recherche, l’analyse et le traitement de l’information – Data Science</t>
        </is>
      </c>
      <c r="F563" s="26" t="inlineStr">
        <is>
          <t>MASERATI : Methods Applied of the Statistics &amp; of l’économétrie for the Research, Analysis &amp; the Processing of Information – Data Science</t>
        </is>
      </c>
      <c r="G563" s="25" t="inlineStr">
        <is>
          <t>Master indifférencié (recherche et professionnel)</t>
        </is>
      </c>
      <c r="H563" s="25" t="inlineStr">
        <is>
          <t>UFR des sciences économiques et gestion</t>
        </is>
      </c>
      <c r="I563" s="25" t="inlineStr">
        <is>
          <t>Université Paris-Est Créteil Val-de-Marne</t>
        </is>
      </c>
      <c r="J563" s="25" t="inlineStr">
        <is>
          <t>Site de Créteil</t>
        </is>
      </c>
      <c r="K563" s="25" t="n"/>
      <c r="L563" s="25" t="inlineStr">
        <is>
          <t>Public university</t>
        </is>
      </c>
      <c r="M563" s="25" t="inlineStr">
        <is>
          <t>French</t>
        </is>
      </c>
      <c r="N563" s="25" t="inlineStr">
        <is>
          <t>General</t>
        </is>
      </c>
      <c r="O563" s="25" t="inlineStr">
        <is>
          <t>Bac +4 / Bac +5</t>
        </is>
      </c>
      <c r="P563" s="26" t="inlineStr">
        <is>
          <t>Eligible on level (4-yr BS ≈ Bac+4)</t>
        </is>
      </c>
      <c r="Q563" s="25" t="inlineStr">
        <is>
          <t>1/2</t>
        </is>
      </c>
      <c r="R563" s="25" t="n"/>
      <c r="S563" s="27" t="n">
        <v>3950</v>
      </c>
      <c r="T563" s="27" t="n">
        <v>255</v>
      </c>
      <c r="U563" s="25" t="n">
        <v>2</v>
      </c>
      <c r="V563" s="27">
        <f>IF(S563="","",S563*U563)</f>
        <v/>
      </c>
      <c r="W563" s="26" t="inlineStr">
        <is>
          <t>Catalogue: €3,950. = national differentiated master fee (2026-27: €3,950). Exemption to ~€255 possible (university quota).</t>
        </is>
      </c>
      <c r="X563" s="25" t="inlineStr">
        <is>
          <t>High</t>
        </is>
      </c>
      <c r="Y563" s="25" t="inlineStr">
        <is>
          <t>3950</t>
        </is>
      </c>
      <c r="Z563" s="26" t="n"/>
      <c r="AA563" s="26" t="n"/>
      <c r="AB563" s="25" t="n"/>
      <c r="AC563" s="25" t="inlineStr">
        <is>
          <t>Open</t>
        </is>
      </c>
      <c r="AD563" s="25" t="inlineStr">
        <is>
          <t>2026-10-01</t>
        </is>
      </c>
      <c r="AE563" s="25" t="inlineStr">
        <is>
          <t>2027-03-15</t>
        </is>
      </c>
      <c r="AF563" s="25" t="inlineStr">
        <is>
          <t>No</t>
        </is>
      </c>
      <c r="AG563" s="28" t="inlineStr">
        <is>
          <t>https://fseg.u-pec.fr/master-mention-economie-appliquee-parcours-type-maserati-parcours-data-analyst-parcours-data-science</t>
        </is>
      </c>
      <c r="AH563" s="26" t="inlineStr">
        <is>
          <t>Il faut être issu d’une formation contenant forcément le mot « économie » , dans le parcours ou la mention. Dernier diplôme obtenu au minimum Bac+3 avec mention assez bien . Niveau de langue française minimum requis : B2</t>
        </is>
      </c>
      <c r="AI563" s="28" t="inlineStr">
        <is>
          <t>Open in EEF</t>
        </is>
      </c>
    </row>
    <row r="564" ht="32.8" customHeight="1" s="19">
      <c r="A564" s="25" t="n">
        <v>563</v>
      </c>
      <c r="B564" s="25" t="inlineStr">
        <is>
          <t>★★★☆☆</t>
        </is>
      </c>
      <c r="C564" s="25" t="inlineStr">
        <is>
          <t>3 – Adjacent (AI/data/CS/cyber/energy)</t>
        </is>
      </c>
      <c r="D564" s="25" t="inlineStr">
        <is>
          <t>AI / Data science</t>
        </is>
      </c>
      <c r="E564" s="26" t="inlineStr">
        <is>
          <t>Master Bio-informatique, Bioinformatique, Modélisation et Statistique</t>
        </is>
      </c>
      <c r="F564" s="26" t="inlineStr">
        <is>
          <t>Master Bioinformatics, Bioinformatics, Modelling &amp; Statistics</t>
        </is>
      </c>
      <c r="G564" s="25" t="inlineStr">
        <is>
          <t>Master indifférencié (recherche et professionnel)</t>
        </is>
      </c>
      <c r="H564" s="25" t="inlineStr">
        <is>
          <t>UFR Sciences et Techniques</t>
        </is>
      </c>
      <c r="I564" s="25" t="inlineStr">
        <is>
          <t>Université de Rouen</t>
        </is>
      </c>
      <c r="J564" s="25" t="inlineStr">
        <is>
          <t>Site de Mont-Saint-Aignan</t>
        </is>
      </c>
      <c r="K564" s="25" t="n"/>
      <c r="L564" s="25" t="inlineStr">
        <is>
          <t>Public university</t>
        </is>
      </c>
      <c r="M564" s="25" t="inlineStr">
        <is>
          <t>French</t>
        </is>
      </c>
      <c r="N564" s="25" t="inlineStr">
        <is>
          <t>General</t>
        </is>
      </c>
      <c r="O564" s="25" t="inlineStr">
        <is>
          <t>Bac +4</t>
        </is>
      </c>
      <c r="P564" s="26" t="inlineStr">
        <is>
          <t>Eligible on level (4-yr BS ≈ Bac+4)</t>
        </is>
      </c>
      <c r="Q564" s="25" t="inlineStr">
        <is>
          <t>1</t>
        </is>
      </c>
      <c r="R564" s="25" t="inlineStr">
        <is>
          <t>10</t>
        </is>
      </c>
      <c r="S564" s="27" t="n">
        <v>3950</v>
      </c>
      <c r="T564" s="27" t="n">
        <v>255</v>
      </c>
      <c r="U564" s="25" t="n">
        <v>2</v>
      </c>
      <c r="V564" s="27">
        <f>IF(S564="","",S564*U564)</f>
        <v/>
      </c>
      <c r="W564" s="26" t="inlineStr">
        <is>
          <t>Catalogue: €3,950. = national differentiated master fee (2026-27: €3,950). Exemption to ~€255 possible (university quota).</t>
        </is>
      </c>
      <c r="X564" s="25" t="inlineStr">
        <is>
          <t>High</t>
        </is>
      </c>
      <c r="Y564" s="25" t="inlineStr">
        <is>
          <t>3950</t>
        </is>
      </c>
      <c r="Z564" s="26" t="n"/>
      <c r="AA564" s="26" t="inlineStr">
        <is>
          <t>Rouen: individual exemptions up to 30% quota, priority to social/economic hardship.</t>
        </is>
      </c>
      <c r="AB564" s="28" t="inlineStr">
        <is>
          <t>https://www.univ-rouen.fr/actualites/application-des-droits-dinscription-differencies-a-luniversite-de-rouen-normandie-a-compter-de-la-rentree-universitaire-2026-2027/</t>
        </is>
      </c>
      <c r="AC564" s="25" t="inlineStr">
        <is>
          <t>Open</t>
        </is>
      </c>
      <c r="AD564" s="25" t="inlineStr">
        <is>
          <t>2026-10-01</t>
        </is>
      </c>
      <c r="AE564" s="25" t="inlineStr">
        <is>
          <t>2027-03-15</t>
        </is>
      </c>
      <c r="AF564" s="25" t="inlineStr">
        <is>
          <t>No</t>
        </is>
      </c>
      <c r="AG564" s="28" t="inlineStr">
        <is>
          <t>http://sciences-techniques.univ-rouen.fr/</t>
        </is>
      </c>
      <c r="AH564" s="26" t="inlineStr">
        <is>
          <t>Le parcours proposé dans le cadre de ce Master BioInformatique s'intitule " Bioinformatique Modélisation et statistique". Cette formation n'est accessible qu'au niveau de la 1ère année, il n'y a pas d'accès direct en 2èm</t>
        </is>
      </c>
      <c r="AI564" s="28" t="inlineStr">
        <is>
          <t>Open in EEF</t>
        </is>
      </c>
    </row>
    <row r="565" ht="22.35" customHeight="1" s="19">
      <c r="A565" s="25" t="n">
        <v>564</v>
      </c>
      <c r="B565" s="25" t="inlineStr">
        <is>
          <t>★★★☆☆</t>
        </is>
      </c>
      <c r="C565" s="25" t="inlineStr">
        <is>
          <t>3 – Adjacent (AI/data/CS/cyber/energy)</t>
        </is>
      </c>
      <c r="D565" s="25" t="inlineStr">
        <is>
          <t>AI / Data science</t>
        </is>
      </c>
      <c r="E565" s="26" t="inlineStr">
        <is>
          <t>Master indifférencié (recherche et professionnel) parcours AI-Driven Smart Industrial Systems</t>
        </is>
      </c>
      <c r="F565" s="26" t="inlineStr">
        <is>
          <t>track: AI-Driven Smart Industrial Systems</t>
        </is>
      </c>
      <c r="G565" s="25" t="inlineStr">
        <is>
          <t>Master indifférencié (recherche et professionnel)</t>
        </is>
      </c>
      <c r="H565" s="25" t="inlineStr">
        <is>
          <t>Université de Technologie de Tarbes Occitanie Pyrénées</t>
        </is>
      </c>
      <c r="I565" s="25" t="inlineStr">
        <is>
          <t>Université de Technologie Tarbes Occitanie Pyrénées</t>
        </is>
      </c>
      <c r="J565" s="25" t="inlineStr">
        <is>
          <t>Tarbes</t>
        </is>
      </c>
      <c r="K565" s="25" t="n"/>
      <c r="L565" s="25" t="inlineStr">
        <is>
          <t>Public university</t>
        </is>
      </c>
      <c r="M565" s="25" t="inlineStr">
        <is>
          <t>French</t>
        </is>
      </c>
      <c r="N565" s="25" t="inlineStr">
        <is>
          <t>General</t>
        </is>
      </c>
      <c r="O565" s="25" t="inlineStr">
        <is>
          <t>Bac +4</t>
        </is>
      </c>
      <c r="P565" s="26" t="inlineStr">
        <is>
          <t>Eligible on level (4-yr BS ≈ Bac+4)</t>
        </is>
      </c>
      <c r="Q565" s="25" t="inlineStr">
        <is>
          <t>4</t>
        </is>
      </c>
      <c r="R565" s="25" t="inlineStr">
        <is>
          <t>24</t>
        </is>
      </c>
      <c r="S565" s="27" t="n">
        <v>3950</v>
      </c>
      <c r="T565" s="27" t="n">
        <v>255</v>
      </c>
      <c r="U565" s="25" t="n">
        <v>1</v>
      </c>
      <c r="V565" s="27">
        <f>IF(S565="","",S565*U565)</f>
        <v/>
      </c>
      <c r="W565" s="26" t="inlineStr">
        <is>
          <t>Catalogue: €3,950. = national differentiated master fee (2026-27: €3,950). Exemption to ~€255 possible (university quota).</t>
        </is>
      </c>
      <c r="X565" s="25" t="inlineStr">
        <is>
          <t>High</t>
        </is>
      </c>
      <c r="Y565" s="25" t="inlineStr">
        <is>
          <t>3950</t>
        </is>
      </c>
      <c r="Z565" s="26" t="n"/>
      <c r="AA565" s="26" t="n"/>
      <c r="AB565" s="25" t="n"/>
      <c r="AC565" s="25" t="inlineStr">
        <is>
          <t>Open</t>
        </is>
      </c>
      <c r="AD565" s="25" t="inlineStr">
        <is>
          <t>2026-10-01</t>
        </is>
      </c>
      <c r="AE565" s="25" t="inlineStr">
        <is>
          <t>2027-03-15</t>
        </is>
      </c>
      <c r="AF565" s="25" t="inlineStr">
        <is>
          <t>No</t>
        </is>
      </c>
      <c r="AG565" s="25" t="n"/>
      <c r="AH565" s="26" t="n"/>
      <c r="AI565" s="28" t="inlineStr">
        <is>
          <t>Open in EEF</t>
        </is>
      </c>
    </row>
    <row r="566" ht="32.8" customHeight="1" s="19">
      <c r="A566" s="25" t="n">
        <v>565</v>
      </c>
      <c r="B566" s="25" t="inlineStr">
        <is>
          <t>★★★☆☆</t>
        </is>
      </c>
      <c r="C566" s="25" t="inlineStr">
        <is>
          <t>3 – Adjacent (AI/data/CS/cyber/energy)</t>
        </is>
      </c>
      <c r="D566" s="25" t="inlineStr">
        <is>
          <t>Computer science / Software</t>
        </is>
      </c>
      <c r="E566" s="26" t="inlineStr">
        <is>
          <t>Master indifférencié (recherche et professionnel) Sciences, technologies, santé mention informatique parcours A la carte - Algorithmiques et systèmes intelligents</t>
        </is>
      </c>
      <c r="F566" s="26" t="inlineStr">
        <is>
          <t>Science, Technology, Health (STS) – major: Computer Science – track: A the carte - Algorithmiques &amp; Systems Intelligent</t>
        </is>
      </c>
      <c r="G566" s="25" t="inlineStr">
        <is>
          <t>Master indifférencié (recherche et professionnel)</t>
        </is>
      </c>
      <c r="H566" s="25" t="inlineStr">
        <is>
          <t>UFR DES SCIENCES (CAMPUS 2 - Portails Mathématiques, Informatique et Physique Chimie Ingénierie)</t>
        </is>
      </c>
      <c r="I566" s="25" t="inlineStr">
        <is>
          <t>Université Caen Normandie</t>
        </is>
      </c>
      <c r="J566" s="25" t="inlineStr">
        <is>
          <t>Site de Caen Campus 2</t>
        </is>
      </c>
      <c r="K566" s="25" t="inlineStr">
        <is>
          <t>14032 CAEN CEDEX</t>
        </is>
      </c>
      <c r="L566" s="25" t="inlineStr">
        <is>
          <t>Public university</t>
        </is>
      </c>
      <c r="M566" s="25" t="inlineStr">
        <is>
          <t>French</t>
        </is>
      </c>
      <c r="N566" s="25" t="inlineStr">
        <is>
          <t>General</t>
        </is>
      </c>
      <c r="O566" s="25" t="inlineStr">
        <is>
          <t>Bac +4 / Bac +5</t>
        </is>
      </c>
      <c r="P566" s="26" t="inlineStr">
        <is>
          <t>Eligible on level (4-yr BS ≈ Bac+4)</t>
        </is>
      </c>
      <c r="Q566" s="25" t="inlineStr">
        <is>
          <t>1/2</t>
        </is>
      </c>
      <c r="R566" s="25" t="n"/>
      <c r="S566" s="27" t="n">
        <v>3950</v>
      </c>
      <c r="T566" s="27" t="n">
        <v>255</v>
      </c>
      <c r="U566" s="25" t="n">
        <v>2</v>
      </c>
      <c r="V566" s="27">
        <f>IF(S566="","",S566*U566)</f>
        <v/>
      </c>
      <c r="W566" s="26" t="inlineStr">
        <is>
          <t>Catalogue: €3,950. = national differentiated master fee (2026-27: €3,950). Exemption to ~€255 possible (university quota).</t>
        </is>
      </c>
      <c r="X566" s="25" t="inlineStr">
        <is>
          <t>High</t>
        </is>
      </c>
      <c r="Y566" s="25" t="inlineStr">
        <is>
          <t>3950</t>
        </is>
      </c>
      <c r="Z566" s="26" t="n"/>
      <c r="AA566" s="26" t="n"/>
      <c r="AB566" s="25" t="n"/>
      <c r="AC566" s="25" t="inlineStr">
        <is>
          <t>Open</t>
        </is>
      </c>
      <c r="AD566" s="25" t="inlineStr">
        <is>
          <t>2026-10-01</t>
        </is>
      </c>
      <c r="AE566" s="25" t="inlineStr">
        <is>
          <t>2027-03-15</t>
        </is>
      </c>
      <c r="AF566" s="25" t="inlineStr">
        <is>
          <t>No</t>
        </is>
      </c>
      <c r="AG566" s="28" t="inlineStr">
        <is>
          <t>https://ufr-sciences.unicaen.fr/</t>
        </is>
      </c>
      <c r="AH566" s="26" t="inlineStr">
        <is>
          <t>Test français obligatoire minimum B2 exigé Minimum level of English required is B1 L'accès au niveau M1 requiert d'être titulaire d'une licence informatique ou équivalent avec une moyenne supérieure à 12. La qualité acad</t>
        </is>
      </c>
      <c r="AI566" s="28" t="inlineStr">
        <is>
          <t>Open in EEF</t>
        </is>
      </c>
    </row>
    <row r="567" ht="32.8" customHeight="1" s="19">
      <c r="A567" s="25" t="n">
        <v>566</v>
      </c>
      <c r="B567" s="25" t="inlineStr">
        <is>
          <t>★★★☆☆</t>
        </is>
      </c>
      <c r="C567" s="25" t="inlineStr">
        <is>
          <t>3 – Adjacent (AI/data/CS/cyber/energy)</t>
        </is>
      </c>
      <c r="D567" s="25" t="inlineStr">
        <is>
          <t>AI / Data science</t>
        </is>
      </c>
      <c r="E567" s="26" t="inlineStr">
        <is>
          <t>Master indifférencié (recherche et professionnel) Sciences, technologies, santé mention informatique parcours Data Science</t>
        </is>
      </c>
      <c r="F567" s="26" t="inlineStr">
        <is>
          <t>Science, Technology, Health (STS) – major: Computer Science – track: Data Science</t>
        </is>
      </c>
      <c r="G567" s="25" t="inlineStr">
        <is>
          <t>Master indifférencié (recherche et professionnel)</t>
        </is>
      </c>
      <c r="H567" s="25" t="inlineStr">
        <is>
          <t>UFR de sciences et techniques</t>
        </is>
      </c>
      <c r="I567" s="25" t="inlineStr">
        <is>
          <t>Nantes Université</t>
        </is>
      </c>
      <c r="J567" s="25" t="inlineStr">
        <is>
          <t>Site de Nantes</t>
        </is>
      </c>
      <c r="K567" s="25" t="n"/>
      <c r="L567" s="25" t="inlineStr">
        <is>
          <t>Public university</t>
        </is>
      </c>
      <c r="M567" s="25" t="inlineStr">
        <is>
          <t>French</t>
        </is>
      </c>
      <c r="N567" s="25" t="inlineStr">
        <is>
          <t>General</t>
        </is>
      </c>
      <c r="O567" s="25" t="inlineStr">
        <is>
          <t>Bac +4</t>
        </is>
      </c>
      <c r="P567" s="26" t="inlineStr">
        <is>
          <t>Eligible on level (4-yr BS ≈ Bac+4)</t>
        </is>
      </c>
      <c r="Q567" s="25" t="inlineStr">
        <is>
          <t>1</t>
        </is>
      </c>
      <c r="R567" s="25" t="n"/>
      <c r="S567" s="27" t="n">
        <v>3950</v>
      </c>
      <c r="T567" s="27" t="n">
        <v>255</v>
      </c>
      <c r="U567" s="25" t="n">
        <v>2</v>
      </c>
      <c r="V567" s="27">
        <f>IF(S567="","",S567*U567)</f>
        <v/>
      </c>
      <c r="W567" s="26" t="inlineStr">
        <is>
          <t>Catalogue: €3,950. = national differentiated master fee (2026-27: €3,950). Exemption to ~€255 possible (university quota).</t>
        </is>
      </c>
      <c r="X567" s="25" t="inlineStr">
        <is>
          <t>High</t>
        </is>
      </c>
      <c r="Y567" s="25" t="inlineStr">
        <is>
          <t>3950</t>
        </is>
      </c>
      <c r="Z567" s="26" t="n"/>
      <c r="AA567" s="26" t="n"/>
      <c r="AB567" s="25" t="n"/>
      <c r="AC567" s="25" t="inlineStr">
        <is>
          <t>Open</t>
        </is>
      </c>
      <c r="AD567" s="25" t="inlineStr">
        <is>
          <t>2026-10-01</t>
        </is>
      </c>
      <c r="AE567" s="25" t="inlineStr">
        <is>
          <t>2027-03-15</t>
        </is>
      </c>
      <c r="AF567" s="25" t="inlineStr">
        <is>
          <t>No</t>
        </is>
      </c>
      <c r="AG567" s="28" t="inlineStr">
        <is>
          <t>https://sciences-techniques.univ-nantes.fr/formations/masters/master-informatique</t>
        </is>
      </c>
      <c r="AH567" s="26" t="inlineStr">
        <is>
          <t>Prérequis linguistiques : Niveau de français minimum : Pour le TCF, niveau B2 avec minimum 14/20 au test écrit - Attention : l’épreuve d’expression écrite ne fait pas partie du test standard du TCF. Il s’agit d’une épreu</t>
        </is>
      </c>
      <c r="AI567" s="28" t="inlineStr">
        <is>
          <t>Open in EEF</t>
        </is>
      </c>
    </row>
    <row r="568" ht="22.35" customHeight="1" s="19">
      <c r="A568" s="25" t="n">
        <v>567</v>
      </c>
      <c r="B568" s="25" t="inlineStr">
        <is>
          <t>★★★☆☆</t>
        </is>
      </c>
      <c r="C568" s="25" t="inlineStr">
        <is>
          <t>3 – Adjacent (AI/data/CS/cyber/energy)</t>
        </is>
      </c>
      <c r="D568" s="25" t="inlineStr">
        <is>
          <t>Computer science / Software</t>
        </is>
      </c>
      <c r="E568" s="26" t="inlineStr">
        <is>
          <t>Master indifférencié (recherche et professionnel) Sciences, technologies, santé mention informatique parcours Informatique</t>
        </is>
      </c>
      <c r="F568" s="26" t="inlineStr">
        <is>
          <t>Science, Technology, Health (STS) – major: Computer Science – track: Computer Science</t>
        </is>
      </c>
      <c r="G568" s="25" t="inlineStr">
        <is>
          <t>Master indifférencié (recherche et professionnel)</t>
        </is>
      </c>
      <c r="H568" s="25" t="inlineStr">
        <is>
          <t>Faculté des sciences exactes et naturelles</t>
        </is>
      </c>
      <c r="I568" s="25" t="inlineStr">
        <is>
          <t>Université des Antilles</t>
        </is>
      </c>
      <c r="J568" s="25" t="inlineStr">
        <is>
          <t>Site par défaut</t>
        </is>
      </c>
      <c r="K568" s="25" t="n"/>
      <c r="L568" s="25" t="inlineStr">
        <is>
          <t>Public university</t>
        </is>
      </c>
      <c r="M568" s="25" t="inlineStr">
        <is>
          <t>French</t>
        </is>
      </c>
      <c r="N568" s="25" t="inlineStr">
        <is>
          <t>General</t>
        </is>
      </c>
      <c r="O568" s="25" t="inlineStr">
        <is>
          <t>Bac +4</t>
        </is>
      </c>
      <c r="P568" s="26" t="inlineStr">
        <is>
          <t>Eligible on level (4-yr BS ≈ Bac+4)</t>
        </is>
      </c>
      <c r="Q568" s="25" t="inlineStr">
        <is>
          <t>4</t>
        </is>
      </c>
      <c r="R568" s="25" t="inlineStr">
        <is>
          <t>10</t>
        </is>
      </c>
      <c r="S568" s="27" t="n">
        <v>3950</v>
      </c>
      <c r="T568" s="27" t="n">
        <v>255</v>
      </c>
      <c r="U568" s="25" t="n">
        <v>1</v>
      </c>
      <c r="V568" s="27">
        <f>IF(S568="","",S568*U568)</f>
        <v/>
      </c>
      <c r="W568" s="26" t="inlineStr">
        <is>
          <t>Catalogue: €3,950. = national differentiated master fee (2026-27: €3,950). Exemption to ~€255 possible (university quota).</t>
        </is>
      </c>
      <c r="X568" s="25" t="inlineStr">
        <is>
          <t>High</t>
        </is>
      </c>
      <c r="Y568" s="25" t="inlineStr">
        <is>
          <t>3950</t>
        </is>
      </c>
      <c r="Z568" s="26" t="n"/>
      <c r="AA568" s="26" t="n"/>
      <c r="AB568" s="25" t="n"/>
      <c r="AC568" s="25" t="inlineStr">
        <is>
          <t>Open</t>
        </is>
      </c>
      <c r="AD568" s="25" t="inlineStr">
        <is>
          <t>2026-10-01</t>
        </is>
      </c>
      <c r="AE568" s="25" t="inlineStr">
        <is>
          <t>2027-03-15</t>
        </is>
      </c>
      <c r="AF568" s="25" t="inlineStr">
        <is>
          <t>No</t>
        </is>
      </c>
      <c r="AG568" s="28" t="inlineStr">
        <is>
          <t>http://www.univ-antilles.fr</t>
        </is>
      </c>
      <c r="AH568" s="26" t="inlineStr">
        <is>
          <t>Niveau requis en français : B1</t>
        </is>
      </c>
      <c r="AI568" s="28" t="inlineStr">
        <is>
          <t>Open in EEF</t>
        </is>
      </c>
    </row>
    <row r="569" ht="32.8" customHeight="1" s="19">
      <c r="A569" s="25" t="n">
        <v>568</v>
      </c>
      <c r="B569" s="25" t="inlineStr">
        <is>
          <t>★★★☆☆</t>
        </is>
      </c>
      <c r="C569" s="25" t="inlineStr">
        <is>
          <t>3 – Adjacent (AI/data/CS/cyber/energy)</t>
        </is>
      </c>
      <c r="D569" s="25" t="inlineStr">
        <is>
          <t>Computer science / Software</t>
        </is>
      </c>
      <c r="E569" s="26" t="inlineStr">
        <is>
          <t>Master indifférencié (recherche et professionnel) Sciences, technologies, santé mention informatique parcours informatique spécialité ingénierie du logiciel pour la société numérique (ILSEN)</t>
        </is>
      </c>
      <c r="F569" s="26" t="inlineStr">
        <is>
          <t>Science, Technology, Health (STS) – major: Computer Science – track: Computer Science – specialisation: Engineering of Software for the Society Digital (ILSEN)</t>
        </is>
      </c>
      <c r="G569" s="25" t="inlineStr">
        <is>
          <t>Master indifférencié (recherche et professionnel)</t>
        </is>
      </c>
      <c r="H569" s="25" t="inlineStr">
        <is>
          <t>Centre d'enseignement et de recherche en informatique</t>
        </is>
      </c>
      <c r="I569" s="25" t="inlineStr">
        <is>
          <t>Avignon Université</t>
        </is>
      </c>
      <c r="J569" s="25" t="inlineStr">
        <is>
          <t>Site de Avignon</t>
        </is>
      </c>
      <c r="K569" s="25" t="n"/>
      <c r="L569" s="25" t="inlineStr">
        <is>
          <t>Public university</t>
        </is>
      </c>
      <c r="M569" s="25" t="inlineStr">
        <is>
          <t>French</t>
        </is>
      </c>
      <c r="N569" s="25" t="inlineStr">
        <is>
          <t>General</t>
        </is>
      </c>
      <c r="O569" s="25" t="inlineStr">
        <is>
          <t>Bac +4 / Bac +5</t>
        </is>
      </c>
      <c r="P569" s="26" t="inlineStr">
        <is>
          <t>Eligible on level (4-yr BS ≈ Bac+4)</t>
        </is>
      </c>
      <c r="Q569" s="25" t="inlineStr">
        <is>
          <t>1/2</t>
        </is>
      </c>
      <c r="R569" s="25" t="n"/>
      <c r="S569" s="27" t="n">
        <v>3950</v>
      </c>
      <c r="T569" s="27" t="n">
        <v>255</v>
      </c>
      <c r="U569" s="25" t="n">
        <v>2</v>
      </c>
      <c r="V569" s="27">
        <f>IF(S569="","",S569*U569)</f>
        <v/>
      </c>
      <c r="W569" s="26" t="inlineStr">
        <is>
          <t>Catalogue: €3,950. = national differentiated master fee (2026-27: €3,950). Exemption to ~€255 possible (university quota).</t>
        </is>
      </c>
      <c r="X569" s="25" t="inlineStr">
        <is>
          <t>High</t>
        </is>
      </c>
      <c r="Y569" s="25" t="inlineStr">
        <is>
          <t>3950</t>
        </is>
      </c>
      <c r="Z569" s="26" t="n"/>
      <c r="AA569" s="26" t="n"/>
      <c r="AB569" s="25" t="n"/>
      <c r="AC569" s="25" t="inlineStr">
        <is>
          <t>Open</t>
        </is>
      </c>
      <c r="AD569" s="25" t="inlineStr">
        <is>
          <t>2026-10-01</t>
        </is>
      </c>
      <c r="AE569" s="25" t="inlineStr">
        <is>
          <t>2027-03-15</t>
        </is>
      </c>
      <c r="AF569" s="25" t="inlineStr">
        <is>
          <t>No</t>
        </is>
      </c>
      <c r="AG569" s="28" t="inlineStr">
        <is>
          <t>https://formations.univ-avignon.fr/formation/master-informatique-ingenierie-du-logiciel-de-la-societe-numerique-ilsen/</t>
        </is>
      </c>
      <c r="AH569" s="26" t="inlineStr">
        <is>
          <t>Le master a une mention informatique. L’objectif est de former les étudiants aux métiers du logiciel. Il est attendu que les candidats aient suivi dans leur cursus antérieur plusieurs modules d'UE en algorithmique et pro</t>
        </is>
      </c>
      <c r="AI569" s="28" t="inlineStr">
        <is>
          <t>Open in EEF</t>
        </is>
      </c>
    </row>
    <row r="570" ht="32.8" customHeight="1" s="19">
      <c r="A570" s="25" t="n">
        <v>569</v>
      </c>
      <c r="B570" s="25" t="inlineStr">
        <is>
          <t>★★★☆☆</t>
        </is>
      </c>
      <c r="C570" s="25" t="inlineStr">
        <is>
          <t>3 – Adjacent (AI/data/CS/cyber/energy)</t>
        </is>
      </c>
      <c r="D570" s="25" t="inlineStr">
        <is>
          <t>Computer science / Software</t>
        </is>
      </c>
      <c r="E570" s="26" t="inlineStr">
        <is>
          <t>Master indifférencié (recherche et professionnel) Sciences, technologies, santé mention Informatique parcours Ingénierie logiciel</t>
        </is>
      </c>
      <c r="F570" s="26" t="inlineStr">
        <is>
          <t>Science, Technology, Health (STS) – major: Computer Science – track: Engineering Software</t>
        </is>
      </c>
      <c r="G570" s="25" t="inlineStr">
        <is>
          <t>Master indifférencié (recherche et professionnel)</t>
        </is>
      </c>
      <c r="H570" s="25" t="inlineStr">
        <is>
          <t>Faculté de sciences et techniques</t>
        </is>
      </c>
      <c r="I570" s="25" t="inlineStr">
        <is>
          <t>Université Jean Monnet Saint-Etienne</t>
        </is>
      </c>
      <c r="J570" s="25" t="inlineStr">
        <is>
          <t>Site de Saint-Etienne</t>
        </is>
      </c>
      <c r="K570" s="25" t="n"/>
      <c r="L570" s="25" t="inlineStr">
        <is>
          <t>Public university</t>
        </is>
      </c>
      <c r="M570" s="25" t="inlineStr">
        <is>
          <t>French</t>
        </is>
      </c>
      <c r="N570" s="25" t="inlineStr">
        <is>
          <t>General</t>
        </is>
      </c>
      <c r="O570" s="25" t="inlineStr">
        <is>
          <t>Bac +4</t>
        </is>
      </c>
      <c r="P570" s="26" t="inlineStr">
        <is>
          <t>Eligible on level (4-yr BS ≈ Bac+4)</t>
        </is>
      </c>
      <c r="Q570" s="25" t="inlineStr">
        <is>
          <t>1</t>
        </is>
      </c>
      <c r="R570" s="25" t="n"/>
      <c r="S570" s="27" t="n">
        <v>3950</v>
      </c>
      <c r="T570" s="27" t="n">
        <v>255</v>
      </c>
      <c r="U570" s="25" t="n">
        <v>2</v>
      </c>
      <c r="V570" s="27">
        <f>IF(S570="","",S570*U570)</f>
        <v/>
      </c>
      <c r="W570" s="26" t="inlineStr">
        <is>
          <t>Catalogue: €3,950. = national differentiated master fee (2026-27: €3,950). Exemption to ~€255 possible (university quota).</t>
        </is>
      </c>
      <c r="X570" s="25" t="inlineStr">
        <is>
          <t>High</t>
        </is>
      </c>
      <c r="Y570" s="25" t="inlineStr">
        <is>
          <t>3950</t>
        </is>
      </c>
      <c r="Z570" s="26" t="inlineStr">
        <is>
          <t>Droits différenciés extracommunautaires : Master : 3950 € + le paiement de la CVEC : 105 € (tarif indicatif 2026/2027)</t>
        </is>
      </c>
      <c r="AA570" s="26" t="n"/>
      <c r="AB570" s="25" t="n"/>
      <c r="AC570" s="25" t="inlineStr">
        <is>
          <t>Open</t>
        </is>
      </c>
      <c r="AD570" s="25" t="inlineStr">
        <is>
          <t>2026-10-01</t>
        </is>
      </c>
      <c r="AE570" s="25" t="inlineStr">
        <is>
          <t>2027-03-15</t>
        </is>
      </c>
      <c r="AF570" s="25" t="inlineStr">
        <is>
          <t>No</t>
        </is>
      </c>
      <c r="AG570" s="28" t="inlineStr">
        <is>
          <t>https://fac-sciences.univ-st-etienne.fr/fr/formations/master-XB/master-XB/master-informatique-parcours-donnees-et-systemes-connectes-5_09_07_0006_FR.html</t>
        </is>
      </c>
      <c r="AH570" s="26" t="inlineStr">
        <is>
          <t>Niveau B2 en Français et en Anglais Attendu 1 : Maîtriser les concepts fondamentaux de l'informatique théorique (automates, langages formels, grammaires formelles, preuves). Attendu 2 : Maîtriser l'algorithmique (Tris et</t>
        </is>
      </c>
      <c r="AI570" s="28" t="inlineStr">
        <is>
          <t>Open in EEF</t>
        </is>
      </c>
    </row>
    <row r="571" ht="32.8" customHeight="1" s="19">
      <c r="A571" s="25" t="n">
        <v>570</v>
      </c>
      <c r="B571" s="25" t="inlineStr">
        <is>
          <t>★★★☆☆</t>
        </is>
      </c>
      <c r="C571" s="25" t="inlineStr">
        <is>
          <t>3 – Adjacent (AI/data/CS/cyber/energy)</t>
        </is>
      </c>
      <c r="D571" s="25" t="inlineStr">
        <is>
          <t>Computer science / Software</t>
        </is>
      </c>
      <c r="E571" s="26" t="inlineStr">
        <is>
          <t>Master indifférencié (recherche et professionnel) Sciences, technologies, santé mention informatique parcours infrastructures cloud &amp; systemes distribués (SYRIUS)</t>
        </is>
      </c>
      <c r="F571" s="26" t="inlineStr">
        <is>
          <t>Science, Technology, Health (STS) – major: Computer Science – track: Infrastructures cloud &amp; systemes Distributed (SYRIUS)</t>
        </is>
      </c>
      <c r="G571" s="25" t="inlineStr">
        <is>
          <t>Master indifférencié (recherche et professionnel)</t>
        </is>
      </c>
      <c r="H571" s="25" t="inlineStr">
        <is>
          <t>Centre d'enseignement et de recherche en informatique</t>
        </is>
      </c>
      <c r="I571" s="25" t="inlineStr">
        <is>
          <t>Avignon Université</t>
        </is>
      </c>
      <c r="J571" s="25" t="inlineStr">
        <is>
          <t>Site de Avignon</t>
        </is>
      </c>
      <c r="K571" s="25" t="n"/>
      <c r="L571" s="25" t="inlineStr">
        <is>
          <t>Public university</t>
        </is>
      </c>
      <c r="M571" s="25" t="inlineStr">
        <is>
          <t>French</t>
        </is>
      </c>
      <c r="N571" s="25" t="inlineStr">
        <is>
          <t>General</t>
        </is>
      </c>
      <c r="O571" s="25" t="inlineStr">
        <is>
          <t>Bac +4 / Bac +5</t>
        </is>
      </c>
      <c r="P571" s="26" t="inlineStr">
        <is>
          <t>Eligible on level (4-yr BS ≈ Bac+4)</t>
        </is>
      </c>
      <c r="Q571" s="25" t="inlineStr">
        <is>
          <t>1/2</t>
        </is>
      </c>
      <c r="R571" s="25" t="n"/>
      <c r="S571" s="27" t="n">
        <v>3950</v>
      </c>
      <c r="T571" s="27" t="n">
        <v>255</v>
      </c>
      <c r="U571" s="25" t="n">
        <v>2</v>
      </c>
      <c r="V571" s="27">
        <f>IF(S571="","",S571*U571)</f>
        <v/>
      </c>
      <c r="W571" s="26" t="inlineStr">
        <is>
          <t>Catalogue: €3,950. = national differentiated master fee (2026-27: €3,950). Exemption to ~€255 possible (university quota).</t>
        </is>
      </c>
      <c r="X571" s="25" t="inlineStr">
        <is>
          <t>High</t>
        </is>
      </c>
      <c r="Y571" s="25" t="inlineStr">
        <is>
          <t>3950</t>
        </is>
      </c>
      <c r="Z571" s="26" t="n"/>
      <c r="AA571" s="26" t="n"/>
      <c r="AB571" s="25" t="n"/>
      <c r="AC571" s="25" t="inlineStr">
        <is>
          <t>Open</t>
        </is>
      </c>
      <c r="AD571" s="25" t="inlineStr">
        <is>
          <t>2026-10-01</t>
        </is>
      </c>
      <c r="AE571" s="25" t="inlineStr">
        <is>
          <t>2027-03-15</t>
        </is>
      </c>
      <c r="AF571" s="25" t="inlineStr">
        <is>
          <t>No</t>
        </is>
      </c>
      <c r="AG571" s="28" t="inlineStr">
        <is>
          <t>https://formations.univ-avignon.fr/formation/master-informatique-systemes-informatiques-communicants-reseaux-services-et-securite-sicom/</t>
        </is>
      </c>
      <c r="AH571" s="26" t="inlineStr">
        <is>
          <t>Le master a une mention informatique. Il est attendu que les candidats aient suivi dans leur cursus antérieur plusieurs modules d’UE en algorithmique, mathématiques et technologie/programmation avec des notes supérieures</t>
        </is>
      </c>
      <c r="AI571" s="28" t="inlineStr">
        <is>
          <t>Open in EEF</t>
        </is>
      </c>
    </row>
    <row r="572" ht="32.8" customHeight="1" s="19">
      <c r="A572" s="25" t="n">
        <v>571</v>
      </c>
      <c r="B572" s="25" t="inlineStr">
        <is>
          <t>★★★☆☆</t>
        </is>
      </c>
      <c r="C572" s="25" t="inlineStr">
        <is>
          <t>3 – Adjacent (AI/data/CS/cyber/energy)</t>
        </is>
      </c>
      <c r="D572" s="25" t="inlineStr">
        <is>
          <t>AI / Data science</t>
        </is>
      </c>
      <c r="E572" s="26" t="inlineStr">
        <is>
          <t>Master indifférencié (recherche et professionnel) Sciences, technologies, santé mention informatique parcours Intelligence artificielle et facteurs humains</t>
        </is>
      </c>
      <c r="F572" s="26" t="inlineStr">
        <is>
          <t>Science, Technology, Health (STS) – major: Computer Science – track: Artificial Intelligence &amp; facteurs humains</t>
        </is>
      </c>
      <c r="G572" s="25" t="inlineStr">
        <is>
          <t>Master indifférencié (recherche et professionnel)</t>
        </is>
      </c>
      <c r="H572" s="25" t="inlineStr">
        <is>
          <t>UFR DES SCIENCES (CAMPUS 2 - Portails Mathématiques, Informatique et Physique Chimie Ingénierie)</t>
        </is>
      </c>
      <c r="I572" s="25" t="inlineStr">
        <is>
          <t>Université Caen Normandie</t>
        </is>
      </c>
      <c r="J572" s="25" t="inlineStr">
        <is>
          <t>Site de Caen Campus 2</t>
        </is>
      </c>
      <c r="K572" s="25" t="inlineStr">
        <is>
          <t>14032 CAEN CEDEX</t>
        </is>
      </c>
      <c r="L572" s="25" t="inlineStr">
        <is>
          <t>Public university</t>
        </is>
      </c>
      <c r="M572" s="25" t="inlineStr">
        <is>
          <t>French</t>
        </is>
      </c>
      <c r="N572" s="25" t="inlineStr">
        <is>
          <t>General</t>
        </is>
      </c>
      <c r="O572" s="25" t="inlineStr">
        <is>
          <t>Bac +4 / Bac +5</t>
        </is>
      </c>
      <c r="P572" s="26" t="inlineStr">
        <is>
          <t>Eligible on level (4-yr BS ≈ Bac+4)</t>
        </is>
      </c>
      <c r="Q572" s="25" t="inlineStr">
        <is>
          <t>1/2</t>
        </is>
      </c>
      <c r="R572" s="25" t="n"/>
      <c r="S572" s="27" t="n">
        <v>3950</v>
      </c>
      <c r="T572" s="27" t="n">
        <v>255</v>
      </c>
      <c r="U572" s="25" t="n">
        <v>2</v>
      </c>
      <c r="V572" s="27">
        <f>IF(S572="","",S572*U572)</f>
        <v/>
      </c>
      <c r="W572" s="26" t="inlineStr">
        <is>
          <t>Catalogue: €3,950. = national differentiated master fee (2026-27: €3,950). Exemption to ~€255 possible (university quota).</t>
        </is>
      </c>
      <c r="X572" s="25" t="inlineStr">
        <is>
          <t>High</t>
        </is>
      </c>
      <c r="Y572" s="25" t="inlineStr">
        <is>
          <t>3950</t>
        </is>
      </c>
      <c r="Z572" s="26" t="n"/>
      <c r="AA572" s="26" t="n"/>
      <c r="AB572" s="25" t="n"/>
      <c r="AC572" s="25" t="inlineStr">
        <is>
          <t>Open</t>
        </is>
      </c>
      <c r="AD572" s="25" t="inlineStr">
        <is>
          <t>2026-10-01</t>
        </is>
      </c>
      <c r="AE572" s="25" t="inlineStr">
        <is>
          <t>2027-03-15</t>
        </is>
      </c>
      <c r="AF572" s="25" t="inlineStr">
        <is>
          <t>No</t>
        </is>
      </c>
      <c r="AG572" s="28" t="inlineStr">
        <is>
          <t>https://ufr-sciences.unicaen.fr/</t>
        </is>
      </c>
      <c r="AH572" s="26" t="inlineStr">
        <is>
          <t>Test français obligatoire minimum B2 exigé Minimum level of English required is B1 Master 1 : être titulaire d'une licence informatique ou équivalent avec une moyenne supérieure à 12. La qualité académique du parcours sc</t>
        </is>
      </c>
      <c r="AI572" s="28" t="inlineStr">
        <is>
          <t>Open in EEF</t>
        </is>
      </c>
    </row>
    <row r="573" ht="32.8" customHeight="1" s="19">
      <c r="A573" s="25" t="n">
        <v>572</v>
      </c>
      <c r="B573" s="25" t="inlineStr">
        <is>
          <t>★★★☆☆</t>
        </is>
      </c>
      <c r="C573" s="25" t="inlineStr">
        <is>
          <t>3 – Adjacent (AI/data/CS/cyber/energy)</t>
        </is>
      </c>
      <c r="D573" s="25" t="inlineStr">
        <is>
          <t>AI / Data science</t>
        </is>
      </c>
      <c r="E573" s="26" t="inlineStr">
        <is>
          <t>Master indifférencié (recherche et professionnel) Sciences, technologies, santé mention informatique parcours Intelligence Artificielle (IA)</t>
        </is>
      </c>
      <c r="F573" s="26" t="inlineStr">
        <is>
          <t>Science, Technology, Health (STS) – major: Computer Science – track: Artificial Intelligence (IA)</t>
        </is>
      </c>
      <c r="G573" s="25" t="inlineStr">
        <is>
          <t>Master indifférencié (recherche et professionnel)</t>
        </is>
      </c>
      <c r="H573" s="25" t="inlineStr">
        <is>
          <t>Centre d'enseignement et de recherche en informatique</t>
        </is>
      </c>
      <c r="I573" s="25" t="inlineStr">
        <is>
          <t>Avignon Université</t>
        </is>
      </c>
      <c r="J573" s="25" t="inlineStr">
        <is>
          <t>Site de Avignon</t>
        </is>
      </c>
      <c r="K573" s="25" t="n"/>
      <c r="L573" s="25" t="inlineStr">
        <is>
          <t>Public university</t>
        </is>
      </c>
      <c r="M573" s="25" t="inlineStr">
        <is>
          <t>French</t>
        </is>
      </c>
      <c r="N573" s="25" t="inlineStr">
        <is>
          <t>General</t>
        </is>
      </c>
      <c r="O573" s="25" t="inlineStr">
        <is>
          <t>Bac +4 / Bac +5</t>
        </is>
      </c>
      <c r="P573" s="26" t="inlineStr">
        <is>
          <t>Eligible on level (4-yr BS ≈ Bac+4)</t>
        </is>
      </c>
      <c r="Q573" s="25" t="inlineStr">
        <is>
          <t>1/2</t>
        </is>
      </c>
      <c r="R573" s="25" t="n"/>
      <c r="S573" s="27" t="n">
        <v>3950</v>
      </c>
      <c r="T573" s="27" t="n">
        <v>255</v>
      </c>
      <c r="U573" s="25" t="n">
        <v>2</v>
      </c>
      <c r="V573" s="27">
        <f>IF(S573="","",S573*U573)</f>
        <v/>
      </c>
      <c r="W573" s="26" t="inlineStr">
        <is>
          <t>Catalogue: €3,950. = national differentiated master fee (2026-27: €3,950). Exemption to ~€255 possible (university quota).</t>
        </is>
      </c>
      <c r="X573" s="25" t="inlineStr">
        <is>
          <t>High</t>
        </is>
      </c>
      <c r="Y573" s="25" t="inlineStr">
        <is>
          <t>3950</t>
        </is>
      </c>
      <c r="Z573" s="26" t="n"/>
      <c r="AA573" s="26" t="n"/>
      <c r="AB573" s="25" t="n"/>
      <c r="AC573" s="25" t="inlineStr">
        <is>
          <t>Open</t>
        </is>
      </c>
      <c r="AD573" s="25" t="inlineStr">
        <is>
          <t>2026-10-01</t>
        </is>
      </c>
      <c r="AE573" s="25" t="inlineStr">
        <is>
          <t>2027-03-15</t>
        </is>
      </c>
      <c r="AF573" s="25" t="inlineStr">
        <is>
          <t>No</t>
        </is>
      </c>
      <c r="AG573" s="28" t="inlineStr">
        <is>
          <t>https://formations.univ-avignon.fr/formation/master-informatique-intelligence-artificielle-ia/</t>
        </is>
      </c>
      <c r="AH573" s="26" t="inlineStr">
        <is>
          <t>Une moyenne générale supérieure à 12 sur 20 en licence 3e année est la norme pour permettre une réussite en Master. Pour les écoles d'ingénieur, les résultats aux concours et le classement de sortie seront utilisés, avec</t>
        </is>
      </c>
      <c r="AI573" s="28" t="inlineStr">
        <is>
          <t>Open in EEF</t>
        </is>
      </c>
    </row>
    <row r="574" ht="32.8" customHeight="1" s="19">
      <c r="A574" s="25" t="n">
        <v>573</v>
      </c>
      <c r="B574" s="25" t="inlineStr">
        <is>
          <t>★★★☆☆</t>
        </is>
      </c>
      <c r="C574" s="25" t="inlineStr">
        <is>
          <t>3 – Adjacent (AI/data/CS/cyber/energy)</t>
        </is>
      </c>
      <c r="D574" s="25" t="inlineStr">
        <is>
          <t>Computer science / Software</t>
        </is>
      </c>
      <c r="E574" s="26" t="inlineStr">
        <is>
          <t>Master indifférencié (recherche et professionnel) Sciences, technologies, santé mention informatique parcours logiciels sûrs</t>
        </is>
      </c>
      <c r="F574" s="26" t="inlineStr">
        <is>
          <t>Science, Technology, Health (STS) – major: Computer Science – track: Software Safe</t>
        </is>
      </c>
      <c r="G574" s="25" t="inlineStr">
        <is>
          <t>Master indifférencié (recherche et professionnel)</t>
        </is>
      </c>
      <c r="H574" s="25" t="inlineStr">
        <is>
          <t>UFR des sciences et technologie</t>
        </is>
      </c>
      <c r="I574" s="25" t="inlineStr">
        <is>
          <t>Université Paris-Est Créteil Val-de-Marne</t>
        </is>
      </c>
      <c r="J574" s="25" t="inlineStr">
        <is>
          <t>Site de Créteil</t>
        </is>
      </c>
      <c r="K574" s="25" t="n"/>
      <c r="L574" s="25" t="inlineStr">
        <is>
          <t>Public university</t>
        </is>
      </c>
      <c r="M574" s="25" t="inlineStr">
        <is>
          <t>French</t>
        </is>
      </c>
      <c r="N574" s="25" t="inlineStr">
        <is>
          <t>General</t>
        </is>
      </c>
      <c r="O574" s="25" t="inlineStr">
        <is>
          <t>Bac +4 / Bac +5</t>
        </is>
      </c>
      <c r="P574" s="26" t="inlineStr">
        <is>
          <t>Eligible on level (4-yr BS ≈ Bac+4)</t>
        </is>
      </c>
      <c r="Q574" s="25" t="inlineStr">
        <is>
          <t>1/2</t>
        </is>
      </c>
      <c r="R574" s="25" t="inlineStr">
        <is>
          <t>10/12</t>
        </is>
      </c>
      <c r="S574" s="27" t="n">
        <v>3950</v>
      </c>
      <c r="T574" s="27" t="n">
        <v>255</v>
      </c>
      <c r="U574" s="25" t="n">
        <v>2</v>
      </c>
      <c r="V574" s="27">
        <f>IF(S574="","",S574*U574)</f>
        <v/>
      </c>
      <c r="W574" s="26" t="inlineStr">
        <is>
          <t>Catalogue: €3,950. = national differentiated master fee (2026-27: €3,950). Exemption to ~€255 possible (university quota).</t>
        </is>
      </c>
      <c r="X574" s="25" t="inlineStr">
        <is>
          <t>High</t>
        </is>
      </c>
      <c r="Y574" s="25" t="inlineStr">
        <is>
          <t>3950</t>
        </is>
      </c>
      <c r="Z574" s="26" t="n"/>
      <c r="AA574" s="26" t="n"/>
      <c r="AB574" s="25" t="n"/>
      <c r="AC574" s="25" t="inlineStr">
        <is>
          <t>Open</t>
        </is>
      </c>
      <c r="AD574" s="25" t="inlineStr">
        <is>
          <t>2026-10-01</t>
        </is>
      </c>
      <c r="AE574" s="25" t="inlineStr">
        <is>
          <t>2027-03-15</t>
        </is>
      </c>
      <c r="AF574" s="25" t="inlineStr">
        <is>
          <t>No</t>
        </is>
      </c>
      <c r="AG574" s="28" t="inlineStr">
        <is>
          <t>http://sciences-tech.u-pec.fr</t>
        </is>
      </c>
      <c r="AH574" s="26" t="inlineStr">
        <is>
          <t>du B2 au C2 = licence ou master d'informatique (pas de génie informatique, d'ingénierie, d'électronique ou de réseaux) Licence et M1 informatiques. L'étudiant doit valider les modules d'informatiques avec des bonnes note</t>
        </is>
      </c>
      <c r="AI574" s="28" t="inlineStr">
        <is>
          <t>Open in EEF</t>
        </is>
      </c>
    </row>
    <row r="575" ht="32.8" customHeight="1" s="19">
      <c r="A575" s="25" t="n">
        <v>574</v>
      </c>
      <c r="B575" s="25" t="inlineStr">
        <is>
          <t>★★★☆☆</t>
        </is>
      </c>
      <c r="C575" s="25" t="inlineStr">
        <is>
          <t>3 – Adjacent (AI/data/CS/cyber/energy)</t>
        </is>
      </c>
      <c r="D575" s="25" t="inlineStr">
        <is>
          <t>AI / Data science</t>
        </is>
      </c>
      <c r="E575" s="26" t="inlineStr">
        <is>
          <t>Master indifférencié (recherche et professionnel) Sciences, technologies, santé mention informatique parcours Master Connaissances, science des données et intelligence artificielle (CODIA)</t>
        </is>
      </c>
      <c r="F575" s="26" t="inlineStr">
        <is>
          <t>Science, Technology, Health (STS) – major: Computer Science – track: Master Knowledge, Data Science &amp; Artificial Intelligence (CODIA)</t>
        </is>
      </c>
      <c r="G575" s="25" t="inlineStr">
        <is>
          <t>Master indifférencié (recherche et professionnel)</t>
        </is>
      </c>
      <c r="H575" s="25" t="inlineStr">
        <is>
          <t>UFR de mathématiques et d'informatique</t>
        </is>
      </c>
      <c r="I575" s="25" t="inlineStr">
        <is>
          <t>Université de Strasbourg</t>
        </is>
      </c>
      <c r="J575" s="25" t="inlineStr">
        <is>
          <t>Site de Strasbourg</t>
        </is>
      </c>
      <c r="K575" s="25" t="inlineStr">
        <is>
          <t>67084 STRASBOURG CEDEX</t>
        </is>
      </c>
      <c r="L575" s="25" t="inlineStr">
        <is>
          <t>Public university</t>
        </is>
      </c>
      <c r="M575" s="25" t="inlineStr">
        <is>
          <t>French</t>
        </is>
      </c>
      <c r="N575" s="25" t="inlineStr">
        <is>
          <t>General</t>
        </is>
      </c>
      <c r="O575" s="25" t="inlineStr">
        <is>
          <t>Bac +4</t>
        </is>
      </c>
      <c r="P575" s="26" t="inlineStr">
        <is>
          <t>Eligible on level (4-yr BS ≈ Bac+4)</t>
        </is>
      </c>
      <c r="Q575" s="25" t="inlineStr">
        <is>
          <t>1</t>
        </is>
      </c>
      <c r="R575" s="25" t="n"/>
      <c r="S575" s="27" t="n">
        <v>3950</v>
      </c>
      <c r="T575" s="27" t="n">
        <v>255</v>
      </c>
      <c r="U575" s="25" t="n">
        <v>2</v>
      </c>
      <c r="V575" s="27">
        <f>IF(S575="","",S575*U575)</f>
        <v/>
      </c>
      <c r="W575" s="26" t="inlineStr">
        <is>
          <t>Catalogue: €3,950. = national differentiated master fee (2026-27: €3,950). Exemption to ~€255 possible (university quota).</t>
        </is>
      </c>
      <c r="X575" s="25" t="inlineStr">
        <is>
          <t>High</t>
        </is>
      </c>
      <c r="Y575" s="25" t="inlineStr">
        <is>
          <t>3950</t>
        </is>
      </c>
      <c r="Z575" s="26" t="n"/>
      <c r="AA575" s="26" t="inlineStr">
        <is>
          <t>Unistra: master entrants who did not do their licence at Unistra pay the differentiated fee (€3,950).</t>
        </is>
      </c>
      <c r="AB575" s="28" t="inlineStr">
        <is>
          <t>https://www.unistra.fr/fr/node/8168</t>
        </is>
      </c>
      <c r="AC575" s="25" t="inlineStr">
        <is>
          <t>Open</t>
        </is>
      </c>
      <c r="AD575" s="25" t="inlineStr">
        <is>
          <t>2026-10-01</t>
        </is>
      </c>
      <c r="AE575" s="25" t="inlineStr">
        <is>
          <t>2027-03-15</t>
        </is>
      </c>
      <c r="AF575" s="25" t="inlineStr">
        <is>
          <t>No</t>
        </is>
      </c>
      <c r="AG575" s="28" t="inlineStr">
        <is>
          <t>http://mathinfo.unistra.fr/</t>
        </is>
      </c>
      <c r="AH575" s="26" t="inlineStr">
        <is>
          <t>Veuillez consulter les informations directement sur le site web de l'UFR de mathématique et d'informatique . Formation à forte composante théorique, ne convient pas aux parcours professionnels En raison du très faible no</t>
        </is>
      </c>
      <c r="AI575" s="28" t="inlineStr">
        <is>
          <t>Open in EEF</t>
        </is>
      </c>
    </row>
    <row r="576" ht="43.25" customHeight="1" s="19">
      <c r="A576" s="25" t="n">
        <v>575</v>
      </c>
      <c r="B576" s="25" t="inlineStr">
        <is>
          <t>★★★☆☆</t>
        </is>
      </c>
      <c r="C576" s="25" t="inlineStr">
        <is>
          <t>3 – Adjacent (AI/data/CS/cyber/energy)</t>
        </is>
      </c>
      <c r="D576" s="25" t="inlineStr">
        <is>
          <t>Cybersecurity</t>
        </is>
      </c>
      <c r="E576" s="26" t="inlineStr">
        <is>
          <t>Master indifférencié (recherche et professionnel) Sciences, technologies, santé mention Informatique parcours Parcours CRYPTIS sécurité de l'information et cryptologie</t>
        </is>
      </c>
      <c r="F576" s="26" t="inlineStr">
        <is>
          <t>Science, Technology, Health (STS) – major: Computer Science – track: track: CRYPTIS Security of Information &amp; Cryptology</t>
        </is>
      </c>
      <c r="G576" s="25" t="inlineStr">
        <is>
          <t>Master indifférencié (recherche et professionnel)</t>
        </is>
      </c>
      <c r="H576" s="25" t="inlineStr">
        <is>
          <t>Faculté des Sciences et Techniques</t>
        </is>
      </c>
      <c r="I576" s="25" t="inlineStr">
        <is>
          <t>Université de Limoges</t>
        </is>
      </c>
      <c r="J576" s="25" t="inlineStr">
        <is>
          <t>Campus de la Borie Limoges</t>
        </is>
      </c>
      <c r="K576" s="25" t="n"/>
      <c r="L576" s="25" t="inlineStr">
        <is>
          <t>Public university</t>
        </is>
      </c>
      <c r="M576" s="25" t="inlineStr">
        <is>
          <t>French</t>
        </is>
      </c>
      <c r="N576" s="25" t="inlineStr">
        <is>
          <t>General</t>
        </is>
      </c>
      <c r="O576" s="25" t="inlineStr">
        <is>
          <t>Bac +4 / Bac +5</t>
        </is>
      </c>
      <c r="P576" s="26" t="inlineStr">
        <is>
          <t>Eligible on level (4-yr BS ≈ Bac+4)</t>
        </is>
      </c>
      <c r="Q576" s="25" t="inlineStr">
        <is>
          <t>1/2</t>
        </is>
      </c>
      <c r="R576" s="25" t="inlineStr">
        <is>
          <t>10/12</t>
        </is>
      </c>
      <c r="S576" s="27" t="n">
        <v>3950</v>
      </c>
      <c r="T576" s="27" t="n">
        <v>255</v>
      </c>
      <c r="U576" s="25" t="n">
        <v>2</v>
      </c>
      <c r="V576" s="27">
        <f>IF(S576="","",S576*U576)</f>
        <v/>
      </c>
      <c r="W576" s="26" t="inlineStr">
        <is>
          <t>Catalogue: €3,950. = national differentiated master fee (2026-27: €3,950). Exemption to ~€255 possible (university quota).</t>
        </is>
      </c>
      <c r="X576" s="25" t="inlineStr">
        <is>
          <t>High</t>
        </is>
      </c>
      <c r="Y576" s="25" t="inlineStr">
        <is>
          <t>3950</t>
        </is>
      </c>
      <c r="Z576" s="26" t="n"/>
      <c r="AA576" s="26" t="n"/>
      <c r="AB576" s="25" t="n"/>
      <c r="AC576" s="25" t="inlineStr">
        <is>
          <t>Open</t>
        </is>
      </c>
      <c r="AD576" s="25" t="inlineStr">
        <is>
          <t>2026-10-01</t>
        </is>
      </c>
      <c r="AE576" s="25" t="inlineStr">
        <is>
          <t>2027-03-15</t>
        </is>
      </c>
      <c r="AF576" s="25" t="inlineStr">
        <is>
          <t>No</t>
        </is>
      </c>
      <c r="AG576" s="28" t="inlineStr">
        <is>
          <t>http://www.sciences.unilim.fr/</t>
        </is>
      </c>
      <c r="AH576" s="26" t="inlineStr">
        <is>
          <t>Cette formation est associée à un programme du type Etablissement Universitaire de Recherche, les candidat.e.s à la formation désireux de poursuivre en thèse sont donc invité.e.s à postuler pour le parcours "Graduate Sch</t>
        </is>
      </c>
      <c r="AI576" s="28" t="inlineStr">
        <is>
          <t>Open in EEF</t>
        </is>
      </c>
    </row>
    <row r="577" ht="43.25" customHeight="1" s="19">
      <c r="A577" s="25" t="n">
        <v>576</v>
      </c>
      <c r="B577" s="25" t="inlineStr">
        <is>
          <t>★★★☆☆</t>
        </is>
      </c>
      <c r="C577" s="25" t="inlineStr">
        <is>
          <t>3 – Adjacent (AI/data/CS/cyber/energy)</t>
        </is>
      </c>
      <c r="D577" s="25" t="inlineStr">
        <is>
          <t>Computer science / Software</t>
        </is>
      </c>
      <c r="E577" s="26" t="inlineStr">
        <is>
          <t>Master indifférencié (recherche et professionnel) Sciences, technologies, santé mention informatique parcours Parcours Technologie de l'Internet - site PAU</t>
        </is>
      </c>
      <c r="F577" s="26" t="inlineStr">
        <is>
          <t>Science, Technology, Health (STS) – major: Computer Science – track: track: Technology of the Internet - site PAU</t>
        </is>
      </c>
      <c r="G577" s="25" t="inlineStr">
        <is>
          <t>Master indifférencié (recherche et professionnel)</t>
        </is>
      </c>
      <c r="H577" s="25" t="inlineStr">
        <is>
          <t>Collège STEE - Sciences et Technologies pour l'Energie et l'Environnement</t>
        </is>
      </c>
      <c r="I577" s="25" t="inlineStr">
        <is>
          <t>Université Pau et Pays de l'Adour</t>
        </is>
      </c>
      <c r="J577" s="25" t="inlineStr">
        <is>
          <t>Collège STEE - site de Pau</t>
        </is>
      </c>
      <c r="K577" s="25" t="n"/>
      <c r="L577" s="25" t="inlineStr">
        <is>
          <t>Public university</t>
        </is>
      </c>
      <c r="M577" s="25" t="inlineStr">
        <is>
          <t>French</t>
        </is>
      </c>
      <c r="N577" s="25" t="inlineStr">
        <is>
          <t>General</t>
        </is>
      </c>
      <c r="O577" s="25" t="inlineStr">
        <is>
          <t>Bac +4 / Bac +5</t>
        </is>
      </c>
      <c r="P577" s="26" t="inlineStr">
        <is>
          <t>Eligible on level (4-yr BS ≈ Bac+4)</t>
        </is>
      </c>
      <c r="Q577" s="25" t="inlineStr">
        <is>
          <t>1/2</t>
        </is>
      </c>
      <c r="R577" s="25" t="n"/>
      <c r="S577" s="27" t="n">
        <v>3950</v>
      </c>
      <c r="T577" s="27" t="n">
        <v>255</v>
      </c>
      <c r="U577" s="25" t="n">
        <v>2</v>
      </c>
      <c r="V577" s="27">
        <f>IF(S577="","",S577*U577)</f>
        <v/>
      </c>
      <c r="W577" s="26" t="inlineStr">
        <is>
          <t>Catalogue: €3,950. = national differentiated master fee (2026-27: €3,950). Exemption to ~€255 possible (university quota).</t>
        </is>
      </c>
      <c r="X577" s="25" t="inlineStr">
        <is>
          <t>High</t>
        </is>
      </c>
      <c r="Y577" s="25" t="inlineStr">
        <is>
          <t>3950</t>
        </is>
      </c>
      <c r="Z577" s="26" t="inlineStr">
        <is>
          <t>oits d'inscription nationaux pour une inscription en formation initiale s'élèvent à 3 950 € / an (les droits différenciés sont appliqués aux … ployeur, par exemple) doivent payer des droits spécifiques , s'élevant au mi</t>
        </is>
      </c>
      <c r="AA577" s="26" t="n"/>
      <c r="AB577" s="25" t="n"/>
      <c r="AC577" s="25" t="inlineStr">
        <is>
          <t>Open</t>
        </is>
      </c>
      <c r="AD577" s="25" t="inlineStr">
        <is>
          <t>2026-10-01</t>
        </is>
      </c>
      <c r="AE577" s="25" t="inlineStr">
        <is>
          <t>2027-03-15</t>
        </is>
      </c>
      <c r="AF577" s="25" t="inlineStr">
        <is>
          <t>No</t>
        </is>
      </c>
      <c r="AG577" s="28" t="inlineStr">
        <is>
          <t>https://formation.univ-pau.fr/fr/catalogue/master-XB/master-mention-informatique-L3Y98DNU/parcours-technologies-de-l-internet-L3Y98T3K.html</t>
        </is>
      </c>
      <c r="AH577" s="26" t="inlineStr">
        <is>
          <t>Maîtriser les modèles, concepts et notions fondamentaux de l'informatique Maîtriser les outils de développement et du déploiement des applications logicielles Niveau linguistique requis en : FRANCAIS : B2 minimum</t>
        </is>
      </c>
      <c r="AI577" s="28" t="inlineStr">
        <is>
          <t>Open in EEF</t>
        </is>
      </c>
    </row>
    <row r="578" ht="32.8" customHeight="1" s="19">
      <c r="A578" s="25" t="n">
        <v>577</v>
      </c>
      <c r="B578" s="25" t="inlineStr">
        <is>
          <t>★★★☆☆</t>
        </is>
      </c>
      <c r="C578" s="25" t="inlineStr">
        <is>
          <t>3 – Adjacent (AI/data/CS/cyber/energy)</t>
        </is>
      </c>
      <c r="D578" s="25" t="inlineStr">
        <is>
          <t>IoT / Telecom / Networks</t>
        </is>
      </c>
      <c r="E578" s="26" t="inlineStr">
        <is>
          <t>Master indifférencié (recherche et professionnel) Sciences, technologies, santé mention informatique parcours Science et ingénierie des réseaux, de l'internet et des systèmes</t>
        </is>
      </c>
      <c r="F578" s="26" t="inlineStr">
        <is>
          <t>Science, Technology, Health (STS) – major: Computer Science – track: Science &amp; Engineering of Networks, of the Internet &amp; of Systems</t>
        </is>
      </c>
      <c r="G578" s="25" t="inlineStr">
        <is>
          <t>Master indifférencié (recherche et professionnel)</t>
        </is>
      </c>
      <c r="H578" s="25" t="inlineStr">
        <is>
          <t>UFR de mathématiques et d'informatique</t>
        </is>
      </c>
      <c r="I578" s="25" t="inlineStr">
        <is>
          <t>Université de Strasbourg</t>
        </is>
      </c>
      <c r="J578" s="25" t="inlineStr">
        <is>
          <t>Site de Strasbourg</t>
        </is>
      </c>
      <c r="K578" s="25" t="inlineStr">
        <is>
          <t>67084 STRASBOURG CEDEX</t>
        </is>
      </c>
      <c r="L578" s="25" t="inlineStr">
        <is>
          <t>Public university</t>
        </is>
      </c>
      <c r="M578" s="25" t="inlineStr">
        <is>
          <t>French</t>
        </is>
      </c>
      <c r="N578" s="25" t="inlineStr">
        <is>
          <t>General</t>
        </is>
      </c>
      <c r="O578" s="25" t="inlineStr">
        <is>
          <t>Bac +4</t>
        </is>
      </c>
      <c r="P578" s="26" t="inlineStr">
        <is>
          <t>Eligible on level (4-yr BS ≈ Bac+4)</t>
        </is>
      </c>
      <c r="Q578" s="25" t="inlineStr">
        <is>
          <t>1</t>
        </is>
      </c>
      <c r="R578" s="25" t="n"/>
      <c r="S578" s="27" t="n">
        <v>3950</v>
      </c>
      <c r="T578" s="27" t="n">
        <v>255</v>
      </c>
      <c r="U578" s="25" t="n">
        <v>2</v>
      </c>
      <c r="V578" s="27">
        <f>IF(S578="","",S578*U578)</f>
        <v/>
      </c>
      <c r="W578" s="26" t="inlineStr">
        <is>
          <t>Catalogue: €3,950. = national differentiated master fee (2026-27: €3,950). Exemption to ~€255 possible (university quota).</t>
        </is>
      </c>
      <c r="X578" s="25" t="inlineStr">
        <is>
          <t>High</t>
        </is>
      </c>
      <c r="Y578" s="25" t="inlineStr">
        <is>
          <t>3950</t>
        </is>
      </c>
      <c r="Z578" s="26" t="n"/>
      <c r="AA578" s="26" t="inlineStr">
        <is>
          <t>Unistra: master entrants who did not do their licence at Unistra pay the differentiated fee (€3,950).</t>
        </is>
      </c>
      <c r="AB578" s="28" t="inlineStr">
        <is>
          <t>https://www.unistra.fr/fr/node/8168</t>
        </is>
      </c>
      <c r="AC578" s="25" t="inlineStr">
        <is>
          <t>Open</t>
        </is>
      </c>
      <c r="AD578" s="25" t="inlineStr">
        <is>
          <t>2026-10-01</t>
        </is>
      </c>
      <c r="AE578" s="25" t="inlineStr">
        <is>
          <t>2027-03-15</t>
        </is>
      </c>
      <c r="AF578" s="25" t="inlineStr">
        <is>
          <t>No</t>
        </is>
      </c>
      <c r="AG578" s="28" t="inlineStr">
        <is>
          <t>http://mathinfo.unistra.fr</t>
        </is>
      </c>
      <c r="AH578" s="26" t="inlineStr">
        <is>
          <t>En raison du très faible nombre de places, veuillez noter que le minimum exigé par la commission pédagogique pour l'admission en 1 ère année de ce Master est : 1. Un excellent niveau en informatique, attesté par les rele</t>
        </is>
      </c>
      <c r="AI578" s="28" t="inlineStr">
        <is>
          <t>Open in EEF</t>
        </is>
      </c>
    </row>
    <row r="579" ht="32.8" customHeight="1" s="19">
      <c r="A579" s="25" t="n">
        <v>578</v>
      </c>
      <c r="B579" s="25" t="inlineStr">
        <is>
          <t>★★★☆☆</t>
        </is>
      </c>
      <c r="C579" s="25" t="inlineStr">
        <is>
          <t>3 – Adjacent (AI/data/CS/cyber/energy)</t>
        </is>
      </c>
      <c r="D579" s="25" t="inlineStr">
        <is>
          <t>AI / Data science</t>
        </is>
      </c>
      <c r="E579" s="26" t="inlineStr">
        <is>
          <t>Master indifférencié (recherche et professionnel) Sciences, technologies, santé mention Informatique parcours Web et science de données</t>
        </is>
      </c>
      <c r="F579" s="26" t="inlineStr">
        <is>
          <t>Science, Technology, Health (STS) – major: Computer Science – track: Web &amp; Science of Data</t>
        </is>
      </c>
      <c r="G579" s="25" t="inlineStr">
        <is>
          <t>Master indifférencié (recherche et professionnel)</t>
        </is>
      </c>
      <c r="H579" s="25" t="inlineStr">
        <is>
          <t>Centre de gestion universitaire de la Mi-Voix</t>
        </is>
      </c>
      <c r="I579" s="25" t="inlineStr">
        <is>
          <t>Université du Littoral Côte d'Opale</t>
        </is>
      </c>
      <c r="J579" s="25" t="inlineStr">
        <is>
          <t>Site de Calais</t>
        </is>
      </c>
      <c r="K579" s="25" t="n"/>
      <c r="L579" s="25" t="inlineStr">
        <is>
          <t>Public university</t>
        </is>
      </c>
      <c r="M579" s="25" t="inlineStr">
        <is>
          <t>French</t>
        </is>
      </c>
      <c r="N579" s="25" t="inlineStr">
        <is>
          <t>General</t>
        </is>
      </c>
      <c r="O579" s="25" t="inlineStr">
        <is>
          <t>Bac +4 / Bac +5</t>
        </is>
      </c>
      <c r="P579" s="26" t="inlineStr">
        <is>
          <t>Eligible on level (4-yr BS ≈ Bac+4)</t>
        </is>
      </c>
      <c r="Q579" s="25" t="inlineStr">
        <is>
          <t>1/2</t>
        </is>
      </c>
      <c r="R579" s="25" t="n"/>
      <c r="S579" s="27" t="n">
        <v>3950</v>
      </c>
      <c r="T579" s="27" t="n">
        <v>255</v>
      </c>
      <c r="U579" s="25" t="n">
        <v>2</v>
      </c>
      <c r="V579" s="27">
        <f>IF(S579="","",S579*U579)</f>
        <v/>
      </c>
      <c r="W579" s="26" t="inlineStr">
        <is>
          <t>Catalogue: €3,950. = national differentiated master fee (2026-27: €3,950). Exemption to ~€255 possible (university quota).</t>
        </is>
      </c>
      <c r="X579" s="25" t="inlineStr">
        <is>
          <t>High</t>
        </is>
      </c>
      <c r="Y579" s="25" t="inlineStr">
        <is>
          <t>3950</t>
        </is>
      </c>
      <c r="Z579" s="26" t="n"/>
      <c r="AA579" s="26" t="n"/>
      <c r="AB579" s="25" t="n"/>
      <c r="AC579" s="25" t="inlineStr">
        <is>
          <t>Open</t>
        </is>
      </c>
      <c r="AD579" s="25" t="inlineStr">
        <is>
          <t>2026-10-01</t>
        </is>
      </c>
      <c r="AE579" s="25" t="inlineStr">
        <is>
          <t>2027-03-15</t>
        </is>
      </c>
      <c r="AF579" s="25" t="inlineStr">
        <is>
          <t>No</t>
        </is>
      </c>
      <c r="AG579" s="28" t="inlineStr">
        <is>
          <t>http://www.univ-littoral.fr</t>
        </is>
      </c>
      <c r="AH579" s="26" t="inlineStr">
        <is>
          <t>Pour les étudiants étrangers originaires d’un pays où le français n’est pas la langue officielle (hors Espace Economique Européen) : exigence du DELF (niveau B2), du DALF, du TCF (niveau B2) ou TEF (niveau B2). Cette att</t>
        </is>
      </c>
      <c r="AI579" s="28" t="inlineStr">
        <is>
          <t>Open in EEF</t>
        </is>
      </c>
    </row>
    <row r="580" ht="32.8" customHeight="1" s="19">
      <c r="A580" s="25" t="n">
        <v>579</v>
      </c>
      <c r="B580" s="25" t="inlineStr">
        <is>
          <t>★★★☆☆</t>
        </is>
      </c>
      <c r="C580" s="25" t="inlineStr">
        <is>
          <t>3 – Adjacent (AI/data/CS/cyber/energy)</t>
        </is>
      </c>
      <c r="D580" s="25" t="inlineStr">
        <is>
          <t>Other engineering / maths</t>
        </is>
      </c>
      <c r="E580" s="26" t="inlineStr">
        <is>
          <t>Master indifférencié (recherche et professionnel) Sciences, technologies, santé mention mathématiques et applications parcours Modelisation et analyse des systèmes complexes (MASC)</t>
        </is>
      </c>
      <c r="F580" s="26" t="inlineStr">
        <is>
          <t>Science, Technology, Health (STS) – major: Mathematics &amp; Applications – track: Modelisation &amp; Analysis of Systems Complex (MASC)</t>
        </is>
      </c>
      <c r="G580" s="25" t="inlineStr">
        <is>
          <t>Master indifférencié (recherche et professionnel)</t>
        </is>
      </c>
      <c r="H580" s="25" t="inlineStr">
        <is>
          <t>UFR des sciences et techniques</t>
        </is>
      </c>
      <c r="I580" s="25" t="inlineStr">
        <is>
          <t>Université du Havre</t>
        </is>
      </c>
      <c r="J580" s="25" t="inlineStr">
        <is>
          <t>Site de Le Havre</t>
        </is>
      </c>
      <c r="K580" s="25" t="n"/>
      <c r="L580" s="25" t="inlineStr">
        <is>
          <t>Public university</t>
        </is>
      </c>
      <c r="M580" s="25" t="inlineStr">
        <is>
          <t>French</t>
        </is>
      </c>
      <c r="N580" s="25" t="inlineStr">
        <is>
          <t>General</t>
        </is>
      </c>
      <c r="O580" s="25" t="inlineStr">
        <is>
          <t>Bac +4 / Bac +5</t>
        </is>
      </c>
      <c r="P580" s="26" t="inlineStr">
        <is>
          <t>Eligible on level (4-yr BS ≈ Bac+4)</t>
        </is>
      </c>
      <c r="Q580" s="25" t="inlineStr">
        <is>
          <t>1/2</t>
        </is>
      </c>
      <c r="R580" s="25" t="n"/>
      <c r="S580" s="27" t="n">
        <v>3950</v>
      </c>
      <c r="T580" s="27" t="n">
        <v>255</v>
      </c>
      <c r="U580" s="25" t="n">
        <v>2</v>
      </c>
      <c r="V580" s="27">
        <f>IF(S580="","",S580*U580)</f>
        <v/>
      </c>
      <c r="W580" s="26" t="inlineStr">
        <is>
          <t>Catalogue: €3,770. = national differentiated master fee (2026-27: €3,950). Exemption to ~€255 possible (university quota).</t>
        </is>
      </c>
      <c r="X580" s="25" t="inlineStr">
        <is>
          <t>High</t>
        </is>
      </c>
      <c r="Y580" s="25" t="inlineStr">
        <is>
          <t>3770/3950</t>
        </is>
      </c>
      <c r="Z580" s="26" t="n"/>
      <c r="AA580" s="26" t="n"/>
      <c r="AB580" s="25" t="n"/>
      <c r="AC580" s="25" t="inlineStr">
        <is>
          <t>Open</t>
        </is>
      </c>
      <c r="AD580" s="25" t="inlineStr">
        <is>
          <t>2026-10-01</t>
        </is>
      </c>
      <c r="AE580" s="25" t="inlineStr">
        <is>
          <t>2027-03-15</t>
        </is>
      </c>
      <c r="AF580" s="25" t="inlineStr">
        <is>
          <t>No</t>
        </is>
      </c>
      <c r="AG580" s="28" t="inlineStr">
        <is>
          <t>https://ufr-st.univ-lehavre.fr</t>
        </is>
      </c>
      <c r="AH580" s="26" t="inlineStr">
        <is>
          <t>La carte des formations de l’UFR ainsi que leurs contacts figurent sur le site web de l'UFR https://ufr-st.univ-lehavre.fr/, notamment sur ce lien https://ufr-st.univ-lehavre.fr/spip.php?article5. Les fiches des formatio</t>
        </is>
      </c>
      <c r="AI580" s="28" t="inlineStr">
        <is>
          <t>Open in EEF</t>
        </is>
      </c>
    </row>
    <row r="581" ht="43.25" customHeight="1" s="19">
      <c r="A581" s="25" t="n">
        <v>580</v>
      </c>
      <c r="B581" s="25" t="inlineStr">
        <is>
          <t>★★★☆☆</t>
        </is>
      </c>
      <c r="C581" s="25" t="inlineStr">
        <is>
          <t>3 – Adjacent (AI/data/CS/cyber/energy)</t>
        </is>
      </c>
      <c r="D581" s="25" t="inlineStr">
        <is>
          <t>Cybersecurity</t>
        </is>
      </c>
      <c r="E581" s="26" t="inlineStr">
        <is>
          <t>Master indifférencié (recherche et professionnel) Sciences, technologies, santé mention Mathématiques et Applications parcours Parcours CRYPTIS sécurité de l'information et cryptologie</t>
        </is>
      </c>
      <c r="F581" s="26" t="inlineStr">
        <is>
          <t>Science, Technology, Health (STS) – major: Mathematics &amp; Applications – track: track: CRYPTIS Security of Information &amp; Cryptology</t>
        </is>
      </c>
      <c r="G581" s="25" t="inlineStr">
        <is>
          <t>Master indifférencié (recherche et professionnel)</t>
        </is>
      </c>
      <c r="H581" s="25" t="inlineStr">
        <is>
          <t>Faculté des Sciences et Techniques</t>
        </is>
      </c>
      <c r="I581" s="25" t="inlineStr">
        <is>
          <t>Université de Limoges</t>
        </is>
      </c>
      <c r="J581" s="25" t="inlineStr">
        <is>
          <t>Campus de la Borie Limoges</t>
        </is>
      </c>
      <c r="K581" s="25" t="n"/>
      <c r="L581" s="25" t="inlineStr">
        <is>
          <t>Public university</t>
        </is>
      </c>
      <c r="M581" s="25" t="inlineStr">
        <is>
          <t>French</t>
        </is>
      </c>
      <c r="N581" s="25" t="inlineStr">
        <is>
          <t>General</t>
        </is>
      </c>
      <c r="O581" s="25" t="inlineStr">
        <is>
          <t>Bac +4 / Bac +5</t>
        </is>
      </c>
      <c r="P581" s="26" t="inlineStr">
        <is>
          <t>Eligible on level (4-yr BS ≈ Bac+4)</t>
        </is>
      </c>
      <c r="Q581" s="25" t="inlineStr">
        <is>
          <t>1/2</t>
        </is>
      </c>
      <c r="R581" s="25" t="inlineStr">
        <is>
          <t>10/12</t>
        </is>
      </c>
      <c r="S581" s="27" t="n">
        <v>3950</v>
      </c>
      <c r="T581" s="27" t="n">
        <v>255</v>
      </c>
      <c r="U581" s="25" t="n">
        <v>2</v>
      </c>
      <c r="V581" s="27">
        <f>IF(S581="","",S581*U581)</f>
        <v/>
      </c>
      <c r="W581" s="26" t="inlineStr">
        <is>
          <t>Catalogue: €3,950. = national differentiated master fee (2026-27: €3,950). Exemption to ~€255 possible (university quota).</t>
        </is>
      </c>
      <c r="X581" s="25" t="inlineStr">
        <is>
          <t>High</t>
        </is>
      </c>
      <c r="Y581" s="25" t="inlineStr">
        <is>
          <t>3950</t>
        </is>
      </c>
      <c r="Z581" s="26" t="n"/>
      <c r="AA581" s="26" t="n"/>
      <c r="AB581" s="25" t="n"/>
      <c r="AC581" s="25" t="inlineStr">
        <is>
          <t>Open</t>
        </is>
      </c>
      <c r="AD581" s="25" t="inlineStr">
        <is>
          <t>2026-10-01</t>
        </is>
      </c>
      <c r="AE581" s="25" t="inlineStr">
        <is>
          <t>2027-03-15</t>
        </is>
      </c>
      <c r="AF581" s="25" t="inlineStr">
        <is>
          <t>No</t>
        </is>
      </c>
      <c r="AG581" s="28" t="inlineStr">
        <is>
          <t>http://www.sciences.unilim.fr/</t>
        </is>
      </c>
      <c r="AH581" s="26" t="inlineStr">
        <is>
          <t>Cette formation est associée à un programme du type Etablissement Universitaire de Recherche, les candidat.e.s à la formation désireux de poursuivre en thèse sont donc invité.e.s à postuler pour le Parcours "Graduate Sch</t>
        </is>
      </c>
      <c r="AI581" s="28" t="inlineStr">
        <is>
          <t>Open in EEF</t>
        </is>
      </c>
    </row>
    <row r="582" ht="32.8" customHeight="1" s="19">
      <c r="A582" s="25" t="n">
        <v>581</v>
      </c>
      <c r="B582" s="25" t="inlineStr">
        <is>
          <t>★★★☆☆</t>
        </is>
      </c>
      <c r="C582" s="25" t="inlineStr">
        <is>
          <t>3 – Adjacent (AI/data/CS/cyber/energy)</t>
        </is>
      </c>
      <c r="D582" s="25" t="inlineStr">
        <is>
          <t>Cybersecurity</t>
        </is>
      </c>
      <c r="E582" s="26" t="inlineStr">
        <is>
          <t>Master indifférencié (recherche et professionnel) Sciences, technologies, santé mention Mathématiques et Applications parcours Parcours CRYPTIS sécurité de l'information et cryptologie-Parcours Graduate School "information security"</t>
        </is>
      </c>
      <c r="F582" s="26" t="inlineStr">
        <is>
          <t>Science, Technology, Health (STS) – major: Mathematics &amp; Applications – track: track: CRYPTIS Security of Information &amp; cryptologie-Parcours Graduate School "Information security"</t>
        </is>
      </c>
      <c r="G582" s="25" t="inlineStr">
        <is>
          <t>Master indifférencié (recherche et professionnel)</t>
        </is>
      </c>
      <c r="H582" s="25" t="inlineStr">
        <is>
          <t>Faculté des Sciences et Techniques</t>
        </is>
      </c>
      <c r="I582" s="25" t="inlineStr">
        <is>
          <t>Université de Limoges</t>
        </is>
      </c>
      <c r="J582" s="25" t="inlineStr">
        <is>
          <t>Campus de la Borie Limoges</t>
        </is>
      </c>
      <c r="K582" s="25" t="n"/>
      <c r="L582" s="25" t="inlineStr">
        <is>
          <t>Public university</t>
        </is>
      </c>
      <c r="M582" s="25" t="inlineStr">
        <is>
          <t>French</t>
        </is>
      </c>
      <c r="N582" s="25" t="inlineStr">
        <is>
          <t>General</t>
        </is>
      </c>
      <c r="O582" s="25" t="inlineStr">
        <is>
          <t>Bac +4 / Bac +5</t>
        </is>
      </c>
      <c r="P582" s="26" t="inlineStr">
        <is>
          <t>Eligible on level (4-yr BS ≈ Bac+4)</t>
        </is>
      </c>
      <c r="Q582" s="25" t="inlineStr">
        <is>
          <t>1/2</t>
        </is>
      </c>
      <c r="R582" s="25" t="n"/>
      <c r="S582" s="27" t="n">
        <v>3950</v>
      </c>
      <c r="T582" s="27" t="n">
        <v>255</v>
      </c>
      <c r="U582" s="25" t="n">
        <v>2</v>
      </c>
      <c r="V582" s="27">
        <f>IF(S582="","",S582*U582)</f>
        <v/>
      </c>
      <c r="W582" s="26" t="inlineStr">
        <is>
          <t>Catalogue: €3,950. = national differentiated master fee (2026-27: €3,950). Exemption to ~€255 possible (university quota).</t>
        </is>
      </c>
      <c r="X582" s="25" t="inlineStr">
        <is>
          <t>High</t>
        </is>
      </c>
      <c r="Y582" s="25" t="inlineStr">
        <is>
          <t>3950</t>
        </is>
      </c>
      <c r="Z582" s="26" t="n"/>
      <c r="AA582" s="26" t="n"/>
      <c r="AB582" s="25" t="n"/>
      <c r="AC582" s="25" t="inlineStr">
        <is>
          <t>Open</t>
        </is>
      </c>
      <c r="AD582" s="25" t="inlineStr">
        <is>
          <t>2026-10-01</t>
        </is>
      </c>
      <c r="AE582" s="25" t="inlineStr">
        <is>
          <t>2027-03-15</t>
        </is>
      </c>
      <c r="AF582" s="25" t="inlineStr">
        <is>
          <t>No</t>
        </is>
      </c>
      <c r="AG582" s="28" t="inlineStr">
        <is>
          <t>https://www.unilim.fr/gradschool-ceramics-ict/</t>
        </is>
      </c>
      <c r="AH582" s="26" t="inlineStr">
        <is>
          <t>This is the graduate school side of the CRYPTIS Master. Applicants wanting to later continue with an applied PhD are encouraged to (also) apply here. 1st year : The application file, needs the various earlier grades repo</t>
        </is>
      </c>
      <c r="AI582" s="28" t="inlineStr">
        <is>
          <t>Open in EEF</t>
        </is>
      </c>
    </row>
    <row r="583" ht="32.8" customHeight="1" s="19">
      <c r="A583" s="25" t="n">
        <v>582</v>
      </c>
      <c r="B583" s="25" t="inlineStr">
        <is>
          <t>★★★☆☆</t>
        </is>
      </c>
      <c r="C583" s="25" t="inlineStr">
        <is>
          <t>3 – Adjacent (AI/data/CS/cyber/energy)</t>
        </is>
      </c>
      <c r="D583" s="25" t="inlineStr">
        <is>
          <t>Computer science / Software</t>
        </is>
      </c>
      <c r="E583" s="26" t="inlineStr">
        <is>
          <t>Master indifférencié (recherche et professionnel) Sciences, technologies, santé mention Méthodes informatiques appliquées à la gestion des entreprises - MIAGE parcours Ingénierie des projets informatiques-nouvelles technologies</t>
        </is>
      </c>
      <c r="F583" s="26" t="inlineStr">
        <is>
          <t>Science, Technology, Health (STS) – major: Methods informatiques Applied at the Management of Companies - MIAGE – track: Engineering of Projects informatiques-nouvelles Technologies</t>
        </is>
      </c>
      <c r="G583" s="25" t="inlineStr">
        <is>
          <t>Master indifférencié (recherche et professionnel)</t>
        </is>
      </c>
      <c r="H583" s="25" t="inlineStr">
        <is>
          <t>Faculté des sciences et technologies</t>
        </is>
      </c>
      <c r="I583" s="25" t="inlineStr">
        <is>
          <t>Université de Lille</t>
        </is>
      </c>
      <c r="J583" s="25" t="inlineStr">
        <is>
          <t>Département Informatique</t>
        </is>
      </c>
      <c r="K583" s="25" t="n"/>
      <c r="L583" s="25" t="inlineStr">
        <is>
          <t>Public university</t>
        </is>
      </c>
      <c r="M583" s="25" t="inlineStr">
        <is>
          <t>French</t>
        </is>
      </c>
      <c r="N583" s="25" t="inlineStr">
        <is>
          <t>General</t>
        </is>
      </c>
      <c r="O583" s="25" t="inlineStr">
        <is>
          <t>Bac +4 / Bac +5</t>
        </is>
      </c>
      <c r="P583" s="26" t="inlineStr">
        <is>
          <t>Eligible on level (4-yr BS ≈ Bac+4)</t>
        </is>
      </c>
      <c r="Q583" s="25" t="inlineStr">
        <is>
          <t>1/2</t>
        </is>
      </c>
      <c r="R583" s="25" t="inlineStr">
        <is>
          <t>12</t>
        </is>
      </c>
      <c r="S583" s="27" t="n">
        <v>3950</v>
      </c>
      <c r="T583" s="27" t="n">
        <v>255</v>
      </c>
      <c r="U583" s="25" t="n">
        <v>2</v>
      </c>
      <c r="V583" s="27">
        <f>IF(S583="","",S583*U583)</f>
        <v/>
      </c>
      <c r="W583" s="26" t="inlineStr">
        <is>
          <t>Catalogue: €3,950. = national differentiated master fee (2026-27: €3,950). Exemption to ~€255 possible (university quota).</t>
        </is>
      </c>
      <c r="X583" s="25" t="inlineStr">
        <is>
          <t>High</t>
        </is>
      </c>
      <c r="Y583" s="25" t="inlineStr">
        <is>
          <t>3950</t>
        </is>
      </c>
      <c r="Z583" s="26" t="n"/>
      <c r="AA583" s="26" t="inlineStr">
        <is>
          <t>Lille opposed the decree; continues exemptions for part of non-EU students (master €254 if exempted). Apply for exemption early.</t>
        </is>
      </c>
      <c r="AB583" s="28" t="inlineStr">
        <is>
          <t>https://observalgerie.com/2026/06/13/misc/frais-dinscription-en-france-lille-maintient-un-avantage-pour-les-etudiants-etrangers/</t>
        </is>
      </c>
      <c r="AC583" s="25" t="inlineStr">
        <is>
          <t>Open</t>
        </is>
      </c>
      <c r="AD583" s="25" t="inlineStr">
        <is>
          <t>2026-10-01</t>
        </is>
      </c>
      <c r="AE583" s="25" t="inlineStr">
        <is>
          <t>2027-03-15</t>
        </is>
      </c>
      <c r="AF583" s="25" t="inlineStr">
        <is>
          <t>No</t>
        </is>
      </c>
      <c r="AG583" s="28" t="inlineStr">
        <is>
          <t>https://formation.univ-lille.fr/fr/offre-de-formation/master-lmd-XB/master-methodes-informatiques-appliquees-a-la-gestion-des-entreprises-miage-MG001982/ingenierie-des-projets-informatiques-nouvelles-technologies-MX002041.html</t>
        </is>
      </c>
      <c r="AH583" s="26" t="inlineStr">
        <is>
          <t>Licence informatique ou MIAGE ou équivalent. Niveau de français B2 exigé.</t>
        </is>
      </c>
      <c r="AI583" s="28" t="inlineStr">
        <is>
          <t>Open in EEF</t>
        </is>
      </c>
    </row>
    <row r="584" ht="53.7" customHeight="1" s="19">
      <c r="A584" s="25" t="n">
        <v>583</v>
      </c>
      <c r="B584" s="25" t="inlineStr">
        <is>
          <t>★★★☆☆</t>
        </is>
      </c>
      <c r="C584" s="25" t="inlineStr">
        <is>
          <t>3 – Adjacent (AI/data/CS/cyber/energy)</t>
        </is>
      </c>
      <c r="D584" s="25" t="inlineStr">
        <is>
          <t>Computer science / Software</t>
        </is>
      </c>
      <c r="E584" s="26" t="inlineStr">
        <is>
          <t>Master indifférencié (recherche et professionnel) Sciences, technologies, santé mention Méthodes informatiques appliquées à la gestion des entreprises - MIAGE parcours Numérique Responsable (NUMRES)</t>
        </is>
      </c>
      <c r="F584" s="26" t="inlineStr">
        <is>
          <t>Science, Technology, Health (STS) – major: Methods informatiques Applied at the Management of Companies - MIAGE – track: Digital Manager (NUMRES)</t>
        </is>
      </c>
      <c r="G584" s="25" t="inlineStr">
        <is>
          <t>Master indifférencié (recherche et professionnel)</t>
        </is>
      </c>
      <c r="H584" s="25" t="inlineStr">
        <is>
          <t>Sciences</t>
        </is>
      </c>
      <c r="I584" s="25" t="inlineStr">
        <is>
          <t>Université Côte d'Azur</t>
        </is>
      </c>
      <c r="J584" s="25" t="inlineStr">
        <is>
          <t>Site de Sophia Tech</t>
        </is>
      </c>
      <c r="K584" s="25" t="n"/>
      <c r="L584" s="25" t="inlineStr">
        <is>
          <t>Public university</t>
        </is>
      </c>
      <c r="M584" s="25" t="inlineStr">
        <is>
          <t>French</t>
        </is>
      </c>
      <c r="N584" s="25" t="inlineStr">
        <is>
          <t>General</t>
        </is>
      </c>
      <c r="O584" s="25" t="inlineStr">
        <is>
          <t>Bac +4 / Bac +5</t>
        </is>
      </c>
      <c r="P584" s="26" t="inlineStr">
        <is>
          <t>Eligible on level (4-yr BS ≈ Bac+4)</t>
        </is>
      </c>
      <c r="Q584" s="25" t="inlineStr">
        <is>
          <t>1/2</t>
        </is>
      </c>
      <c r="R584" s="25" t="inlineStr">
        <is>
          <t>12</t>
        </is>
      </c>
      <c r="S584" s="27" t="n">
        <v>3950</v>
      </c>
      <c r="T584" s="27" t="n">
        <v>255</v>
      </c>
      <c r="U584" s="25" t="n">
        <v>2</v>
      </c>
      <c r="V584" s="27">
        <f>IF(S584="","",S584*U584)</f>
        <v/>
      </c>
      <c r="W584" s="26" t="inlineStr">
        <is>
          <t>Catalogue: €3,950. = national differentiated master fee (2026-27: €3,950). Exemption to ~€255 possible (university quota).</t>
        </is>
      </c>
      <c r="X584" s="25" t="inlineStr">
        <is>
          <t>High</t>
        </is>
      </c>
      <c r="Y584" s="25" t="inlineStr">
        <is>
          <t>3950</t>
        </is>
      </c>
      <c r="Z584" s="26" t="inlineStr">
        <is>
          <t>S AUX ETUDIANTS EXTRACOMMUNAUTAIRES Pour l’année universitaire 2026-2027 : Licence : 2 902€ Ma PROCEDURE D’INSCRIPTION L’étudiant(e) doit eff … S AUX ETUDIANTS EXTRACOMMUNAUTAIRES Pour l’année universitaire 2026-2027 : L</t>
        </is>
      </c>
      <c r="AA584" s="26" t="n"/>
      <c r="AB584" s="25" t="n"/>
      <c r="AC584" s="25" t="inlineStr">
        <is>
          <t>Open</t>
        </is>
      </c>
      <c r="AD584" s="25" t="inlineStr">
        <is>
          <t>2026-10-01</t>
        </is>
      </c>
      <c r="AE584" s="25" t="inlineStr">
        <is>
          <t>2027-03-15</t>
        </is>
      </c>
      <c r="AF584" s="25" t="inlineStr">
        <is>
          <t>No</t>
        </is>
      </c>
      <c r="AG584" s="28" t="inlineStr">
        <is>
          <t>https://univ-cotedazur.fr/formation/offre-de-formation/master-methodes-informatiques-appliquees-a-la-gestion-des-entreprises-miage-parcours-numerique-responsable-numres</t>
        </is>
      </c>
      <c r="AH584" s="26" t="inlineStr">
        <is>
          <t>Niveau de français requis : niveau C1 du CECRL. Les candidats francophones sont dispensés de la présentation d’un test de connaissance du français (TCF). Compétences requises : solides compétences en programmation et en</t>
        </is>
      </c>
      <c r="AI584" s="28" t="inlineStr">
        <is>
          <t>Open in EEF</t>
        </is>
      </c>
    </row>
    <row r="585" ht="32.8" customHeight="1" s="19">
      <c r="A585" s="25" t="n">
        <v>584</v>
      </c>
      <c r="B585" s="25" t="inlineStr">
        <is>
          <t>★★★☆☆</t>
        </is>
      </c>
      <c r="C585" s="25" t="inlineStr">
        <is>
          <t>3 – Adjacent (AI/data/CS/cyber/energy)</t>
        </is>
      </c>
      <c r="D585" s="25" t="inlineStr">
        <is>
          <t>Embedded systems / Electronics</t>
        </is>
      </c>
      <c r="E585" s="26" t="inlineStr">
        <is>
          <t>Master indifférencié (recherche et professionnel) Sciences, technologies, santé mention Physique appliquée et Ingénierie physique parcours Parcours ARTICC architecture des réseaux et technologies induites des circuits de communication</t>
        </is>
      </c>
      <c r="F585" s="26" t="inlineStr">
        <is>
          <t>Science, Technology, Health (STS) – major: Applied Physics &amp; Engineering Physics – track: track: ARTICC Architecture of Networks &amp; Technologies induites of Circuits of Communication</t>
        </is>
      </c>
      <c r="G585" s="25" t="inlineStr">
        <is>
          <t>Master indifférencié (recherche et professionnel)</t>
        </is>
      </c>
      <c r="H585" s="25" t="inlineStr">
        <is>
          <t>Faculté des Sciences et Techniques</t>
        </is>
      </c>
      <c r="I585" s="25" t="inlineStr">
        <is>
          <t>Université de Limoges</t>
        </is>
      </c>
      <c r="J585" s="25" t="inlineStr">
        <is>
          <t>Campus de la Borie Limoges</t>
        </is>
      </c>
      <c r="K585" s="25" t="n"/>
      <c r="L585" s="25" t="inlineStr">
        <is>
          <t>Public university</t>
        </is>
      </c>
      <c r="M585" s="25" t="inlineStr">
        <is>
          <t>French</t>
        </is>
      </c>
      <c r="N585" s="25" t="inlineStr">
        <is>
          <t>General</t>
        </is>
      </c>
      <c r="O585" s="25" t="inlineStr">
        <is>
          <t>Bac +4 / Bac +5</t>
        </is>
      </c>
      <c r="P585" s="26" t="inlineStr">
        <is>
          <t>Eligible on level (4-yr BS ≈ Bac+4)</t>
        </is>
      </c>
      <c r="Q585" s="25" t="inlineStr">
        <is>
          <t>1/2</t>
        </is>
      </c>
      <c r="R585" s="25" t="inlineStr">
        <is>
          <t>10/12</t>
        </is>
      </c>
      <c r="S585" s="27" t="n">
        <v>3950</v>
      </c>
      <c r="T585" s="27" t="n">
        <v>255</v>
      </c>
      <c r="U585" s="25" t="n">
        <v>2</v>
      </c>
      <c r="V585" s="27">
        <f>IF(S585="","",S585*U585)</f>
        <v/>
      </c>
      <c r="W585" s="26" t="inlineStr">
        <is>
          <t>Catalogue: €3,950. = national differentiated master fee (2026-27: €3,950). Exemption to ~€255 possible (university quota).</t>
        </is>
      </c>
      <c r="X585" s="25" t="inlineStr">
        <is>
          <t>High</t>
        </is>
      </c>
      <c r="Y585" s="25" t="inlineStr">
        <is>
          <t>3950</t>
        </is>
      </c>
      <c r="Z585" s="26" t="n"/>
      <c r="AA585" s="26" t="n"/>
      <c r="AB585" s="25" t="n"/>
      <c r="AC585" s="25" t="inlineStr">
        <is>
          <t>Open</t>
        </is>
      </c>
      <c r="AD585" s="25" t="inlineStr">
        <is>
          <t>2026-10-01</t>
        </is>
      </c>
      <c r="AE585" s="25" t="inlineStr">
        <is>
          <t>2027-03-15</t>
        </is>
      </c>
      <c r="AF585" s="25" t="inlineStr">
        <is>
          <t>No</t>
        </is>
      </c>
      <c r="AG585" s="28" t="inlineStr">
        <is>
          <t>https://www.sciences.unilim.fr/tic/</t>
        </is>
      </c>
      <c r="AH585" s="26" t="inlineStr">
        <is>
          <t>Le candidat à l’inscription doit avoir la possibilité d’utiliser un ordinateur connecté à Internet, y compris à son domicile. Il doit pouvoir s’organiser pour suivre un enseignement intensif qui nécessite de sa part une</t>
        </is>
      </c>
      <c r="AI585" s="28" t="inlineStr">
        <is>
          <t>Open in EEF</t>
        </is>
      </c>
    </row>
    <row r="586" ht="32.8" customHeight="1" s="19">
      <c r="A586" s="25" t="n">
        <v>585</v>
      </c>
      <c r="B586" s="25" t="inlineStr">
        <is>
          <t>★★★☆☆</t>
        </is>
      </c>
      <c r="C586" s="25" t="inlineStr">
        <is>
          <t>3 – Adjacent (AI/data/CS/cyber/energy)</t>
        </is>
      </c>
      <c r="D586" s="25" t="inlineStr">
        <is>
          <t>Computer science / Software</t>
        </is>
      </c>
      <c r="E586" s="26" t="inlineStr">
        <is>
          <t>Master indifférencié Sciences, technologies, santé mention informatique parcours architectures logicielles</t>
        </is>
      </c>
      <c r="F586" s="26" t="inlineStr">
        <is>
          <t>Master indifférencié Science, Technology, Health (STS) – major: Computer Science – track: architectures logicielles</t>
        </is>
      </c>
      <c r="G586" s="25" t="inlineStr">
        <is>
          <t>Master indifférencié (recherche et professionnel)</t>
        </is>
      </c>
      <c r="H586" s="25" t="inlineStr">
        <is>
          <t>UFR de sciences et techniques</t>
        </is>
      </c>
      <c r="I586" s="25" t="inlineStr">
        <is>
          <t>Nantes Université</t>
        </is>
      </c>
      <c r="J586" s="25" t="inlineStr">
        <is>
          <t>Site de Nantes</t>
        </is>
      </c>
      <c r="K586" s="25" t="n"/>
      <c r="L586" s="25" t="inlineStr">
        <is>
          <t>Public university</t>
        </is>
      </c>
      <c r="M586" s="25" t="inlineStr">
        <is>
          <t>French</t>
        </is>
      </c>
      <c r="N586" s="25" t="inlineStr">
        <is>
          <t>General</t>
        </is>
      </c>
      <c r="O586" s="25" t="inlineStr">
        <is>
          <t>Bac +4 / Bac +5</t>
        </is>
      </c>
      <c r="P586" s="26" t="inlineStr">
        <is>
          <t>Eligible on level (4-yr BS ≈ Bac+4)</t>
        </is>
      </c>
      <c r="Q586" s="25" t="inlineStr">
        <is>
          <t>1/2</t>
        </is>
      </c>
      <c r="R586" s="25" t="n"/>
      <c r="S586" s="27" t="n">
        <v>3950</v>
      </c>
      <c r="T586" s="27" t="n">
        <v>255</v>
      </c>
      <c r="U586" s="25" t="n">
        <v>2</v>
      </c>
      <c r="V586" s="27">
        <f>IF(S586="","",S586*U586)</f>
        <v/>
      </c>
      <c r="W586" s="26" t="inlineStr">
        <is>
          <t>Catalogue: €3,950. = national differentiated master fee (2026-27: €3,950). Exemption to ~€255 possible (university quota).</t>
        </is>
      </c>
      <c r="X586" s="25" t="inlineStr">
        <is>
          <t>High</t>
        </is>
      </c>
      <c r="Y586" s="25" t="inlineStr">
        <is>
          <t>3950</t>
        </is>
      </c>
      <c r="Z586" s="26" t="n"/>
      <c r="AA586" s="26" t="n"/>
      <c r="AB586" s="25" t="n"/>
      <c r="AC586" s="25" t="inlineStr">
        <is>
          <t>Open</t>
        </is>
      </c>
      <c r="AD586" s="25" t="inlineStr">
        <is>
          <t>2026-10-01</t>
        </is>
      </c>
      <c r="AE586" s="25" t="inlineStr">
        <is>
          <t>2027-03-15</t>
        </is>
      </c>
      <c r="AF586" s="25" t="inlineStr">
        <is>
          <t>No</t>
        </is>
      </c>
      <c r="AG586" s="28" t="inlineStr">
        <is>
          <t>https://sciences-techniques.univ-nantes.fr/formations/masters/master-informatique</t>
        </is>
      </c>
      <c r="AH586" s="26" t="inlineStr">
        <is>
          <t>Prérequis linguistiques : Niveau de français minimum : Pour le TCF, niveau B2 avec minimum 14/20 au test écrit - Attention : l’épreuve d’expression écrite ne fait pas partie du test standard du TCF. Il s’agit d’une épreu</t>
        </is>
      </c>
      <c r="AI586" s="28" t="inlineStr">
        <is>
          <t>Open in EEF</t>
        </is>
      </c>
    </row>
    <row r="587" ht="32.8" customHeight="1" s="19">
      <c r="A587" s="25" t="n">
        <v>586</v>
      </c>
      <c r="B587" s="25" t="inlineStr">
        <is>
          <t>★★★☆☆</t>
        </is>
      </c>
      <c r="C587" s="25" t="inlineStr">
        <is>
          <t>3 – Adjacent (AI/data/CS/cyber/energy)</t>
        </is>
      </c>
      <c r="D587" s="25" t="inlineStr">
        <is>
          <t>Computer science / Software</t>
        </is>
      </c>
      <c r="E587" s="26" t="inlineStr">
        <is>
          <t>Master indifférencié Sciences, technologies, santé mention informatique parcours optimisation en recherche opérationnelle</t>
        </is>
      </c>
      <c r="F587" s="26" t="inlineStr">
        <is>
          <t>Master indifférencié Science, Technology, Health (STS) – major: Computer Science – track: Optimisation in Research Operational</t>
        </is>
      </c>
      <c r="G587" s="25" t="inlineStr">
        <is>
          <t>Master indifférencié (recherche et professionnel)</t>
        </is>
      </c>
      <c r="H587" s="25" t="inlineStr">
        <is>
          <t>UFR de sciences et techniques</t>
        </is>
      </c>
      <c r="I587" s="25" t="inlineStr">
        <is>
          <t>Nantes Université</t>
        </is>
      </c>
      <c r="J587" s="25" t="inlineStr">
        <is>
          <t>Site de Nantes</t>
        </is>
      </c>
      <c r="K587" s="25" t="n"/>
      <c r="L587" s="25" t="inlineStr">
        <is>
          <t>Public university</t>
        </is>
      </c>
      <c r="M587" s="25" t="inlineStr">
        <is>
          <t>French</t>
        </is>
      </c>
      <c r="N587" s="25" t="inlineStr">
        <is>
          <t>General</t>
        </is>
      </c>
      <c r="O587" s="25" t="inlineStr">
        <is>
          <t>Bac +4 / Bac +5</t>
        </is>
      </c>
      <c r="P587" s="26" t="inlineStr">
        <is>
          <t>Eligible on level (4-yr BS ≈ Bac+4)</t>
        </is>
      </c>
      <c r="Q587" s="25" t="inlineStr">
        <is>
          <t>1/2</t>
        </is>
      </c>
      <c r="R587" s="25" t="n"/>
      <c r="S587" s="27" t="n">
        <v>3950</v>
      </c>
      <c r="T587" s="27" t="n">
        <v>255</v>
      </c>
      <c r="U587" s="25" t="n">
        <v>2</v>
      </c>
      <c r="V587" s="27">
        <f>IF(S587="","",S587*U587)</f>
        <v/>
      </c>
      <c r="W587" s="26" t="inlineStr">
        <is>
          <t>Catalogue: €3,950. = national differentiated master fee (2026-27: €3,950). Exemption to ~€255 possible (university quota).</t>
        </is>
      </c>
      <c r="X587" s="25" t="inlineStr">
        <is>
          <t>High</t>
        </is>
      </c>
      <c r="Y587" s="25" t="inlineStr">
        <is>
          <t>3950</t>
        </is>
      </c>
      <c r="Z587" s="26" t="n"/>
      <c r="AA587" s="26" t="n"/>
      <c r="AB587" s="25" t="n"/>
      <c r="AC587" s="25" t="inlineStr">
        <is>
          <t>Open</t>
        </is>
      </c>
      <c r="AD587" s="25" t="inlineStr">
        <is>
          <t>2026-10-01</t>
        </is>
      </c>
      <c r="AE587" s="25" t="inlineStr">
        <is>
          <t>2027-03-15</t>
        </is>
      </c>
      <c r="AF587" s="25" t="inlineStr">
        <is>
          <t>No</t>
        </is>
      </c>
      <c r="AG587" s="28" t="inlineStr">
        <is>
          <t>https://sciences-techniques.univ-nantes.fr/formations/masters/master-informatique</t>
        </is>
      </c>
      <c r="AH587" s="26" t="inlineStr">
        <is>
          <t>Prérequis linguistiques : M1 : Niveau de français minimum : Pour le TCF, niveau B2 avec minimum 14/20 au test écrit - Attention : l’épreuve d’expression écrite ne fait pas partie du test standard du TCF. Il s’agit d’une</t>
        </is>
      </c>
      <c r="AI587" s="28" t="inlineStr">
        <is>
          <t>Open in EEF</t>
        </is>
      </c>
    </row>
    <row r="588" ht="32.8" customHeight="1" s="19">
      <c r="A588" s="25" t="n">
        <v>587</v>
      </c>
      <c r="B588" s="25" t="inlineStr">
        <is>
          <t>★★★☆☆</t>
        </is>
      </c>
      <c r="C588" s="25" t="inlineStr">
        <is>
          <t>3 – Adjacent (AI/data/CS/cyber/energy)</t>
        </is>
      </c>
      <c r="D588" s="25" t="inlineStr">
        <is>
          <t>Computer science / Software</t>
        </is>
      </c>
      <c r="E588" s="26" t="inlineStr">
        <is>
          <t>Master indifférencié Sciences, technologies, santé mention informatique parcours Visual Computing</t>
        </is>
      </c>
      <c r="F588" s="26" t="inlineStr">
        <is>
          <t>Master indifférencié Science, Technology, Health (STS) – major: Computer Science – track: Visual Computing</t>
        </is>
      </c>
      <c r="G588" s="25" t="inlineStr">
        <is>
          <t>Master indifférencié (recherche et professionnel)</t>
        </is>
      </c>
      <c r="H588" s="25" t="inlineStr">
        <is>
          <t>UFR de sciences et techniques</t>
        </is>
      </c>
      <c r="I588" s="25" t="inlineStr">
        <is>
          <t>Nantes Université</t>
        </is>
      </c>
      <c r="J588" s="25" t="inlineStr">
        <is>
          <t>Site de Nantes</t>
        </is>
      </c>
      <c r="K588" s="25" t="n"/>
      <c r="L588" s="25" t="inlineStr">
        <is>
          <t>Public university</t>
        </is>
      </c>
      <c r="M588" s="25" t="inlineStr">
        <is>
          <t>French</t>
        </is>
      </c>
      <c r="N588" s="25" t="inlineStr">
        <is>
          <t>General</t>
        </is>
      </c>
      <c r="O588" s="25" t="inlineStr">
        <is>
          <t>Bac +4</t>
        </is>
      </c>
      <c r="P588" s="26" t="inlineStr">
        <is>
          <t>Eligible on level (4-yr BS ≈ Bac+4)</t>
        </is>
      </c>
      <c r="Q588" s="25" t="inlineStr">
        <is>
          <t>1</t>
        </is>
      </c>
      <c r="R588" s="25" t="n"/>
      <c r="S588" s="27" t="n">
        <v>3950</v>
      </c>
      <c r="T588" s="27" t="n">
        <v>255</v>
      </c>
      <c r="U588" s="25" t="n">
        <v>2</v>
      </c>
      <c r="V588" s="27">
        <f>IF(S588="","",S588*U588)</f>
        <v/>
      </c>
      <c r="W588" s="26" t="inlineStr">
        <is>
          <t>Catalogue: €3,950. = national differentiated master fee (2026-27: €3,950). Exemption to ~€255 possible (university quota).</t>
        </is>
      </c>
      <c r="X588" s="25" t="inlineStr">
        <is>
          <t>High</t>
        </is>
      </c>
      <c r="Y588" s="25" t="inlineStr">
        <is>
          <t>3950</t>
        </is>
      </c>
      <c r="Z588" s="26" t="n"/>
      <c r="AA588" s="26" t="n"/>
      <c r="AB588" s="25" t="n"/>
      <c r="AC588" s="25" t="inlineStr">
        <is>
          <t>Open</t>
        </is>
      </c>
      <c r="AD588" s="25" t="inlineStr">
        <is>
          <t>2026-10-01</t>
        </is>
      </c>
      <c r="AE588" s="25" t="inlineStr">
        <is>
          <t>2027-03-15</t>
        </is>
      </c>
      <c r="AF588" s="25" t="inlineStr">
        <is>
          <t>No</t>
        </is>
      </c>
      <c r="AG588" s="28" t="inlineStr">
        <is>
          <t>https://sciences-techniques.univ-nantes.fr/formations/masters/master-informatique</t>
        </is>
      </c>
      <c r="AH588" s="26" t="inlineStr">
        <is>
          <t>Prérequis linguistiques : Niveau de français minimum : Pour le TCF, niveau B2 avec minimum 14/20 au test écrit - Attention : l’épreuve d’expression écrite ne fait pas partie du test standard du TCF. Il s’agit d’une épreu</t>
        </is>
      </c>
      <c r="AI588" s="28" t="inlineStr">
        <is>
          <t>Open in EEF</t>
        </is>
      </c>
    </row>
    <row r="589" ht="32.8" customHeight="1" s="19">
      <c r="A589" s="25" t="n">
        <v>588</v>
      </c>
      <c r="B589" s="25" t="inlineStr">
        <is>
          <t>★★★☆☆</t>
        </is>
      </c>
      <c r="C589" s="25" t="inlineStr">
        <is>
          <t>3 – Adjacent (AI/data/CS/cyber/energy)</t>
        </is>
      </c>
      <c r="D589" s="25" t="inlineStr">
        <is>
          <t>AI / Data science</t>
        </is>
      </c>
      <c r="E589" s="26" t="inlineStr">
        <is>
          <t>Master Informatique parcours Data Engineer</t>
        </is>
      </c>
      <c r="F589" s="26" t="inlineStr">
        <is>
          <t>Master Computer Science – track: Data Engineer</t>
        </is>
      </c>
      <c r="G589" s="25" t="inlineStr">
        <is>
          <t>Master indifférencié (recherche et professionnel)</t>
        </is>
      </c>
      <c r="H589" s="25" t="inlineStr">
        <is>
          <t>Faculté des Sciences et Techniques</t>
        </is>
      </c>
      <c r="I589" s="25" t="inlineStr">
        <is>
          <t>Université de Corse</t>
        </is>
      </c>
      <c r="J589" s="25" t="inlineStr">
        <is>
          <t>Site de Corte</t>
        </is>
      </c>
      <c r="K589" s="25" t="n"/>
      <c r="L589" s="25" t="inlineStr">
        <is>
          <t>Public university</t>
        </is>
      </c>
      <c r="M589" s="25" t="inlineStr">
        <is>
          <t>French</t>
        </is>
      </c>
      <c r="N589" s="25" t="inlineStr">
        <is>
          <t>General</t>
        </is>
      </c>
      <c r="O589" s="25" t="inlineStr">
        <is>
          <t>Bac +4 / Bac +5</t>
        </is>
      </c>
      <c r="P589" s="26" t="inlineStr">
        <is>
          <t>Eligible on level (4-yr BS ≈ Bac+4)</t>
        </is>
      </c>
      <c r="Q589" s="25" t="inlineStr">
        <is>
          <t>1/2</t>
        </is>
      </c>
      <c r="R589" s="25" t="inlineStr">
        <is>
          <t>12</t>
        </is>
      </c>
      <c r="S589" s="27" t="n">
        <v>3950</v>
      </c>
      <c r="T589" s="27" t="n">
        <v>255</v>
      </c>
      <c r="U589" s="25" t="n">
        <v>2</v>
      </c>
      <c r="V589" s="27">
        <f>IF(S589="","",S589*U589)</f>
        <v/>
      </c>
      <c r="W589" s="26" t="inlineStr">
        <is>
          <t>Catalogue: €3,950. = national differentiated master fee (2026-27: €3,950). Exemption to ~€255 possible (university quota).</t>
        </is>
      </c>
      <c r="X589" s="25" t="inlineStr">
        <is>
          <t>High</t>
        </is>
      </c>
      <c r="Y589" s="25" t="inlineStr">
        <is>
          <t>3950</t>
        </is>
      </c>
      <c r="Z589" s="26" t="n"/>
      <c r="AA589" s="26" t="n"/>
      <c r="AB589" s="25" t="n"/>
      <c r="AC589" s="25" t="inlineStr">
        <is>
          <t>Open</t>
        </is>
      </c>
      <c r="AD589" s="25" t="inlineStr">
        <is>
          <t>2026-10-01</t>
        </is>
      </c>
      <c r="AE589" s="25" t="inlineStr">
        <is>
          <t>2027-03-15</t>
        </is>
      </c>
      <c r="AF589" s="25" t="inlineStr">
        <is>
          <t>No</t>
        </is>
      </c>
      <c r="AG589" s="28" t="inlineStr">
        <is>
          <t>https://fst.universita.corsica/</t>
        </is>
      </c>
      <c r="AH589" s="26" t="inlineStr">
        <is>
          <t>Pour la 1ère année de Master : Niveau requis équivalent baccalauréat français série scientifique, avec entre 3 à 5 ans d'études post-bac en filière informatique orientée dans la programmation et le développement. Niveau</t>
        </is>
      </c>
      <c r="AI589" s="28" t="inlineStr">
        <is>
          <t>Open in EEF</t>
        </is>
      </c>
    </row>
    <row r="590" ht="32.8" customHeight="1" s="19">
      <c r="A590" s="25" t="n">
        <v>589</v>
      </c>
      <c r="B590" s="25" t="inlineStr">
        <is>
          <t>★★★☆☆</t>
        </is>
      </c>
      <c r="C590" s="25" t="inlineStr">
        <is>
          <t>3 – Adjacent (AI/data/CS/cyber/energy)</t>
        </is>
      </c>
      <c r="D590" s="25" t="inlineStr">
        <is>
          <t>Computer science / Software</t>
        </is>
      </c>
      <c r="E590" s="26" t="inlineStr">
        <is>
          <t>Master Informatique parcours Développeur Full Stack Web et Mobile</t>
        </is>
      </c>
      <c r="F590" s="26" t="inlineStr">
        <is>
          <t>Master Computer Science – track: Développeur Full Stack Web &amp; Mobile</t>
        </is>
      </c>
      <c r="G590" s="25" t="inlineStr">
        <is>
          <t>Master indifférencié (recherche et professionnel)</t>
        </is>
      </c>
      <c r="H590" s="25" t="inlineStr">
        <is>
          <t>Faculté des Sciences et Techniques</t>
        </is>
      </c>
      <c r="I590" s="25" t="inlineStr">
        <is>
          <t>Université de Corse</t>
        </is>
      </c>
      <c r="J590" s="25" t="inlineStr">
        <is>
          <t>Site de Corte</t>
        </is>
      </c>
      <c r="K590" s="25" t="n"/>
      <c r="L590" s="25" t="inlineStr">
        <is>
          <t>Public university</t>
        </is>
      </c>
      <c r="M590" s="25" t="inlineStr">
        <is>
          <t>French</t>
        </is>
      </c>
      <c r="N590" s="25" t="inlineStr">
        <is>
          <t>General</t>
        </is>
      </c>
      <c r="O590" s="25" t="inlineStr">
        <is>
          <t>Bac +4 / Bac +5</t>
        </is>
      </c>
      <c r="P590" s="26" t="inlineStr">
        <is>
          <t>Eligible on level (4-yr BS ≈ Bac+4)</t>
        </is>
      </c>
      <c r="Q590" s="25" t="inlineStr">
        <is>
          <t>1/2</t>
        </is>
      </c>
      <c r="R590" s="25" t="inlineStr">
        <is>
          <t>12</t>
        </is>
      </c>
      <c r="S590" s="27" t="n">
        <v>3950</v>
      </c>
      <c r="T590" s="27" t="n">
        <v>255</v>
      </c>
      <c r="U590" s="25" t="n">
        <v>2</v>
      </c>
      <c r="V590" s="27">
        <f>IF(S590="","",S590*U590)</f>
        <v/>
      </c>
      <c r="W590" s="26" t="inlineStr">
        <is>
          <t>Catalogue: €3,950. = national differentiated master fee (2026-27: €3,950). Exemption to ~€255 possible (university quota).</t>
        </is>
      </c>
      <c r="X590" s="25" t="inlineStr">
        <is>
          <t>High</t>
        </is>
      </c>
      <c r="Y590" s="25" t="inlineStr">
        <is>
          <t>3950</t>
        </is>
      </c>
      <c r="Z590" s="26" t="n"/>
      <c r="AA590" s="26" t="n"/>
      <c r="AB590" s="25" t="n"/>
      <c r="AC590" s="25" t="inlineStr">
        <is>
          <t>Open</t>
        </is>
      </c>
      <c r="AD590" s="25" t="inlineStr">
        <is>
          <t>2026-10-01</t>
        </is>
      </c>
      <c r="AE590" s="25" t="inlineStr">
        <is>
          <t>2027-03-15</t>
        </is>
      </c>
      <c r="AF590" s="25" t="inlineStr">
        <is>
          <t>No</t>
        </is>
      </c>
      <c r="AG590" s="28" t="inlineStr">
        <is>
          <t>https://fst.universita.corsica/</t>
        </is>
      </c>
      <c r="AH590" s="26" t="inlineStr">
        <is>
          <t>Pour la 1ère année de Master : Niveau requis équivalent baccalauréat français série scientifique, avec entre 3 à 5 ans d'études post-bac en filière informatique orientée dans la programmation et le développement. Niveau</t>
        </is>
      </c>
      <c r="AI590" s="28" t="inlineStr">
        <is>
          <t>Open in EEF</t>
        </is>
      </c>
    </row>
    <row r="591" ht="32.8" customHeight="1" s="19">
      <c r="A591" s="25" t="n">
        <v>590</v>
      </c>
      <c r="B591" s="25" t="inlineStr">
        <is>
          <t>★★★☆☆</t>
        </is>
      </c>
      <c r="C591" s="25" t="inlineStr">
        <is>
          <t>3 – Adjacent (AI/data/CS/cyber/energy)</t>
        </is>
      </c>
      <c r="D591" s="25" t="inlineStr">
        <is>
          <t>Computer science / Software</t>
        </is>
      </c>
      <c r="E591" s="26" t="inlineStr">
        <is>
          <t>Master Informatique parcours Informatique Théorique et Applications (ITA)</t>
        </is>
      </c>
      <c r="F591" s="26" t="inlineStr">
        <is>
          <t>Master Computer Science – track: Computer Science Théorique &amp; Applications (ITA)</t>
        </is>
      </c>
      <c r="G591" s="25" t="inlineStr">
        <is>
          <t>Master indifférencié (recherche et professionnel)</t>
        </is>
      </c>
      <c r="H591" s="25" t="inlineStr">
        <is>
          <t>UFR Sciences et Techniques</t>
        </is>
      </c>
      <c r="I591" s="25" t="inlineStr">
        <is>
          <t>Université de Rouen</t>
        </is>
      </c>
      <c r="J591" s="25" t="inlineStr">
        <is>
          <t>Saint-Etienne-du-Rouvray</t>
        </is>
      </c>
      <c r="K591" s="25" t="n"/>
      <c r="L591" s="25" t="inlineStr">
        <is>
          <t>Public university</t>
        </is>
      </c>
      <c r="M591" s="25" t="inlineStr">
        <is>
          <t>French</t>
        </is>
      </c>
      <c r="N591" s="25" t="inlineStr">
        <is>
          <t>General</t>
        </is>
      </c>
      <c r="O591" s="25" t="inlineStr">
        <is>
          <t>Bac +4 / Bac +5</t>
        </is>
      </c>
      <c r="P591" s="26" t="inlineStr">
        <is>
          <t>Eligible on level (4-yr BS ≈ Bac+4)</t>
        </is>
      </c>
      <c r="Q591" s="25" t="inlineStr">
        <is>
          <t>1/2</t>
        </is>
      </c>
      <c r="R591" s="25" t="inlineStr">
        <is>
          <t>10</t>
        </is>
      </c>
      <c r="S591" s="27" t="n">
        <v>3950</v>
      </c>
      <c r="T591" s="27" t="n">
        <v>255</v>
      </c>
      <c r="U591" s="25" t="n">
        <v>2</v>
      </c>
      <c r="V591" s="27">
        <f>IF(S591="","",S591*U591)</f>
        <v/>
      </c>
      <c r="W591" s="26" t="inlineStr">
        <is>
          <t>Catalogue: €3,950. = national differentiated master fee (2026-27: €3,950). Exemption to ~€255 possible (university quota).</t>
        </is>
      </c>
      <c r="X591" s="25" t="inlineStr">
        <is>
          <t>High</t>
        </is>
      </c>
      <c r="Y591" s="25" t="inlineStr">
        <is>
          <t>3950</t>
        </is>
      </c>
      <c r="Z591" s="26" t="n"/>
      <c r="AA591" s="26" t="inlineStr">
        <is>
          <t>Rouen: individual exemptions up to 30% quota, priority to social/economic hardship.</t>
        </is>
      </c>
      <c r="AB591" s="28" t="inlineStr">
        <is>
          <t>https://www.univ-rouen.fr/actualites/application-des-droits-dinscription-differencies-a-luniversite-de-rouen-normandie-a-compter-de-la-rentree-universitaire-2026-2027/</t>
        </is>
      </c>
      <c r="AC591" s="25" t="inlineStr">
        <is>
          <t>Open</t>
        </is>
      </c>
      <c r="AD591" s="25" t="inlineStr">
        <is>
          <t>2026-10-01</t>
        </is>
      </c>
      <c r="AE591" s="25" t="inlineStr">
        <is>
          <t>2027-03-15</t>
        </is>
      </c>
      <c r="AF591" s="25" t="inlineStr">
        <is>
          <t>No</t>
        </is>
      </c>
      <c r="AG591" s="28" t="inlineStr">
        <is>
          <t>http://sciences-techniques.univ-rouen.fr/</t>
        </is>
      </c>
      <c r="AH591" s="26" t="inlineStr">
        <is>
          <t>Master sur 2 ans. Le parcours ITA (Informatique Théorique et Applications) est proposé en 2ème année de Master après une année de Master 1 Informatique. Le Niveau de français C1 est requis. Pour l'admission en Master 2,</t>
        </is>
      </c>
      <c r="AI591" s="28" t="inlineStr">
        <is>
          <t>Open in EEF</t>
        </is>
      </c>
    </row>
    <row r="592" ht="32.8" customHeight="1" s="19">
      <c r="A592" s="25" t="n">
        <v>591</v>
      </c>
      <c r="B592" s="25" t="inlineStr">
        <is>
          <t>★★★☆☆</t>
        </is>
      </c>
      <c r="C592" s="25" t="inlineStr">
        <is>
          <t>3 – Adjacent (AI/data/CS/cyber/energy)</t>
        </is>
      </c>
      <c r="D592" s="25" t="inlineStr">
        <is>
          <t>Computer science / Software</t>
        </is>
      </c>
      <c r="E592" s="26" t="inlineStr">
        <is>
          <t>Master Informatique parcours Génie de l'Informatique Logicielle (GIL)</t>
        </is>
      </c>
      <c r="F592" s="26" t="inlineStr">
        <is>
          <t>Master Computer Science – track: Engineering of Computer Science Software (GIL)</t>
        </is>
      </c>
      <c r="G592" s="25" t="inlineStr">
        <is>
          <t>Master indifférencié (recherche et professionnel)</t>
        </is>
      </c>
      <c r="H592" s="25" t="inlineStr">
        <is>
          <t>UFR Sciences et Techniques</t>
        </is>
      </c>
      <c r="I592" s="25" t="inlineStr">
        <is>
          <t>Université de Rouen</t>
        </is>
      </c>
      <c r="J592" s="25" t="inlineStr">
        <is>
          <t>Saint-Etienne-du-Rouvray</t>
        </is>
      </c>
      <c r="K592" s="25" t="n"/>
      <c r="L592" s="25" t="inlineStr">
        <is>
          <t>Public university</t>
        </is>
      </c>
      <c r="M592" s="25" t="inlineStr">
        <is>
          <t>French</t>
        </is>
      </c>
      <c r="N592" s="25" t="inlineStr">
        <is>
          <t>General</t>
        </is>
      </c>
      <c r="O592" s="25" t="inlineStr">
        <is>
          <t>Bac +4 / Bac +5</t>
        </is>
      </c>
      <c r="P592" s="26" t="inlineStr">
        <is>
          <t>Eligible on level (4-yr BS ≈ Bac+4)</t>
        </is>
      </c>
      <c r="Q592" s="25" t="inlineStr">
        <is>
          <t>1/2</t>
        </is>
      </c>
      <c r="R592" s="25" t="inlineStr">
        <is>
          <t>10</t>
        </is>
      </c>
      <c r="S592" s="27" t="n">
        <v>3950</v>
      </c>
      <c r="T592" s="27" t="n">
        <v>255</v>
      </c>
      <c r="U592" s="25" t="n">
        <v>2</v>
      </c>
      <c r="V592" s="27">
        <f>IF(S592="","",S592*U592)</f>
        <v/>
      </c>
      <c r="W592" s="26" t="inlineStr">
        <is>
          <t>Catalogue: €3,950. = national differentiated master fee (2026-27: €3,950). Exemption to ~€255 possible (university quota).</t>
        </is>
      </c>
      <c r="X592" s="25" t="inlineStr">
        <is>
          <t>High</t>
        </is>
      </c>
      <c r="Y592" s="25" t="inlineStr">
        <is>
          <t>3950</t>
        </is>
      </c>
      <c r="Z592" s="26" t="n"/>
      <c r="AA592" s="26" t="inlineStr">
        <is>
          <t>Rouen: individual exemptions up to 30% quota, priority to social/economic hardship.</t>
        </is>
      </c>
      <c r="AB592" s="28" t="inlineStr">
        <is>
          <t>https://www.univ-rouen.fr/actualites/application-des-droits-dinscription-differencies-a-luniversite-de-rouen-normandie-a-compter-de-la-rentree-universitaire-2026-2027/</t>
        </is>
      </c>
      <c r="AC592" s="25" t="inlineStr">
        <is>
          <t>Open</t>
        </is>
      </c>
      <c r="AD592" s="25" t="inlineStr">
        <is>
          <t>2026-10-01</t>
        </is>
      </c>
      <c r="AE592" s="25" t="inlineStr">
        <is>
          <t>2027-03-15</t>
        </is>
      </c>
      <c r="AF592" s="25" t="inlineStr">
        <is>
          <t>No</t>
        </is>
      </c>
      <c r="AG592" s="28" t="inlineStr">
        <is>
          <t>http://sciences-techniques.univ-rouen.fr/</t>
        </is>
      </c>
      <c r="AH592" s="26" t="inlineStr">
        <is>
          <t>Ce parcours est proposé en 2ème année après une année de master 1 informatique avec une forte compostante en développement logiciel (gestion de projets, tests logiciels, developpement front-end, back-end, architectures d</t>
        </is>
      </c>
      <c r="AI592" s="28" t="inlineStr">
        <is>
          <t>Open in EEF</t>
        </is>
      </c>
    </row>
    <row r="593" ht="32.8" customHeight="1" s="19">
      <c r="A593" s="25" t="n">
        <v>592</v>
      </c>
      <c r="B593" s="25" t="inlineStr">
        <is>
          <t>★★★☆☆</t>
        </is>
      </c>
      <c r="C593" s="25" t="inlineStr">
        <is>
          <t>3 – Adjacent (AI/data/CS/cyber/energy)</t>
        </is>
      </c>
      <c r="D593" s="25" t="inlineStr">
        <is>
          <t>Cybersecurity</t>
        </is>
      </c>
      <c r="E593" s="26" t="inlineStr">
        <is>
          <t>Master Informatique parcours Sécurité des Systèmes Informatiques (SSI)</t>
        </is>
      </c>
      <c r="F593" s="26" t="inlineStr">
        <is>
          <t>Master Computer Science – track: Security of Systems Informatiques (SSI)</t>
        </is>
      </c>
      <c r="G593" s="25" t="inlineStr">
        <is>
          <t>Master indifférencié (recherche et professionnel)</t>
        </is>
      </c>
      <c r="H593" s="25" t="inlineStr">
        <is>
          <t>UFR Sciences et Techniques</t>
        </is>
      </c>
      <c r="I593" s="25" t="inlineStr">
        <is>
          <t>Université de Rouen</t>
        </is>
      </c>
      <c r="J593" s="25" t="inlineStr">
        <is>
          <t>Saint-Etienne-du-Rouvray</t>
        </is>
      </c>
      <c r="K593" s="25" t="n"/>
      <c r="L593" s="25" t="inlineStr">
        <is>
          <t>Public university</t>
        </is>
      </c>
      <c r="M593" s="25" t="inlineStr">
        <is>
          <t>French</t>
        </is>
      </c>
      <c r="N593" s="25" t="inlineStr">
        <is>
          <t>General</t>
        </is>
      </c>
      <c r="O593" s="25" t="inlineStr">
        <is>
          <t>Bac +4</t>
        </is>
      </c>
      <c r="P593" s="26" t="inlineStr">
        <is>
          <t>Eligible on level (4-yr BS ≈ Bac+4)</t>
        </is>
      </c>
      <c r="Q593" s="25" t="inlineStr">
        <is>
          <t>1</t>
        </is>
      </c>
      <c r="R593" s="25" t="inlineStr">
        <is>
          <t>10</t>
        </is>
      </c>
      <c r="S593" s="27" t="n">
        <v>3950</v>
      </c>
      <c r="T593" s="27" t="n">
        <v>255</v>
      </c>
      <c r="U593" s="25" t="n">
        <v>2</v>
      </c>
      <c r="V593" s="27">
        <f>IF(S593="","",S593*U593)</f>
        <v/>
      </c>
      <c r="W593" s="26" t="inlineStr">
        <is>
          <t>Catalogue: €3,950. = national differentiated master fee (2026-27: €3,950). Exemption to ~€255 possible (university quota).</t>
        </is>
      </c>
      <c r="X593" s="25" t="inlineStr">
        <is>
          <t>High</t>
        </is>
      </c>
      <c r="Y593" s="25" t="inlineStr">
        <is>
          <t>3950</t>
        </is>
      </c>
      <c r="Z593" s="26" t="n"/>
      <c r="AA593" s="26" t="inlineStr">
        <is>
          <t>Rouen: individual exemptions up to 30% quota, priority to social/economic hardship.</t>
        </is>
      </c>
      <c r="AB593" s="28" t="inlineStr">
        <is>
          <t>https://www.univ-rouen.fr/actualites/application-des-droits-dinscription-differencies-a-luniversite-de-rouen-normandie-a-compter-de-la-rentree-universitaire-2026-2027/</t>
        </is>
      </c>
      <c r="AC593" s="25" t="inlineStr">
        <is>
          <t>Open</t>
        </is>
      </c>
      <c r="AD593" s="25" t="inlineStr">
        <is>
          <t>2026-10-01</t>
        </is>
      </c>
      <c r="AE593" s="25" t="inlineStr">
        <is>
          <t>2027-03-15</t>
        </is>
      </c>
      <c r="AF593" s="25" t="inlineStr">
        <is>
          <t>No</t>
        </is>
      </c>
      <c r="AG593" s="28" t="inlineStr">
        <is>
          <t>http://sciences-techniques.univ-rouen.fr/</t>
        </is>
      </c>
      <c r="AH593" s="26" t="inlineStr">
        <is>
          <t>Master sur 2 ans. Le parcours SSI ( Sécurité des Systèmes Informatiques) est proposé en 2ème année de Master après 1 an de Master Informatique. Pour le M1, un niveau de licence d'informatique fondamentale est requis. Le</t>
        </is>
      </c>
      <c r="AI593" s="28" t="inlineStr">
        <is>
          <t>Open in EEF</t>
        </is>
      </c>
    </row>
    <row r="594" ht="43.25" customHeight="1" s="19">
      <c r="A594" s="25" t="n">
        <v>593</v>
      </c>
      <c r="B594" s="25" t="inlineStr">
        <is>
          <t>★★★☆☆</t>
        </is>
      </c>
      <c r="C594" s="25" t="inlineStr">
        <is>
          <t>3 – Adjacent (AI/data/CS/cyber/energy)</t>
        </is>
      </c>
      <c r="D594" s="25" t="inlineStr">
        <is>
          <t>AI / Data science</t>
        </is>
      </c>
      <c r="E594" s="26" t="inlineStr">
        <is>
          <t>Master Sciences de la santé mention Santé publique parcours Data science en santé.</t>
        </is>
      </c>
      <c r="F594" s="26" t="inlineStr">
        <is>
          <t>Master Sciences of the Health – major: Health Public – track: Data Science in Health.</t>
        </is>
      </c>
      <c r="G594" s="25" t="inlineStr">
        <is>
          <t>Master indifférencié (recherche et professionnel)</t>
        </is>
      </c>
      <c r="H594" s="25" t="inlineStr">
        <is>
          <t>UFR des sciences de la santé et du sport</t>
        </is>
      </c>
      <c r="I594" s="25" t="inlineStr">
        <is>
          <t>Université de Lille</t>
        </is>
      </c>
      <c r="J594" s="25" t="inlineStr">
        <is>
          <t>ILIS - Faculté d'Ingénierie et Management de la Santé</t>
        </is>
      </c>
      <c r="K594" s="25" t="inlineStr">
        <is>
          <t>59120 LOOS</t>
        </is>
      </c>
      <c r="L594" s="25" t="inlineStr">
        <is>
          <t>Public university</t>
        </is>
      </c>
      <c r="M594" s="25" t="inlineStr">
        <is>
          <t>French</t>
        </is>
      </c>
      <c r="N594" s="25" t="inlineStr">
        <is>
          <t>General</t>
        </is>
      </c>
      <c r="O594" s="25" t="inlineStr">
        <is>
          <t>Bac +4 / Bac +5</t>
        </is>
      </c>
      <c r="P594" s="26" t="inlineStr">
        <is>
          <t>Eligible on level (4-yr BS ≈ Bac+4)</t>
        </is>
      </c>
      <c r="Q594" s="25" t="inlineStr">
        <is>
          <t>1/2</t>
        </is>
      </c>
      <c r="R594" s="25" t="n"/>
      <c r="S594" s="27" t="n">
        <v>3950</v>
      </c>
      <c r="T594" s="27" t="n">
        <v>255</v>
      </c>
      <c r="U594" s="25" t="n">
        <v>2</v>
      </c>
      <c r="V594" s="27">
        <f>IF(S594="","",S594*U594)</f>
        <v/>
      </c>
      <c r="W594" s="26" t="inlineStr">
        <is>
          <t>Catalogue: €3,950. = national differentiated master fee (2026-27: €3,950). Exemption to ~€255 possible (university quota).</t>
        </is>
      </c>
      <c r="X594" s="25" t="inlineStr">
        <is>
          <t>High</t>
        </is>
      </c>
      <c r="Y594" s="25" t="inlineStr">
        <is>
          <t>3950</t>
        </is>
      </c>
      <c r="Z594" s="26" t="n"/>
      <c r="AA594" s="26" t="inlineStr">
        <is>
          <t>Lille opposed the decree; continues exemptions for part of non-EU students (master €254 if exempted). Apply for exemption early.</t>
        </is>
      </c>
      <c r="AB594" s="28" t="inlineStr">
        <is>
          <t>https://observalgerie.com/2026/06/13/misc/frais-dinscription-en-france-lille-maintient-un-avantage-pour-les-etudiants-etrangers/</t>
        </is>
      </c>
      <c r="AC594" s="25" t="inlineStr">
        <is>
          <t>Open</t>
        </is>
      </c>
      <c r="AD594" s="25" t="inlineStr">
        <is>
          <t>2026-10-01</t>
        </is>
      </c>
      <c r="AE594" s="25" t="inlineStr">
        <is>
          <t>2027-03-15</t>
        </is>
      </c>
      <c r="AF594" s="25" t="inlineStr">
        <is>
          <t>No</t>
        </is>
      </c>
      <c r="AG594" s="28" t="inlineStr">
        <is>
          <t>https://formation.univ-lille.fr/fr/offre-de-formation/master-lmd-XB/master-sante-publique-MG192720/data-science-en-sante-m1-m2-MX192721.html</t>
        </is>
      </c>
      <c r="AH594" s="26" t="inlineStr">
        <is>
          <t>Pour le M1 : Disposer d’un socle suffisant soit en Sciences pour la Santé et Sciences du Vivant, soit en Physique, Informatique ou encore en Mathématiques.Disposer d'expériences personnelles et ou professionnelles ou une</t>
        </is>
      </c>
      <c r="AI594" s="28" t="inlineStr">
        <is>
          <t>Open in EEF</t>
        </is>
      </c>
    </row>
    <row r="595" ht="22.35" customHeight="1" s="19">
      <c r="A595" s="25" t="n">
        <v>594</v>
      </c>
      <c r="B595" s="25" t="inlineStr">
        <is>
          <t>★★★☆☆</t>
        </is>
      </c>
      <c r="C595" s="25" t="inlineStr">
        <is>
          <t>3 – Adjacent (AI/data/CS/cyber/energy)</t>
        </is>
      </c>
      <c r="D595" s="25" t="inlineStr">
        <is>
          <t>Computer science / Software</t>
        </is>
      </c>
      <c r="E595" s="26" t="inlineStr">
        <is>
          <t>Master Sciences, technologies et santé, mention Informatique</t>
        </is>
      </c>
      <c r="F595" s="26" t="inlineStr">
        <is>
          <t>Master Sciences, Technologies &amp; Health, – major: Computer Science</t>
        </is>
      </c>
      <c r="G595" s="25" t="inlineStr">
        <is>
          <t>Master indifférencié (recherche et professionnel)</t>
        </is>
      </c>
      <c r="H595" s="25" t="inlineStr">
        <is>
          <t>UFR des sciences et technologie</t>
        </is>
      </c>
      <c r="I595" s="25" t="inlineStr">
        <is>
          <t>Université Paris-Est Créteil Val-de-Marne</t>
        </is>
      </c>
      <c r="J595" s="25" t="inlineStr">
        <is>
          <t>Site de Créteil</t>
        </is>
      </c>
      <c r="K595" s="25" t="n"/>
      <c r="L595" s="25" t="inlineStr">
        <is>
          <t>Public university</t>
        </is>
      </c>
      <c r="M595" s="25" t="inlineStr">
        <is>
          <t>French</t>
        </is>
      </c>
      <c r="N595" s="25" t="inlineStr">
        <is>
          <t>General</t>
        </is>
      </c>
      <c r="O595" s="25" t="inlineStr">
        <is>
          <t>Bac +4 / Bac +5</t>
        </is>
      </c>
      <c r="P595" s="26" t="inlineStr">
        <is>
          <t>Eligible on level (4-yr BS ≈ Bac+4)</t>
        </is>
      </c>
      <c r="Q595" s="25" t="inlineStr">
        <is>
          <t>1/2</t>
        </is>
      </c>
      <c r="R595" s="25" t="n"/>
      <c r="S595" s="27" t="n">
        <v>3950</v>
      </c>
      <c r="T595" s="27" t="n">
        <v>255</v>
      </c>
      <c r="U595" s="25" t="n">
        <v>2</v>
      </c>
      <c r="V595" s="27">
        <f>IF(S595="","",S595*U595)</f>
        <v/>
      </c>
      <c r="W595" s="26" t="inlineStr">
        <is>
          <t>Catalogue: €3,950. = national differentiated master fee (2026-27: €3,950). Exemption to ~€255 possible (university quota).</t>
        </is>
      </c>
      <c r="X595" s="25" t="inlineStr">
        <is>
          <t>High</t>
        </is>
      </c>
      <c r="Y595" s="25" t="inlineStr">
        <is>
          <t>3950</t>
        </is>
      </c>
      <c r="Z595" s="26" t="n"/>
      <c r="AA595" s="26" t="n"/>
      <c r="AB595" s="25" t="n"/>
      <c r="AC595" s="25" t="inlineStr">
        <is>
          <t>Open</t>
        </is>
      </c>
      <c r="AD595" s="25" t="inlineStr">
        <is>
          <t>2026-10-01</t>
        </is>
      </c>
      <c r="AE595" s="25" t="inlineStr">
        <is>
          <t>2027-03-15</t>
        </is>
      </c>
      <c r="AF595" s="25" t="inlineStr">
        <is>
          <t>No</t>
        </is>
      </c>
      <c r="AG595" s="28" t="inlineStr">
        <is>
          <t>http://sciences-tech.u-pec.fr</t>
        </is>
      </c>
      <c r="AH595" s="26" t="n"/>
      <c r="AI595" s="28" t="inlineStr">
        <is>
          <t>Open in EEF</t>
        </is>
      </c>
    </row>
    <row r="596" ht="32.8" customHeight="1" s="19">
      <c r="A596" s="25" t="n">
        <v>595</v>
      </c>
      <c r="B596" s="25" t="inlineStr">
        <is>
          <t>★★★☆☆</t>
        </is>
      </c>
      <c r="C596" s="25" t="inlineStr">
        <is>
          <t>3 – Adjacent (AI/data/CS/cyber/energy)</t>
        </is>
      </c>
      <c r="D596" s="25" t="inlineStr">
        <is>
          <t>Computer science / Software</t>
        </is>
      </c>
      <c r="E596" s="26" t="inlineStr">
        <is>
          <t>Master Sciences, technologies, santé, mention Information et médiation scientifique et technique parcours Médiation science et société : recherche et innovation participatives</t>
        </is>
      </c>
      <c r="F596" s="26" t="inlineStr">
        <is>
          <t>Master Science, Technology, Health (STS), – major: Information &amp; médiation Scientific &amp; technique – track: Médiation Science &amp; Society : Research &amp; innovation participatives</t>
        </is>
      </c>
      <c r="G596" s="25" t="inlineStr">
        <is>
          <t>Master indifférencié (recherche et professionnel)</t>
        </is>
      </c>
      <c r="H596" s="25" t="inlineStr">
        <is>
          <t>UFR DES SCIENCES (CAMPUS 1 - Portail Biologie Sciences Terre)</t>
        </is>
      </c>
      <c r="I596" s="25" t="inlineStr">
        <is>
          <t>Université Caen Normandie</t>
        </is>
      </c>
      <c r="J596" s="25" t="inlineStr">
        <is>
          <t>Site de Caen Campus 1</t>
        </is>
      </c>
      <c r="K596" s="25" t="inlineStr">
        <is>
          <t>14032 CAEN CEDEX</t>
        </is>
      </c>
      <c r="L596" s="25" t="inlineStr">
        <is>
          <t>Public university</t>
        </is>
      </c>
      <c r="M596" s="25" t="inlineStr">
        <is>
          <t>French</t>
        </is>
      </c>
      <c r="N596" s="25" t="inlineStr">
        <is>
          <t>General</t>
        </is>
      </c>
      <c r="O596" s="25" t="inlineStr">
        <is>
          <t>Bac +4</t>
        </is>
      </c>
      <c r="P596" s="26" t="inlineStr">
        <is>
          <t>Eligible on level (4-yr BS ≈ Bac+4)</t>
        </is>
      </c>
      <c r="Q596" s="25" t="inlineStr">
        <is>
          <t>1</t>
        </is>
      </c>
      <c r="R596" s="25" t="n"/>
      <c r="S596" s="27" t="n">
        <v>3950</v>
      </c>
      <c r="T596" s="27" t="n">
        <v>255</v>
      </c>
      <c r="U596" s="25" t="n">
        <v>2</v>
      </c>
      <c r="V596" s="27">
        <f>IF(S596="","",S596*U596)</f>
        <v/>
      </c>
      <c r="W596" s="26" t="inlineStr">
        <is>
          <t>Catalogue: €3,950. = national differentiated master fee (2026-27: €3,950). Exemption to ~€255 possible (university quota).</t>
        </is>
      </c>
      <c r="X596" s="25" t="inlineStr">
        <is>
          <t>High</t>
        </is>
      </c>
      <c r="Y596" s="25" t="inlineStr">
        <is>
          <t>3950</t>
        </is>
      </c>
      <c r="Z596" s="26" t="n"/>
      <c r="AA596" s="26" t="n"/>
      <c r="AB596" s="25" t="n"/>
      <c r="AC596" s="25" t="inlineStr">
        <is>
          <t>Open</t>
        </is>
      </c>
      <c r="AD596" s="25" t="inlineStr">
        <is>
          <t>2026-10-01</t>
        </is>
      </c>
      <c r="AE596" s="25" t="inlineStr">
        <is>
          <t>2027-03-15</t>
        </is>
      </c>
      <c r="AF596" s="25" t="inlineStr">
        <is>
          <t>No</t>
        </is>
      </c>
      <c r="AG596" s="28" t="inlineStr">
        <is>
          <t>https://ufr-sciences.unicaen.fr/</t>
        </is>
      </c>
      <c r="AH596" s="26" t="inlineStr">
        <is>
          <t>Niveau minimum de connaissance du français exigé : C2 Master 1 : Cette formation est ouverte aux étudiants titulaires à minima d'une licence de Sciences et/ou de sciences humaines et sociales. La sélection des candidtas</t>
        </is>
      </c>
      <c r="AI596" s="28" t="inlineStr">
        <is>
          <t>Open in EEF</t>
        </is>
      </c>
    </row>
    <row r="597" ht="32.8" customHeight="1" s="19">
      <c r="A597" s="25" t="n">
        <v>596</v>
      </c>
      <c r="B597" s="25" t="inlineStr">
        <is>
          <t>★★★☆☆</t>
        </is>
      </c>
      <c r="C597" s="25" t="inlineStr">
        <is>
          <t>3 – Adjacent (AI/data/CS/cyber/energy)</t>
        </is>
      </c>
      <c r="D597" s="25" t="inlineStr">
        <is>
          <t>Computer science / Software</t>
        </is>
      </c>
      <c r="E597" s="26" t="inlineStr">
        <is>
          <t>Master Sciences, technologies, santé mention informatique</t>
        </is>
      </c>
      <c r="F597" s="26" t="inlineStr">
        <is>
          <t>Master Science, Technology, Health (STS) – major: Computer Science</t>
        </is>
      </c>
      <c r="G597" s="25" t="inlineStr">
        <is>
          <t>Master indifférencié (recherche et professionnel)</t>
        </is>
      </c>
      <c r="H597" s="25" t="inlineStr">
        <is>
          <t>Institut de la communication</t>
        </is>
      </c>
      <c r="I597" s="25" t="inlineStr">
        <is>
          <t>Université Lumière - Lyon 2</t>
        </is>
      </c>
      <c r="J597" s="25" t="inlineStr">
        <is>
          <t>Site de Bron</t>
        </is>
      </c>
      <c r="K597" s="25" t="n"/>
      <c r="L597" s="25" t="inlineStr">
        <is>
          <t>Public school / institute</t>
        </is>
      </c>
      <c r="M597" s="25" t="inlineStr">
        <is>
          <t>French</t>
        </is>
      </c>
      <c r="N597" s="25" t="inlineStr">
        <is>
          <t>General</t>
        </is>
      </c>
      <c r="O597" s="25" t="inlineStr">
        <is>
          <t>Bac +4</t>
        </is>
      </c>
      <c r="P597" s="26" t="inlineStr">
        <is>
          <t>Eligible on level (4-yr BS ≈ Bac+4)</t>
        </is>
      </c>
      <c r="Q597" s="25" t="inlineStr">
        <is>
          <t>1</t>
        </is>
      </c>
      <c r="R597" s="25" t="n"/>
      <c r="S597" s="27" t="n">
        <v>3950</v>
      </c>
      <c r="T597" s="27" t="n">
        <v>255</v>
      </c>
      <c r="U597" s="25" t="n">
        <v>2</v>
      </c>
      <c r="V597" s="27">
        <f>IF(S597="","",S597*U597)</f>
        <v/>
      </c>
      <c r="W597" s="26" t="inlineStr">
        <is>
          <t>Catalogue: €3,950. = national differentiated master fee (2026-27: €3,950). Exemption to ~€255 possible (university quota).</t>
        </is>
      </c>
      <c r="X597" s="25" t="inlineStr">
        <is>
          <t>High</t>
        </is>
      </c>
      <c r="Y597" s="25" t="inlineStr">
        <is>
          <t>3950</t>
        </is>
      </c>
      <c r="Z597" s="26" t="n"/>
      <c r="AA597" s="26" t="n"/>
      <c r="AB597" s="25" t="n"/>
      <c r="AC597" s="25" t="inlineStr">
        <is>
          <t>Open</t>
        </is>
      </c>
      <c r="AD597" s="25" t="inlineStr">
        <is>
          <t>2026-10-01</t>
        </is>
      </c>
      <c r="AE597" s="25" t="inlineStr">
        <is>
          <t>2027-03-15</t>
        </is>
      </c>
      <c r="AF597" s="25" t="inlineStr">
        <is>
          <t>No</t>
        </is>
      </c>
      <c r="AG597" s="28" t="inlineStr">
        <is>
          <t>https://www.univ-lyon2.fr/catalogue-des-formations/master-informatique</t>
        </is>
      </c>
      <c r="AH597" s="26" t="inlineStr">
        <is>
          <t>C1 en français exigé. Les étudiants provenant des pays où le français est la ou l'une des langues officielles ne sont pas dispensés du test de français. Excellent niveau en informatique pas défaillant sur études en Franc</t>
        </is>
      </c>
      <c r="AI597" s="28" t="inlineStr">
        <is>
          <t>Open in EEF</t>
        </is>
      </c>
    </row>
    <row r="598" ht="32.8" customHeight="1" s="19">
      <c r="A598" s="25" t="n">
        <v>597</v>
      </c>
      <c r="B598" s="25" t="inlineStr">
        <is>
          <t>★★★☆☆</t>
        </is>
      </c>
      <c r="C598" s="25" t="inlineStr">
        <is>
          <t>3 – Adjacent (AI/data/CS/cyber/energy)</t>
        </is>
      </c>
      <c r="D598" s="25" t="inlineStr">
        <is>
          <t>Computer science / Software</t>
        </is>
      </c>
      <c r="E598" s="26" t="inlineStr">
        <is>
          <t>Master Sciences, technologies, santé mention informatique</t>
        </is>
      </c>
      <c r="F598" s="26" t="inlineStr">
        <is>
          <t>Master Science, Technology, Health (STS) – major: Computer Science</t>
        </is>
      </c>
      <c r="G598" s="25" t="inlineStr">
        <is>
          <t>Master indifférencié (recherche et professionnel)</t>
        </is>
      </c>
      <c r="H598" s="25" t="inlineStr">
        <is>
          <t>UFR des sciences et technologie</t>
        </is>
      </c>
      <c r="I598" s="25" t="inlineStr">
        <is>
          <t>Université Paris-Est Créteil Val-de-Marne</t>
        </is>
      </c>
      <c r="J598" s="25" t="inlineStr">
        <is>
          <t>Site de Créteil</t>
        </is>
      </c>
      <c r="K598" s="25" t="n"/>
      <c r="L598" s="25" t="inlineStr">
        <is>
          <t>Public university</t>
        </is>
      </c>
      <c r="M598" s="25" t="inlineStr">
        <is>
          <t>French</t>
        </is>
      </c>
      <c r="N598" s="25" t="inlineStr">
        <is>
          <t>General</t>
        </is>
      </c>
      <c r="O598" s="25" t="inlineStr">
        <is>
          <t>Bac +4</t>
        </is>
      </c>
      <c r="P598" s="26" t="inlineStr">
        <is>
          <t>Eligible on level (4-yr BS ≈ Bac+4)</t>
        </is>
      </c>
      <c r="Q598" s="25" t="inlineStr">
        <is>
          <t>1</t>
        </is>
      </c>
      <c r="R598" s="25" t="inlineStr">
        <is>
          <t>11</t>
        </is>
      </c>
      <c r="S598" s="27" t="n">
        <v>3950</v>
      </c>
      <c r="T598" s="27" t="n">
        <v>255</v>
      </c>
      <c r="U598" s="25" t="n">
        <v>2</v>
      </c>
      <c r="V598" s="27">
        <f>IF(S598="","",S598*U598)</f>
        <v/>
      </c>
      <c r="W598" s="26" t="inlineStr">
        <is>
          <t>Catalogue: €3,950. = national differentiated master fee (2026-27: €3,950). Exemption to ~€255 possible (university quota).</t>
        </is>
      </c>
      <c r="X598" s="25" t="inlineStr">
        <is>
          <t>High</t>
        </is>
      </c>
      <c r="Y598" s="25" t="inlineStr">
        <is>
          <t>3950</t>
        </is>
      </c>
      <c r="Z598" s="26" t="n"/>
      <c r="AA598" s="26" t="n"/>
      <c r="AB598" s="25" t="n"/>
      <c r="AC598" s="25" t="inlineStr">
        <is>
          <t>Open</t>
        </is>
      </c>
      <c r="AD598" s="25" t="inlineStr">
        <is>
          <t>2026-10-01</t>
        </is>
      </c>
      <c r="AE598" s="25" t="inlineStr">
        <is>
          <t>2027-03-15</t>
        </is>
      </c>
      <c r="AF598" s="25" t="inlineStr">
        <is>
          <t>No</t>
        </is>
      </c>
      <c r="AG598" s="28" t="inlineStr">
        <is>
          <t>http://sciences-tech.u-pec.fr</t>
        </is>
      </c>
      <c r="AH598" s="26" t="inlineStr">
        <is>
          <t>C1 ou C2 Algorithmes et complexité Programmation en Java et C Systèmes Réseaux Bonjour Tout recours doit se faire par mail à l’adresse suivante : Recours-fst@u-pec.fr Les recours en dehors de cette adresse mails ne seron</t>
        </is>
      </c>
      <c r="AI598" s="28" t="inlineStr">
        <is>
          <t>Open in EEF</t>
        </is>
      </c>
    </row>
    <row r="599" ht="32.8" customHeight="1" s="19">
      <c r="A599" s="25" t="n">
        <v>598</v>
      </c>
      <c r="B599" s="25" t="inlineStr">
        <is>
          <t>★★★☆☆</t>
        </is>
      </c>
      <c r="C599" s="25" t="inlineStr">
        <is>
          <t>3 – Adjacent (AI/data/CS/cyber/energy)</t>
        </is>
      </c>
      <c r="D599" s="25" t="inlineStr">
        <is>
          <t>Computer science / Software</t>
        </is>
      </c>
      <c r="E599" s="26" t="inlineStr">
        <is>
          <t>Master Sciences, technologies, santé mention informatique</t>
        </is>
      </c>
      <c r="F599" s="26" t="inlineStr">
        <is>
          <t>Master Science, Technology, Health (STS) – major: Computer Science</t>
        </is>
      </c>
      <c r="G599" s="25" t="inlineStr">
        <is>
          <t>Master indifférencié (recherche et professionnel)</t>
        </is>
      </c>
      <c r="H599" s="25" t="inlineStr">
        <is>
          <t>Institut Galilée</t>
        </is>
      </c>
      <c r="I599" s="25" t="inlineStr">
        <is>
          <t>Université Sorbonne Paris Nord</t>
        </is>
      </c>
      <c r="J599" s="25" t="inlineStr">
        <is>
          <t>Site de Villetaneuse</t>
        </is>
      </c>
      <c r="K599" s="25" t="n"/>
      <c r="L599" s="25" t="inlineStr">
        <is>
          <t>Public school / institute</t>
        </is>
      </c>
      <c r="M599" s="25" t="inlineStr">
        <is>
          <t>French</t>
        </is>
      </c>
      <c r="N599" s="25" t="inlineStr">
        <is>
          <t>General</t>
        </is>
      </c>
      <c r="O599" s="25" t="inlineStr">
        <is>
          <t>Bac +4</t>
        </is>
      </c>
      <c r="P599" s="26" t="inlineStr">
        <is>
          <t>Eligible on level (4-yr BS ≈ Bac+4)</t>
        </is>
      </c>
      <c r="Q599" s="25" t="inlineStr">
        <is>
          <t>1</t>
        </is>
      </c>
      <c r="R599" s="25" t="inlineStr">
        <is>
          <t>12</t>
        </is>
      </c>
      <c r="S599" s="27" t="n">
        <v>3950</v>
      </c>
      <c r="T599" s="27" t="n">
        <v>255</v>
      </c>
      <c r="U599" s="25" t="n">
        <v>2</v>
      </c>
      <c r="V599" s="27">
        <f>IF(S599="","",S599*U599)</f>
        <v/>
      </c>
      <c r="W599" s="26" t="inlineStr">
        <is>
          <t>Catalogue: €3,950. = national differentiated master fee (2026-27: €3,950). Exemption to ~€255 possible (university quota).</t>
        </is>
      </c>
      <c r="X599" s="25" t="inlineStr">
        <is>
          <t>High</t>
        </is>
      </c>
      <c r="Y599" s="25" t="inlineStr">
        <is>
          <t>3950</t>
        </is>
      </c>
      <c r="Z599" s="26" t="n"/>
      <c r="AA599" s="26" t="n"/>
      <c r="AB599" s="25" t="n"/>
      <c r="AC599" s="25" t="inlineStr">
        <is>
          <t>Open</t>
        </is>
      </c>
      <c r="AD599" s="25" t="inlineStr">
        <is>
          <t>2026-10-01</t>
        </is>
      </c>
      <c r="AE599" s="25" t="inlineStr">
        <is>
          <t>2027-03-15</t>
        </is>
      </c>
      <c r="AF599" s="25" t="inlineStr">
        <is>
          <t>No</t>
        </is>
      </c>
      <c r="AG599" s="28" t="inlineStr">
        <is>
          <t>https://galilee.univ-paris13.fr/master/master-informatique/</t>
        </is>
      </c>
      <c r="AH599" s="26" t="inlineStr">
        <is>
          <t>Niveau TCF Minimun B2 bon niveau d'anglais Entrée en master 1 : etre titulaire d'une licence informatique ou équivalent bac+3 bon niveau en programmation, probabilités statistiques, logique.</t>
        </is>
      </c>
      <c r="AI599" s="28" t="inlineStr">
        <is>
          <t>Open in EEF</t>
        </is>
      </c>
    </row>
    <row r="600" ht="22.35" customHeight="1" s="19">
      <c r="A600" s="25" t="n">
        <v>599</v>
      </c>
      <c r="B600" s="25" t="inlineStr">
        <is>
          <t>★★★☆☆</t>
        </is>
      </c>
      <c r="C600" s="25" t="inlineStr">
        <is>
          <t>3 – Adjacent (AI/data/CS/cyber/energy)</t>
        </is>
      </c>
      <c r="D600" s="25" t="inlineStr">
        <is>
          <t>Computer science / Software</t>
        </is>
      </c>
      <c r="E600" s="26" t="inlineStr">
        <is>
          <t>Master Sciences, technologies, santé mention Informatique</t>
        </is>
      </c>
      <c r="F600" s="26" t="inlineStr">
        <is>
          <t>Master Science, Technology, Health (STS) – major: Computer Science</t>
        </is>
      </c>
      <c r="G600" s="25" t="inlineStr">
        <is>
          <t>Master indifférencié (recherche et professionnel)</t>
        </is>
      </c>
      <c r="H600" s="25" t="inlineStr">
        <is>
          <t>Faculté des sciences Jean Perrin</t>
        </is>
      </c>
      <c r="I600" s="25" t="inlineStr">
        <is>
          <t>Université d'Artois</t>
        </is>
      </c>
      <c r="J600" s="25" t="inlineStr">
        <is>
          <t>Site de Lens</t>
        </is>
      </c>
      <c r="K600" s="25" t="n"/>
      <c r="L600" s="25" t="inlineStr">
        <is>
          <t>Public university</t>
        </is>
      </c>
      <c r="M600" s="25" t="inlineStr">
        <is>
          <t>French</t>
        </is>
      </c>
      <c r="N600" s="25" t="inlineStr">
        <is>
          <t>General</t>
        </is>
      </c>
      <c r="O600" s="25" t="inlineStr">
        <is>
          <t>Bac +4</t>
        </is>
      </c>
      <c r="P600" s="26" t="inlineStr">
        <is>
          <t>Eligible on level (4-yr BS ≈ Bac+4)</t>
        </is>
      </c>
      <c r="Q600" s="25" t="inlineStr">
        <is>
          <t>1</t>
        </is>
      </c>
      <c r="R600" s="25" t="n"/>
      <c r="S600" s="27" t="n">
        <v>3950</v>
      </c>
      <c r="T600" s="27" t="n">
        <v>255</v>
      </c>
      <c r="U600" s="25" t="n">
        <v>2</v>
      </c>
      <c r="V600" s="27">
        <f>IF(S600="","",S600*U600)</f>
        <v/>
      </c>
      <c r="W600" s="26" t="inlineStr">
        <is>
          <t>Catalogue: €3,950. = national differentiated master fee (2026-27: €3,950). Exemption to ~€255 possible (university quota).</t>
        </is>
      </c>
      <c r="X600" s="25" t="inlineStr">
        <is>
          <t>High</t>
        </is>
      </c>
      <c r="Y600" s="25" t="inlineStr">
        <is>
          <t>3950</t>
        </is>
      </c>
      <c r="Z600" s="26" t="n"/>
      <c r="AA600" s="26" t="n"/>
      <c r="AB600" s="25" t="n"/>
      <c r="AC600" s="25" t="inlineStr">
        <is>
          <t>Open</t>
        </is>
      </c>
      <c r="AD600" s="25" t="inlineStr">
        <is>
          <t>2026-10-01</t>
        </is>
      </c>
      <c r="AE600" s="25" t="inlineStr">
        <is>
          <t>2027-03-15</t>
        </is>
      </c>
      <c r="AF600" s="25" t="inlineStr">
        <is>
          <t>No</t>
        </is>
      </c>
      <c r="AG600" s="28" t="inlineStr">
        <is>
          <t>https://www.sciences.univ-artois.fr/</t>
        </is>
      </c>
      <c r="AH600" s="26" t="inlineStr">
        <is>
          <t>Niveau de connaissance de la langue française : B2 du cadre européen</t>
        </is>
      </c>
      <c r="AI600" s="28" t="inlineStr">
        <is>
          <t>Open in EEF</t>
        </is>
      </c>
    </row>
    <row r="601" ht="32.8" customHeight="1" s="19">
      <c r="A601" s="25" t="n">
        <v>600</v>
      </c>
      <c r="B601" s="25" t="inlineStr">
        <is>
          <t>★★★☆☆</t>
        </is>
      </c>
      <c r="C601" s="25" t="inlineStr">
        <is>
          <t>3 – Adjacent (AI/data/CS/cyber/energy)</t>
        </is>
      </c>
      <c r="D601" s="25" t="inlineStr">
        <is>
          <t>Computer science / Software</t>
        </is>
      </c>
      <c r="E601" s="26" t="inlineStr">
        <is>
          <t>Master Sciences, technologies, santé, mention Informatique</t>
        </is>
      </c>
      <c r="F601" s="26" t="inlineStr">
        <is>
          <t>Master Science, Technology, Health (STS), – major: Computer Science</t>
        </is>
      </c>
      <c r="G601" s="25" t="inlineStr">
        <is>
          <t>Master indifférencié (recherche et professionnel)</t>
        </is>
      </c>
      <c r="H601" s="25" t="inlineStr">
        <is>
          <t>UFR des sciences et techniques</t>
        </is>
      </c>
      <c r="I601" s="25" t="inlineStr">
        <is>
          <t>Université du Havre</t>
        </is>
      </c>
      <c r="J601" s="25" t="inlineStr">
        <is>
          <t>Site de Le Havre</t>
        </is>
      </c>
      <c r="K601" s="25" t="n"/>
      <c r="L601" s="25" t="inlineStr">
        <is>
          <t>Public university</t>
        </is>
      </c>
      <c r="M601" s="25" t="inlineStr">
        <is>
          <t>French</t>
        </is>
      </c>
      <c r="N601" s="25" t="inlineStr">
        <is>
          <t>General</t>
        </is>
      </c>
      <c r="O601" s="25" t="inlineStr">
        <is>
          <t>Bac +4 / Bac +5</t>
        </is>
      </c>
      <c r="P601" s="26" t="inlineStr">
        <is>
          <t>Eligible on level (4-yr BS ≈ Bac+4)</t>
        </is>
      </c>
      <c r="Q601" s="25" t="inlineStr">
        <is>
          <t>1/2</t>
        </is>
      </c>
      <c r="R601" s="25" t="n"/>
      <c r="S601" s="27" t="n">
        <v>3950</v>
      </c>
      <c r="T601" s="27" t="n">
        <v>255</v>
      </c>
      <c r="U601" s="25" t="n">
        <v>2</v>
      </c>
      <c r="V601" s="27">
        <f>IF(S601="","",S601*U601)</f>
        <v/>
      </c>
      <c r="W601" s="26" t="inlineStr">
        <is>
          <t>Catalogue: €3,950. = national differentiated master fee (2026-27: €3,950). Exemption to ~€255 possible (university quota).</t>
        </is>
      </c>
      <c r="X601" s="25" t="inlineStr">
        <is>
          <t>High</t>
        </is>
      </c>
      <c r="Y601" s="25" t="inlineStr">
        <is>
          <t>3950</t>
        </is>
      </c>
      <c r="Z601" s="26" t="n"/>
      <c r="AA601" s="26" t="n"/>
      <c r="AB601" s="25" t="n"/>
      <c r="AC601" s="25" t="inlineStr">
        <is>
          <t>Open</t>
        </is>
      </c>
      <c r="AD601" s="25" t="inlineStr">
        <is>
          <t>2026-10-01</t>
        </is>
      </c>
      <c r="AE601" s="25" t="inlineStr">
        <is>
          <t>2027-03-15</t>
        </is>
      </c>
      <c r="AF601" s="25" t="inlineStr">
        <is>
          <t>No</t>
        </is>
      </c>
      <c r="AG601" s="28" t="inlineStr">
        <is>
          <t>https://ufr-st.univ-lehavre.fr</t>
        </is>
      </c>
      <c r="AH601" s="26" t="inlineStr">
        <is>
          <t>La carte des formations de l’UFR ainsi que leurs contacts figurent sur le site web de l'UFR https://ufr-st.univ-lehavre.fr/, notamment sur ce lien https://ufr-st.univ-lehavre.fr/spip.php?article5. Les fiches des formatio</t>
        </is>
      </c>
      <c r="AI601" s="28" t="inlineStr">
        <is>
          <t>Open in EEF</t>
        </is>
      </c>
    </row>
    <row r="602" ht="32.8" customHeight="1" s="19">
      <c r="A602" s="25" t="n">
        <v>601</v>
      </c>
      <c r="B602" s="25" t="inlineStr">
        <is>
          <t>★★★☆☆</t>
        </is>
      </c>
      <c r="C602" s="25" t="inlineStr">
        <is>
          <t>3 – Adjacent (AI/data/CS/cyber/energy)</t>
        </is>
      </c>
      <c r="D602" s="25" t="inlineStr">
        <is>
          <t>Computer science / Software</t>
        </is>
      </c>
      <c r="E602" s="26" t="inlineStr">
        <is>
          <t>Master Sciences, technologies, santé, mention Informatique</t>
        </is>
      </c>
      <c r="F602" s="26" t="inlineStr">
        <is>
          <t>Master Science, Technology, Health (STS), – major: Computer Science</t>
        </is>
      </c>
      <c r="G602" s="25" t="inlineStr">
        <is>
          <t>Master indifférencié (recherche et professionnel)</t>
        </is>
      </c>
      <c r="H602" s="25" t="inlineStr">
        <is>
          <t>Institut supérieur des sciences et techniques</t>
        </is>
      </c>
      <c r="I602" s="25" t="inlineStr">
        <is>
          <t>Université Picardie Jules Verne Amiens</t>
        </is>
      </c>
      <c r="J602" s="25" t="inlineStr">
        <is>
          <t>Site de Saint-Quentin</t>
        </is>
      </c>
      <c r="K602" s="25" t="inlineStr">
        <is>
          <t>02315 Saint Quentin cedex</t>
        </is>
      </c>
      <c r="L602" s="25" t="inlineStr">
        <is>
          <t>Public school / institute</t>
        </is>
      </c>
      <c r="M602" s="25" t="inlineStr">
        <is>
          <t>French</t>
        </is>
      </c>
      <c r="N602" s="25" t="inlineStr">
        <is>
          <t>General</t>
        </is>
      </c>
      <c r="O602" s="25" t="inlineStr">
        <is>
          <t>Bac +4</t>
        </is>
      </c>
      <c r="P602" s="26" t="inlineStr">
        <is>
          <t>Eligible on level (4-yr BS ≈ Bac+4)</t>
        </is>
      </c>
      <c r="Q602" s="25" t="inlineStr">
        <is>
          <t>1</t>
        </is>
      </c>
      <c r="R602" s="25" t="inlineStr">
        <is>
          <t>12</t>
        </is>
      </c>
      <c r="S602" s="27" t="n">
        <v>3950</v>
      </c>
      <c r="T602" s="27" t="n">
        <v>255</v>
      </c>
      <c r="U602" s="25" t="n">
        <v>2</v>
      </c>
      <c r="V602" s="27">
        <f>IF(S602="","",S602*U602)</f>
        <v/>
      </c>
      <c r="W602" s="26" t="inlineStr">
        <is>
          <t>Catalogue: €3,950. = national differentiated master fee (2026-27: €3,950). Exemption to ~€255 possible (university quota).</t>
        </is>
      </c>
      <c r="X602" s="25" t="inlineStr">
        <is>
          <t>High</t>
        </is>
      </c>
      <c r="Y602" s="25" t="inlineStr">
        <is>
          <t>3950</t>
        </is>
      </c>
      <c r="Z602" s="26" t="n"/>
      <c r="AA602" s="26" t="n"/>
      <c r="AB602" s="25" t="n"/>
      <c r="AC602" s="25" t="inlineStr">
        <is>
          <t>Open</t>
        </is>
      </c>
      <c r="AD602" s="25" t="inlineStr">
        <is>
          <t>2026-10-01</t>
        </is>
      </c>
      <c r="AE602" s="25" t="inlineStr">
        <is>
          <t>2027-03-15</t>
        </is>
      </c>
      <c r="AF602" s="25" t="inlineStr">
        <is>
          <t>No</t>
        </is>
      </c>
      <c r="AG602" s="28" t="inlineStr">
        <is>
          <t>https://www.insset.u-picardie.fr/</t>
        </is>
      </c>
      <c r="AH602" s="26" t="inlineStr">
        <is>
          <t>Niveau de test de compétence en Francais requis B2 Pré-requis en développement Full-Stack et en Git Le tarif indiqué est celui de l'année universitaire 2026/2027 et, est susceptible d'etre modifié pour la rentrée 2027/20</t>
        </is>
      </c>
      <c r="AI602" s="28" t="inlineStr">
        <is>
          <t>Open in EEF</t>
        </is>
      </c>
    </row>
    <row r="603" ht="32.8" customHeight="1" s="19">
      <c r="A603" s="25" t="n">
        <v>602</v>
      </c>
      <c r="B603" s="25" t="inlineStr">
        <is>
          <t>★★★☆☆</t>
        </is>
      </c>
      <c r="C603" s="25" t="inlineStr">
        <is>
          <t>3 – Adjacent (AI/data/CS/cyber/energy)</t>
        </is>
      </c>
      <c r="D603" s="25" t="inlineStr">
        <is>
          <t>IoT / Telecom / Networks</t>
        </is>
      </c>
      <c r="E603" s="26" t="inlineStr">
        <is>
          <t>Master Sciences, technologies, santé mention informatique et ingénièrie des systèmes complexes parcours systèmes intelligents et communicants</t>
        </is>
      </c>
      <c r="F603" s="26" t="inlineStr">
        <is>
          <t>Master Science, Technology, Health (STS) – major: Computer Science &amp; Engineering of Systems Complex – track: Systems Intelligent &amp; Communicating</t>
        </is>
      </c>
      <c r="G603" s="25" t="inlineStr">
        <is>
          <t>Master indifférencié (recherche et professionnel)</t>
        </is>
      </c>
      <c r="H603" s="25" t="inlineStr">
        <is>
          <t>UFR des Sciences et techniques</t>
        </is>
      </c>
      <c r="I603" s="25" t="inlineStr">
        <is>
          <t>CY Cergy Paris Université</t>
        </is>
      </c>
      <c r="J603" s="25" t="inlineStr">
        <is>
          <t>Site de Cergy</t>
        </is>
      </c>
      <c r="K603" s="25" t="n"/>
      <c r="L603" s="25" t="inlineStr">
        <is>
          <t>Public university</t>
        </is>
      </c>
      <c r="M603" s="25" t="inlineStr">
        <is>
          <t>French</t>
        </is>
      </c>
      <c r="N603" s="25" t="inlineStr">
        <is>
          <t>General</t>
        </is>
      </c>
      <c r="O603" s="25" t="inlineStr">
        <is>
          <t>Bac +4</t>
        </is>
      </c>
      <c r="P603" s="26" t="inlineStr">
        <is>
          <t>Eligible on level (4-yr BS ≈ Bac+4)</t>
        </is>
      </c>
      <c r="Q603" s="25" t="inlineStr">
        <is>
          <t>1</t>
        </is>
      </c>
      <c r="R603" s="25" t="inlineStr">
        <is>
          <t>10</t>
        </is>
      </c>
      <c r="S603" s="27" t="n">
        <v>3950</v>
      </c>
      <c r="T603" s="27" t="n">
        <v>255</v>
      </c>
      <c r="U603" s="25" t="n">
        <v>2</v>
      </c>
      <c r="V603" s="27">
        <f>IF(S603="","",S603*U603)</f>
        <v/>
      </c>
      <c r="W603" s="26" t="inlineStr">
        <is>
          <t>Catalogue: €3,950. = national differentiated master fee (2026-27: €3,950). Exemption to ~€255 possible (university quota).</t>
        </is>
      </c>
      <c r="X603" s="25" t="inlineStr">
        <is>
          <t>High</t>
        </is>
      </c>
      <c r="Y603" s="25" t="inlineStr">
        <is>
          <t>3950</t>
        </is>
      </c>
      <c r="Z603" s="26" t="n"/>
      <c r="AA603" s="26" t="n"/>
      <c r="AB603" s="25" t="n"/>
      <c r="AC603" s="25" t="inlineStr">
        <is>
          <t>Open</t>
        </is>
      </c>
      <c r="AD603" s="25" t="inlineStr">
        <is>
          <t>2026-10-01</t>
        </is>
      </c>
      <c r="AE603" s="25" t="inlineStr">
        <is>
          <t>2027-03-15</t>
        </is>
      </c>
      <c r="AF603" s="25" t="inlineStr">
        <is>
          <t>No</t>
        </is>
      </c>
      <c r="AG603" s="25" t="n"/>
      <c r="AH603" s="26" t="inlineStr">
        <is>
          <t>• Licences conseillées : informatique, mathématiques-informatique • Bon niveau académique général • Avoir une très bonne maîtrise en programmation et des outils informatique. • Bon niveau théorique, en particulier en mat</t>
        </is>
      </c>
      <c r="AI603" s="28" t="inlineStr">
        <is>
          <t>Open in EEF</t>
        </is>
      </c>
    </row>
    <row r="604" ht="32.8" customHeight="1" s="19">
      <c r="A604" s="25" t="n">
        <v>603</v>
      </c>
      <c r="B604" s="25" t="inlineStr">
        <is>
          <t>★★★☆☆</t>
        </is>
      </c>
      <c r="C604" s="25" t="inlineStr">
        <is>
          <t>3 – Adjacent (AI/data/CS/cyber/energy)</t>
        </is>
      </c>
      <c r="D604" s="25" t="inlineStr">
        <is>
          <t>Computer science / Software</t>
        </is>
      </c>
      <c r="E604" s="26" t="inlineStr">
        <is>
          <t>Master Sciences, technologies, santé, mention Informatique Ingénierie du logiciel libre</t>
        </is>
      </c>
      <c r="F604" s="26" t="inlineStr">
        <is>
          <t>Master Science, Technology, Health (STS), – major: Computer Science Engineering of Software libre</t>
        </is>
      </c>
      <c r="G604" s="25" t="inlineStr">
        <is>
          <t>Master indifférencié (recherche et professionnel)</t>
        </is>
      </c>
      <c r="H604" s="25" t="inlineStr">
        <is>
          <t>Centre de gestion universitaire de la Mi-Voix</t>
        </is>
      </c>
      <c r="I604" s="25" t="inlineStr">
        <is>
          <t>Université du Littoral Côte d'Opale</t>
        </is>
      </c>
      <c r="J604" s="25" t="inlineStr">
        <is>
          <t>Site de Calais</t>
        </is>
      </c>
      <c r="K604" s="25" t="n"/>
      <c r="L604" s="25" t="inlineStr">
        <is>
          <t>Public university</t>
        </is>
      </c>
      <c r="M604" s="25" t="inlineStr">
        <is>
          <t>French</t>
        </is>
      </c>
      <c r="N604" s="25" t="inlineStr">
        <is>
          <t>General</t>
        </is>
      </c>
      <c r="O604" s="25" t="inlineStr">
        <is>
          <t>Bac +4 / Bac +5</t>
        </is>
      </c>
      <c r="P604" s="26" t="inlineStr">
        <is>
          <t>Eligible on level (4-yr BS ≈ Bac+4)</t>
        </is>
      </c>
      <c r="Q604" s="25" t="inlineStr">
        <is>
          <t>1/2</t>
        </is>
      </c>
      <c r="R604" s="25" t="n"/>
      <c r="S604" s="27" t="n">
        <v>3950</v>
      </c>
      <c r="T604" s="27" t="n">
        <v>255</v>
      </c>
      <c r="U604" s="25" t="n">
        <v>2</v>
      </c>
      <c r="V604" s="27">
        <f>IF(S604="","",S604*U604)</f>
        <v/>
      </c>
      <c r="W604" s="26" t="inlineStr">
        <is>
          <t>Catalogue: €3,950. = national differentiated master fee (2026-27: €3,950). Exemption to ~€255 possible (university quota).</t>
        </is>
      </c>
      <c r="X604" s="25" t="inlineStr">
        <is>
          <t>High</t>
        </is>
      </c>
      <c r="Y604" s="25" t="inlineStr">
        <is>
          <t>3950</t>
        </is>
      </c>
      <c r="Z604" s="26" t="n"/>
      <c r="AA604" s="26" t="n"/>
      <c r="AB604" s="25" t="n"/>
      <c r="AC604" s="25" t="inlineStr">
        <is>
          <t>Open</t>
        </is>
      </c>
      <c r="AD604" s="25" t="inlineStr">
        <is>
          <t>2026-10-01</t>
        </is>
      </c>
      <c r="AE604" s="25" t="inlineStr">
        <is>
          <t>2027-03-15</t>
        </is>
      </c>
      <c r="AF604" s="25" t="inlineStr">
        <is>
          <t>No</t>
        </is>
      </c>
      <c r="AG604" s="28" t="inlineStr">
        <is>
          <t>https://www.univ-littoral.fr</t>
        </is>
      </c>
      <c r="AH604" s="26" t="inlineStr">
        <is>
          <t>Pour les étudiants étrangers originaires d’un pays où le français n’est pas la langue officielle (hors Espace Economique Européen) : exigence du DELF (niveau B2), du DALF, du TCF (niveau B2) ou TEF (niveau B2). Cette att</t>
        </is>
      </c>
      <c r="AI604" s="28" t="inlineStr">
        <is>
          <t>Open in EEF</t>
        </is>
      </c>
    </row>
    <row r="605" ht="32.8" customHeight="1" s="19">
      <c r="A605" s="25" t="n">
        <v>604</v>
      </c>
      <c r="B605" s="25" t="inlineStr">
        <is>
          <t>★★★☆☆</t>
        </is>
      </c>
      <c r="C605" s="25" t="inlineStr">
        <is>
          <t>3 – Adjacent (AI/data/CS/cyber/energy)</t>
        </is>
      </c>
      <c r="D605" s="25" t="inlineStr">
        <is>
          <t>Computer science / Software</t>
        </is>
      </c>
      <c r="E605" s="26" t="inlineStr">
        <is>
          <t>Master Sciences, technologies, santé, mention Informatique Optimisation et Algorithmique des Systèmes Intelligents et Sécurisés (OASIS)</t>
        </is>
      </c>
      <c r="F605" s="26" t="inlineStr">
        <is>
          <t>Master Science, Technology, Health (STS), – major: Computer Science Optimisation &amp; Algorithmics of Systems Intelligent &amp; Secure (OASIS)</t>
        </is>
      </c>
      <c r="G605" s="25" t="inlineStr">
        <is>
          <t>Master indifférencié (recherche et professionnel)</t>
        </is>
      </c>
      <c r="H605" s="25" t="inlineStr">
        <is>
          <t>UFR des sciences - Pôle scientifique Saint Leu</t>
        </is>
      </c>
      <c r="I605" s="25" t="inlineStr">
        <is>
          <t>Université Picardie Jules Verne Amiens</t>
        </is>
      </c>
      <c r="J605" s="25" t="inlineStr">
        <is>
          <t>Site de Amiens</t>
        </is>
      </c>
      <c r="K605" s="25" t="inlineStr">
        <is>
          <t>80000 Amiens</t>
        </is>
      </c>
      <c r="L605" s="25" t="inlineStr">
        <is>
          <t>Public university</t>
        </is>
      </c>
      <c r="M605" s="25" t="inlineStr">
        <is>
          <t>French</t>
        </is>
      </c>
      <c r="N605" s="25" t="inlineStr">
        <is>
          <t>General</t>
        </is>
      </c>
      <c r="O605" s="25" t="inlineStr">
        <is>
          <t>Bac +4 / Bac +5</t>
        </is>
      </c>
      <c r="P605" s="26" t="inlineStr">
        <is>
          <t>Eligible on level (4-yr BS ≈ Bac+4)</t>
        </is>
      </c>
      <c r="Q605" s="25" t="inlineStr">
        <is>
          <t>1/2</t>
        </is>
      </c>
      <c r="R605" s="25" t="inlineStr">
        <is>
          <t>12</t>
        </is>
      </c>
      <c r="S605" s="27" t="n">
        <v>3950</v>
      </c>
      <c r="T605" s="27" t="n">
        <v>255</v>
      </c>
      <c r="U605" s="25" t="n">
        <v>2</v>
      </c>
      <c r="V605" s="27">
        <f>IF(S605="","",S605*U605)</f>
        <v/>
      </c>
      <c r="W605" s="26" t="inlineStr">
        <is>
          <t>Catalogue: €3,950. = national differentiated master fee (2026-27: €3,950). Exemption to ~€255 possible (university quota).</t>
        </is>
      </c>
      <c r="X605" s="25" t="inlineStr">
        <is>
          <t>High</t>
        </is>
      </c>
      <c r="Y605" s="25" t="inlineStr">
        <is>
          <t>3950</t>
        </is>
      </c>
      <c r="Z605" s="26" t="n"/>
      <c r="AA605" s="26" t="n"/>
      <c r="AB605" s="25" t="n"/>
      <c r="AC605" s="25" t="inlineStr">
        <is>
          <t>Open</t>
        </is>
      </c>
      <c r="AD605" s="25" t="inlineStr">
        <is>
          <t>2026-10-01</t>
        </is>
      </c>
      <c r="AE605" s="25" t="inlineStr">
        <is>
          <t>2027-03-15</t>
        </is>
      </c>
      <c r="AF605" s="25" t="inlineStr">
        <is>
          <t>No</t>
        </is>
      </c>
      <c r="AG605" s="28" t="inlineStr">
        <is>
          <t>https://sciences.u-picardie.fr/accueil-ufr-sciences</t>
        </is>
      </c>
      <c r="AH605" s="26" t="inlineStr">
        <is>
          <t>Niveau de français requis : B2 Le tarif indiqué est celui de l'année universitaire 2026/2027 et, est susceptible d'être modifié pour l'année universitaire 2027/2028.</t>
        </is>
      </c>
      <c r="AI605" s="28" t="inlineStr">
        <is>
          <t>Open in EEF</t>
        </is>
      </c>
    </row>
    <row r="606" ht="32.8" customHeight="1" s="19">
      <c r="A606" s="25" t="n">
        <v>605</v>
      </c>
      <c r="B606" s="25" t="inlineStr">
        <is>
          <t>★★★☆☆</t>
        </is>
      </c>
      <c r="C606" s="25" t="inlineStr">
        <is>
          <t>3 – Adjacent (AI/data/CS/cyber/energy)</t>
        </is>
      </c>
      <c r="D606" s="25" t="inlineStr">
        <is>
          <t>Other engineering / maths</t>
        </is>
      </c>
      <c r="E606" s="26" t="inlineStr">
        <is>
          <t>Master Sciences, technologies, santé, mention Ingénierie des systèmes complexes</t>
        </is>
      </c>
      <c r="F606" s="26" t="inlineStr">
        <is>
          <t>Master Science, Technology, Health (STS), – major: Complex Systems Engineering</t>
        </is>
      </c>
      <c r="G606" s="25" t="inlineStr">
        <is>
          <t>Master indifférencié (recherche et professionnel)</t>
        </is>
      </c>
      <c r="H606" s="25" t="inlineStr">
        <is>
          <t>UFR des sciences - Pôle scientifique Saint Leu</t>
        </is>
      </c>
      <c r="I606" s="25" t="inlineStr">
        <is>
          <t>Université Picardie Jules Verne Amiens</t>
        </is>
      </c>
      <c r="J606" s="25" t="inlineStr">
        <is>
          <t>Site de Amiens</t>
        </is>
      </c>
      <c r="K606" s="25" t="inlineStr">
        <is>
          <t>80000 Amiens</t>
        </is>
      </c>
      <c r="L606" s="25" t="inlineStr">
        <is>
          <t>Public university</t>
        </is>
      </c>
      <c r="M606" s="25" t="inlineStr">
        <is>
          <t>French</t>
        </is>
      </c>
      <c r="N606" s="25" t="inlineStr">
        <is>
          <t>General</t>
        </is>
      </c>
      <c r="O606" s="25" t="inlineStr">
        <is>
          <t>Bac +4</t>
        </is>
      </c>
      <c r="P606" s="26" t="inlineStr">
        <is>
          <t>Eligible on level (4-yr BS ≈ Bac+4)</t>
        </is>
      </c>
      <c r="Q606" s="25" t="inlineStr">
        <is>
          <t>1</t>
        </is>
      </c>
      <c r="R606" s="25" t="inlineStr">
        <is>
          <t>12</t>
        </is>
      </c>
      <c r="S606" s="27" t="n">
        <v>3950</v>
      </c>
      <c r="T606" s="27" t="n">
        <v>255</v>
      </c>
      <c r="U606" s="25" t="n">
        <v>2</v>
      </c>
      <c r="V606" s="27">
        <f>IF(S606="","",S606*U606)</f>
        <v/>
      </c>
      <c r="W606" s="26" t="inlineStr">
        <is>
          <t>Catalogue: €3,950. = national differentiated master fee (2026-27: €3,950). Exemption to ~€255 possible (university quota).</t>
        </is>
      </c>
      <c r="X606" s="25" t="inlineStr">
        <is>
          <t>High</t>
        </is>
      </c>
      <c r="Y606" s="25" t="inlineStr">
        <is>
          <t>3950</t>
        </is>
      </c>
      <c r="Z606" s="26" t="n"/>
      <c r="AA606" s="26" t="n"/>
      <c r="AB606" s="25" t="n"/>
      <c r="AC606" s="25" t="inlineStr">
        <is>
          <t>Open</t>
        </is>
      </c>
      <c r="AD606" s="25" t="inlineStr">
        <is>
          <t>2026-10-01</t>
        </is>
      </c>
      <c r="AE606" s="25" t="inlineStr">
        <is>
          <t>2027-03-15</t>
        </is>
      </c>
      <c r="AF606" s="25" t="inlineStr">
        <is>
          <t>No</t>
        </is>
      </c>
      <c r="AG606" s="28" t="inlineStr">
        <is>
          <t>https://sciences.u-picardie.fr/accueil-ufr-sciences</t>
        </is>
      </c>
      <c r="AH606" s="26" t="inlineStr">
        <is>
          <t>Niveau de français requis : B2 Le tarif indiqué est celui de l'année universitaire 2026/2027 et, est susceptible d'être modifié pour l'année universitaire 2027/2028.</t>
        </is>
      </c>
      <c r="AI606" s="28" t="inlineStr">
        <is>
          <t>Open in EEF</t>
        </is>
      </c>
    </row>
    <row r="607" ht="32.8" customHeight="1" s="19">
      <c r="A607" s="25" t="n">
        <v>606</v>
      </c>
      <c r="B607" s="25" t="inlineStr">
        <is>
          <t>★★★☆☆</t>
        </is>
      </c>
      <c r="C607" s="25" t="inlineStr">
        <is>
          <t>3 – Adjacent (AI/data/CS/cyber/energy)</t>
        </is>
      </c>
      <c r="D607" s="25" t="inlineStr">
        <is>
          <t>Other engineering / maths</t>
        </is>
      </c>
      <c r="E607" s="26" t="inlineStr">
        <is>
          <t>Master Sciences, technologies, santé, mention Ingénierie des systèmes complexes</t>
        </is>
      </c>
      <c r="F607" s="26" t="inlineStr">
        <is>
          <t>Master Science, Technology, Health (STS), – major: Complex Systems Engineering</t>
        </is>
      </c>
      <c r="G607" s="25" t="inlineStr">
        <is>
          <t>Master indifférencié (recherche et professionnel)</t>
        </is>
      </c>
      <c r="H607" s="25" t="inlineStr">
        <is>
          <t>Université de technologie de Troyes</t>
        </is>
      </c>
      <c r="I607" s="25" t="n"/>
      <c r="J607" s="25" t="inlineStr">
        <is>
          <t>Site de Troyes</t>
        </is>
      </c>
      <c r="K607" s="25" t="n"/>
      <c r="L607" s="25" t="inlineStr">
        <is>
          <t>Public university</t>
        </is>
      </c>
      <c r="M607" s="25" t="inlineStr">
        <is>
          <t>French</t>
        </is>
      </c>
      <c r="N607" s="25" t="inlineStr">
        <is>
          <t>General</t>
        </is>
      </c>
      <c r="O607" s="25" t="inlineStr">
        <is>
          <t>Bac +4</t>
        </is>
      </c>
      <c r="P607" s="26" t="inlineStr">
        <is>
          <t>Eligible on level (4-yr BS ≈ Bac+4)</t>
        </is>
      </c>
      <c r="Q607" s="25" t="inlineStr">
        <is>
          <t>1</t>
        </is>
      </c>
      <c r="R607" s="25" t="n"/>
      <c r="S607" s="27" t="n">
        <v>3950</v>
      </c>
      <c r="T607" s="27" t="n">
        <v>255</v>
      </c>
      <c r="U607" s="25" t="n">
        <v>2</v>
      </c>
      <c r="V607" s="27">
        <f>IF(S607="","",S607*U607)</f>
        <v/>
      </c>
      <c r="W607" s="26" t="inlineStr">
        <is>
          <t>Catalogue: €3,941. = national differentiated master fee (2026-27: €3,950). Exemption to ~€255 possible (university quota).</t>
        </is>
      </c>
      <c r="X607" s="25" t="inlineStr">
        <is>
          <t>High</t>
        </is>
      </c>
      <c r="Y607" s="25" t="inlineStr">
        <is>
          <t>3941</t>
        </is>
      </c>
      <c r="Z607" s="26" t="n"/>
      <c r="AA607" s="26" t="n"/>
      <c r="AB607" s="25" t="n"/>
      <c r="AC607" s="25" t="inlineStr">
        <is>
          <t>Open</t>
        </is>
      </c>
      <c r="AD607" s="25" t="inlineStr">
        <is>
          <t>2026-10-01</t>
        </is>
      </c>
      <c r="AE607" s="25" t="inlineStr">
        <is>
          <t>2027-03-15</t>
        </is>
      </c>
      <c r="AF607" s="25" t="inlineStr">
        <is>
          <t>Yes</t>
        </is>
      </c>
      <c r="AG607" s="28" t="inlineStr">
        <is>
          <t>https://www.utt.fr/formations/master/</t>
        </is>
      </c>
      <c r="AH607" s="26" t="inlineStr">
        <is>
          <t>Admission en 1ère année de master : La formation est ouverte, en première année, aux titulaires d’un diplôme national conférant le grade de licence, d'un titre étranger ou français admis par équivalence, ou par validatio</t>
        </is>
      </c>
      <c r="AI607" s="28" t="inlineStr">
        <is>
          <t>Open in EEF</t>
        </is>
      </c>
    </row>
    <row r="608" ht="43.25" customHeight="1" s="19">
      <c r="A608" s="25" t="n">
        <v>607</v>
      </c>
      <c r="B608" s="25" t="inlineStr">
        <is>
          <t>★★★☆☆</t>
        </is>
      </c>
      <c r="C608" s="25" t="inlineStr">
        <is>
          <t>3 – Adjacent (AI/data/CS/cyber/energy)</t>
        </is>
      </c>
      <c r="D608" s="25" t="inlineStr">
        <is>
          <t>Other engineering / maths</t>
        </is>
      </c>
      <c r="E608" s="26" t="inlineStr">
        <is>
          <t>Master Sciences, technologies, santé, mention Ingénierie des systèmes complexes parcours Ingénierie Soutenable et Robuste</t>
        </is>
      </c>
      <c r="F608" s="26" t="inlineStr">
        <is>
          <t>Master Science, Technology, Health (STS), – major: Complex Systems Engineering – track: Engineering Soutenable &amp; Robuste</t>
        </is>
      </c>
      <c r="G608" s="25" t="inlineStr">
        <is>
          <t>Master indifférencié (recherche et professionnel)</t>
        </is>
      </c>
      <c r="H608" s="25" t="inlineStr">
        <is>
          <t>Université de technologie de Belfort-Montbéliard</t>
        </is>
      </c>
      <c r="I608" s="25" t="n"/>
      <c r="J608" s="25" t="inlineStr">
        <is>
          <t>Site de Belfort</t>
        </is>
      </c>
      <c r="K608" s="25" t="n"/>
      <c r="L608" s="25" t="inlineStr">
        <is>
          <t>Public university</t>
        </is>
      </c>
      <c r="M608" s="25" t="inlineStr">
        <is>
          <t>French</t>
        </is>
      </c>
      <c r="N608" s="25" t="inlineStr">
        <is>
          <t>General</t>
        </is>
      </c>
      <c r="O608" s="25" t="inlineStr">
        <is>
          <t>Bac +4 / Bac +5</t>
        </is>
      </c>
      <c r="P608" s="26" t="inlineStr">
        <is>
          <t>Eligible on level (4-yr BS ≈ Bac+4)</t>
        </is>
      </c>
      <c r="Q608" s="25" t="inlineStr">
        <is>
          <t>1/2</t>
        </is>
      </c>
      <c r="R608" s="25" t="inlineStr">
        <is>
          <t>12</t>
        </is>
      </c>
      <c r="S608" s="27" t="n">
        <v>3950</v>
      </c>
      <c r="T608" s="27" t="n">
        <v>255</v>
      </c>
      <c r="U608" s="25" t="n">
        <v>2</v>
      </c>
      <c r="V608" s="27">
        <f>IF(S608="","",S608*U608)</f>
        <v/>
      </c>
      <c r="W608" s="26" t="inlineStr">
        <is>
          <t>Catalogue: €3,950. = national differentiated master fee (2026-27: €3,950). Exemption to ~€255 possible (university quota).</t>
        </is>
      </c>
      <c r="X608" s="25" t="inlineStr">
        <is>
          <t>High</t>
        </is>
      </c>
      <c r="Y608" s="25" t="inlineStr">
        <is>
          <t>3950</t>
        </is>
      </c>
      <c r="Z608" s="26" t="inlineStr">
        <is>
          <t>ifférenciés, pour une année, appliqués à un étudiant extracommunautaire, s'élèvent à 3950 € pour une entrée en cycle master (2026/2027) Les d … ifférenciés, pour une année, appliqués à un étudiant extracommunautaire, s'é</t>
        </is>
      </c>
      <c r="AA608" s="26" t="n"/>
      <c r="AB608" s="25" t="n"/>
      <c r="AC608" s="25" t="inlineStr">
        <is>
          <t>Open</t>
        </is>
      </c>
      <c r="AD608" s="25" t="inlineStr">
        <is>
          <t>2026-10-01</t>
        </is>
      </c>
      <c r="AE608" s="25" t="inlineStr">
        <is>
          <t>2027-03-15</t>
        </is>
      </c>
      <c r="AF608" s="25" t="inlineStr">
        <is>
          <t>No</t>
        </is>
      </c>
      <c r="AG608" s="28" t="inlineStr">
        <is>
          <t>https://www.utbm.fr/formations/masters/</t>
        </is>
      </c>
      <c r="AH608" s="26" t="inlineStr">
        <is>
          <t>Maîtrise de votre domaine technique liée à la formation précédente , travail en autonomie, Travail en équipe, ouverture d’esprit, sens de l’organisation, faire preuve de curiosité et d’initiative, niveau d’anglais (B1 mi</t>
        </is>
      </c>
      <c r="AI608" s="28" t="inlineStr">
        <is>
          <t>Open in EEF</t>
        </is>
      </c>
    </row>
    <row r="609" ht="43.25" customHeight="1" s="19">
      <c r="A609" s="25" t="n">
        <v>608</v>
      </c>
      <c r="B609" s="25" t="inlineStr">
        <is>
          <t>★★★☆☆</t>
        </is>
      </c>
      <c r="C609" s="25" t="inlineStr">
        <is>
          <t>3 – Adjacent (AI/data/CS/cyber/energy)</t>
        </is>
      </c>
      <c r="D609" s="25" t="inlineStr">
        <is>
          <t>Other engineering / maths</t>
        </is>
      </c>
      <c r="E609" s="26" t="inlineStr">
        <is>
          <t>Master Sciences, technologies, santé, mention Ingénierie des systèmes complexes parcours Simulation et Optimisation des Systèmes</t>
        </is>
      </c>
      <c r="F609" s="26" t="inlineStr">
        <is>
          <t>Master Science, Technology, Health (STS), – major: Complex Systems Engineering – track: Simulation &amp; Optimisation of Systems</t>
        </is>
      </c>
      <c r="G609" s="25" t="inlineStr">
        <is>
          <t>Master indifférencié (recherche et professionnel)</t>
        </is>
      </c>
      <c r="H609" s="25" t="inlineStr">
        <is>
          <t>Université de technologie de Belfort-Montbéliard</t>
        </is>
      </c>
      <c r="I609" s="25" t="n"/>
      <c r="J609" s="25" t="inlineStr">
        <is>
          <t>Site de Belfort</t>
        </is>
      </c>
      <c r="K609" s="25" t="n"/>
      <c r="L609" s="25" t="inlineStr">
        <is>
          <t>Public university</t>
        </is>
      </c>
      <c r="M609" s="25" t="inlineStr">
        <is>
          <t>French</t>
        </is>
      </c>
      <c r="N609" s="25" t="inlineStr">
        <is>
          <t>General</t>
        </is>
      </c>
      <c r="O609" s="25" t="inlineStr">
        <is>
          <t>Bac +4 / Bac +5</t>
        </is>
      </c>
      <c r="P609" s="26" t="inlineStr">
        <is>
          <t>Eligible on level (4-yr BS ≈ Bac+4)</t>
        </is>
      </c>
      <c r="Q609" s="25" t="inlineStr">
        <is>
          <t>1/2</t>
        </is>
      </c>
      <c r="R609" s="25" t="inlineStr">
        <is>
          <t>24/12</t>
        </is>
      </c>
      <c r="S609" s="27" t="n">
        <v>3950</v>
      </c>
      <c r="T609" s="27" t="n">
        <v>255</v>
      </c>
      <c r="U609" s="25" t="n">
        <v>2</v>
      </c>
      <c r="V609" s="27">
        <f>IF(S609="","",S609*U609)</f>
        <v/>
      </c>
      <c r="W609" s="26" t="inlineStr">
        <is>
          <t>Catalogue: €3,950. = national differentiated master fee (2026-27: €3,950). Exemption to ~€255 possible (university quota).</t>
        </is>
      </c>
      <c r="X609" s="25" t="inlineStr">
        <is>
          <t>High</t>
        </is>
      </c>
      <c r="Y609" s="25" t="inlineStr">
        <is>
          <t>3950</t>
        </is>
      </c>
      <c r="Z609" s="26" t="inlineStr">
        <is>
          <t>ifférenciés, pour une année, appliqués à un étudiant extracommunautaire, s'élèvent à 3950 € pour une entrée en cycle master (2026/2027) Les d … ifférenciés, pour une année, appliqués à un étudiant extracommunautaire, s'é</t>
        </is>
      </c>
      <c r="AA609" s="26" t="n"/>
      <c r="AB609" s="25" t="n"/>
      <c r="AC609" s="25" t="inlineStr">
        <is>
          <t>Open</t>
        </is>
      </c>
      <c r="AD609" s="25" t="inlineStr">
        <is>
          <t>2026-10-01</t>
        </is>
      </c>
      <c r="AE609" s="25" t="inlineStr">
        <is>
          <t>2027-03-15</t>
        </is>
      </c>
      <c r="AF609" s="25" t="inlineStr">
        <is>
          <t>No</t>
        </is>
      </c>
      <c r="AG609" s="28" t="inlineStr">
        <is>
          <t>https://www.utbm.fr/formations/masters/</t>
        </is>
      </c>
      <c r="AH609" s="26" t="inlineStr">
        <is>
          <t>Maîtrise de votre domaine technique liée à la formation précédente, travail en autonomie, Travail en équipe, ouverture d’esprit, sens de l’organisation, faire preuve de curiosité et d’initiative, niveau d’anglais (B1 min</t>
        </is>
      </c>
      <c r="AI609" s="28" t="inlineStr">
        <is>
          <t>Open in EEF</t>
        </is>
      </c>
    </row>
    <row r="610" ht="22.35" customHeight="1" s="19">
      <c r="A610" s="25" t="n">
        <v>609</v>
      </c>
      <c r="B610" s="25" t="inlineStr">
        <is>
          <t>★★★☆☆</t>
        </is>
      </c>
      <c r="C610" s="25" t="inlineStr">
        <is>
          <t>3 – Adjacent (AI/data/CS/cyber/energy)</t>
        </is>
      </c>
      <c r="D610" s="25" t="inlineStr">
        <is>
          <t>AI / Data science</t>
        </is>
      </c>
      <c r="E610" s="26" t="inlineStr">
        <is>
          <t>Master Sciences, technologies, santé mention Intelligence Artificielle.</t>
        </is>
      </c>
      <c r="F610" s="26" t="inlineStr">
        <is>
          <t>Master Science, Technology, Health (STS) – major: Artificial Intelligence.</t>
        </is>
      </c>
      <c r="G610" s="25" t="inlineStr">
        <is>
          <t>Master indifférencié (recherche et professionnel)</t>
        </is>
      </c>
      <c r="H610" s="25" t="inlineStr">
        <is>
          <t>Faculté des sciences Jean Perrin</t>
        </is>
      </c>
      <c r="I610" s="25" t="inlineStr">
        <is>
          <t>Université d'Artois</t>
        </is>
      </c>
      <c r="J610" s="25" t="inlineStr">
        <is>
          <t>Site de Lens</t>
        </is>
      </c>
      <c r="K610" s="25" t="n"/>
      <c r="L610" s="25" t="inlineStr">
        <is>
          <t>Public university</t>
        </is>
      </c>
      <c r="M610" s="25" t="inlineStr">
        <is>
          <t>French</t>
        </is>
      </c>
      <c r="N610" s="25" t="inlineStr">
        <is>
          <t>General</t>
        </is>
      </c>
      <c r="O610" s="25" t="inlineStr">
        <is>
          <t>Bac +4 / Bac +5</t>
        </is>
      </c>
      <c r="P610" s="26" t="inlineStr">
        <is>
          <t>Eligible on level (4-yr BS ≈ Bac+4)</t>
        </is>
      </c>
      <c r="Q610" s="25" t="inlineStr">
        <is>
          <t>1/2</t>
        </is>
      </c>
      <c r="R610" s="25" t="n"/>
      <c r="S610" s="27" t="n">
        <v>3950</v>
      </c>
      <c r="T610" s="27" t="n">
        <v>255</v>
      </c>
      <c r="U610" s="25" t="n">
        <v>2</v>
      </c>
      <c r="V610" s="27">
        <f>IF(S610="","",S610*U610)</f>
        <v/>
      </c>
      <c r="W610" s="26" t="inlineStr">
        <is>
          <t>Catalogue: €3,950. = national differentiated master fee (2026-27: €3,950). Exemption to ~€255 possible (university quota).</t>
        </is>
      </c>
      <c r="X610" s="25" t="inlineStr">
        <is>
          <t>High</t>
        </is>
      </c>
      <c r="Y610" s="25" t="inlineStr">
        <is>
          <t>3950</t>
        </is>
      </c>
      <c r="Z610" s="26" t="n"/>
      <c r="AA610" s="26" t="n"/>
      <c r="AB610" s="25" t="n"/>
      <c r="AC610" s="25" t="inlineStr">
        <is>
          <t>Open</t>
        </is>
      </c>
      <c r="AD610" s="25" t="inlineStr">
        <is>
          <t>2026-10-01</t>
        </is>
      </c>
      <c r="AE610" s="25" t="inlineStr">
        <is>
          <t>2027-03-15</t>
        </is>
      </c>
      <c r="AF610" s="25" t="inlineStr">
        <is>
          <t>No</t>
        </is>
      </c>
      <c r="AG610" s="28" t="inlineStr">
        <is>
          <t>https://www.sciences.univ-artois.fr/</t>
        </is>
      </c>
      <c r="AH610" s="26" t="inlineStr">
        <is>
          <t>Niveau de connaissance de la langue française : B2 du cadre européen</t>
        </is>
      </c>
      <c r="AI610" s="28" t="inlineStr">
        <is>
          <t>Open in EEF</t>
        </is>
      </c>
    </row>
    <row r="611" ht="22.35" customHeight="1" s="19">
      <c r="A611" s="25" t="n">
        <v>610</v>
      </c>
      <c r="B611" s="25" t="inlineStr">
        <is>
          <t>★★★☆☆</t>
        </is>
      </c>
      <c r="C611" s="25" t="inlineStr">
        <is>
          <t>3 – Adjacent (AI/data/CS/cyber/energy)</t>
        </is>
      </c>
      <c r="D611" s="25" t="inlineStr">
        <is>
          <t>AI / Data science</t>
        </is>
      </c>
      <c r="E611" s="26" t="inlineStr">
        <is>
          <t>Master Sciences, technologies, santé mention Intelligence Artificielle. parcours Fondements de l'intelligence artificielle</t>
        </is>
      </c>
      <c r="F611" s="26" t="inlineStr">
        <is>
          <t>Master Science, Technology, Health (STS) – major: Artificial Intelligence. – track: Foundations of l'Artificial Intelligence</t>
        </is>
      </c>
      <c r="G611" s="25" t="inlineStr">
        <is>
          <t>Master indifférencié (recherche et professionnel)</t>
        </is>
      </c>
      <c r="H611" s="25" t="inlineStr">
        <is>
          <t>Faculté des sciences Jean Perrin</t>
        </is>
      </c>
      <c r="I611" s="25" t="inlineStr">
        <is>
          <t>Université d'Artois</t>
        </is>
      </c>
      <c r="J611" s="25" t="inlineStr">
        <is>
          <t>Site de Lens</t>
        </is>
      </c>
      <c r="K611" s="25" t="n"/>
      <c r="L611" s="25" t="inlineStr">
        <is>
          <t>Public university</t>
        </is>
      </c>
      <c r="M611" s="25" t="inlineStr">
        <is>
          <t>French</t>
        </is>
      </c>
      <c r="N611" s="25" t="inlineStr">
        <is>
          <t>General</t>
        </is>
      </c>
      <c r="O611" s="25" t="inlineStr">
        <is>
          <t>Bac +4 / Bac +5</t>
        </is>
      </c>
      <c r="P611" s="26" t="inlineStr">
        <is>
          <t>Eligible on level (4-yr BS ≈ Bac+4)</t>
        </is>
      </c>
      <c r="Q611" s="25" t="inlineStr">
        <is>
          <t>1/2</t>
        </is>
      </c>
      <c r="R611" s="25" t="n"/>
      <c r="S611" s="27" t="n">
        <v>3950</v>
      </c>
      <c r="T611" s="27" t="n">
        <v>255</v>
      </c>
      <c r="U611" s="25" t="n">
        <v>2</v>
      </c>
      <c r="V611" s="27">
        <f>IF(S611="","",S611*U611)</f>
        <v/>
      </c>
      <c r="W611" s="26" t="inlineStr">
        <is>
          <t>Catalogue: €3,950. = national differentiated master fee (2026-27: €3,950). Exemption to ~€255 possible (university quota).</t>
        </is>
      </c>
      <c r="X611" s="25" t="inlineStr">
        <is>
          <t>High</t>
        </is>
      </c>
      <c r="Y611" s="25" t="inlineStr">
        <is>
          <t>3950</t>
        </is>
      </c>
      <c r="Z611" s="26" t="n"/>
      <c r="AA611" s="26" t="n"/>
      <c r="AB611" s="25" t="n"/>
      <c r="AC611" s="25" t="inlineStr">
        <is>
          <t>Open</t>
        </is>
      </c>
      <c r="AD611" s="25" t="inlineStr">
        <is>
          <t>2026-10-01</t>
        </is>
      </c>
      <c r="AE611" s="25" t="inlineStr">
        <is>
          <t>2027-03-15</t>
        </is>
      </c>
      <c r="AF611" s="25" t="inlineStr">
        <is>
          <t>No</t>
        </is>
      </c>
      <c r="AG611" s="28" t="inlineStr">
        <is>
          <t>https://www.sciences.univ-artois.fr/</t>
        </is>
      </c>
      <c r="AH611" s="26" t="inlineStr">
        <is>
          <t>Niveau de connaissance de la langue française : B2 du cadre européen</t>
        </is>
      </c>
      <c r="AI611" s="28" t="inlineStr">
        <is>
          <t>Open in EEF</t>
        </is>
      </c>
    </row>
    <row r="612" ht="22.35" customHeight="1" s="19">
      <c r="A612" s="25" t="n">
        <v>611</v>
      </c>
      <c r="B612" s="25" t="inlineStr">
        <is>
          <t>★★★☆☆</t>
        </is>
      </c>
      <c r="C612" s="25" t="inlineStr">
        <is>
          <t>3 – Adjacent (AI/data/CS/cyber/energy)</t>
        </is>
      </c>
      <c r="D612" s="25" t="inlineStr">
        <is>
          <t>AI / Data science</t>
        </is>
      </c>
      <c r="E612" s="26" t="inlineStr">
        <is>
          <t>Master Sciences, technologies, santé mention Intelligence Artificielle. parcours Intelligence Artificielle Appliquée</t>
        </is>
      </c>
      <c r="F612" s="26" t="inlineStr">
        <is>
          <t>Master Science, Technology, Health (STS) – major: Artificial Intelligence. – track: Artificial Intelligence Applied</t>
        </is>
      </c>
      <c r="G612" s="25" t="inlineStr">
        <is>
          <t>Master indifférencié (recherche et professionnel)</t>
        </is>
      </c>
      <c r="H612" s="25" t="inlineStr">
        <is>
          <t>Faculté des sciences Jean Perrin</t>
        </is>
      </c>
      <c r="I612" s="25" t="inlineStr">
        <is>
          <t>Université d'Artois</t>
        </is>
      </c>
      <c r="J612" s="25" t="inlineStr">
        <is>
          <t>Site de Lens</t>
        </is>
      </c>
      <c r="K612" s="25" t="n"/>
      <c r="L612" s="25" t="inlineStr">
        <is>
          <t>Public university</t>
        </is>
      </c>
      <c r="M612" s="25" t="inlineStr">
        <is>
          <t>French</t>
        </is>
      </c>
      <c r="N612" s="25" t="inlineStr">
        <is>
          <t>General</t>
        </is>
      </c>
      <c r="O612" s="25" t="inlineStr">
        <is>
          <t>Bac +4 / Bac +5</t>
        </is>
      </c>
      <c r="P612" s="26" t="inlineStr">
        <is>
          <t>Eligible on level (4-yr BS ≈ Bac+4)</t>
        </is>
      </c>
      <c r="Q612" s="25" t="inlineStr">
        <is>
          <t>1/2</t>
        </is>
      </c>
      <c r="R612" s="25" t="n"/>
      <c r="S612" s="27" t="n">
        <v>3950</v>
      </c>
      <c r="T612" s="27" t="n">
        <v>255</v>
      </c>
      <c r="U612" s="25" t="n">
        <v>2</v>
      </c>
      <c r="V612" s="27">
        <f>IF(S612="","",S612*U612)</f>
        <v/>
      </c>
      <c r="W612" s="26" t="inlineStr">
        <is>
          <t>Catalogue: €3,950. = national differentiated master fee (2026-27: €3,950). Exemption to ~€255 possible (university quota).</t>
        </is>
      </c>
      <c r="X612" s="25" t="inlineStr">
        <is>
          <t>High</t>
        </is>
      </c>
      <c r="Y612" s="25" t="inlineStr">
        <is>
          <t>3950</t>
        </is>
      </c>
      <c r="Z612" s="26" t="n"/>
      <c r="AA612" s="26" t="n"/>
      <c r="AB612" s="25" t="n"/>
      <c r="AC612" s="25" t="inlineStr">
        <is>
          <t>Open</t>
        </is>
      </c>
      <c r="AD612" s="25" t="inlineStr">
        <is>
          <t>2026-10-01</t>
        </is>
      </c>
      <c r="AE612" s="25" t="inlineStr">
        <is>
          <t>2027-03-15</t>
        </is>
      </c>
      <c r="AF612" s="25" t="inlineStr">
        <is>
          <t>No</t>
        </is>
      </c>
      <c r="AG612" s="28" t="inlineStr">
        <is>
          <t>https://www.sciences.univ-artois.fr/</t>
        </is>
      </c>
      <c r="AH612" s="26" t="inlineStr">
        <is>
          <t>Niveau de connaissance de la langue française : B2 du cadre européen</t>
        </is>
      </c>
      <c r="AI612" s="28" t="inlineStr">
        <is>
          <t>Open in EEF</t>
        </is>
      </c>
    </row>
    <row r="613" ht="32.8" customHeight="1" s="19">
      <c r="A613" s="25" t="n">
        <v>612</v>
      </c>
      <c r="B613" s="25" t="inlineStr">
        <is>
          <t>★★★☆☆</t>
        </is>
      </c>
      <c r="C613" s="25" t="inlineStr">
        <is>
          <t>3 – Adjacent (AI/data/CS/cyber/energy)</t>
        </is>
      </c>
      <c r="D613" s="25" t="inlineStr">
        <is>
          <t>Other engineering / maths</t>
        </is>
      </c>
      <c r="E613" s="26" t="inlineStr">
        <is>
          <t>Master Sciences, technologies, santé mention mathématiques et applications</t>
        </is>
      </c>
      <c r="F613" s="26" t="inlineStr">
        <is>
          <t>Master Science, Technology, Health (STS) – major: Mathematics &amp; Applications</t>
        </is>
      </c>
      <c r="G613" s="25" t="inlineStr">
        <is>
          <t>Master indifférencié (recherche et professionnel)</t>
        </is>
      </c>
      <c r="H613" s="25" t="inlineStr">
        <is>
          <t>UFR des sciences et techniques</t>
        </is>
      </c>
      <c r="I613" s="25" t="inlineStr">
        <is>
          <t>Université du Havre</t>
        </is>
      </c>
      <c r="J613" s="25" t="inlineStr">
        <is>
          <t>Site de Le Havre</t>
        </is>
      </c>
      <c r="K613" s="25" t="n"/>
      <c r="L613" s="25" t="inlineStr">
        <is>
          <t>Public university</t>
        </is>
      </c>
      <c r="M613" s="25" t="inlineStr">
        <is>
          <t>French</t>
        </is>
      </c>
      <c r="N613" s="25" t="inlineStr">
        <is>
          <t>General</t>
        </is>
      </c>
      <c r="O613" s="25" t="inlineStr">
        <is>
          <t>Bac +4</t>
        </is>
      </c>
      <c r="P613" s="26" t="inlineStr">
        <is>
          <t>Eligible on level (4-yr BS ≈ Bac+4)</t>
        </is>
      </c>
      <c r="Q613" s="25" t="inlineStr">
        <is>
          <t>1</t>
        </is>
      </c>
      <c r="R613" s="25" t="n"/>
      <c r="S613" s="27" t="n">
        <v>3950</v>
      </c>
      <c r="T613" s="27" t="n">
        <v>255</v>
      </c>
      <c r="U613" s="25" t="n">
        <v>2</v>
      </c>
      <c r="V613" s="27">
        <f>IF(S613="","",S613*U613)</f>
        <v/>
      </c>
      <c r="W613" s="26" t="inlineStr">
        <is>
          <t>Catalogue: €3,950. = national differentiated master fee (2026-27: €3,950). Exemption to ~€255 possible (university quota).</t>
        </is>
      </c>
      <c r="X613" s="25" t="inlineStr">
        <is>
          <t>High</t>
        </is>
      </c>
      <c r="Y613" s="25" t="inlineStr">
        <is>
          <t>3950</t>
        </is>
      </c>
      <c r="Z613" s="26" t="n"/>
      <c r="AA613" s="26" t="n"/>
      <c r="AB613" s="25" t="n"/>
      <c r="AC613" s="25" t="inlineStr">
        <is>
          <t>Open</t>
        </is>
      </c>
      <c r="AD613" s="25" t="inlineStr">
        <is>
          <t>2026-10-01</t>
        </is>
      </c>
      <c r="AE613" s="25" t="inlineStr">
        <is>
          <t>2027-03-15</t>
        </is>
      </c>
      <c r="AF613" s="25" t="inlineStr">
        <is>
          <t>No</t>
        </is>
      </c>
      <c r="AG613" s="28" t="inlineStr">
        <is>
          <t>https://ufr-st.univ-lehavre.fr/</t>
        </is>
      </c>
      <c r="AH613" s="26" t="inlineStr">
        <is>
          <t>La carte des formations de l’UFR ainsi que leurs contacts figurent sur le site web de l'UFR https://ufr-st.univ-lehavre.fr/, notamment sur ce lien https://ufr-st.univ-lehavre.fr/spip.php?article5. Les fiches des formatio</t>
        </is>
      </c>
      <c r="AI613" s="28" t="inlineStr">
        <is>
          <t>Open in EEF</t>
        </is>
      </c>
    </row>
    <row r="614" ht="43.25" customHeight="1" s="19">
      <c r="A614" s="25" t="n">
        <v>613</v>
      </c>
      <c r="B614" s="25" t="inlineStr">
        <is>
          <t>★★★☆☆</t>
        </is>
      </c>
      <c r="C614" s="25" t="inlineStr">
        <is>
          <t>3 – Adjacent (AI/data/CS/cyber/energy)</t>
        </is>
      </c>
      <c r="D614" s="25" t="inlineStr">
        <is>
          <t>AI / Data science</t>
        </is>
      </c>
      <c r="E614" s="26" t="inlineStr">
        <is>
          <t>Master Sciences, technologies, santé mention mathématiques et leurs applications parcours Mathématiques et informatique pour le Big Data</t>
        </is>
      </c>
      <c r="F614" s="26" t="inlineStr">
        <is>
          <t>Master Science, Technology, Health (STS) – major: Mathematics &amp; their Applications – track: Mathematics &amp; Computer Science for the Big Data</t>
        </is>
      </c>
      <c r="G614" s="25" t="inlineStr">
        <is>
          <t>Master indifférencié (recherche et professionnel)</t>
        </is>
      </c>
      <c r="H614" s="25" t="inlineStr">
        <is>
          <t>Collège STEE - Sciences et Technologies pour l'Energie et l'Environnement</t>
        </is>
      </c>
      <c r="I614" s="25" t="inlineStr">
        <is>
          <t>Université Pau et Pays de l'Adour</t>
        </is>
      </c>
      <c r="J614" s="25" t="inlineStr">
        <is>
          <t>Collège STEE - site de Pau</t>
        </is>
      </c>
      <c r="K614" s="25" t="n"/>
      <c r="L614" s="25" t="inlineStr">
        <is>
          <t>Public university</t>
        </is>
      </c>
      <c r="M614" s="25" t="inlineStr">
        <is>
          <t>French</t>
        </is>
      </c>
      <c r="N614" s="25" t="inlineStr">
        <is>
          <t>General</t>
        </is>
      </c>
      <c r="O614" s="25" t="inlineStr">
        <is>
          <t>Bac +4</t>
        </is>
      </c>
      <c r="P614" s="26" t="inlineStr">
        <is>
          <t>Eligible on level (4-yr BS ≈ Bac+4)</t>
        </is>
      </c>
      <c r="Q614" s="25" t="inlineStr">
        <is>
          <t>1</t>
        </is>
      </c>
      <c r="R614" s="25" t="n"/>
      <c r="S614" s="27" t="n">
        <v>3950</v>
      </c>
      <c r="T614" s="27" t="n">
        <v>255</v>
      </c>
      <c r="U614" s="25" t="n">
        <v>2</v>
      </c>
      <c r="V614" s="27">
        <f>IF(S614="","",S614*U614)</f>
        <v/>
      </c>
      <c r="W614" s="26" t="inlineStr">
        <is>
          <t>Catalogue: €3,950. = national differentiated master fee (2026-27: €3,950). Exemption to ~€255 possible (university quota).</t>
        </is>
      </c>
      <c r="X614" s="25" t="inlineStr">
        <is>
          <t>High</t>
        </is>
      </c>
      <c r="Y614" s="25" t="inlineStr">
        <is>
          <t>3950</t>
        </is>
      </c>
      <c r="Z614" s="26" t="inlineStr">
        <is>
          <t>oits d'inscription nationaux pour une inscription en formation initiale s'élèvent à 3 950 € / an (les droits différenciés sont appliqués aux … ployeur, par exemple) doivent payer des droits spécifiques , s'élevant au mi</t>
        </is>
      </c>
      <c r="AA614" s="26" t="n"/>
      <c r="AB614" s="25" t="n"/>
      <c r="AC614" s="25" t="inlineStr">
        <is>
          <t>Open</t>
        </is>
      </c>
      <c r="AD614" s="25" t="inlineStr">
        <is>
          <t>2026-10-01</t>
        </is>
      </c>
      <c r="AE614" s="25" t="inlineStr">
        <is>
          <t>2027-03-15</t>
        </is>
      </c>
      <c r="AF614" s="25" t="inlineStr">
        <is>
          <t>No</t>
        </is>
      </c>
      <c r="AG614" s="28" t="inlineStr">
        <is>
          <t>https://formation.univ-pau.fr/fr/catalogue/master-XB/master-mention-mathematiques-et-applications-L3Y9AGO1/parcours-mathematiques-et-informatique-pour-le-big-data-L3Y9CFXD.html</t>
        </is>
      </c>
      <c r="AH614" s="26" t="inlineStr">
        <is>
          <t>Profil maths-info : un étudiant qui a fait de l'informatique et des mathématiques pendant au moins 3 ans Etre capable de pouvoir suivre des cours de niveau Master en Mathématiques et Informatique Prérequis informatique :</t>
        </is>
      </c>
      <c r="AI614" s="28" t="inlineStr">
        <is>
          <t>Open in EEF</t>
        </is>
      </c>
    </row>
    <row r="615" ht="53.7" customHeight="1" s="19">
      <c r="A615" s="25" t="n">
        <v>614</v>
      </c>
      <c r="B615" s="25" t="inlineStr">
        <is>
          <t>★★★☆☆</t>
        </is>
      </c>
      <c r="C615" s="25" t="inlineStr">
        <is>
          <t>3 – Adjacent (AI/data/CS/cyber/energy)</t>
        </is>
      </c>
      <c r="D615" s="25" t="inlineStr">
        <is>
          <t>AI / Data science</t>
        </is>
      </c>
      <c r="E615" s="26" t="inlineStr">
        <is>
          <t>Master Sciences, technologies, santé mention méthodes informatiques appliquées à la gestion des entreprises parcours Intelligence artificielle appliquée (IA2)</t>
        </is>
      </c>
      <c r="F615" s="26" t="inlineStr">
        <is>
          <t>Master Science, Technology, Health (STS) – major: Methods informatiques Applied at the Management of Companies – track: Artificial Intelligence Applied (IA2)</t>
        </is>
      </c>
      <c r="G615" s="25" t="inlineStr">
        <is>
          <t>Master indifférencié (recherche et professionnel)</t>
        </is>
      </c>
      <c r="H615" s="25" t="inlineStr">
        <is>
          <t>Sciences</t>
        </is>
      </c>
      <c r="I615" s="25" t="inlineStr">
        <is>
          <t>Université Côte d'Azur</t>
        </is>
      </c>
      <c r="J615" s="25" t="inlineStr">
        <is>
          <t>Site de Sophia Tech</t>
        </is>
      </c>
      <c r="K615" s="25" t="n"/>
      <c r="L615" s="25" t="inlineStr">
        <is>
          <t>Public university</t>
        </is>
      </c>
      <c r="M615" s="25" t="inlineStr">
        <is>
          <t>French</t>
        </is>
      </c>
      <c r="N615" s="25" t="inlineStr">
        <is>
          <t>General</t>
        </is>
      </c>
      <c r="O615" s="25" t="inlineStr">
        <is>
          <t>Bac +4 / Bac +5</t>
        </is>
      </c>
      <c r="P615" s="26" t="inlineStr">
        <is>
          <t>Eligible on level (4-yr BS ≈ Bac+4)</t>
        </is>
      </c>
      <c r="Q615" s="25" t="inlineStr">
        <is>
          <t>1/2</t>
        </is>
      </c>
      <c r="R615" s="25" t="inlineStr">
        <is>
          <t>12</t>
        </is>
      </c>
      <c r="S615" s="27" t="n">
        <v>3950</v>
      </c>
      <c r="T615" s="27" t="n">
        <v>255</v>
      </c>
      <c r="U615" s="25" t="n">
        <v>2</v>
      </c>
      <c r="V615" s="27">
        <f>IF(S615="","",S615*U615)</f>
        <v/>
      </c>
      <c r="W615" s="26" t="inlineStr">
        <is>
          <t>Catalogue: €3,950. = national differentiated master fee (2026-27: €3,950). Exemption to ~€255 possible (university quota).</t>
        </is>
      </c>
      <c r="X615" s="25" t="inlineStr">
        <is>
          <t>High</t>
        </is>
      </c>
      <c r="Y615" s="25" t="inlineStr">
        <is>
          <t>3950</t>
        </is>
      </c>
      <c r="Z615" s="26" t="inlineStr">
        <is>
          <t>S AUX ETUDIANTS EXTRACOMMUNAUTAIRES Pour l’année universitaire 2026-2027 : Licence : 2 902€ Ma PROCEDURE D’INSCRIPTION L’étudiant(e) doit eff … S AUX ETUDIANTS EXTRACOMMUNAUTAIRES Pour l’année universitaire 2026-2027 : L</t>
        </is>
      </c>
      <c r="AA615" s="26" t="n"/>
      <c r="AB615" s="25" t="n"/>
      <c r="AC615" s="25" t="inlineStr">
        <is>
          <t>Open</t>
        </is>
      </c>
      <c r="AD615" s="25" t="inlineStr">
        <is>
          <t>2026-10-01</t>
        </is>
      </c>
      <c r="AE615" s="25" t="inlineStr">
        <is>
          <t>2027-03-15</t>
        </is>
      </c>
      <c r="AF615" s="25" t="inlineStr">
        <is>
          <t>No</t>
        </is>
      </c>
      <c r="AG615" s="28" t="inlineStr">
        <is>
          <t>https://univ-cotedazur.fr/formation/offre-de-formation/parcours-intelligence-artificielle-appliquee-ia2-1</t>
        </is>
      </c>
      <c r="AH615" s="26" t="inlineStr">
        <is>
          <t>Niveau de français CECRL C1 + solides compétences en informatiques et gestion d'entreprise. Le candidat doit se situer dans les premiers 10% de sa promotion pour la dernière année d'étude. Les étudiants avec un niveau de</t>
        </is>
      </c>
      <c r="AI615" s="28" t="inlineStr">
        <is>
          <t>Open in EEF</t>
        </is>
      </c>
    </row>
    <row r="616" ht="32.8" customHeight="1" s="19">
      <c r="A616" s="25" t="n">
        <v>615</v>
      </c>
      <c r="B616" s="25" t="inlineStr">
        <is>
          <t>★★★☆☆</t>
        </is>
      </c>
      <c r="C616" s="25" t="inlineStr">
        <is>
          <t>3 – Adjacent (AI/data/CS/cyber/energy)</t>
        </is>
      </c>
      <c r="D616" s="25" t="inlineStr">
        <is>
          <t>AI / Data science</t>
        </is>
      </c>
      <c r="E616" s="26" t="inlineStr">
        <is>
          <t>Master Sciences, technologies, santé mention Science des données appliquées</t>
        </is>
      </c>
      <c r="F616" s="26" t="inlineStr">
        <is>
          <t>Master Science, Technology, Health (STS) – major: Data Science Applied</t>
        </is>
      </c>
      <c r="G616" s="25" t="inlineStr">
        <is>
          <t>Master indifférencié (recherche et professionnel)</t>
        </is>
      </c>
      <c r="H616" s="25" t="inlineStr">
        <is>
          <t>Institut des Sciences du Digital, Management et Cognition</t>
        </is>
      </c>
      <c r="I616" s="25" t="inlineStr">
        <is>
          <t>Université de Lorraine</t>
        </is>
      </c>
      <c r="J616" s="25" t="inlineStr">
        <is>
          <t>Site de Nancy</t>
        </is>
      </c>
      <c r="K616" s="25" t="n"/>
      <c r="L616" s="25" t="inlineStr">
        <is>
          <t>Public school / institute</t>
        </is>
      </c>
      <c r="M616" s="25" t="inlineStr">
        <is>
          <t>French</t>
        </is>
      </c>
      <c r="N616" s="25" t="inlineStr">
        <is>
          <t>General</t>
        </is>
      </c>
      <c r="O616" s="25" t="inlineStr">
        <is>
          <t>Bac +4 / Bac +5</t>
        </is>
      </c>
      <c r="P616" s="26" t="inlineStr">
        <is>
          <t>Eligible on level (4-yr BS ≈ Bac+4)</t>
        </is>
      </c>
      <c r="Q616" s="25" t="inlineStr">
        <is>
          <t>1/2</t>
        </is>
      </c>
      <c r="R616" s="25" t="inlineStr">
        <is>
          <t>12</t>
        </is>
      </c>
      <c r="S616" s="27" t="n">
        <v>3950</v>
      </c>
      <c r="T616" s="27" t="n">
        <v>255</v>
      </c>
      <c r="U616" s="25" t="n">
        <v>2</v>
      </c>
      <c r="V616" s="27">
        <f>IF(S616="","",S616*U616)</f>
        <v/>
      </c>
      <c r="W616" s="26" t="inlineStr">
        <is>
          <t>Catalogue: €3,950. = national differentiated master fee (2026-27: €3,950). Exemption to ~€255 possible (university quota).</t>
        </is>
      </c>
      <c r="X616" s="25" t="inlineStr">
        <is>
          <t>High</t>
        </is>
      </c>
      <c r="Y616" s="25" t="inlineStr">
        <is>
          <t>3950</t>
        </is>
      </c>
      <c r="Z616" s="26" t="n"/>
      <c r="AA616" s="26" t="n"/>
      <c r="AB616" s="25" t="n"/>
      <c r="AC616" s="25" t="inlineStr">
        <is>
          <t>Open</t>
        </is>
      </c>
      <c r="AD616" s="25" t="inlineStr">
        <is>
          <t>2026-10-01</t>
        </is>
      </c>
      <c r="AE616" s="25" t="inlineStr">
        <is>
          <t>2027-03-15</t>
        </is>
      </c>
      <c r="AF616" s="25" t="inlineStr">
        <is>
          <t>No</t>
        </is>
      </c>
      <c r="AG616" s="28" t="inlineStr">
        <is>
          <t>https://idmc.univ-lorraine.fr</t>
        </is>
      </c>
      <c r="AH616" s="26" t="inlineStr">
        <is>
          <t>Date limite de transmission du dossier de candidature : A déterminer par l'ambassade Niveau de langue exigé : B2 en français Formation dispensée en français uniquement . Ne convient pas à des étudiants anglophones. Pour</t>
        </is>
      </c>
      <c r="AI616" s="28" t="inlineStr">
        <is>
          <t>Open in EEF</t>
        </is>
      </c>
    </row>
    <row r="617" ht="22.35" customHeight="1" s="19">
      <c r="A617" s="25" t="n">
        <v>616</v>
      </c>
      <c r="B617" s="25" t="inlineStr">
        <is>
          <t>★★★☆☆</t>
        </is>
      </c>
      <c r="C617" s="25" t="inlineStr">
        <is>
          <t>3 – Adjacent (AI/data/CS/cyber/energy)</t>
        </is>
      </c>
      <c r="D617" s="25" t="inlineStr">
        <is>
          <t>Bioinformatics</t>
        </is>
      </c>
      <c r="E617" s="26" t="inlineStr">
        <is>
          <t>Master Sciences, technologies, santé mention sciences du vivant parcours Bioinformatique et Ingéniérie Multi-omique en Santé et Enviro</t>
        </is>
      </c>
      <c r="F617" s="26" t="inlineStr">
        <is>
          <t>Master Science, Technology, Health (STS) – major: Sciences of Life – track: Bioinformatics &amp; Engineering Multi-omique in Health &amp; Enviro</t>
        </is>
      </c>
      <c r="G617" s="25" t="inlineStr">
        <is>
          <t>Master indifférencié (recherche et professionnel)</t>
        </is>
      </c>
      <c r="H617" s="25" t="inlineStr">
        <is>
          <t>UFR des sciences et technologie</t>
        </is>
      </c>
      <c r="I617" s="25" t="inlineStr">
        <is>
          <t>Université Paris-Est Créteil Val-de-Marne</t>
        </is>
      </c>
      <c r="J617" s="25" t="inlineStr">
        <is>
          <t>Site de Créteil</t>
        </is>
      </c>
      <c r="K617" s="25" t="n"/>
      <c r="L617" s="25" t="inlineStr">
        <is>
          <t>Public university</t>
        </is>
      </c>
      <c r="M617" s="25" t="inlineStr">
        <is>
          <t>French</t>
        </is>
      </c>
      <c r="N617" s="25" t="inlineStr">
        <is>
          <t>General</t>
        </is>
      </c>
      <c r="O617" s="25" t="inlineStr">
        <is>
          <t>Bac +4 / Bac +5</t>
        </is>
      </c>
      <c r="P617" s="26" t="inlineStr">
        <is>
          <t>Eligible on level (4-yr BS ≈ Bac+4)</t>
        </is>
      </c>
      <c r="Q617" s="25" t="inlineStr">
        <is>
          <t>1/2</t>
        </is>
      </c>
      <c r="R617" s="25" t="n"/>
      <c r="S617" s="27" t="n">
        <v>3950</v>
      </c>
      <c r="T617" s="27" t="n">
        <v>255</v>
      </c>
      <c r="U617" s="25" t="n">
        <v>2</v>
      </c>
      <c r="V617" s="27">
        <f>IF(S617="","",S617*U617)</f>
        <v/>
      </c>
      <c r="W617" s="26" t="inlineStr">
        <is>
          <t>Catalogue: €3,950. = national differentiated master fee (2026-27: €3,950). Exemption to ~€255 possible (university quota).</t>
        </is>
      </c>
      <c r="X617" s="25" t="inlineStr">
        <is>
          <t>High</t>
        </is>
      </c>
      <c r="Y617" s="25" t="inlineStr">
        <is>
          <t>3950</t>
        </is>
      </c>
      <c r="Z617" s="26" t="n"/>
      <c r="AA617" s="26" t="n"/>
      <c r="AB617" s="25" t="n"/>
      <c r="AC617" s="25" t="inlineStr">
        <is>
          <t>Open</t>
        </is>
      </c>
      <c r="AD617" s="25" t="inlineStr">
        <is>
          <t>2026-10-01</t>
        </is>
      </c>
      <c r="AE617" s="25" t="inlineStr">
        <is>
          <t>2027-03-15</t>
        </is>
      </c>
      <c r="AF617" s="25" t="inlineStr">
        <is>
          <t>No</t>
        </is>
      </c>
      <c r="AG617" s="25" t="n"/>
      <c r="AH617" s="26" t="n"/>
      <c r="AI617" s="28" t="inlineStr">
        <is>
          <t>Open in EEF</t>
        </is>
      </c>
    </row>
    <row r="618" ht="22.35" customHeight="1" s="19">
      <c r="A618" s="25" t="n">
        <v>617</v>
      </c>
      <c r="B618" s="25" t="inlineStr">
        <is>
          <t>★★★☆☆</t>
        </is>
      </c>
      <c r="C618" s="25" t="inlineStr">
        <is>
          <t>3 – Adjacent (AI/data/CS/cyber/energy)</t>
        </is>
      </c>
      <c r="D618" s="25" t="inlineStr">
        <is>
          <t>AI / Data science</t>
        </is>
      </c>
      <c r="E618" s="26" t="inlineStr">
        <is>
          <t>Master professionnel Sciences, technologies, santé mention Mathématiques appliquées, statistique parcours Data science et modélisation statistique</t>
        </is>
      </c>
      <c r="F618" s="26" t="inlineStr">
        <is>
          <t>Professional Master Science, Technology, Health (STS) – major: Applied Mathematics, Statistics – track: Data Science &amp; Modelling Statistics</t>
        </is>
      </c>
      <c r="G618" s="25" t="inlineStr">
        <is>
          <t>Master professionnel</t>
        </is>
      </c>
      <c r="H618" s="25" t="inlineStr">
        <is>
          <t>Faculté des sciences et sciences de l'ingénieur (Campus de Vannes)</t>
        </is>
      </c>
      <c r="I618" s="25" t="inlineStr">
        <is>
          <t>Université Bretagne-Sud</t>
        </is>
      </c>
      <c r="J618" s="25" t="inlineStr">
        <is>
          <t>Site de Vannes</t>
        </is>
      </c>
      <c r="K618" s="25" t="n"/>
      <c r="L618" s="25" t="inlineStr">
        <is>
          <t>Public university</t>
        </is>
      </c>
      <c r="M618" s="25" t="inlineStr">
        <is>
          <t>French</t>
        </is>
      </c>
      <c r="N618" s="25" t="inlineStr">
        <is>
          <t>General</t>
        </is>
      </c>
      <c r="O618" s="25" t="inlineStr">
        <is>
          <t>Bac +4 / Bac +5</t>
        </is>
      </c>
      <c r="P618" s="26" t="inlineStr">
        <is>
          <t>Eligible on level (4-yr BS ≈ Bac+4)</t>
        </is>
      </c>
      <c r="Q618" s="25" t="inlineStr">
        <is>
          <t>1/2</t>
        </is>
      </c>
      <c r="R618" s="25" t="n"/>
      <c r="S618" s="27" t="n">
        <v>3950</v>
      </c>
      <c r="T618" s="27" t="n">
        <v>255</v>
      </c>
      <c r="U618" s="25" t="n">
        <v>2</v>
      </c>
      <c r="V618" s="27">
        <f>IF(S618="","",S618*U618)</f>
        <v/>
      </c>
      <c r="W618" s="26" t="inlineStr">
        <is>
          <t>Catalogue: €3,770. = national differentiated master fee (2026-27: €3,950). Exemption to ~€255 possible (university quota).</t>
        </is>
      </c>
      <c r="X618" s="25" t="inlineStr">
        <is>
          <t>High</t>
        </is>
      </c>
      <c r="Y618" s="25" t="inlineStr">
        <is>
          <t>3770</t>
        </is>
      </c>
      <c r="Z618" s="26" t="n"/>
      <c r="AA618" s="26" t="n"/>
      <c r="AB618" s="25" t="n"/>
      <c r="AC618" s="25" t="inlineStr">
        <is>
          <t>Open</t>
        </is>
      </c>
      <c r="AD618" s="25" t="inlineStr">
        <is>
          <t>2026-10-01</t>
        </is>
      </c>
      <c r="AE618" s="25" t="inlineStr">
        <is>
          <t>2027-03-15</t>
        </is>
      </c>
      <c r="AF618" s="25" t="inlineStr">
        <is>
          <t>No</t>
        </is>
      </c>
      <c r="AG618" s="28" t="inlineStr">
        <is>
          <t>https://www.univ-ubs.fr/fr/formation-initiale-continue/formations-2017-2018/master-XB/sciences-technologies-sante-STS/master-data-science-modelisation-statistique-program-5sdm00-217-5sdm01.html</t>
        </is>
      </c>
      <c r="AH618" s="26" t="inlineStr">
        <is>
          <t>Niveau minimum exigé en français : B2 Niveau minimum exigé en anglais : B2</t>
        </is>
      </c>
      <c r="AI618" s="28" t="inlineStr">
        <is>
          <t>Open in EEF</t>
        </is>
      </c>
    </row>
    <row r="619" ht="32.8" customHeight="1" s="19">
      <c r="A619" s="25" t="n">
        <v>618</v>
      </c>
      <c r="B619" s="25" t="inlineStr">
        <is>
          <t>★★★☆☆</t>
        </is>
      </c>
      <c r="C619" s="25" t="inlineStr">
        <is>
          <t>3 – Adjacent (AI/data/CS/cyber/energy)</t>
        </is>
      </c>
      <c r="D619" s="25" t="inlineStr">
        <is>
          <t>Computer science / Software</t>
        </is>
      </c>
      <c r="E619" s="26" t="inlineStr">
        <is>
          <t>Master pro Sciences, technologies, santé mention informatique</t>
        </is>
      </c>
      <c r="F619" s="26" t="inlineStr">
        <is>
          <t>Master pro Science, Technology, Health (STS) – major: Computer Science</t>
        </is>
      </c>
      <c r="G619" s="25" t="inlineStr">
        <is>
          <t>Master professionnel</t>
        </is>
      </c>
      <c r="H619" s="25" t="inlineStr">
        <is>
          <t>UFR de Sciences et techniques</t>
        </is>
      </c>
      <c r="I619" s="25" t="inlineStr">
        <is>
          <t>Université Bourgogne Europe</t>
        </is>
      </c>
      <c r="J619" s="25" t="inlineStr">
        <is>
          <t>Site de Dijon</t>
        </is>
      </c>
      <c r="K619" s="25" t="n"/>
      <c r="L619" s="25" t="inlineStr">
        <is>
          <t>Public university</t>
        </is>
      </c>
      <c r="M619" s="25" t="inlineStr">
        <is>
          <t>French</t>
        </is>
      </c>
      <c r="N619" s="25" t="inlineStr">
        <is>
          <t>General</t>
        </is>
      </c>
      <c r="O619" s="25" t="inlineStr">
        <is>
          <t>Bac +4</t>
        </is>
      </c>
      <c r="P619" s="26" t="inlineStr">
        <is>
          <t>Eligible on level (4-yr BS ≈ Bac+4)</t>
        </is>
      </c>
      <c r="Q619" s="25" t="inlineStr">
        <is>
          <t>1</t>
        </is>
      </c>
      <c r="R619" s="25" t="inlineStr">
        <is>
          <t>12</t>
        </is>
      </c>
      <c r="S619" s="27" t="n">
        <v>3950</v>
      </c>
      <c r="T619" s="27" t="n">
        <v>255</v>
      </c>
      <c r="U619" s="25" t="n">
        <v>1</v>
      </c>
      <c r="V619" s="27">
        <f>IF(S619="","",S619*U619)</f>
        <v/>
      </c>
      <c r="W619" s="26" t="inlineStr">
        <is>
          <t>Catalogue: €3,950. = national differentiated master fee (2026-27: €3,950). Exemption to ~€255 possible (university quota).</t>
        </is>
      </c>
      <c r="X619" s="25" t="inlineStr">
        <is>
          <t>High</t>
        </is>
      </c>
      <c r="Y619" s="25" t="inlineStr">
        <is>
          <t>3950</t>
        </is>
      </c>
      <c r="Z619" s="26" t="n"/>
      <c r="AA619" s="26" t="n"/>
      <c r="AB619" s="25" t="n"/>
      <c r="AC619" s="25" t="inlineStr">
        <is>
          <t>Open</t>
        </is>
      </c>
      <c r="AD619" s="25" t="inlineStr">
        <is>
          <t>2026-10-01</t>
        </is>
      </c>
      <c r="AE619" s="25" t="inlineStr">
        <is>
          <t>2027-03-15</t>
        </is>
      </c>
      <c r="AF619" s="25" t="inlineStr">
        <is>
          <t>No</t>
        </is>
      </c>
      <c r="AG619" s="28" t="inlineStr">
        <is>
          <t>http://sciences-techniques.u-bourgogne.fr</t>
        </is>
      </c>
      <c r="AH619" s="26" t="inlineStr">
        <is>
          <t>Le test de connaissance du français de niveau B2 est exigé pour cette formation, sauf pour les candidats issus de pays francophones et dont la langue officielle est le français. Licence d’informatique, maîtrise du frança</t>
        </is>
      </c>
      <c r="AI619" s="28" t="inlineStr">
        <is>
          <t>Open in EEF</t>
        </is>
      </c>
    </row>
    <row r="620" ht="32.8" customHeight="1" s="19">
      <c r="A620" s="25" t="n">
        <v>619</v>
      </c>
      <c r="B620" s="25" t="inlineStr">
        <is>
          <t>★★★☆☆</t>
        </is>
      </c>
      <c r="C620" s="25" t="inlineStr">
        <is>
          <t>3 – Adjacent (AI/data/CS/cyber/energy)</t>
        </is>
      </c>
      <c r="D620" s="25" t="inlineStr">
        <is>
          <t>Bioinformatics</t>
        </is>
      </c>
      <c r="E620" s="26" t="inlineStr">
        <is>
          <t>Master indifférencié (recherche et professionnel) Sciences et technologies mention Bio-informatique parcours Analyses et développements bioinformatiques (ADB)</t>
        </is>
      </c>
      <c r="F620" s="26" t="inlineStr">
        <is>
          <t>Science &amp; Technology – major: Bioinformatics – track: Analyses &amp; développements bioinformatiques (ADB)</t>
        </is>
      </c>
      <c r="G620" s="25" t="inlineStr">
        <is>
          <t>Master indifférencié (recherche et professionnel)</t>
        </is>
      </c>
      <c r="H620" s="25" t="inlineStr">
        <is>
          <t>UFR Sciences</t>
        </is>
      </c>
      <c r="I620" s="25" t="inlineStr">
        <is>
          <t>Université d'Aix-Marseille</t>
        </is>
      </c>
      <c r="J620" s="25" t="inlineStr">
        <is>
          <t>Site de Marseille - Luminy</t>
        </is>
      </c>
      <c r="K620" s="25" t="n"/>
      <c r="L620" s="25" t="inlineStr">
        <is>
          <t>Public university</t>
        </is>
      </c>
      <c r="M620" s="25" t="inlineStr">
        <is>
          <t>French</t>
        </is>
      </c>
      <c r="N620" s="25" t="inlineStr">
        <is>
          <t>General</t>
        </is>
      </c>
      <c r="O620" s="25" t="inlineStr">
        <is>
          <t>Bac +4 / Bac +5</t>
        </is>
      </c>
      <c r="P620" s="26" t="inlineStr">
        <is>
          <t>Eligible on level (4-yr BS ≈ Bac+4)</t>
        </is>
      </c>
      <c r="Q620" s="25" t="inlineStr">
        <is>
          <t>1/2</t>
        </is>
      </c>
      <c r="R620" s="25" t="inlineStr">
        <is>
          <t>12</t>
        </is>
      </c>
      <c r="S620" s="27" t="n">
        <v>3950</v>
      </c>
      <c r="T620" s="27" t="n">
        <v>255</v>
      </c>
      <c r="U620" s="25" t="n">
        <v>2</v>
      </c>
      <c r="V620" s="27">
        <f>IF(S620="","",S620*U620)</f>
        <v/>
      </c>
      <c r="W620" s="26" t="inlineStr">
        <is>
          <t>Not in catalogue. Public national master → 2026-27 differentiated fee €3,950; exemption to ~€254-255 depends on university quota (25% cap in 2027-28).</t>
        </is>
      </c>
      <c r="X620" s="25" t="inlineStr">
        <is>
          <t>Medium</t>
        </is>
      </c>
      <c r="Y620" s="25" t="n"/>
      <c r="Z620" s="26" t="n"/>
      <c r="AA620" s="26" t="inlineStr">
        <is>
          <t>AMU 2026-27: limited exemptions (≈1,800 of 5,500 students) – priority to continuing students, conflict zones, excellence scholarships. New master entrants usually pay €3,950.</t>
        </is>
      </c>
      <c r="AB620" s="28" t="inlineStr">
        <is>
          <t>https://www.univ-amu.fr/fr/actualites/aix-marseille-universite-mobilise-pleinement-capacite-dexoneration-continuer-accueillir</t>
        </is>
      </c>
      <c r="AC620" s="25" t="inlineStr">
        <is>
          <t>Open</t>
        </is>
      </c>
      <c r="AD620" s="25" t="inlineStr">
        <is>
          <t>2026-10-01</t>
        </is>
      </c>
      <c r="AE620" s="25" t="inlineStr">
        <is>
          <t>2027-03-15</t>
        </is>
      </c>
      <c r="AF620" s="25" t="inlineStr">
        <is>
          <t>No</t>
        </is>
      </c>
      <c r="AG620" s="28" t="inlineStr">
        <is>
          <t>https://sciences.univ-amu.fr/fr/formation/masters/master-bio-informatique</t>
        </is>
      </c>
      <c r="AH620" s="26" t="inlineStr">
        <is>
          <t>Nous attirons votre attention sur 2 points importants pour votre candidature : Votre dossier doit être complet et validé par l’Espace Etudes en France La faculté des sciences examinera les dossiers de candidature en cohé</t>
        </is>
      </c>
      <c r="AI620" s="28" t="inlineStr">
        <is>
          <t>Open in EEF</t>
        </is>
      </c>
    </row>
    <row r="621" ht="32.8" customHeight="1" s="19">
      <c r="A621" s="25" t="n">
        <v>620</v>
      </c>
      <c r="B621" s="25" t="inlineStr">
        <is>
          <t>★★★☆☆</t>
        </is>
      </c>
      <c r="C621" s="25" t="inlineStr">
        <is>
          <t>3 – Adjacent (AI/data/CS/cyber/energy)</t>
        </is>
      </c>
      <c r="D621" s="25" t="inlineStr">
        <is>
          <t>Computer science / Software</t>
        </is>
      </c>
      <c r="E621" s="26" t="inlineStr">
        <is>
          <t>Master indifférencié (recherche et professionnel) Sciences et technologies mention Information et médiation scientifique et technique parcours Veille technologique et innovation (VTI)</t>
        </is>
      </c>
      <c r="F621" s="26" t="inlineStr">
        <is>
          <t>Science &amp; Technology – major: Information &amp; médiation Scientific &amp; technique – track: Watch Technological &amp; innovation (VTI)</t>
        </is>
      </c>
      <c r="G621" s="25" t="inlineStr">
        <is>
          <t>Master indifférencié (recherche et professionnel)</t>
        </is>
      </c>
      <c r="H621" s="25" t="inlineStr">
        <is>
          <t>UFR Sciences</t>
        </is>
      </c>
      <c r="I621" s="25" t="inlineStr">
        <is>
          <t>Université d'Aix-Marseille</t>
        </is>
      </c>
      <c r="J621" s="25" t="inlineStr">
        <is>
          <t>Site de Marseille - St Jérôme</t>
        </is>
      </c>
      <c r="K621" s="25" t="n"/>
      <c r="L621" s="25" t="inlineStr">
        <is>
          <t>Public university</t>
        </is>
      </c>
      <c r="M621" s="25" t="inlineStr">
        <is>
          <t>French</t>
        </is>
      </c>
      <c r="N621" s="25" t="inlineStr">
        <is>
          <t>General</t>
        </is>
      </c>
      <c r="O621" s="25" t="inlineStr">
        <is>
          <t>Bac +4 / Bac +5</t>
        </is>
      </c>
      <c r="P621" s="26" t="inlineStr">
        <is>
          <t>Eligible on level (4-yr BS ≈ Bac+4)</t>
        </is>
      </c>
      <c r="Q621" s="25" t="inlineStr">
        <is>
          <t>1/2</t>
        </is>
      </c>
      <c r="R621" s="25" t="inlineStr">
        <is>
          <t>12</t>
        </is>
      </c>
      <c r="S621" s="27" t="n">
        <v>3950</v>
      </c>
      <c r="T621" s="27" t="n">
        <v>255</v>
      </c>
      <c r="U621" s="25" t="n">
        <v>2</v>
      </c>
      <c r="V621" s="27">
        <f>IF(S621="","",S621*U621)</f>
        <v/>
      </c>
      <c r="W621" s="26" t="inlineStr">
        <is>
          <t>Not in catalogue. Public national master → 2026-27 differentiated fee €3,950; exemption to ~€254-255 depends on university quota (25% cap in 2027-28).</t>
        </is>
      </c>
      <c r="X621" s="25" t="inlineStr">
        <is>
          <t>Medium</t>
        </is>
      </c>
      <c r="Y621" s="25" t="n"/>
      <c r="Z621" s="26" t="n"/>
      <c r="AA621" s="26" t="inlineStr">
        <is>
          <t>AMU 2026-27: limited exemptions (≈1,800 of 5,500 students) – priority to continuing students, conflict zones, excellence scholarships. New master entrants usually pay €3,950.</t>
        </is>
      </c>
      <c r="AB621" s="28" t="inlineStr">
        <is>
          <t>https://www.univ-amu.fr/fr/actualites/aix-marseille-universite-mobilise-pleinement-capacite-dexoneration-continuer-accueillir</t>
        </is>
      </c>
      <c r="AC621" s="25" t="inlineStr">
        <is>
          <t>Open</t>
        </is>
      </c>
      <c r="AD621" s="25" t="inlineStr">
        <is>
          <t>2026-10-01</t>
        </is>
      </c>
      <c r="AE621" s="25" t="inlineStr">
        <is>
          <t>2027-03-15</t>
        </is>
      </c>
      <c r="AF621" s="25" t="inlineStr">
        <is>
          <t>No</t>
        </is>
      </c>
      <c r="AG621" s="28" t="inlineStr">
        <is>
          <t>https://formations.univ-amu.fr/fr/master/5SIM/PRSIM5C2</t>
        </is>
      </c>
      <c r="AH621" s="26" t="inlineStr">
        <is>
          <t>Nous attirons votre attention sur 3 points importants pour votre candidature : Votre dossier doit être complet et validé par l’Espace Etudes en France La faculté des sciences examinera les dossiers de candidature en cohé</t>
        </is>
      </c>
      <c r="AI621" s="28" t="inlineStr">
        <is>
          <t>Open in EEF</t>
        </is>
      </c>
    </row>
    <row r="622" ht="32.8" customHeight="1" s="19">
      <c r="A622" s="25" t="n">
        <v>621</v>
      </c>
      <c r="B622" s="25" t="inlineStr">
        <is>
          <t>★★★☆☆</t>
        </is>
      </c>
      <c r="C622" s="25" t="inlineStr">
        <is>
          <t>3 – Adjacent (AI/data/CS/cyber/energy)</t>
        </is>
      </c>
      <c r="D622" s="25" t="inlineStr">
        <is>
          <t>Cybersecurity</t>
        </is>
      </c>
      <c r="E622" s="26" t="inlineStr">
        <is>
          <t>Master indifférencié (recherche et professionnel) Sciences et technologies mention informatique parcours Fiabilité et sécurité informatique (FSI)</t>
        </is>
      </c>
      <c r="F622" s="26" t="inlineStr">
        <is>
          <t>Science &amp; Technology – major: Computer Science – track: Reliability &amp; Computer Security (FSI)</t>
        </is>
      </c>
      <c r="G622" s="25" t="inlineStr">
        <is>
          <t>Master indifférencié (recherche et professionnel)</t>
        </is>
      </c>
      <c r="H622" s="25" t="inlineStr">
        <is>
          <t>UFR Sciences</t>
        </is>
      </c>
      <c r="I622" s="25" t="inlineStr">
        <is>
          <t>Université d'Aix-Marseille</t>
        </is>
      </c>
      <c r="J622" s="25" t="inlineStr">
        <is>
          <t>Site de Marseille - Luminy</t>
        </is>
      </c>
      <c r="K622" s="25" t="n"/>
      <c r="L622" s="25" t="inlineStr">
        <is>
          <t>Public university</t>
        </is>
      </c>
      <c r="M622" s="25" t="inlineStr">
        <is>
          <t>French</t>
        </is>
      </c>
      <c r="N622" s="25" t="inlineStr">
        <is>
          <t>General</t>
        </is>
      </c>
      <c r="O622" s="25" t="inlineStr">
        <is>
          <t>Bac +4 / Bac +5</t>
        </is>
      </c>
      <c r="P622" s="26" t="inlineStr">
        <is>
          <t>Eligible on level (4-yr BS ≈ Bac+4)</t>
        </is>
      </c>
      <c r="Q622" s="25" t="inlineStr">
        <is>
          <t>1/2</t>
        </is>
      </c>
      <c r="R622" s="25" t="inlineStr">
        <is>
          <t>12</t>
        </is>
      </c>
      <c r="S622" s="27" t="n">
        <v>3950</v>
      </c>
      <c r="T622" s="27" t="n">
        <v>255</v>
      </c>
      <c r="U622" s="25" t="n">
        <v>2</v>
      </c>
      <c r="V622" s="27">
        <f>IF(S622="","",S622*U622)</f>
        <v/>
      </c>
      <c r="W622" s="26" t="inlineStr">
        <is>
          <t>Not in catalogue. Public national master → 2026-27 differentiated fee €3,950; exemption to ~€254-255 depends on university quota (25% cap in 2027-28).</t>
        </is>
      </c>
      <c r="X622" s="25" t="inlineStr">
        <is>
          <t>Medium</t>
        </is>
      </c>
      <c r="Y622" s="25" t="n"/>
      <c r="Z622" s="26" t="n"/>
      <c r="AA622" s="26" t="inlineStr">
        <is>
          <t>AMU 2026-27: limited exemptions (≈1,800 of 5,500 students) – priority to continuing students, conflict zones, excellence scholarships. New master entrants usually pay €3,950.</t>
        </is>
      </c>
      <c r="AB622" s="28" t="inlineStr">
        <is>
          <t>https://www.univ-amu.fr/fr/actualites/aix-marseille-universite-mobilise-pleinement-capacite-dexoneration-continuer-accueillir</t>
        </is>
      </c>
      <c r="AC622" s="25" t="inlineStr">
        <is>
          <t>Open</t>
        </is>
      </c>
      <c r="AD622" s="25" t="inlineStr">
        <is>
          <t>2026-10-01</t>
        </is>
      </c>
      <c r="AE622" s="25" t="inlineStr">
        <is>
          <t>2027-03-15</t>
        </is>
      </c>
      <c r="AF622" s="25" t="inlineStr">
        <is>
          <t>No</t>
        </is>
      </c>
      <c r="AG622" s="28" t="inlineStr">
        <is>
          <t>https://formations.univ-amu.fr/fr/master/5SIN/PRSIN5C1</t>
        </is>
      </c>
      <c r="AH622" s="26" t="inlineStr">
        <is>
          <t>4 points importants pour votre candidature : Votre dossier doit être complet et validé par l’Espace Etudes en France La faculté des sciences examinera les dossiers en cohérence avec le calendrier EeF Niveau de français e</t>
        </is>
      </c>
      <c r="AI622" s="28" t="inlineStr">
        <is>
          <t>Open in EEF</t>
        </is>
      </c>
    </row>
    <row r="623" ht="32.8" customHeight="1" s="19">
      <c r="A623" s="25" t="n">
        <v>622</v>
      </c>
      <c r="B623" s="25" t="inlineStr">
        <is>
          <t>★★★☆☆</t>
        </is>
      </c>
      <c r="C623" s="25" t="inlineStr">
        <is>
          <t>3 – Adjacent (AI/data/CS/cyber/energy)</t>
        </is>
      </c>
      <c r="D623" s="25" t="inlineStr">
        <is>
          <t>Computer science / Software</t>
        </is>
      </c>
      <c r="E623" s="26" t="inlineStr">
        <is>
          <t>Master indifférencié (recherche et professionnel) Sciences et technologies mention informatique parcours Géométrie et informatique graphique (GIG)</t>
        </is>
      </c>
      <c r="F623" s="26" t="inlineStr">
        <is>
          <t>Science &amp; Technology – major: Computer Science – track: Geometry &amp; Computer Science graphique (GIG)</t>
        </is>
      </c>
      <c r="G623" s="25" t="inlineStr">
        <is>
          <t>Master indifférencié (recherche et professionnel)</t>
        </is>
      </c>
      <c r="H623" s="25" t="inlineStr">
        <is>
          <t>UFR Sciences</t>
        </is>
      </c>
      <c r="I623" s="25" t="inlineStr">
        <is>
          <t>Université d'Aix-Marseille</t>
        </is>
      </c>
      <c r="J623" s="25" t="inlineStr">
        <is>
          <t>Site de Marseille - Luminy</t>
        </is>
      </c>
      <c r="K623" s="25" t="n"/>
      <c r="L623" s="25" t="inlineStr">
        <is>
          <t>Public university</t>
        </is>
      </c>
      <c r="M623" s="25" t="inlineStr">
        <is>
          <t>French</t>
        </is>
      </c>
      <c r="N623" s="25" t="inlineStr">
        <is>
          <t>General</t>
        </is>
      </c>
      <c r="O623" s="25" t="inlineStr">
        <is>
          <t>Bac +4 / Bac +5</t>
        </is>
      </c>
      <c r="P623" s="26" t="inlineStr">
        <is>
          <t>Eligible on level (4-yr BS ≈ Bac+4)</t>
        </is>
      </c>
      <c r="Q623" s="25" t="inlineStr">
        <is>
          <t>1/2</t>
        </is>
      </c>
      <c r="R623" s="25" t="inlineStr">
        <is>
          <t>12</t>
        </is>
      </c>
      <c r="S623" s="27" t="n">
        <v>3950</v>
      </c>
      <c r="T623" s="27" t="n">
        <v>255</v>
      </c>
      <c r="U623" s="25" t="n">
        <v>2</v>
      </c>
      <c r="V623" s="27">
        <f>IF(S623="","",S623*U623)</f>
        <v/>
      </c>
      <c r="W623" s="26" t="inlineStr">
        <is>
          <t>Not in catalogue. Public national master → 2026-27 differentiated fee €3,950; exemption to ~€254-255 depends on university quota (25% cap in 2027-28).</t>
        </is>
      </c>
      <c r="X623" s="25" t="inlineStr">
        <is>
          <t>Medium</t>
        </is>
      </c>
      <c r="Y623" s="25" t="n"/>
      <c r="Z623" s="26" t="n"/>
      <c r="AA623" s="26" t="inlineStr">
        <is>
          <t>AMU 2026-27: limited exemptions (≈1,800 of 5,500 students) – priority to continuing students, conflict zones, excellence scholarships. New master entrants usually pay €3,950.</t>
        </is>
      </c>
      <c r="AB623" s="28" t="inlineStr">
        <is>
          <t>https://www.univ-amu.fr/fr/actualites/aix-marseille-universite-mobilise-pleinement-capacite-dexoneration-continuer-accueillir</t>
        </is>
      </c>
      <c r="AC623" s="25" t="inlineStr">
        <is>
          <t>Open</t>
        </is>
      </c>
      <c r="AD623" s="25" t="inlineStr">
        <is>
          <t>2026-10-01</t>
        </is>
      </c>
      <c r="AE623" s="25" t="inlineStr">
        <is>
          <t>2027-03-15</t>
        </is>
      </c>
      <c r="AF623" s="25" t="inlineStr">
        <is>
          <t>No</t>
        </is>
      </c>
      <c r="AG623" s="28" t="inlineStr">
        <is>
          <t>https://formations.univ-amu.fr/fr/master/5SIN/PRSIN5C2</t>
        </is>
      </c>
      <c r="AH623" s="26" t="inlineStr">
        <is>
          <t>Nous attirons votre attention sur 2 points importants pour votre candidature : Votre dossier doit être complet et validé par l’Espace Etudes en France La faculté des sciences examinera les dossiers de candidature en cohé</t>
        </is>
      </c>
      <c r="AI623" s="28" t="inlineStr">
        <is>
          <t>Open in EEF</t>
        </is>
      </c>
    </row>
    <row r="624" ht="32.8" customHeight="1" s="19">
      <c r="A624" s="25" t="n">
        <v>623</v>
      </c>
      <c r="B624" s="25" t="inlineStr">
        <is>
          <t>★★★☆☆</t>
        </is>
      </c>
      <c r="C624" s="25" t="inlineStr">
        <is>
          <t>3 – Adjacent (AI/data/CS/cyber/energy)</t>
        </is>
      </c>
      <c r="D624" s="25" t="inlineStr">
        <is>
          <t>Computer science / Software</t>
        </is>
      </c>
      <c r="E624" s="26" t="inlineStr">
        <is>
          <t>Master indifférencié (recherche et professionnel) Sciences et technologies mention informatique parcours Informatique et mathématiques discrètes (IMD)</t>
        </is>
      </c>
      <c r="F624" s="26" t="inlineStr">
        <is>
          <t>Science &amp; Technology – major: Computer Science – track: Computer Science &amp; Mathematics Discrete (IMD)</t>
        </is>
      </c>
      <c r="G624" s="25" t="inlineStr">
        <is>
          <t>Master indifférencié (recherche et professionnel)</t>
        </is>
      </c>
      <c r="H624" s="25" t="inlineStr">
        <is>
          <t>UFR Sciences</t>
        </is>
      </c>
      <c r="I624" s="25" t="inlineStr">
        <is>
          <t>Université d'Aix-Marseille</t>
        </is>
      </c>
      <c r="J624" s="25" t="inlineStr">
        <is>
          <t>Site de Marseille - Luminy</t>
        </is>
      </c>
      <c r="K624" s="25" t="n"/>
      <c r="L624" s="25" t="inlineStr">
        <is>
          <t>Public university</t>
        </is>
      </c>
      <c r="M624" s="25" t="inlineStr">
        <is>
          <t>French</t>
        </is>
      </c>
      <c r="N624" s="25" t="inlineStr">
        <is>
          <t>General</t>
        </is>
      </c>
      <c r="O624" s="25" t="inlineStr">
        <is>
          <t>Bac +4 / Bac +5</t>
        </is>
      </c>
      <c r="P624" s="26" t="inlineStr">
        <is>
          <t>Eligible on level (4-yr BS ≈ Bac+4)</t>
        </is>
      </c>
      <c r="Q624" s="25" t="inlineStr">
        <is>
          <t>1/2</t>
        </is>
      </c>
      <c r="R624" s="25" t="inlineStr">
        <is>
          <t>12</t>
        </is>
      </c>
      <c r="S624" s="27" t="n">
        <v>3950</v>
      </c>
      <c r="T624" s="27" t="n">
        <v>255</v>
      </c>
      <c r="U624" s="25" t="n">
        <v>2</v>
      </c>
      <c r="V624" s="27">
        <f>IF(S624="","",S624*U624)</f>
        <v/>
      </c>
      <c r="W624" s="26" t="inlineStr">
        <is>
          <t>Not in catalogue. Public national master → 2026-27 differentiated fee €3,950; exemption to ~€254-255 depends on university quota (25% cap in 2027-28).</t>
        </is>
      </c>
      <c r="X624" s="25" t="inlineStr">
        <is>
          <t>Medium</t>
        </is>
      </c>
      <c r="Y624" s="25" t="n"/>
      <c r="Z624" s="26" t="n"/>
      <c r="AA624" s="26" t="inlineStr">
        <is>
          <t>AMU 2026-27: limited exemptions (≈1,800 of 5,500 students) – priority to continuing students, conflict zones, excellence scholarships. New master entrants usually pay €3,950.</t>
        </is>
      </c>
      <c r="AB624" s="28" t="inlineStr">
        <is>
          <t>https://www.univ-amu.fr/fr/actualites/aix-marseille-universite-mobilise-pleinement-capacite-dexoneration-continuer-accueillir</t>
        </is>
      </c>
      <c r="AC624" s="25" t="inlineStr">
        <is>
          <t>Open</t>
        </is>
      </c>
      <c r="AD624" s="25" t="inlineStr">
        <is>
          <t>2026-10-01</t>
        </is>
      </c>
      <c r="AE624" s="25" t="inlineStr">
        <is>
          <t>2027-03-15</t>
        </is>
      </c>
      <c r="AF624" s="25" t="inlineStr">
        <is>
          <t>No</t>
        </is>
      </c>
      <c r="AG624" s="28" t="inlineStr">
        <is>
          <t>https://formations.univ-amu.fr/fr/master/5SIN/PRSIN5C3</t>
        </is>
      </c>
      <c r="AH624" s="26" t="inlineStr">
        <is>
          <t>Nous attirons votre attention sur 4 points importants pour votre candidature : Votre dossier doit être complet et validé par l’Espace Etudes en France La faculté des sciences examinera les dossiers de candidature en cohé</t>
        </is>
      </c>
      <c r="AI624" s="28" t="inlineStr">
        <is>
          <t>Open in EEF</t>
        </is>
      </c>
    </row>
    <row r="625" ht="32.8" customHeight="1" s="19">
      <c r="A625" s="25" t="n">
        <v>624</v>
      </c>
      <c r="B625" s="25" t="inlineStr">
        <is>
          <t>★★★☆☆</t>
        </is>
      </c>
      <c r="C625" s="25" t="inlineStr">
        <is>
          <t>3 – Adjacent (AI/data/CS/cyber/energy)</t>
        </is>
      </c>
      <c r="D625" s="25" t="inlineStr">
        <is>
          <t>Computer science / Software</t>
        </is>
      </c>
      <c r="E625" s="26" t="inlineStr">
        <is>
          <t>Master indifférencié (recherche et professionnel) Sciences et technologies mention informatique parcours _Ingénierie du développement logiciel (IDL)</t>
        </is>
      </c>
      <c r="F625" s="26" t="inlineStr">
        <is>
          <t>Science &amp; Technology – major: Computer Science – track: _Engineering of Development Software (IDL)</t>
        </is>
      </c>
      <c r="G625" s="25" t="inlineStr">
        <is>
          <t>Master indifférencié (recherche et professionnel)</t>
        </is>
      </c>
      <c r="H625" s="25" t="inlineStr">
        <is>
          <t>UFR Sciences</t>
        </is>
      </c>
      <c r="I625" s="25" t="inlineStr">
        <is>
          <t>Université d'Aix-Marseille</t>
        </is>
      </c>
      <c r="J625" s="25" t="inlineStr">
        <is>
          <t>Site de Marseille - Luminy</t>
        </is>
      </c>
      <c r="K625" s="25" t="n"/>
      <c r="L625" s="25" t="inlineStr">
        <is>
          <t>Public university</t>
        </is>
      </c>
      <c r="M625" s="25" t="inlineStr">
        <is>
          <t>French</t>
        </is>
      </c>
      <c r="N625" s="25" t="inlineStr">
        <is>
          <t>General</t>
        </is>
      </c>
      <c r="O625" s="25" t="inlineStr">
        <is>
          <t>Bac +4 / Bac +5</t>
        </is>
      </c>
      <c r="P625" s="26" t="inlineStr">
        <is>
          <t>Eligible on level (4-yr BS ≈ Bac+4)</t>
        </is>
      </c>
      <c r="Q625" s="25" t="inlineStr">
        <is>
          <t>1/2</t>
        </is>
      </c>
      <c r="R625" s="25" t="n"/>
      <c r="S625" s="27" t="n">
        <v>3950</v>
      </c>
      <c r="T625" s="27" t="n">
        <v>255</v>
      </c>
      <c r="U625" s="25" t="n">
        <v>2</v>
      </c>
      <c r="V625" s="27">
        <f>IF(S625="","",S625*U625)</f>
        <v/>
      </c>
      <c r="W625" s="26" t="inlineStr">
        <is>
          <t>Not in catalogue. Public national master → 2026-27 differentiated fee €3,950; exemption to ~€254-255 depends on university quota (25% cap in 2027-28).</t>
        </is>
      </c>
      <c r="X625" s="25" t="inlineStr">
        <is>
          <t>Medium</t>
        </is>
      </c>
      <c r="Y625" s="25" t="n"/>
      <c r="Z625" s="26" t="n"/>
      <c r="AA625" s="26" t="inlineStr">
        <is>
          <t>AMU 2026-27: limited exemptions (≈1,800 of 5,500 students) – priority to continuing students, conflict zones, excellence scholarships. New master entrants usually pay €3,950.</t>
        </is>
      </c>
      <c r="AB625" s="28" t="inlineStr">
        <is>
          <t>https://www.univ-amu.fr/fr/actualites/aix-marseille-universite-mobilise-pleinement-capacite-dexoneration-continuer-accueillir</t>
        </is>
      </c>
      <c r="AC625" s="25" t="inlineStr">
        <is>
          <t>Open</t>
        </is>
      </c>
      <c r="AD625" s="25" t="inlineStr">
        <is>
          <t>2026-10-01</t>
        </is>
      </c>
      <c r="AE625" s="25" t="inlineStr">
        <is>
          <t>2027-03-15</t>
        </is>
      </c>
      <c r="AF625" s="25" t="inlineStr">
        <is>
          <t>No</t>
        </is>
      </c>
      <c r="AG625" s="28" t="inlineStr">
        <is>
          <t>https://formations.univ-amu.fr/fr/master/5SIN/PRSIN5C4</t>
        </is>
      </c>
      <c r="AH625" s="26" t="inlineStr">
        <is>
          <t>Nous attirons votre attention sur 4 points importants pour votre candidature : Votre dossier doit être complet et validé par l’Espace Etudes en France La faculté des sciences examinera les dossiers de candidature en cohé</t>
        </is>
      </c>
      <c r="AI625" s="28" t="inlineStr">
        <is>
          <t>Open in EEF</t>
        </is>
      </c>
    </row>
    <row r="626" ht="32.8" customHeight="1" s="19">
      <c r="A626" s="25" t="n">
        <v>625</v>
      </c>
      <c r="B626" s="25" t="inlineStr">
        <is>
          <t>★★★☆☆</t>
        </is>
      </c>
      <c r="C626" s="25" t="inlineStr">
        <is>
          <t>3 – Adjacent (AI/data/CS/cyber/energy)</t>
        </is>
      </c>
      <c r="D626" s="25" t="inlineStr">
        <is>
          <t>AI / Data science</t>
        </is>
      </c>
      <c r="E626" s="26" t="inlineStr">
        <is>
          <t>Master indifférencié (recherche et professionnel) Sciences et technologies mention Mathématiques appliquées, statistique parcours Data Science (DS)</t>
        </is>
      </c>
      <c r="F626" s="26" t="inlineStr">
        <is>
          <t>Science &amp; Technology – major: Applied Mathematics, Statistics – track: Data Science (DS)</t>
        </is>
      </c>
      <c r="G626" s="25" t="inlineStr">
        <is>
          <t>Master indifférencié (recherche et professionnel)</t>
        </is>
      </c>
      <c r="H626" s="25" t="inlineStr">
        <is>
          <t>UFR Sciences</t>
        </is>
      </c>
      <c r="I626" s="25" t="inlineStr">
        <is>
          <t>Université d'Aix-Marseille</t>
        </is>
      </c>
      <c r="J626" s="25" t="inlineStr">
        <is>
          <t>Site de Marseille - St Charles</t>
        </is>
      </c>
      <c r="K626" s="25" t="n"/>
      <c r="L626" s="25" t="inlineStr">
        <is>
          <t>Public university</t>
        </is>
      </c>
      <c r="M626" s="25" t="inlineStr">
        <is>
          <t>French</t>
        </is>
      </c>
      <c r="N626" s="25" t="inlineStr">
        <is>
          <t>General</t>
        </is>
      </c>
      <c r="O626" s="25" t="inlineStr">
        <is>
          <t>Bac +4 / Bac +5</t>
        </is>
      </c>
      <c r="P626" s="26" t="inlineStr">
        <is>
          <t>Eligible on level (4-yr BS ≈ Bac+4)</t>
        </is>
      </c>
      <c r="Q626" s="25" t="inlineStr">
        <is>
          <t>1/2</t>
        </is>
      </c>
      <c r="R626" s="25" t="inlineStr">
        <is>
          <t>12</t>
        </is>
      </c>
      <c r="S626" s="27" t="n">
        <v>3950</v>
      </c>
      <c r="T626" s="27" t="n">
        <v>255</v>
      </c>
      <c r="U626" s="25" t="n">
        <v>2</v>
      </c>
      <c r="V626" s="27">
        <f>IF(S626="","",S626*U626)</f>
        <v/>
      </c>
      <c r="W626" s="26" t="inlineStr">
        <is>
          <t>Not in catalogue. Public national master → 2026-27 differentiated fee €3,950; exemption to ~€254-255 depends on university quota (25% cap in 2027-28).</t>
        </is>
      </c>
      <c r="X626" s="25" t="inlineStr">
        <is>
          <t>Medium</t>
        </is>
      </c>
      <c r="Y626" s="25" t="n"/>
      <c r="Z626" s="26" t="n"/>
      <c r="AA626" s="26" t="inlineStr">
        <is>
          <t>AMU 2026-27: limited exemptions (≈1,800 of 5,500 students) – priority to continuing students, conflict zones, excellence scholarships. New master entrants usually pay €3,950.</t>
        </is>
      </c>
      <c r="AB626" s="28" t="inlineStr">
        <is>
          <t>https://www.univ-amu.fr/fr/actualites/aix-marseille-universite-mobilise-pleinement-capacite-dexoneration-continuer-accueillir</t>
        </is>
      </c>
      <c r="AC626" s="25" t="inlineStr">
        <is>
          <t>Open</t>
        </is>
      </c>
      <c r="AD626" s="25" t="inlineStr">
        <is>
          <t>2026-10-01</t>
        </is>
      </c>
      <c r="AE626" s="25" t="inlineStr">
        <is>
          <t>2027-03-15</t>
        </is>
      </c>
      <c r="AF626" s="25" t="inlineStr">
        <is>
          <t>No</t>
        </is>
      </c>
      <c r="AG626" s="28" t="inlineStr">
        <is>
          <t>https://formations.univ-amu.fr/fr/master/5SMS/PRSMS5C2</t>
        </is>
      </c>
      <c r="AH626" s="26" t="inlineStr">
        <is>
          <t>Nous attirons votre attention sur 2 points importants pour votre candidature : Votre dossier doit être complet et validé par l’Espace Etudes en France La faculté des sciences examinera les dossiers de candidature en cohé</t>
        </is>
      </c>
      <c r="AI626" s="28" t="inlineStr">
        <is>
          <t>Open in EEF</t>
        </is>
      </c>
    </row>
    <row r="627" ht="32.8" customHeight="1" s="19">
      <c r="A627" s="25" t="n">
        <v>626</v>
      </c>
      <c r="B627" s="25" t="inlineStr">
        <is>
          <t>★★★☆☆</t>
        </is>
      </c>
      <c r="C627" s="25" t="inlineStr">
        <is>
          <t>3 – Adjacent (AI/data/CS/cyber/energy)</t>
        </is>
      </c>
      <c r="D627" s="25" t="inlineStr">
        <is>
          <t>Cybersecurity</t>
        </is>
      </c>
      <c r="E627" s="26" t="inlineStr">
        <is>
          <t>Master indifférencié (recherche et professionnel) Sciences, technologies et santé mention Informatique parcours Cryptographie - Sécurité (double master)</t>
        </is>
      </c>
      <c r="F627" s="26" t="inlineStr">
        <is>
          <t>Sciences, Technologies &amp; Health – major: Computer Science – track: Cryptography - Security (double master)</t>
        </is>
      </c>
      <c r="G627" s="25" t="inlineStr">
        <is>
          <t>Master indifférencié (recherche et professionnel)</t>
        </is>
      </c>
      <c r="H627" s="25" t="inlineStr">
        <is>
          <t>UFR Informatique</t>
        </is>
      </c>
      <c r="I627" s="25" t="inlineStr">
        <is>
          <t>Université Paris Cité</t>
        </is>
      </c>
      <c r="J627" s="25" t="inlineStr">
        <is>
          <t>Campus Paris Rive Gauche</t>
        </is>
      </c>
      <c r="K627" s="25" t="inlineStr">
        <is>
          <t>75013 Paris</t>
        </is>
      </c>
      <c r="L627" s="25" t="inlineStr">
        <is>
          <t>Public university</t>
        </is>
      </c>
      <c r="M627" s="25" t="inlineStr">
        <is>
          <t>French</t>
        </is>
      </c>
      <c r="N627" s="25" t="inlineStr">
        <is>
          <t>General</t>
        </is>
      </c>
      <c r="O627" s="25" t="inlineStr">
        <is>
          <t>Bac +4</t>
        </is>
      </c>
      <c r="P627" s="26" t="inlineStr">
        <is>
          <t>Eligible on level (4-yr BS ≈ Bac+4)</t>
        </is>
      </c>
      <c r="Q627" s="25" t="inlineStr">
        <is>
          <t>1</t>
        </is>
      </c>
      <c r="R627" s="25" t="n"/>
      <c r="S627" s="27" t="n">
        <v>3950</v>
      </c>
      <c r="T627" s="27" t="n">
        <v>255</v>
      </c>
      <c r="U627" s="25" t="n">
        <v>2</v>
      </c>
      <c r="V627" s="27">
        <f>IF(S627="","",S627*U627)</f>
        <v/>
      </c>
      <c r="W627" s="26" t="inlineStr">
        <is>
          <t>Not in catalogue. Public national master → 2026-27 differentiated fee €3,950; exemption to ~€254-255 depends on university quota (25% cap in 2027-28).</t>
        </is>
      </c>
      <c r="X627" s="25" t="inlineStr">
        <is>
          <t>Medium</t>
        </is>
      </c>
      <c r="Y627" s="25" t="n"/>
      <c r="Z627" s="26" t="n"/>
      <c r="AA627" s="26" t="inlineStr">
        <is>
          <t>Paris Cité historically exempted non-EU master students (paid EU rate). 2026-27/2027-28 policy not yet published – confirm.</t>
        </is>
      </c>
      <c r="AB627" s="28" t="inlineStr">
        <is>
          <t>https://u-paris.fr/droits-dinscription-tarifs-exonerations/</t>
        </is>
      </c>
      <c r="AC627" s="25" t="inlineStr">
        <is>
          <t>Open</t>
        </is>
      </c>
      <c r="AD627" s="25" t="inlineStr">
        <is>
          <t>2026-10-01</t>
        </is>
      </c>
      <c r="AE627" s="25" t="inlineStr">
        <is>
          <t>2027-03-15</t>
        </is>
      </c>
      <c r="AF627" s="25" t="inlineStr">
        <is>
          <t>No</t>
        </is>
      </c>
      <c r="AG627" s="28" t="inlineStr">
        <is>
          <t>http://www.informatique.univ-paris-diderot.fr/</t>
        </is>
      </c>
      <c r="AH627" s="26" t="inlineStr">
        <is>
          <t>https://master.math.u-paris.fr/annee/m2-mics/ Droits d’inscriptions différenciés 2027-2028, pour plus d’informations : https://u-pariscite.fr/droits-dinscription-tarifs-exonerations/</t>
        </is>
      </c>
      <c r="AI627" s="28" t="inlineStr">
        <is>
          <t>Open in EEF</t>
        </is>
      </c>
    </row>
    <row r="628" ht="43.25" customHeight="1" s="19">
      <c r="A628" s="25" t="n">
        <v>627</v>
      </c>
      <c r="B628" s="25" t="inlineStr">
        <is>
          <t>★★★☆☆</t>
        </is>
      </c>
      <c r="C628" s="25" t="inlineStr">
        <is>
          <t>3 – Adjacent (AI/data/CS/cyber/energy)</t>
        </is>
      </c>
      <c r="D628" s="25" t="inlineStr">
        <is>
          <t>AI / Data science</t>
        </is>
      </c>
      <c r="E628" s="26" t="inlineStr">
        <is>
          <t>Master indifférencié (recherche et professionnel) Sciences, technologies et santé mention Informatique parcours Données, Algorithmes, Traitement et Analyse</t>
        </is>
      </c>
      <c r="F628" s="26" t="inlineStr">
        <is>
          <t>Sciences, Technologies &amp; Health – major: Computer Science – track: Data, Algorithms, Processing &amp; Analysis</t>
        </is>
      </c>
      <c r="G628" s="25" t="inlineStr">
        <is>
          <t>Master indifférencié (recherche et professionnel)</t>
        </is>
      </c>
      <c r="H628" s="25" t="inlineStr">
        <is>
          <t>UFR Informatique</t>
        </is>
      </c>
      <c r="I628" s="25" t="inlineStr">
        <is>
          <t>Université Paris Cité</t>
        </is>
      </c>
      <c r="J628" s="25" t="inlineStr">
        <is>
          <t>Campus Paris Rive Gauche</t>
        </is>
      </c>
      <c r="K628" s="25" t="inlineStr">
        <is>
          <t>75013 Paris</t>
        </is>
      </c>
      <c r="L628" s="25" t="inlineStr">
        <is>
          <t>Public university</t>
        </is>
      </c>
      <c r="M628" s="25" t="inlineStr">
        <is>
          <t>French</t>
        </is>
      </c>
      <c r="N628" s="25" t="inlineStr">
        <is>
          <t>General</t>
        </is>
      </c>
      <c r="O628" s="25" t="inlineStr">
        <is>
          <t>Bac +4</t>
        </is>
      </c>
      <c r="P628" s="26" t="inlineStr">
        <is>
          <t>Eligible on level (4-yr BS ≈ Bac+4)</t>
        </is>
      </c>
      <c r="Q628" s="25" t="inlineStr">
        <is>
          <t>1</t>
        </is>
      </c>
      <c r="R628" s="25" t="n"/>
      <c r="S628" s="27" t="n">
        <v>3950</v>
      </c>
      <c r="T628" s="27" t="n">
        <v>255</v>
      </c>
      <c r="U628" s="25" t="n">
        <v>2</v>
      </c>
      <c r="V628" s="27">
        <f>IF(S628="","",S628*U628)</f>
        <v/>
      </c>
      <c r="W628" s="26" t="inlineStr">
        <is>
          <t>Not in catalogue. Public national master → 2026-27 differentiated fee €3,950; exemption to ~€254-255 depends on university quota (25% cap in 2027-28).</t>
        </is>
      </c>
      <c r="X628" s="25" t="inlineStr">
        <is>
          <t>Medium</t>
        </is>
      </c>
      <c r="Y628" s="25" t="n"/>
      <c r="Z628" s="26" t="n"/>
      <c r="AA628" s="26" t="inlineStr">
        <is>
          <t>Paris Cité historically exempted non-EU master students (paid EU rate). 2026-27/2027-28 policy not yet published – confirm.</t>
        </is>
      </c>
      <c r="AB628" s="28" t="inlineStr">
        <is>
          <t>https://u-paris.fr/droits-dinscription-tarifs-exonerations/</t>
        </is>
      </c>
      <c r="AC628" s="25" t="inlineStr">
        <is>
          <t>Open</t>
        </is>
      </c>
      <c r="AD628" s="25" t="inlineStr">
        <is>
          <t>2026-10-01</t>
        </is>
      </c>
      <c r="AE628" s="25" t="inlineStr">
        <is>
          <t>2027-03-15</t>
        </is>
      </c>
      <c r="AF628" s="25" t="inlineStr">
        <is>
          <t>No</t>
        </is>
      </c>
      <c r="AG628" s="28" t="inlineStr">
        <is>
          <t>http://www.informatique.univ-paris-diderot.fr/</t>
        </is>
      </c>
      <c r="AH628" s="26" t="inlineStr">
        <is>
          <t>https://odf.u-paris.fr/fr/offre-de-formation/master-XB/sciences-technologies-sante-STS/informatique-fondamentale-et-appliquee-K875KEVO//master-informatique-fondamentale-et-appliquee-parcours-donnees-algorithmes-traitemen</t>
        </is>
      </c>
      <c r="AI628" s="28" t="inlineStr">
        <is>
          <t>Open in EEF</t>
        </is>
      </c>
    </row>
    <row r="629" ht="32.8" customHeight="1" s="19">
      <c r="A629" s="25" t="n">
        <v>628</v>
      </c>
      <c r="B629" s="25" t="inlineStr">
        <is>
          <t>★★★☆☆</t>
        </is>
      </c>
      <c r="C629" s="25" t="inlineStr">
        <is>
          <t>3 – Adjacent (AI/data/CS/cyber/energy)</t>
        </is>
      </c>
      <c r="D629" s="25" t="inlineStr">
        <is>
          <t>Computer science / Software</t>
        </is>
      </c>
      <c r="E629" s="26" t="inlineStr">
        <is>
          <t>Master indifférencié (recherche et professionnel) Sciences, technologies et santé mention Informatique parcours Information et Mobilité : leurs Programmations, leurs Algorithmes pour internet, la Répartition et les Systèmes</t>
        </is>
      </c>
      <c r="F629" s="26" t="inlineStr">
        <is>
          <t>Sciences, Technologies &amp; Health – major: Computer Science – track: Information &amp; Mobility : their Programmations, their Algorithms for internet, the Répartition &amp; the Systems</t>
        </is>
      </c>
      <c r="G629" s="25" t="inlineStr">
        <is>
          <t>Master indifférencié (recherche et professionnel)</t>
        </is>
      </c>
      <c r="H629" s="25" t="inlineStr">
        <is>
          <t>UFR Informatique</t>
        </is>
      </c>
      <c r="I629" s="25" t="inlineStr">
        <is>
          <t>Université Paris Cité</t>
        </is>
      </c>
      <c r="J629" s="25" t="inlineStr">
        <is>
          <t>Campus Paris Rive Gauche</t>
        </is>
      </c>
      <c r="K629" s="25" t="inlineStr">
        <is>
          <t>75013 Paris</t>
        </is>
      </c>
      <c r="L629" s="25" t="inlineStr">
        <is>
          <t>Public university</t>
        </is>
      </c>
      <c r="M629" s="25" t="inlineStr">
        <is>
          <t>French</t>
        </is>
      </c>
      <c r="N629" s="25" t="inlineStr">
        <is>
          <t>General</t>
        </is>
      </c>
      <c r="O629" s="25" t="inlineStr">
        <is>
          <t>Bac +4</t>
        </is>
      </c>
      <c r="P629" s="26" t="inlineStr">
        <is>
          <t>Eligible on level (4-yr BS ≈ Bac+4)</t>
        </is>
      </c>
      <c r="Q629" s="25" t="inlineStr">
        <is>
          <t>1</t>
        </is>
      </c>
      <c r="R629" s="25" t="n"/>
      <c r="S629" s="27" t="n">
        <v>3950</v>
      </c>
      <c r="T629" s="27" t="n">
        <v>255</v>
      </c>
      <c r="U629" s="25" t="n">
        <v>2</v>
      </c>
      <c r="V629" s="27">
        <f>IF(S629="","",S629*U629)</f>
        <v/>
      </c>
      <c r="W629" s="26" t="inlineStr">
        <is>
          <t>Not in catalogue. Public national master → 2026-27 differentiated fee €3,950; exemption to ~€254-255 depends on university quota (25% cap in 2027-28).</t>
        </is>
      </c>
      <c r="X629" s="25" t="inlineStr">
        <is>
          <t>Medium</t>
        </is>
      </c>
      <c r="Y629" s="25" t="n"/>
      <c r="Z629" s="26" t="n"/>
      <c r="AA629" s="26" t="inlineStr">
        <is>
          <t>Paris Cité historically exempted non-EU master students (paid EU rate). 2026-27/2027-28 policy not yet published – confirm.</t>
        </is>
      </c>
      <c r="AB629" s="28" t="inlineStr">
        <is>
          <t>https://u-paris.fr/droits-dinscription-tarifs-exonerations/</t>
        </is>
      </c>
      <c r="AC629" s="25" t="inlineStr">
        <is>
          <t>Open</t>
        </is>
      </c>
      <c r="AD629" s="25" t="inlineStr">
        <is>
          <t>2026-10-01</t>
        </is>
      </c>
      <c r="AE629" s="25" t="inlineStr">
        <is>
          <t>2027-03-15</t>
        </is>
      </c>
      <c r="AF629" s="25" t="inlineStr">
        <is>
          <t>No</t>
        </is>
      </c>
      <c r="AG629" s="28" t="inlineStr">
        <is>
          <t>http://www.informatique.univ-paris-diderot.fr/</t>
        </is>
      </c>
      <c r="AH629" s="26" t="inlineStr">
        <is>
          <t>https://odf.u-paris.fr/fr/offre-de-formation/master-XB/sciences-technologies-sante-STS/informatique-fondamentale-et-appliquee-K875KEVO//master-informatique-fondamentale-et-appliquee-parcours-info-pour-la-mobilite-leurs-p</t>
        </is>
      </c>
      <c r="AI629" s="28" t="inlineStr">
        <is>
          <t>Open in EEF</t>
        </is>
      </c>
    </row>
    <row r="630" ht="32.8" customHeight="1" s="19">
      <c r="A630" s="25" t="n">
        <v>629</v>
      </c>
      <c r="B630" s="25" t="inlineStr">
        <is>
          <t>★★★☆☆</t>
        </is>
      </c>
      <c r="C630" s="25" t="inlineStr">
        <is>
          <t>3 – Adjacent (AI/data/CS/cyber/energy)</t>
        </is>
      </c>
      <c r="D630" s="25" t="inlineStr">
        <is>
          <t>AI / Data science</t>
        </is>
      </c>
      <c r="E630" s="26" t="inlineStr">
        <is>
          <t>Master indifférencié (recherche et professionnel) Sciences, technologies et santé mention Informatique parcours Parcours Cyber sécurité et sciences de données (M1 et M2)</t>
        </is>
      </c>
      <c r="F630" s="26" t="inlineStr">
        <is>
          <t>Sciences, Technologies &amp; Health – major: Computer Science – track: track: Cyber Security &amp; Sciences of Data (M1 &amp; M2)</t>
        </is>
      </c>
      <c r="G630" s="25" t="inlineStr">
        <is>
          <t>Master indifférencié (recherche et professionnel)</t>
        </is>
      </c>
      <c r="H630" s="25" t="inlineStr">
        <is>
          <t>UFR Mathématiques, informatique, technologies, sciences de l'information et de la communication</t>
        </is>
      </c>
      <c r="I630" s="25" t="inlineStr">
        <is>
          <t>Université Vincennes-Saint-Denis</t>
        </is>
      </c>
      <c r="J630" s="25" t="inlineStr">
        <is>
          <t>Site de Saint-Denis</t>
        </is>
      </c>
      <c r="K630" s="25" t="inlineStr">
        <is>
          <t>93526 Saint-Denis cedex</t>
        </is>
      </c>
      <c r="L630" s="25" t="inlineStr">
        <is>
          <t>Public university</t>
        </is>
      </c>
      <c r="M630" s="25" t="inlineStr">
        <is>
          <t>French</t>
        </is>
      </c>
      <c r="N630" s="25" t="inlineStr">
        <is>
          <t>General</t>
        </is>
      </c>
      <c r="O630" s="25" t="inlineStr">
        <is>
          <t>Bac +4 / Bac +5</t>
        </is>
      </c>
      <c r="P630" s="26" t="inlineStr">
        <is>
          <t>Eligible on level (4-yr BS ≈ Bac+4)</t>
        </is>
      </c>
      <c r="Q630" s="25" t="inlineStr">
        <is>
          <t>1/2</t>
        </is>
      </c>
      <c r="R630" s="25" t="n"/>
      <c r="S630" s="27" t="n">
        <v>3950</v>
      </c>
      <c r="T630" s="27" t="n">
        <v>255</v>
      </c>
      <c r="U630" s="25" t="n">
        <v>2</v>
      </c>
      <c r="V630" s="27">
        <f>IF(S630="","",S630*U630)</f>
        <v/>
      </c>
      <c r="W630" s="26" t="inlineStr">
        <is>
          <t>Not in catalogue. Public national master → 2026-27 differentiated fee €3,950; exemption to ~€254-255 depends on university quota (25% cap in 2027-28).</t>
        </is>
      </c>
      <c r="X630" s="25" t="inlineStr">
        <is>
          <t>Medium</t>
        </is>
      </c>
      <c r="Y630" s="25" t="n"/>
      <c r="Z630" s="26" t="n"/>
      <c r="AA630" s="26" t="n"/>
      <c r="AB630" s="25" t="n"/>
      <c r="AC630" s="25" t="inlineStr">
        <is>
          <t>Open</t>
        </is>
      </c>
      <c r="AD630" s="25" t="inlineStr">
        <is>
          <t>2026-10-01</t>
        </is>
      </c>
      <c r="AE630" s="25" t="inlineStr">
        <is>
          <t>2027-03-15</t>
        </is>
      </c>
      <c r="AF630" s="25" t="inlineStr">
        <is>
          <t>No</t>
        </is>
      </c>
      <c r="AG630" s="28" t="inlineStr">
        <is>
          <t>https://www.univ-paris8.fr/UFR-des-sciences-et-des-technologies-du-numerique-STN</t>
        </is>
      </c>
      <c r="AH630" s="26" t="inlineStr">
        <is>
          <t>Les étudiants non francophones devront présenter le DALF d'un niveau B2 ou le TCF (comprenant la partie obligatoire et la partie complémentaire d'expression écrite) d'un niveau B2.</t>
        </is>
      </c>
      <c r="AI630" s="28" t="inlineStr">
        <is>
          <t>Open in EEF</t>
        </is>
      </c>
    </row>
    <row r="631" ht="32.8" customHeight="1" s="19">
      <c r="A631" s="25" t="n">
        <v>630</v>
      </c>
      <c r="B631" s="25" t="inlineStr">
        <is>
          <t>★★★☆☆</t>
        </is>
      </c>
      <c r="C631" s="25" t="inlineStr">
        <is>
          <t>3 – Adjacent (AI/data/CS/cyber/energy)</t>
        </is>
      </c>
      <c r="D631" s="25" t="inlineStr">
        <is>
          <t>AI / Data science</t>
        </is>
      </c>
      <c r="E631" s="26" t="inlineStr">
        <is>
          <t>Master indifférencié (recherche et professionnel) Sciences, technologies et santé mention Informatique parcours Parcours Informatique et ingénierie des données (M1 et M2)</t>
        </is>
      </c>
      <c r="F631" s="26" t="inlineStr">
        <is>
          <t>Sciences, Technologies &amp; Health – major: Computer Science – track: track: Computer Science &amp; Engineering of Data (M1 &amp; M2)</t>
        </is>
      </c>
      <c r="G631" s="25" t="inlineStr">
        <is>
          <t>Master indifférencié (recherche et professionnel)</t>
        </is>
      </c>
      <c r="H631" s="25" t="inlineStr">
        <is>
          <t>UFR Mathématiques, informatique, technologies, sciences de l'information et de la communication</t>
        </is>
      </c>
      <c r="I631" s="25" t="inlineStr">
        <is>
          <t>Université Vincennes-Saint-Denis</t>
        </is>
      </c>
      <c r="J631" s="25" t="inlineStr">
        <is>
          <t>Site de Saint-Denis</t>
        </is>
      </c>
      <c r="K631" s="25" t="inlineStr">
        <is>
          <t>93526 Saint-Denis cedex</t>
        </is>
      </c>
      <c r="L631" s="25" t="inlineStr">
        <is>
          <t>Public university</t>
        </is>
      </c>
      <c r="M631" s="25" t="inlineStr">
        <is>
          <t>French</t>
        </is>
      </c>
      <c r="N631" s="25" t="inlineStr">
        <is>
          <t>General</t>
        </is>
      </c>
      <c r="O631" s="25" t="inlineStr">
        <is>
          <t>Bac +4 / Bac +5</t>
        </is>
      </c>
      <c r="P631" s="26" t="inlineStr">
        <is>
          <t>Eligible on level (4-yr BS ≈ Bac+4)</t>
        </is>
      </c>
      <c r="Q631" s="25" t="inlineStr">
        <is>
          <t>1/2</t>
        </is>
      </c>
      <c r="R631" s="25" t="n"/>
      <c r="S631" s="27" t="n">
        <v>3950</v>
      </c>
      <c r="T631" s="27" t="n">
        <v>255</v>
      </c>
      <c r="U631" s="25" t="n">
        <v>2</v>
      </c>
      <c r="V631" s="27">
        <f>IF(S631="","",S631*U631)</f>
        <v/>
      </c>
      <c r="W631" s="26" t="inlineStr">
        <is>
          <t>Not in catalogue. Public national master → 2026-27 differentiated fee €3,950; exemption to ~€254-255 depends on university quota (25% cap in 2027-28).</t>
        </is>
      </c>
      <c r="X631" s="25" t="inlineStr">
        <is>
          <t>Medium</t>
        </is>
      </c>
      <c r="Y631" s="25" t="n"/>
      <c r="Z631" s="26" t="n"/>
      <c r="AA631" s="26" t="n"/>
      <c r="AB631" s="25" t="n"/>
      <c r="AC631" s="25" t="inlineStr">
        <is>
          <t>Open</t>
        </is>
      </c>
      <c r="AD631" s="25" t="inlineStr">
        <is>
          <t>2026-10-01</t>
        </is>
      </c>
      <c r="AE631" s="25" t="inlineStr">
        <is>
          <t>2027-03-15</t>
        </is>
      </c>
      <c r="AF631" s="25" t="inlineStr">
        <is>
          <t>No</t>
        </is>
      </c>
      <c r="AG631" s="28" t="inlineStr">
        <is>
          <t>https://www.univ-paris8.fr/UFR-des-sciences-et-des-technologies-du-numerique-STN</t>
        </is>
      </c>
      <c r="AH631" s="26" t="inlineStr">
        <is>
          <t>Les étudiants non francophones devront présenter le DALF d'un niveau B2 ou le TCF (comprenant la partie obligatoire et la partie complémentaire d'expression écrite) d'un niveau B2.</t>
        </is>
      </c>
      <c r="AI631" s="28" t="inlineStr">
        <is>
          <t>Open in EEF</t>
        </is>
      </c>
    </row>
    <row r="632" ht="32.8" customHeight="1" s="19">
      <c r="A632" s="25" t="n">
        <v>631</v>
      </c>
      <c r="B632" s="25" t="inlineStr">
        <is>
          <t>★★★☆☆</t>
        </is>
      </c>
      <c r="C632" s="25" t="inlineStr">
        <is>
          <t>3 – Adjacent (AI/data/CS/cyber/energy)</t>
        </is>
      </c>
      <c r="D632" s="25" t="inlineStr">
        <is>
          <t>Bioinformatics</t>
        </is>
      </c>
      <c r="E632" s="26" t="inlineStr">
        <is>
          <t>Master indifférencié (recherche et professionnel) Sciences, technologies, santé mention Biodiversité, Ecologie et Evolution parcours Bioinformatique et Génomique Pour l'Ecologie et l'Evolution</t>
        </is>
      </c>
      <c r="F632" s="26" t="inlineStr">
        <is>
          <t>Science, Technology, Health (STS) – major: Biodiversité, Ecologie &amp; Evolution – track: Bioinformatics &amp; Genomics for l'Ecologie &amp; l'Evolution</t>
        </is>
      </c>
      <c r="G632" s="25" t="inlineStr">
        <is>
          <t>Master indifférencié (recherche et professionnel)</t>
        </is>
      </c>
      <c r="H632" s="25" t="inlineStr">
        <is>
          <t>Faculté des Sciences et d'Ingénierie</t>
        </is>
      </c>
      <c r="I632" s="25" t="inlineStr">
        <is>
          <t>Université de Toulouse</t>
        </is>
      </c>
      <c r="J632" s="25" t="inlineStr">
        <is>
          <t>Site de Toulouse</t>
        </is>
      </c>
      <c r="K632" s="25" t="n"/>
      <c r="L632" s="25" t="inlineStr">
        <is>
          <t>Public university</t>
        </is>
      </c>
      <c r="M632" s="25" t="inlineStr">
        <is>
          <t>French</t>
        </is>
      </c>
      <c r="N632" s="25" t="inlineStr">
        <is>
          <t>General</t>
        </is>
      </c>
      <c r="O632" s="25" t="inlineStr">
        <is>
          <t>Bac +4 / Bac +5</t>
        </is>
      </c>
      <c r="P632" s="26" t="inlineStr">
        <is>
          <t>Eligible on level (4-yr BS ≈ Bac+4)</t>
        </is>
      </c>
      <c r="Q632" s="25" t="inlineStr">
        <is>
          <t>1/2</t>
        </is>
      </c>
      <c r="R632" s="25" t="n"/>
      <c r="S632" s="27" t="n">
        <v>3950</v>
      </c>
      <c r="T632" s="27" t="n">
        <v>255</v>
      </c>
      <c r="U632" s="25" t="n">
        <v>2</v>
      </c>
      <c r="V632" s="27">
        <f>IF(S632="","",S632*U632)</f>
        <v/>
      </c>
      <c r="W632" s="26" t="inlineStr">
        <is>
          <t>Not in catalogue. Public national master → 2026-27 differentiated fee €3,950; exemption to ~€254-255 depends on university quota (25% cap in 2027-28).</t>
        </is>
      </c>
      <c r="X632" s="25" t="inlineStr">
        <is>
          <t>Medium</t>
        </is>
      </c>
      <c r="Y632" s="25" t="n"/>
      <c r="Z632" s="26" t="n"/>
      <c r="AA632" s="26" t="inlineStr">
        <is>
          <t>Board decision (Feb 2026, pre-decree): partial exemption for ALL non-EU students subject to differentiated fees, until end of cycle. Re-check for 2027-28.</t>
        </is>
      </c>
      <c r="AB632" s="28" t="inlineStr">
        <is>
          <t>https://www.utoulouse.fr/medias/fichier/2026-02-ca-075_1774430647495-pdf</t>
        </is>
      </c>
      <c r="AC632" s="25" t="inlineStr">
        <is>
          <t>Open</t>
        </is>
      </c>
      <c r="AD632" s="25" t="inlineStr">
        <is>
          <t>2026-10-01</t>
        </is>
      </c>
      <c r="AE632" s="25" t="inlineStr">
        <is>
          <t>2027-03-15</t>
        </is>
      </c>
      <c r="AF632" s="25" t="inlineStr">
        <is>
          <t>No</t>
        </is>
      </c>
      <c r="AG632" s="28" t="inlineStr">
        <is>
          <t>http://www.univ-tlse3.fr/</t>
        </is>
      </c>
      <c r="AH632" s="26" t="inlineStr">
        <is>
          <t>https://www.utoulouse.fr/decouvrir-nos-diplomes/master-mention-biodiversite-ecologie-et-evolution Si vous ne maîtrisez pas encore le français au niveau exigé pour intégrer une formation en France, le DU FUSEE (Diplôme Un</t>
        </is>
      </c>
      <c r="AI632" s="28" t="inlineStr">
        <is>
          <t>Open in EEF</t>
        </is>
      </c>
    </row>
    <row r="633" ht="32.8" customHeight="1" s="19">
      <c r="A633" s="25" t="n">
        <v>632</v>
      </c>
      <c r="B633" s="25" t="inlineStr">
        <is>
          <t>★★★☆☆</t>
        </is>
      </c>
      <c r="C633" s="25" t="inlineStr">
        <is>
          <t>3 – Adjacent (AI/data/CS/cyber/energy)</t>
        </is>
      </c>
      <c r="D633" s="25" t="inlineStr">
        <is>
          <t>Bioinformatics</t>
        </is>
      </c>
      <c r="E633" s="26" t="inlineStr">
        <is>
          <t>Master indifférencié (recherche et professionnel) Sciences, technologies, santé mention Bio-informatique parcours Bioinformatique et biologie des systèmes</t>
        </is>
      </c>
      <c r="F633" s="26" t="inlineStr">
        <is>
          <t>Science, Technology, Health (STS) – major: Bioinformatics – track: Bioinformatics &amp; Biology of Systems</t>
        </is>
      </c>
      <c r="G633" s="25" t="inlineStr">
        <is>
          <t>Master indifférencié (recherche et professionnel)</t>
        </is>
      </c>
      <c r="H633" s="25" t="inlineStr">
        <is>
          <t>Faculté des Sciences et d'Ingénierie</t>
        </is>
      </c>
      <c r="I633" s="25" t="inlineStr">
        <is>
          <t>Université de Toulouse</t>
        </is>
      </c>
      <c r="J633" s="25" t="inlineStr">
        <is>
          <t>Site de Toulouse</t>
        </is>
      </c>
      <c r="K633" s="25" t="n"/>
      <c r="L633" s="25" t="inlineStr">
        <is>
          <t>Public university</t>
        </is>
      </c>
      <c r="M633" s="25" t="inlineStr">
        <is>
          <t>French</t>
        </is>
      </c>
      <c r="N633" s="25" t="inlineStr">
        <is>
          <t>General</t>
        </is>
      </c>
      <c r="O633" s="25" t="inlineStr">
        <is>
          <t>Bac +4 / Bac +5</t>
        </is>
      </c>
      <c r="P633" s="26" t="inlineStr">
        <is>
          <t>Eligible on level (4-yr BS ≈ Bac+4)</t>
        </is>
      </c>
      <c r="Q633" s="25" t="inlineStr">
        <is>
          <t>1/2</t>
        </is>
      </c>
      <c r="R633" s="25" t="n"/>
      <c r="S633" s="27" t="n">
        <v>3950</v>
      </c>
      <c r="T633" s="27" t="n">
        <v>255</v>
      </c>
      <c r="U633" s="25" t="n">
        <v>2</v>
      </c>
      <c r="V633" s="27">
        <f>IF(S633="","",S633*U633)</f>
        <v/>
      </c>
      <c r="W633" s="26" t="inlineStr">
        <is>
          <t>Not in catalogue. Public national master → 2026-27 differentiated fee €3,950; exemption to ~€254-255 depends on university quota (25% cap in 2027-28).</t>
        </is>
      </c>
      <c r="X633" s="25" t="inlineStr">
        <is>
          <t>Medium</t>
        </is>
      </c>
      <c r="Y633" s="25" t="n"/>
      <c r="Z633" s="26" t="n"/>
      <c r="AA633" s="26" t="inlineStr">
        <is>
          <t>Board decision (Feb 2026, pre-decree): partial exemption for ALL non-EU students subject to differentiated fees, until end of cycle. Re-check for 2027-28.</t>
        </is>
      </c>
      <c r="AB633" s="28" t="inlineStr">
        <is>
          <t>https://www.utoulouse.fr/medias/fichier/2026-02-ca-075_1774430647495-pdf</t>
        </is>
      </c>
      <c r="AC633" s="25" t="inlineStr">
        <is>
          <t>Open</t>
        </is>
      </c>
      <c r="AD633" s="25" t="inlineStr">
        <is>
          <t>2026-10-01</t>
        </is>
      </c>
      <c r="AE633" s="25" t="inlineStr">
        <is>
          <t>2027-03-15</t>
        </is>
      </c>
      <c r="AF633" s="25" t="inlineStr">
        <is>
          <t>No</t>
        </is>
      </c>
      <c r="AG633" s="28" t="inlineStr">
        <is>
          <t>http://www.univ-tlse3.fr/</t>
        </is>
      </c>
      <c r="AH633" s="26" t="inlineStr">
        <is>
          <t>https://www.univ-tlse3.fr/master-parcours-bioinformatique-et-biologie-des-systemes-bbs Si vous ne maîtrisez pas encore le français au niveau exigé pour intégrer une formation en France, le DU FUSEE (Diplôme Universitaire</t>
        </is>
      </c>
      <c r="AI633" s="28" t="inlineStr">
        <is>
          <t>Open in EEF</t>
        </is>
      </c>
    </row>
    <row r="634" ht="32.8" customHeight="1" s="19">
      <c r="A634" s="25" t="n">
        <v>633</v>
      </c>
      <c r="B634" s="25" t="inlineStr">
        <is>
          <t>★★★☆☆</t>
        </is>
      </c>
      <c r="C634" s="25" t="inlineStr">
        <is>
          <t>3 – Adjacent (AI/data/CS/cyber/energy)</t>
        </is>
      </c>
      <c r="D634" s="25" t="inlineStr">
        <is>
          <t>Bioinformatics</t>
        </is>
      </c>
      <c r="E634" s="26" t="inlineStr">
        <is>
          <t>Master indifférencié (recherche et professionnel) Sciences, technologies, santé mention Bio-informatique parcours Bioinformatique et Génomique Pour l'Ecologie et l'Evolution</t>
        </is>
      </c>
      <c r="F634" s="26" t="inlineStr">
        <is>
          <t>Science, Technology, Health (STS) – major: Bioinformatics – track: Bioinformatics &amp; Genomics for l'Ecologie &amp; l'Evolution</t>
        </is>
      </c>
      <c r="G634" s="25" t="inlineStr">
        <is>
          <t>Master indifférencié (recherche et professionnel)</t>
        </is>
      </c>
      <c r="H634" s="25" t="inlineStr">
        <is>
          <t>Faculté des Sciences et d'Ingénierie</t>
        </is>
      </c>
      <c r="I634" s="25" t="inlineStr">
        <is>
          <t>Université de Toulouse</t>
        </is>
      </c>
      <c r="J634" s="25" t="inlineStr">
        <is>
          <t>Site de Toulouse</t>
        </is>
      </c>
      <c r="K634" s="25" t="n"/>
      <c r="L634" s="25" t="inlineStr">
        <is>
          <t>Public university</t>
        </is>
      </c>
      <c r="M634" s="25" t="inlineStr">
        <is>
          <t>French</t>
        </is>
      </c>
      <c r="N634" s="25" t="inlineStr">
        <is>
          <t>General</t>
        </is>
      </c>
      <c r="O634" s="25" t="inlineStr">
        <is>
          <t>Bac +4 / Bac +5</t>
        </is>
      </c>
      <c r="P634" s="26" t="inlineStr">
        <is>
          <t>Eligible on level (4-yr BS ≈ Bac+4)</t>
        </is>
      </c>
      <c r="Q634" s="25" t="inlineStr">
        <is>
          <t>1/2</t>
        </is>
      </c>
      <c r="R634" s="25" t="n"/>
      <c r="S634" s="27" t="n">
        <v>3950</v>
      </c>
      <c r="T634" s="27" t="n">
        <v>255</v>
      </c>
      <c r="U634" s="25" t="n">
        <v>2</v>
      </c>
      <c r="V634" s="27">
        <f>IF(S634="","",S634*U634)</f>
        <v/>
      </c>
      <c r="W634" s="26" t="inlineStr">
        <is>
          <t>Not in catalogue. Public national master → 2026-27 differentiated fee €3,950; exemption to ~€254-255 depends on university quota (25% cap in 2027-28).</t>
        </is>
      </c>
      <c r="X634" s="25" t="inlineStr">
        <is>
          <t>Medium</t>
        </is>
      </c>
      <c r="Y634" s="25" t="n"/>
      <c r="Z634" s="26" t="n"/>
      <c r="AA634" s="26" t="inlineStr">
        <is>
          <t>Board decision (Feb 2026, pre-decree): partial exemption for ALL non-EU students subject to differentiated fees, until end of cycle. Re-check for 2027-28.</t>
        </is>
      </c>
      <c r="AB634" s="28" t="inlineStr">
        <is>
          <t>https://www.utoulouse.fr/medias/fichier/2026-02-ca-075_1774430647495-pdf</t>
        </is>
      </c>
      <c r="AC634" s="25" t="inlineStr">
        <is>
          <t>Open</t>
        </is>
      </c>
      <c r="AD634" s="25" t="inlineStr">
        <is>
          <t>2026-10-01</t>
        </is>
      </c>
      <c r="AE634" s="25" t="inlineStr">
        <is>
          <t>2027-03-15</t>
        </is>
      </c>
      <c r="AF634" s="25" t="inlineStr">
        <is>
          <t>No</t>
        </is>
      </c>
      <c r="AG634" s="28" t="inlineStr">
        <is>
          <t>https://www.univ-tlse3.fr/</t>
        </is>
      </c>
      <c r="AH634" s="26" t="inlineStr">
        <is>
          <t>https://www.utoulouse.fr/decouvrir-nos-diplomes/master-mention-bio-informatique Si vous ne maîtrisez pas encore le français au niveau exigé pour intégrer une formation en France, le DU FUSEE (Diplôme Universitaire de Fra</t>
        </is>
      </c>
      <c r="AI634" s="28" t="inlineStr">
        <is>
          <t>Open in EEF</t>
        </is>
      </c>
    </row>
    <row r="635" ht="32.8" customHeight="1" s="19">
      <c r="A635" s="25" t="n">
        <v>634</v>
      </c>
      <c r="B635" s="25" t="inlineStr">
        <is>
          <t>★★★☆☆</t>
        </is>
      </c>
      <c r="C635" s="25" t="inlineStr">
        <is>
          <t>3 – Adjacent (AI/data/CS/cyber/energy)</t>
        </is>
      </c>
      <c r="D635" s="25" t="inlineStr">
        <is>
          <t>Bioinformatics</t>
        </is>
      </c>
      <c r="E635" s="26" t="inlineStr">
        <is>
          <t>Master indifférencié (recherche et professionnel) Sciences, technologies, santé mention Bio-informatique parcours Biologie-Informatique - Ingénierie de plateforme en biologie</t>
        </is>
      </c>
      <c r="F635" s="26" t="inlineStr">
        <is>
          <t>Science, Technology, Health (STS) – major: Bioinformatics – track: Biology-Computing - Engineering of Platform in Biology</t>
        </is>
      </c>
      <c r="G635" s="25" t="inlineStr">
        <is>
          <t>Master indifférencié (recherche et professionnel)</t>
        </is>
      </c>
      <c r="H635" s="25" t="inlineStr">
        <is>
          <t>UFR Sciences du vivant</t>
        </is>
      </c>
      <c r="I635" s="25" t="inlineStr">
        <is>
          <t>Université Paris Cité</t>
        </is>
      </c>
      <c r="J635" s="25" t="inlineStr">
        <is>
          <t>Site de Paris</t>
        </is>
      </c>
      <c r="K635" s="25" t="inlineStr">
        <is>
          <t>75013 Paris</t>
        </is>
      </c>
      <c r="L635" s="25" t="inlineStr">
        <is>
          <t>Public university</t>
        </is>
      </c>
      <c r="M635" s="25" t="inlineStr">
        <is>
          <t>French</t>
        </is>
      </c>
      <c r="N635" s="25" t="inlineStr">
        <is>
          <t>General</t>
        </is>
      </c>
      <c r="O635" s="25" t="inlineStr">
        <is>
          <t>Bac +4</t>
        </is>
      </c>
      <c r="P635" s="26" t="inlineStr">
        <is>
          <t>Eligible on level (4-yr BS ≈ Bac+4)</t>
        </is>
      </c>
      <c r="Q635" s="25" t="inlineStr">
        <is>
          <t>1</t>
        </is>
      </c>
      <c r="R635" s="25" t="n"/>
      <c r="S635" s="27" t="n">
        <v>3950</v>
      </c>
      <c r="T635" s="27" t="n">
        <v>255</v>
      </c>
      <c r="U635" s="25" t="n">
        <v>2</v>
      </c>
      <c r="V635" s="27">
        <f>IF(S635="","",S635*U635)</f>
        <v/>
      </c>
      <c r="W635" s="26" t="inlineStr">
        <is>
          <t>Not in catalogue. Public national master → 2026-27 differentiated fee €3,950; exemption to ~€254-255 depends on university quota (25% cap in 2027-28).</t>
        </is>
      </c>
      <c r="X635" s="25" t="inlineStr">
        <is>
          <t>Medium</t>
        </is>
      </c>
      <c r="Y635" s="25" t="n"/>
      <c r="Z635" s="26" t="n"/>
      <c r="AA635" s="26" t="inlineStr">
        <is>
          <t>Paris Cité historically exempted non-EU master students (paid EU rate). 2026-27/2027-28 policy not yet published – confirm.</t>
        </is>
      </c>
      <c r="AB635" s="28" t="inlineStr">
        <is>
          <t>https://u-paris.fr/droits-dinscription-tarifs-exonerations/</t>
        </is>
      </c>
      <c r="AC635" s="25" t="inlineStr">
        <is>
          <t>Open</t>
        </is>
      </c>
      <c r="AD635" s="25" t="inlineStr">
        <is>
          <t>2026-10-01</t>
        </is>
      </c>
      <c r="AE635" s="25" t="inlineStr">
        <is>
          <t>2027-03-15</t>
        </is>
      </c>
      <c r="AF635" s="25" t="inlineStr">
        <is>
          <t>No</t>
        </is>
      </c>
      <c r="AG635" s="28" t="inlineStr">
        <is>
          <t>https://sdv.u-paris.fr/</t>
        </is>
      </c>
      <c r="AH635" s="26" t="inlineStr">
        <is>
          <t>https://odf.u-paris.fr/fr/offre-de-formation/master-XB/sciences-technologies-sante-STS/bio-informatique-K2VO60MU.html Droits d’inscriptions différenciés 2027-2028, pour plus d’informations : https://u-pariscite.fr/droits</t>
        </is>
      </c>
      <c r="AI635" s="28" t="inlineStr">
        <is>
          <t>Open in EEF</t>
        </is>
      </c>
    </row>
    <row r="636" ht="32.8" customHeight="1" s="19">
      <c r="A636" s="25" t="n">
        <v>635</v>
      </c>
      <c r="B636" s="25" t="inlineStr">
        <is>
          <t>★★★☆☆</t>
        </is>
      </c>
      <c r="C636" s="25" t="inlineStr">
        <is>
          <t>3 – Adjacent (AI/data/CS/cyber/energy)</t>
        </is>
      </c>
      <c r="D636" s="25" t="inlineStr">
        <is>
          <t>Bioinformatics</t>
        </is>
      </c>
      <c r="E636" s="26" t="inlineStr">
        <is>
          <t>Master indifférencié (recherche et professionnel) Sciences, technologies, santé mention Biologie moléculaire et cellulaire parcours Bioinformatique et Modélisation</t>
        </is>
      </c>
      <c r="F636" s="26" t="inlineStr">
        <is>
          <t>Science, Technology, Health (STS) – major: Biology Molecular &amp; Cellular – track: Bioinformatics &amp; Modelling</t>
        </is>
      </c>
      <c r="G636" s="25" t="inlineStr">
        <is>
          <t>Master indifférencié (recherche et professionnel)</t>
        </is>
      </c>
      <c r="H636" s="25" t="inlineStr">
        <is>
          <t>Sciences et Ingénierie</t>
        </is>
      </c>
      <c r="I636" s="25" t="inlineStr">
        <is>
          <t>Sorbonne Université</t>
        </is>
      </c>
      <c r="J636" s="25" t="inlineStr">
        <is>
          <t>Site de Paris</t>
        </is>
      </c>
      <c r="K636" s="25" t="n"/>
      <c r="L636" s="25" t="inlineStr">
        <is>
          <t>Public university</t>
        </is>
      </c>
      <c r="M636" s="25" t="inlineStr">
        <is>
          <t>French</t>
        </is>
      </c>
      <c r="N636" s="25" t="inlineStr">
        <is>
          <t>General</t>
        </is>
      </c>
      <c r="O636" s="25" t="inlineStr">
        <is>
          <t>Bac +4 / Bac +5</t>
        </is>
      </c>
      <c r="P636" s="26" t="inlineStr">
        <is>
          <t>Eligible on level (4-yr BS ≈ Bac+4)</t>
        </is>
      </c>
      <c r="Q636" s="25" t="inlineStr">
        <is>
          <t>1/2</t>
        </is>
      </c>
      <c r="R636" s="25" t="n"/>
      <c r="S636" s="27" t="n">
        <v>3950</v>
      </c>
      <c r="T636" s="27" t="n">
        <v>255</v>
      </c>
      <c r="U636" s="25" t="n">
        <v>2</v>
      </c>
      <c r="V636" s="27">
        <f>IF(S636="","",S636*U636)</f>
        <v/>
      </c>
      <c r="W636" s="26" t="inlineStr">
        <is>
          <t>Not in catalogue. Public national master → 2026-27 differentiated fee €3,950; exemption to ~€254-255 depends on university quota (25% cap in 2027-28).</t>
        </is>
      </c>
      <c r="X636" s="25" t="inlineStr">
        <is>
          <t>Medium</t>
        </is>
      </c>
      <c r="Y636" s="25" t="n"/>
      <c r="Z636" s="26" t="n"/>
      <c r="AA636" s="26" t="inlineStr">
        <is>
          <t>Board vote 7 Jul 2026: Sorbonne Université says it can exempt all eligible non-EU applicants (pay same as EU, ~€254) for 2026-27.</t>
        </is>
      </c>
      <c r="AB636" s="28" t="inlineStr">
        <is>
          <t>https://www.sorbonne-universite.fr/actualites/le-conseil-dadministration-de-sorbonne-universite-vote-lunanimite-le-7-juillet-2026-sa</t>
        </is>
      </c>
      <c r="AC636" s="25" t="inlineStr">
        <is>
          <t>Open</t>
        </is>
      </c>
      <c r="AD636" s="25" t="inlineStr">
        <is>
          <t>2026-10-01</t>
        </is>
      </c>
      <c r="AE636" s="25" t="inlineStr">
        <is>
          <t>2027-03-15</t>
        </is>
      </c>
      <c r="AF636" s="25" t="inlineStr">
        <is>
          <t>No</t>
        </is>
      </c>
      <c r="AG636" s="28" t="inlineStr">
        <is>
          <t>https://sciences.sorbonne-universite.fr/formation-sciences/masters/master-biologie-moleculaire-et-cellulaire-bmc/m1m2-parcours-bioinformatique-modelisation</t>
        </is>
      </c>
      <c r="AH636" s="26" t="inlineStr">
        <is>
          <t>Consulter le site du Master BMC</t>
        </is>
      </c>
      <c r="AI636" s="28" t="inlineStr">
        <is>
          <t>Open in EEF</t>
        </is>
      </c>
    </row>
    <row r="637" ht="32.8" customHeight="1" s="19">
      <c r="A637" s="25" t="n">
        <v>636</v>
      </c>
      <c r="B637" s="25" t="inlineStr">
        <is>
          <t>★★★☆☆</t>
        </is>
      </c>
      <c r="C637" s="25" t="inlineStr">
        <is>
          <t>3 – Adjacent (AI/data/CS/cyber/energy)</t>
        </is>
      </c>
      <c r="D637" s="25" t="inlineStr">
        <is>
          <t>AI / Data science</t>
        </is>
      </c>
      <c r="E637" s="26" t="inlineStr">
        <is>
          <t>Master indifférencié (recherche et professionnel) Sciences, technologies, santé mention Biologie-santé parcours Intelligence Artificielle et Approches Numériques en Biologie et Santé</t>
        </is>
      </c>
      <c r="F637" s="26" t="inlineStr">
        <is>
          <t>Science, Technology, Health (STS) – major: Biology-Health – track: Artificial Intelligence &amp; Approches Digital in Biology &amp; Health</t>
        </is>
      </c>
      <c r="G637" s="25" t="inlineStr">
        <is>
          <t>Master indifférencié (recherche et professionnel)</t>
        </is>
      </c>
      <c r="H637" s="25" t="inlineStr">
        <is>
          <t>Faculté des Sciences et d'Ingénierie</t>
        </is>
      </c>
      <c r="I637" s="25" t="inlineStr">
        <is>
          <t>Université de Toulouse</t>
        </is>
      </c>
      <c r="J637" s="25" t="inlineStr">
        <is>
          <t>Site de Toulouse</t>
        </is>
      </c>
      <c r="K637" s="25" t="n"/>
      <c r="L637" s="25" t="inlineStr">
        <is>
          <t>Public university</t>
        </is>
      </c>
      <c r="M637" s="25" t="inlineStr">
        <is>
          <t>French</t>
        </is>
      </c>
      <c r="N637" s="25" t="inlineStr">
        <is>
          <t>General</t>
        </is>
      </c>
      <c r="O637" s="25" t="inlineStr">
        <is>
          <t>Bac +4 / Bac +5</t>
        </is>
      </c>
      <c r="P637" s="26" t="inlineStr">
        <is>
          <t>Eligible on level (4-yr BS ≈ Bac+4)</t>
        </is>
      </c>
      <c r="Q637" s="25" t="inlineStr">
        <is>
          <t>1/2</t>
        </is>
      </c>
      <c r="R637" s="25" t="n"/>
      <c r="S637" s="27" t="n">
        <v>3950</v>
      </c>
      <c r="T637" s="27" t="n">
        <v>255</v>
      </c>
      <c r="U637" s="25" t="n">
        <v>2</v>
      </c>
      <c r="V637" s="27">
        <f>IF(S637="","",S637*U637)</f>
        <v/>
      </c>
      <c r="W637" s="26" t="inlineStr">
        <is>
          <t>Not in catalogue. Public national master → 2026-27 differentiated fee €3,950; exemption to ~€254-255 depends on university quota (25% cap in 2027-28).</t>
        </is>
      </c>
      <c r="X637" s="25" t="inlineStr">
        <is>
          <t>Medium</t>
        </is>
      </c>
      <c r="Y637" s="25" t="n"/>
      <c r="Z637" s="26" t="n"/>
      <c r="AA637" s="26" t="inlineStr">
        <is>
          <t>Board decision (Feb 2026, pre-decree): partial exemption for ALL non-EU students subject to differentiated fees, until end of cycle. Re-check for 2027-28.</t>
        </is>
      </c>
      <c r="AB637" s="28" t="inlineStr">
        <is>
          <t>https://www.utoulouse.fr/medias/fichier/2026-02-ca-075_1774430647495-pdf</t>
        </is>
      </c>
      <c r="AC637" s="25" t="inlineStr">
        <is>
          <t>Open</t>
        </is>
      </c>
      <c r="AD637" s="25" t="inlineStr">
        <is>
          <t>2026-10-01</t>
        </is>
      </c>
      <c r="AE637" s="25" t="inlineStr">
        <is>
          <t>2027-03-15</t>
        </is>
      </c>
      <c r="AF637" s="25" t="inlineStr">
        <is>
          <t>No</t>
        </is>
      </c>
      <c r="AG637" s="28" t="inlineStr">
        <is>
          <t>https://www.univ-tlse3.fr/</t>
        </is>
      </c>
      <c r="AH637" s="26" t="inlineStr">
        <is>
          <t>https://www.utoulouse.fr/decouvrir-nos-diplomes/master-mention-biologie-sante Si vous ne maîtrisez pas encore le français au niveau exigé pour intégrer une formation en France, le DU FUSEE (Diplôme Universitaire de Franç</t>
        </is>
      </c>
      <c r="AI637" s="28" t="inlineStr">
        <is>
          <t>Open in EEF</t>
        </is>
      </c>
    </row>
    <row r="638" ht="32.8" customHeight="1" s="19">
      <c r="A638" s="25" t="n">
        <v>637</v>
      </c>
      <c r="B638" s="25" t="inlineStr">
        <is>
          <t>★★★☆☆</t>
        </is>
      </c>
      <c r="C638" s="25" t="inlineStr">
        <is>
          <t>3 – Adjacent (AI/data/CS/cyber/energy)</t>
        </is>
      </c>
      <c r="D638" s="25" t="inlineStr">
        <is>
          <t>AI / Data science</t>
        </is>
      </c>
      <c r="E638" s="26" t="inlineStr">
        <is>
          <t>Master indifférencié (recherche et professionnel) Sciences, technologies, santé mention informatique parcours Algorithmes, Intelligence Artificielle, Interactions et Décision (AI2D)</t>
        </is>
      </c>
      <c r="F638" s="26" t="inlineStr">
        <is>
          <t>Science, Technology, Health (STS) – major: Computer Science – track: Algorithms, Artificial Intelligence, Interactions &amp; Decision (AI2D)</t>
        </is>
      </c>
      <c r="G638" s="25" t="inlineStr">
        <is>
          <t>Master indifférencié (recherche et professionnel)</t>
        </is>
      </c>
      <c r="H638" s="25" t="inlineStr">
        <is>
          <t>Sciences et Ingénierie</t>
        </is>
      </c>
      <c r="I638" s="25" t="inlineStr">
        <is>
          <t>Sorbonne Université</t>
        </is>
      </c>
      <c r="J638" s="25" t="inlineStr">
        <is>
          <t>Site de Paris</t>
        </is>
      </c>
      <c r="K638" s="25" t="n"/>
      <c r="L638" s="25" t="inlineStr">
        <is>
          <t>Public university</t>
        </is>
      </c>
      <c r="M638" s="25" t="inlineStr">
        <is>
          <t>French</t>
        </is>
      </c>
      <c r="N638" s="25" t="inlineStr">
        <is>
          <t>General</t>
        </is>
      </c>
      <c r="O638" s="25" t="inlineStr">
        <is>
          <t>Bac +4 / Bac +5</t>
        </is>
      </c>
      <c r="P638" s="26" t="inlineStr">
        <is>
          <t>Eligible on level (4-yr BS ≈ Bac+4)</t>
        </is>
      </c>
      <c r="Q638" s="25" t="inlineStr">
        <is>
          <t>1/2</t>
        </is>
      </c>
      <c r="R638" s="25" t="n"/>
      <c r="S638" s="27" t="n">
        <v>3950</v>
      </c>
      <c r="T638" s="27" t="n">
        <v>255</v>
      </c>
      <c r="U638" s="25" t="n">
        <v>2</v>
      </c>
      <c r="V638" s="27">
        <f>IF(S638="","",S638*U638)</f>
        <v/>
      </c>
      <c r="W638" s="26" t="inlineStr">
        <is>
          <t>Not in catalogue. Public national master → 2026-27 differentiated fee €3,950; exemption to ~€254-255 depends on university quota (25% cap in 2027-28).</t>
        </is>
      </c>
      <c r="X638" s="25" t="inlineStr">
        <is>
          <t>Medium</t>
        </is>
      </c>
      <c r="Y638" s="25" t="n"/>
      <c r="Z638" s="26" t="n"/>
      <c r="AA638" s="26" t="inlineStr">
        <is>
          <t>Board vote 7 Jul 2026: Sorbonne Université says it can exempt all eligible non-EU applicants (pay same as EU, ~€254) for 2026-27.</t>
        </is>
      </c>
      <c r="AB638" s="28" t="inlineStr">
        <is>
          <t>https://www.sorbonne-universite.fr/actualites/le-conseil-dadministration-de-sorbonne-universite-vote-lunanimite-le-7-juillet-2026-sa</t>
        </is>
      </c>
      <c r="AC638" s="25" t="inlineStr">
        <is>
          <t>Open</t>
        </is>
      </c>
      <c r="AD638" s="25" t="inlineStr">
        <is>
          <t>2026-10-01</t>
        </is>
      </c>
      <c r="AE638" s="25" t="inlineStr">
        <is>
          <t>2027-03-15</t>
        </is>
      </c>
      <c r="AF638" s="25" t="inlineStr">
        <is>
          <t>No</t>
        </is>
      </c>
      <c r="AG638" s="28" t="inlineStr">
        <is>
          <t>https://sciences.sorbonne-universite.fr/formation-sciences/masters/master-informatique/parcours-ai2d</t>
        </is>
      </c>
      <c r="AH638" s="26" t="inlineStr">
        <is>
          <t>OUI</t>
        </is>
      </c>
      <c r="AI638" s="28" t="inlineStr">
        <is>
          <t>Open in EEF</t>
        </is>
      </c>
    </row>
    <row r="639" ht="22.35" customHeight="1" s="19">
      <c r="A639" s="25" t="n">
        <v>638</v>
      </c>
      <c r="B639" s="25" t="inlineStr">
        <is>
          <t>★★★☆☆</t>
        </is>
      </c>
      <c r="C639" s="25" t="inlineStr">
        <is>
          <t>3 – Adjacent (AI/data/CS/cyber/energy)</t>
        </is>
      </c>
      <c r="D639" s="25" t="inlineStr">
        <is>
          <t>Bioinformatics</t>
        </is>
      </c>
      <c r="E639" s="26" t="inlineStr">
        <is>
          <t>Master indifférencié (recherche et professionnel) Sciences, technologies, santé mention informatique parcours Bio-Informatique et modélisation (BIM)</t>
        </is>
      </c>
      <c r="F639" s="26" t="inlineStr">
        <is>
          <t>Science, Technology, Health (STS) – major: Computer Science – track: Bioinformatics &amp; Modelling (BIM)</t>
        </is>
      </c>
      <c r="G639" s="25" t="inlineStr">
        <is>
          <t>Master indifférencié (recherche et professionnel)</t>
        </is>
      </c>
      <c r="H639" s="25" t="inlineStr">
        <is>
          <t>Sciences et Ingénierie</t>
        </is>
      </c>
      <c r="I639" s="25" t="inlineStr">
        <is>
          <t>Sorbonne Université</t>
        </is>
      </c>
      <c r="J639" s="25" t="inlineStr">
        <is>
          <t>Site de Paris</t>
        </is>
      </c>
      <c r="K639" s="25" t="n"/>
      <c r="L639" s="25" t="inlineStr">
        <is>
          <t>Public university</t>
        </is>
      </c>
      <c r="M639" s="25" t="inlineStr">
        <is>
          <t>French</t>
        </is>
      </c>
      <c r="N639" s="25" t="inlineStr">
        <is>
          <t>General</t>
        </is>
      </c>
      <c r="O639" s="25" t="inlineStr">
        <is>
          <t>Bac +4 / Bac +5</t>
        </is>
      </c>
      <c r="P639" s="26" t="inlineStr">
        <is>
          <t>Eligible on level (4-yr BS ≈ Bac+4)</t>
        </is>
      </c>
      <c r="Q639" s="25" t="inlineStr">
        <is>
          <t>1/2</t>
        </is>
      </c>
      <c r="R639" s="25" t="n"/>
      <c r="S639" s="27" t="n">
        <v>3950</v>
      </c>
      <c r="T639" s="27" t="n">
        <v>255</v>
      </c>
      <c r="U639" s="25" t="n">
        <v>2</v>
      </c>
      <c r="V639" s="27">
        <f>IF(S639="","",S639*U639)</f>
        <v/>
      </c>
      <c r="W639" s="26" t="inlineStr">
        <is>
          <t>Not in catalogue. Public national master → 2026-27 differentiated fee €3,950; exemption to ~€254-255 depends on university quota (25% cap in 2027-28).</t>
        </is>
      </c>
      <c r="X639" s="25" t="inlineStr">
        <is>
          <t>Medium</t>
        </is>
      </c>
      <c r="Y639" s="25" t="n"/>
      <c r="Z639" s="26" t="n"/>
      <c r="AA639" s="26" t="inlineStr">
        <is>
          <t>Board vote 7 Jul 2026: Sorbonne Université says it can exempt all eligible non-EU applicants (pay same as EU, ~€254) for 2026-27.</t>
        </is>
      </c>
      <c r="AB639" s="28" t="inlineStr">
        <is>
          <t>https://www.sorbonne-universite.fr/actualites/le-conseil-dadministration-de-sorbonne-universite-vote-lunanimite-le-7-juillet-2026-sa</t>
        </is>
      </c>
      <c r="AC639" s="25" t="inlineStr">
        <is>
          <t>Open</t>
        </is>
      </c>
      <c r="AD639" s="25" t="inlineStr">
        <is>
          <t>2026-10-01</t>
        </is>
      </c>
      <c r="AE639" s="25" t="inlineStr">
        <is>
          <t>2027-03-15</t>
        </is>
      </c>
      <c r="AF639" s="25" t="inlineStr">
        <is>
          <t>No</t>
        </is>
      </c>
      <c r="AG639" s="28" t="inlineStr">
        <is>
          <t>https://sciences.sorbonne-universite.fr/formation-sciences/masters/master-informatique/parcours-bim</t>
        </is>
      </c>
      <c r="AH639" s="26" t="inlineStr">
        <is>
          <t>OUI</t>
        </is>
      </c>
      <c r="AI639" s="28" t="inlineStr">
        <is>
          <t>Open in EEF</t>
        </is>
      </c>
    </row>
    <row r="640" ht="43.25" customHeight="1" s="19">
      <c r="A640" s="25" t="n">
        <v>639</v>
      </c>
      <c r="B640" s="25" t="inlineStr">
        <is>
          <t>★★★☆☆</t>
        </is>
      </c>
      <c r="C640" s="25" t="inlineStr">
        <is>
          <t>3 – Adjacent (AI/data/CS/cyber/energy)</t>
        </is>
      </c>
      <c r="D640" s="25" t="inlineStr">
        <is>
          <t>Computer science / Software</t>
        </is>
      </c>
      <c r="E640" s="26" t="inlineStr">
        <is>
          <t>Master indifférencié (recherche et professionnel) Sciences, technologies, santé mention informatique parcours GENIE LOGICIEL</t>
        </is>
      </c>
      <c r="F640" s="26" t="inlineStr">
        <is>
          <t>Science, Technology, Health (STS) – major: Computer Science – track: GENIE Software</t>
        </is>
      </c>
      <c r="G640" s="25" t="inlineStr">
        <is>
          <t>Master indifférencié (recherche et professionnel)</t>
        </is>
      </c>
      <c r="H640" s="25" t="inlineStr">
        <is>
          <t>UFR des Sciences de Montpellier</t>
        </is>
      </c>
      <c r="I640" s="25" t="inlineStr">
        <is>
          <t>Université de Montpellier</t>
        </is>
      </c>
      <c r="J640" s="25" t="inlineStr">
        <is>
          <t>Site de Montpellier</t>
        </is>
      </c>
      <c r="K640" s="25" t="n"/>
      <c r="L640" s="25" t="inlineStr">
        <is>
          <t>Public university</t>
        </is>
      </c>
      <c r="M640" s="25" t="inlineStr">
        <is>
          <t>French</t>
        </is>
      </c>
      <c r="N640" s="25" t="inlineStr">
        <is>
          <t>General</t>
        </is>
      </c>
      <c r="O640" s="25" t="inlineStr">
        <is>
          <t>Bac +4 / Bac +5</t>
        </is>
      </c>
      <c r="P640" s="26" t="inlineStr">
        <is>
          <t>Eligible on level (4-yr BS ≈ Bac+4)</t>
        </is>
      </c>
      <c r="Q640" s="25" t="inlineStr">
        <is>
          <t>1/2</t>
        </is>
      </c>
      <c r="R640" s="25" t="inlineStr">
        <is>
          <t>12</t>
        </is>
      </c>
      <c r="S640" s="27" t="n">
        <v>3950</v>
      </c>
      <c r="T640" s="27" t="n">
        <v>255</v>
      </c>
      <c r="U640" s="25" t="n">
        <v>2</v>
      </c>
      <c r="V640" s="27">
        <f>IF(S640="","",S640*U640)</f>
        <v/>
      </c>
      <c r="W640" s="26" t="inlineStr">
        <is>
          <t>Not in catalogue. Public national master → 2026-27 differentiated fee €3,950; exemption to ~€254-255 depends on university quota (25% cap in 2027-28).</t>
        </is>
      </c>
      <c r="X640" s="25" t="inlineStr">
        <is>
          <t>Medium</t>
        </is>
      </c>
      <c r="Y640" s="25" t="n"/>
      <c r="Z640" s="26" t="n"/>
      <c r="AA640" s="26" t="inlineStr">
        <is>
          <t>Montpellier 2026-27: new non-EU entrants pay the differentiated fee unless individual exemption (limited).</t>
        </is>
      </c>
      <c r="AB640" s="28" t="inlineStr">
        <is>
          <t>https://www.umontpellier.fr/en/international/etudier-a-letranger/etudiants-internationaux-annee-universitaire-2026-2027/</t>
        </is>
      </c>
      <c r="AC640" s="25" t="inlineStr">
        <is>
          <t>Open</t>
        </is>
      </c>
      <c r="AD640" s="25" t="inlineStr">
        <is>
          <t>2026-10-01</t>
        </is>
      </c>
      <c r="AE640" s="25" t="inlineStr">
        <is>
          <t>2027-03-15</t>
        </is>
      </c>
      <c r="AF640" s="25" t="inlineStr">
        <is>
          <t>No</t>
        </is>
      </c>
      <c r="AG640" s="28" t="inlineStr">
        <is>
          <t>http://sciences.edu.umontpellier.fr/</t>
        </is>
      </c>
      <c r="AH640" s="26" t="inlineStr">
        <is>
          <t>Le niveau B2 du TCF est exigé Pour un M1 : Avoir suivi des UEs de programmation objet, de base de données, de développement web, d'algorithmique. Pour un M2 : Avoir suivi des UEs de programmation mobile, systèmes distrib</t>
        </is>
      </c>
      <c r="AI640" s="28" t="inlineStr">
        <is>
          <t>Open in EEF</t>
        </is>
      </c>
    </row>
    <row r="641" ht="32.8" customHeight="1" s="19">
      <c r="A641" s="25" t="n">
        <v>640</v>
      </c>
      <c r="B641" s="25" t="inlineStr">
        <is>
          <t>★★★☆☆</t>
        </is>
      </c>
      <c r="C641" s="25" t="inlineStr">
        <is>
          <t>3 – Adjacent (AI/data/CS/cyber/energy)</t>
        </is>
      </c>
      <c r="D641" s="25" t="inlineStr">
        <is>
          <t>Computer science / Software</t>
        </is>
      </c>
      <c r="E641" s="26" t="inlineStr">
        <is>
          <t>Master indifférencié (recherche et professionnel) Sciences, technologies, santé mention informatique parcours génie logiciel, intégration d'applications</t>
        </is>
      </c>
      <c r="F641" s="26" t="inlineStr">
        <is>
          <t>Science, Technology, Health (STS) – major: Computer Science – track: Engineering Software, Integration of Applications</t>
        </is>
      </c>
      <c r="G641" s="25" t="inlineStr">
        <is>
          <t>Master indifférencié (recherche et professionnel)</t>
        </is>
      </c>
      <c r="H641" s="25" t="inlineStr">
        <is>
          <t>ISIMA</t>
        </is>
      </c>
      <c r="I641" s="25" t="inlineStr">
        <is>
          <t>Université Clermont Auvergne</t>
        </is>
      </c>
      <c r="J641" s="25" t="inlineStr">
        <is>
          <t>Site de Aubière</t>
        </is>
      </c>
      <c r="K641" s="25" t="n"/>
      <c r="L641" s="25" t="inlineStr">
        <is>
          <t>Public university</t>
        </is>
      </c>
      <c r="M641" s="25" t="inlineStr">
        <is>
          <t>French</t>
        </is>
      </c>
      <c r="N641" s="25" t="inlineStr">
        <is>
          <t>General</t>
        </is>
      </c>
      <c r="O641" s="25" t="inlineStr">
        <is>
          <t>Bac +4 / Bac +5</t>
        </is>
      </c>
      <c r="P641" s="26" t="inlineStr">
        <is>
          <t>Eligible on level (4-yr BS ≈ Bac+4)</t>
        </is>
      </c>
      <c r="Q641" s="25" t="inlineStr">
        <is>
          <t>1/2</t>
        </is>
      </c>
      <c r="R641" s="25" t="n"/>
      <c r="S641" s="27" t="n">
        <v>3950</v>
      </c>
      <c r="T641" s="27" t="n">
        <v>255</v>
      </c>
      <c r="U641" s="25" t="n">
        <v>2</v>
      </c>
      <c r="V641" s="27">
        <f>IF(S641="","",S641*U641)</f>
        <v/>
      </c>
      <c r="W641" s="26" t="inlineStr">
        <is>
          <t>Not in catalogue. Public national master → 2026-27 differentiated fee €3,950; exemption to ~€254-255 depends on university quota (25% cap in 2027-28).</t>
        </is>
      </c>
      <c r="X641" s="25" t="inlineStr">
        <is>
          <t>Medium</t>
        </is>
      </c>
      <c r="Y641" s="25" t="n"/>
      <c r="Z641" s="26" t="n"/>
      <c r="AA641" s="26" t="inlineStr">
        <is>
          <t>UCA board (Dec 2025) kept its partial-exemption framework for 2026-27 (pre-decree; re-check).</t>
        </is>
      </c>
      <c r="AB641" s="28" t="inlineStr">
        <is>
          <t>https://www.uca.fr/medias/fichier/delib-ca-20251205-15-tarifs-differencies_1765204050111-pdf</t>
        </is>
      </c>
      <c r="AC641" s="25" t="inlineStr">
        <is>
          <t>Open</t>
        </is>
      </c>
      <c r="AD641" s="25" t="inlineStr">
        <is>
          <t>2026-10-01</t>
        </is>
      </c>
      <c r="AE641" s="25" t="inlineStr">
        <is>
          <t>2027-03-15</t>
        </is>
      </c>
      <c r="AF641" s="25" t="inlineStr">
        <is>
          <t>No</t>
        </is>
      </c>
      <c r="AG641" s="28" t="inlineStr">
        <is>
          <t>https://www.uca.fr/formation/nos-formations/catalogue-des-formations/master-info</t>
        </is>
      </c>
      <c r="AH641" s="26" t="inlineStr">
        <is>
          <t>M1 Informatique ou équivalent (doctorants et ingénieurs pour les étudiants étrangers) pour l'admission en M2. Un test est recommandé seulement en français avec un niveau B2. Capacité d'accueil limitée à 20 places. https:</t>
        </is>
      </c>
      <c r="AI641" s="28" t="inlineStr">
        <is>
          <t>Open in EEF</t>
        </is>
      </c>
    </row>
    <row r="642" ht="32.8" customHeight="1" s="19">
      <c r="A642" s="25" t="n">
        <v>641</v>
      </c>
      <c r="B642" s="25" t="inlineStr">
        <is>
          <t>★★★☆☆</t>
        </is>
      </c>
      <c r="C642" s="25" t="inlineStr">
        <is>
          <t>3 – Adjacent (AI/data/CS/cyber/energy)</t>
        </is>
      </c>
      <c r="D642" s="25" t="inlineStr">
        <is>
          <t>Signal / Image / Vision</t>
        </is>
      </c>
      <c r="E642" s="26" t="inlineStr">
        <is>
          <t>Master indifférencié (recherche et professionnel) Sciences, technologies, santé mention informatique parcours IMAGINE</t>
        </is>
      </c>
      <c r="F642" s="26" t="inlineStr">
        <is>
          <t>Science, Technology, Health (STS) – major: Computer Science – track: IMAGINE</t>
        </is>
      </c>
      <c r="G642" s="25" t="inlineStr">
        <is>
          <t>Master indifférencié (recherche et professionnel)</t>
        </is>
      </c>
      <c r="H642" s="25" t="inlineStr">
        <is>
          <t>UFR des Sciences de Montpellier</t>
        </is>
      </c>
      <c r="I642" s="25" t="inlineStr">
        <is>
          <t>Université de Montpellier</t>
        </is>
      </c>
      <c r="J642" s="25" t="inlineStr">
        <is>
          <t>Site de Montpellier</t>
        </is>
      </c>
      <c r="K642" s="25" t="n"/>
      <c r="L642" s="25" t="inlineStr">
        <is>
          <t>Public university</t>
        </is>
      </c>
      <c r="M642" s="25" t="inlineStr">
        <is>
          <t>French</t>
        </is>
      </c>
      <c r="N642" s="25" t="inlineStr">
        <is>
          <t>General</t>
        </is>
      </c>
      <c r="O642" s="25" t="inlineStr">
        <is>
          <t>Bac +4 / Bac +5</t>
        </is>
      </c>
      <c r="P642" s="26" t="inlineStr">
        <is>
          <t>Eligible on level (4-yr BS ≈ Bac+4)</t>
        </is>
      </c>
      <c r="Q642" s="25" t="inlineStr">
        <is>
          <t>1/2</t>
        </is>
      </c>
      <c r="R642" s="25" t="n"/>
      <c r="S642" s="27" t="n">
        <v>3950</v>
      </c>
      <c r="T642" s="27" t="n">
        <v>255</v>
      </c>
      <c r="U642" s="25" t="n">
        <v>2</v>
      </c>
      <c r="V642" s="27">
        <f>IF(S642="","",S642*U642)</f>
        <v/>
      </c>
      <c r="W642" s="26" t="inlineStr">
        <is>
          <t>Not in catalogue. Public national master → 2026-27 differentiated fee €3,950; exemption to ~€254-255 depends on university quota (25% cap in 2027-28).</t>
        </is>
      </c>
      <c r="X642" s="25" t="inlineStr">
        <is>
          <t>Medium</t>
        </is>
      </c>
      <c r="Y642" s="25" t="n"/>
      <c r="Z642" s="26" t="n"/>
      <c r="AA642" s="26" t="inlineStr">
        <is>
          <t>Montpellier 2026-27: new non-EU entrants pay the differentiated fee unless individual exemption (limited).</t>
        </is>
      </c>
      <c r="AB642" s="28" t="inlineStr">
        <is>
          <t>https://www.umontpellier.fr/en/international/etudier-a-letranger/etudiants-internationaux-annee-universitaire-2026-2027/</t>
        </is>
      </c>
      <c r="AC642" s="25" t="inlineStr">
        <is>
          <t>Open</t>
        </is>
      </c>
      <c r="AD642" s="25" t="inlineStr">
        <is>
          <t>2026-10-01</t>
        </is>
      </c>
      <c r="AE642" s="25" t="inlineStr">
        <is>
          <t>2027-03-15</t>
        </is>
      </c>
      <c r="AF642" s="25" t="inlineStr">
        <is>
          <t>No</t>
        </is>
      </c>
      <c r="AG642" s="28" t="inlineStr">
        <is>
          <t>http://sciences.edu.umontpellier.fr/</t>
        </is>
      </c>
      <c r="AH642" s="26" t="inlineStr">
        <is>
          <t>Le parcours Imagine vise à former des ingénieurs et chercheurs spécialisés dans les industries et les laboratoires d'image et vision, d'informatique graphique, de réalité virtuelle et augmentée, de jeux vidéo et de simul</t>
        </is>
      </c>
      <c r="AI642" s="28" t="inlineStr">
        <is>
          <t>Open in EEF</t>
        </is>
      </c>
    </row>
    <row r="643" ht="32.8" customHeight="1" s="19">
      <c r="A643" s="25" t="n">
        <v>642</v>
      </c>
      <c r="B643" s="25" t="inlineStr">
        <is>
          <t>★★★☆☆</t>
        </is>
      </c>
      <c r="C643" s="25" t="inlineStr">
        <is>
          <t>3 – Adjacent (AI/data/CS/cyber/energy)</t>
        </is>
      </c>
      <c r="D643" s="25" t="inlineStr">
        <is>
          <t>Computer science / Software</t>
        </is>
      </c>
      <c r="E643" s="26" t="inlineStr">
        <is>
          <t>Master indifférencié (recherche et professionnel) Sciences, technologies, santé mention informatique parcours Informatique</t>
        </is>
      </c>
      <c r="F643" s="26" t="inlineStr">
        <is>
          <t>Science, Technology, Health (STS) – major: Computer Science – track: Computer Science</t>
        </is>
      </c>
      <c r="G643" s="25" t="inlineStr">
        <is>
          <t>Master indifférencié (recherche et professionnel)</t>
        </is>
      </c>
      <c r="H643" s="25" t="inlineStr">
        <is>
          <t>UFR d'informatique, mathématiques et mathématiques appliquées</t>
        </is>
      </c>
      <c r="I643" s="25" t="inlineStr">
        <is>
          <t>Université de Grenoble Alpes</t>
        </is>
      </c>
      <c r="J643" s="25" t="inlineStr">
        <is>
          <t>Site de Grenoble - Campus de Saint Martin d'Hères</t>
        </is>
      </c>
      <c r="K643" s="25" t="n"/>
      <c r="L643" s="25" t="inlineStr">
        <is>
          <t>Public university</t>
        </is>
      </c>
      <c r="M643" s="25" t="inlineStr">
        <is>
          <t>French</t>
        </is>
      </c>
      <c r="N643" s="25" t="inlineStr">
        <is>
          <t>General</t>
        </is>
      </c>
      <c r="O643" s="25" t="inlineStr">
        <is>
          <t>Bac +4</t>
        </is>
      </c>
      <c r="P643" s="26" t="inlineStr">
        <is>
          <t>Eligible on level (4-yr BS ≈ Bac+4)</t>
        </is>
      </c>
      <c r="Q643" s="25" t="inlineStr">
        <is>
          <t>1</t>
        </is>
      </c>
      <c r="R643" s="25" t="n"/>
      <c r="S643" s="27" t="n">
        <v>3950</v>
      </c>
      <c r="T643" s="27" t="n">
        <v>255</v>
      </c>
      <c r="U643" s="25" t="n">
        <v>2</v>
      </c>
      <c r="V643" s="27">
        <f>IF(S643="","",S643*U643)</f>
        <v/>
      </c>
      <c r="W643" s="26" t="inlineStr">
        <is>
          <t>Not in catalogue. Public national master → 2026-27 differentiated fee €3,950; exemption to ~€254-255 depends on university quota (25% cap in 2027-28).</t>
        </is>
      </c>
      <c r="X643" s="25" t="inlineStr">
        <is>
          <t>Medium</t>
        </is>
      </c>
      <c r="Y643" s="25" t="n"/>
      <c r="Z643" s="26" t="n"/>
      <c r="AA643" s="26" t="inlineStr">
        <is>
          <t>UGA (incl. Grenoble INP masters): 2026-27 broad exemptions on request (pay national €254). From 2027-28 the decree caps apply; exemptions based on resources.</t>
        </is>
      </c>
      <c r="AB643" s="28" t="inlineStr">
        <is>
          <t>https://www.univ-grenoble-alpes.fr/actualites/a-la-une/actualites-universite/etudiants-internationaux-ce-que-change-le-nouveau-decret-sur-les-droits-d-inscription-a-l-uga-1775870.kjsp</t>
        </is>
      </c>
      <c r="AC643" s="25" t="inlineStr">
        <is>
          <t>Open</t>
        </is>
      </c>
      <c r="AD643" s="25" t="inlineStr">
        <is>
          <t>2026-10-01</t>
        </is>
      </c>
      <c r="AE643" s="25" t="inlineStr">
        <is>
          <t>2027-03-15</t>
        </is>
      </c>
      <c r="AF643" s="25" t="inlineStr">
        <is>
          <t>No</t>
        </is>
      </c>
      <c r="AG643" s="28" t="inlineStr">
        <is>
          <t>https://im2ag.univ-grenoble-alpes.fr/formation/offre-de-formation/master-informatique/parcours-informatique-classique-1re-annee/master-informatique-parcours-informatique-classique-1re-annee-111065.kjsp</t>
        </is>
      </c>
      <c r="AH643" s="26" t="inlineStr">
        <is>
          <t>- Niveau B2 en français - Diplôme de Licence en Informatique ou d'une formation scientifique dispensant des compétences équivalentes . - Moyenne de la licence supérieure à 14/20 - Des bonnes bases en informatique sont ex</t>
        </is>
      </c>
      <c r="AI643" s="28" t="inlineStr">
        <is>
          <t>Open in EEF</t>
        </is>
      </c>
    </row>
    <row r="644" ht="22.35" customHeight="1" s="19">
      <c r="A644" s="25" t="n">
        <v>643</v>
      </c>
      <c r="B644" s="25" t="inlineStr">
        <is>
          <t>★★★☆☆</t>
        </is>
      </c>
      <c r="C644" s="25" t="inlineStr">
        <is>
          <t>3 – Adjacent (AI/data/CS/cyber/energy)</t>
        </is>
      </c>
      <c r="D644" s="25" t="inlineStr">
        <is>
          <t>Computer science / Software</t>
        </is>
      </c>
      <c r="E644" s="26" t="inlineStr">
        <is>
          <t>Master indifférencié (recherche et professionnel) Sciences, technologies, santé mention informatique parcours Informatique et mobilité</t>
        </is>
      </c>
      <c r="F644" s="26" t="inlineStr">
        <is>
          <t>Science, Technology, Health (STS) – major: Computer Science – track: Computer Science &amp; Mobility</t>
        </is>
      </c>
      <c r="G644" s="25" t="inlineStr">
        <is>
          <t>Master indifférencié (recherche et professionnel)</t>
        </is>
      </c>
      <c r="H644" s="25" t="inlineStr">
        <is>
          <t>Faculté des sciences et techniques</t>
        </is>
      </c>
      <c r="I644" s="25" t="inlineStr">
        <is>
          <t>Université de Haute Alsace Mulhouse</t>
        </is>
      </c>
      <c r="J644" s="25" t="inlineStr">
        <is>
          <t>Site de Mulhouse</t>
        </is>
      </c>
      <c r="K644" s="25" t="n"/>
      <c r="L644" s="25" t="inlineStr">
        <is>
          <t>Public university</t>
        </is>
      </c>
      <c r="M644" s="25" t="inlineStr">
        <is>
          <t>French</t>
        </is>
      </c>
      <c r="N644" s="25" t="inlineStr">
        <is>
          <t>General</t>
        </is>
      </c>
      <c r="O644" s="25" t="inlineStr">
        <is>
          <t>Bac +4 / Bac +5</t>
        </is>
      </c>
      <c r="P644" s="26" t="inlineStr">
        <is>
          <t>Eligible on level (4-yr BS ≈ Bac+4)</t>
        </is>
      </c>
      <c r="Q644" s="25" t="inlineStr">
        <is>
          <t>1/2</t>
        </is>
      </c>
      <c r="R644" s="25" t="n"/>
      <c r="S644" s="27" t="n">
        <v>3950</v>
      </c>
      <c r="T644" s="27" t="n">
        <v>255</v>
      </c>
      <c r="U644" s="25" t="n">
        <v>2</v>
      </c>
      <c r="V644" s="27">
        <f>IF(S644="","",S644*U644)</f>
        <v/>
      </c>
      <c r="W644" s="26" t="inlineStr">
        <is>
          <t>Not in catalogue. Public national master → 2026-27 differentiated fee €3,950; exemption to ~€254-255 depends on university quota (25% cap in 2027-28).</t>
        </is>
      </c>
      <c r="X644" s="25" t="inlineStr">
        <is>
          <t>Medium</t>
        </is>
      </c>
      <c r="Y644" s="25" t="n"/>
      <c r="Z644" s="26" t="n"/>
      <c r="AA644" s="26" t="n"/>
      <c r="AB644" s="25" t="n"/>
      <c r="AC644" s="25" t="inlineStr">
        <is>
          <t>Open</t>
        </is>
      </c>
      <c r="AD644" s="25" t="inlineStr">
        <is>
          <t>2026-10-01</t>
        </is>
      </c>
      <c r="AE644" s="25" t="inlineStr">
        <is>
          <t>2027-03-15</t>
        </is>
      </c>
      <c r="AF644" s="25" t="inlineStr">
        <is>
          <t>No</t>
        </is>
      </c>
      <c r="AG644" s="28" t="inlineStr">
        <is>
          <t>http://www.fst.uha.fr</t>
        </is>
      </c>
      <c r="AH644" s="26" t="inlineStr">
        <is>
          <t>Niveau de français exigé : B2</t>
        </is>
      </c>
      <c r="AI644" s="28" t="inlineStr">
        <is>
          <t>Open in EEF</t>
        </is>
      </c>
    </row>
    <row r="645" ht="32.8" customHeight="1" s="19">
      <c r="A645" s="25" t="n">
        <v>644</v>
      </c>
      <c r="B645" s="25" t="inlineStr">
        <is>
          <t>★★★☆☆</t>
        </is>
      </c>
      <c r="C645" s="25" t="inlineStr">
        <is>
          <t>3 – Adjacent (AI/data/CS/cyber/energy)</t>
        </is>
      </c>
      <c r="D645" s="25" t="inlineStr">
        <is>
          <t>Computer science / Software</t>
        </is>
      </c>
      <c r="E645" s="26" t="inlineStr">
        <is>
          <t>Master indifférencié (recherche et professionnel) Sciences, technologies, santé mention informatique parcours INTEGRATION DE COMPETENCES</t>
        </is>
      </c>
      <c r="F645" s="26" t="inlineStr">
        <is>
          <t>Science, Technology, Health (STS) – major: Computer Science – track: INTEGRATION of COMPETENCES</t>
        </is>
      </c>
      <c r="G645" s="25" t="inlineStr">
        <is>
          <t>Master indifférencié (recherche et professionnel)</t>
        </is>
      </c>
      <c r="H645" s="25" t="inlineStr">
        <is>
          <t>UFR des Sciences de Montpellier</t>
        </is>
      </c>
      <c r="I645" s="25" t="inlineStr">
        <is>
          <t>Université de Montpellier</t>
        </is>
      </c>
      <c r="J645" s="25" t="inlineStr">
        <is>
          <t>Site de Montpellier</t>
        </is>
      </c>
      <c r="K645" s="25" t="n"/>
      <c r="L645" s="25" t="inlineStr">
        <is>
          <t>Public university</t>
        </is>
      </c>
      <c r="M645" s="25" t="inlineStr">
        <is>
          <t>French</t>
        </is>
      </c>
      <c r="N645" s="25" t="inlineStr">
        <is>
          <t>General</t>
        </is>
      </c>
      <c r="O645" s="25" t="inlineStr">
        <is>
          <t>Bac +4 / Bac +5</t>
        </is>
      </c>
      <c r="P645" s="26" t="inlineStr">
        <is>
          <t>Eligible on level (4-yr BS ≈ Bac+4)</t>
        </is>
      </c>
      <c r="Q645" s="25" t="inlineStr">
        <is>
          <t>1/2</t>
        </is>
      </c>
      <c r="R645" s="25" t="n"/>
      <c r="S645" s="27" t="n">
        <v>3950</v>
      </c>
      <c r="T645" s="27" t="n">
        <v>255</v>
      </c>
      <c r="U645" s="25" t="n">
        <v>2</v>
      </c>
      <c r="V645" s="27">
        <f>IF(S645="","",S645*U645)</f>
        <v/>
      </c>
      <c r="W645" s="26" t="inlineStr">
        <is>
          <t>Not in catalogue. Public national master → 2026-27 differentiated fee €3,950; exemption to ~€254-255 depends on university quota (25% cap in 2027-28).</t>
        </is>
      </c>
      <c r="X645" s="25" t="inlineStr">
        <is>
          <t>Medium</t>
        </is>
      </c>
      <c r="Y645" s="25" t="n"/>
      <c r="Z645" s="26" t="n"/>
      <c r="AA645" s="26" t="inlineStr">
        <is>
          <t>Montpellier 2026-27: new non-EU entrants pay the differentiated fee unless individual exemption (limited).</t>
        </is>
      </c>
      <c r="AB645" s="28" t="inlineStr">
        <is>
          <t>https://www.umontpellier.fr/en/international/etudier-a-letranger/etudiants-internationaux-annee-universitaire-2026-2027/</t>
        </is>
      </c>
      <c r="AC645" s="25" t="inlineStr">
        <is>
          <t>Open</t>
        </is>
      </c>
      <c r="AD645" s="25" t="inlineStr">
        <is>
          <t>2026-10-01</t>
        </is>
      </c>
      <c r="AE645" s="25" t="inlineStr">
        <is>
          <t>2027-03-15</t>
        </is>
      </c>
      <c r="AF645" s="25" t="inlineStr">
        <is>
          <t>No</t>
        </is>
      </c>
      <c r="AG645" s="28" t="inlineStr">
        <is>
          <t>http://sciences.edu.umontpellier.fr/</t>
        </is>
      </c>
      <c r="AH645" s="26" t="inlineStr">
        <is>
          <t>Le M1 ICo est ouvert, dans la limite des places disponibles, aux étudiants, ayant validé une licence autre qu'informatique, qui souhaitent amorcer un virage disciplinaire vers l'informatique. L'objectif est alors de leur</t>
        </is>
      </c>
      <c r="AI645" s="28" t="inlineStr">
        <is>
          <t>Open in EEF</t>
        </is>
      </c>
    </row>
    <row r="646" ht="32.8" customHeight="1" s="19">
      <c r="A646" s="25" t="n">
        <v>645</v>
      </c>
      <c r="B646" s="25" t="inlineStr">
        <is>
          <t>★★★☆☆</t>
        </is>
      </c>
      <c r="C646" s="25" t="inlineStr">
        <is>
          <t>3 – Adjacent (AI/data/CS/cyber/energy)</t>
        </is>
      </c>
      <c r="D646" s="25" t="inlineStr">
        <is>
          <t>Computer science / Software</t>
        </is>
      </c>
      <c r="E646" s="26" t="inlineStr">
        <is>
          <t>Master indifférencié (recherche et professionnel) Sciences, technologies, santé mention Informatique parcours Ingénierie systèmes et logiciels</t>
        </is>
      </c>
      <c r="F646" s="26" t="inlineStr">
        <is>
          <t>Science, Technology, Health (STS) – major: Computer Science – track: Engineering Systems &amp; Software</t>
        </is>
      </c>
      <c r="G646" s="25" t="inlineStr">
        <is>
          <t>Master indifférencié (recherche et professionnel)</t>
        </is>
      </c>
      <c r="H646" s="25" t="inlineStr">
        <is>
          <t>UFR Sciences et Techniques</t>
        </is>
      </c>
      <c r="I646" s="25" t="inlineStr">
        <is>
          <t>Université Marie et Louis Pasteur</t>
        </is>
      </c>
      <c r="J646" s="25" t="inlineStr">
        <is>
          <t>Site de Besançon</t>
        </is>
      </c>
      <c r="K646" s="25" t="inlineStr">
        <is>
          <t>25030 BESANCON CEDEX</t>
        </is>
      </c>
      <c r="L646" s="25" t="inlineStr">
        <is>
          <t>Public university</t>
        </is>
      </c>
      <c r="M646" s="25" t="inlineStr">
        <is>
          <t>French</t>
        </is>
      </c>
      <c r="N646" s="25" t="inlineStr">
        <is>
          <t>General</t>
        </is>
      </c>
      <c r="O646" s="25" t="inlineStr">
        <is>
          <t>Bac +4 / Bac +5</t>
        </is>
      </c>
      <c r="P646" s="26" t="inlineStr">
        <is>
          <t>Eligible on level (4-yr BS ≈ Bac+4)</t>
        </is>
      </c>
      <c r="Q646" s="25" t="inlineStr">
        <is>
          <t>1/2</t>
        </is>
      </c>
      <c r="R646" s="25" t="inlineStr">
        <is>
          <t>12</t>
        </is>
      </c>
      <c r="S646" s="27" t="n">
        <v>3950</v>
      </c>
      <c r="T646" s="27" t="n">
        <v>255</v>
      </c>
      <c r="U646" s="25" t="n">
        <v>2</v>
      </c>
      <c r="V646" s="27">
        <f>IF(S646="","",S646*U646)</f>
        <v/>
      </c>
      <c r="W646" s="26" t="inlineStr">
        <is>
          <t>Not in catalogue. Public national master → 2026-27 differentiated fee €3,950; exemption to ~€254-255 depends on university quota (25% cap in 2027-28).</t>
        </is>
      </c>
      <c r="X646" s="25" t="inlineStr">
        <is>
          <t>Medium</t>
        </is>
      </c>
      <c r="Y646" s="25" t="n"/>
      <c r="Z646" s="26" t="n"/>
      <c r="AA646" s="26" t="inlineStr">
        <is>
          <t>UMLP: individual exemption requests assessed on personal resources.</t>
        </is>
      </c>
      <c r="AB646" s="28" t="inlineStr">
        <is>
          <t>https://www.umlp.fr/sites/default/files/2026-07-02-page-droits-differencies-vf.pdf</t>
        </is>
      </c>
      <c r="AC646" s="25" t="inlineStr">
        <is>
          <t>Open</t>
        </is>
      </c>
      <c r="AD646" s="25" t="inlineStr">
        <is>
          <t>2026-10-01</t>
        </is>
      </c>
      <c r="AE646" s="25" t="inlineStr">
        <is>
          <t>2027-03-15</t>
        </is>
      </c>
      <c r="AF646" s="25" t="inlineStr">
        <is>
          <t>No</t>
        </is>
      </c>
      <c r="AG646" s="28" t="inlineStr">
        <is>
          <t>https://formations.univ-fcomte.fr/fr/index/formations/feuilleter-le-catalogue/master-lmd-XB/master-informatique-M4QWW2KM/master-informatique-ingenierie-systeme-et-logiciel-ufr-st-M4QWWKV5.html</t>
        </is>
      </c>
      <c r="AH646" s="26" t="inlineStr">
        <is>
          <t>Les profils recherchés sont des candidats qui seront titulaires à l’issue de l’année 2026-2027 d’une formation de niveau bac +3, bac +4 ou bac +5 en informatique fondamentale pour une candidature en M1, de niveau bac +4</t>
        </is>
      </c>
      <c r="AI646" s="28" t="inlineStr">
        <is>
          <t>Open in EEF</t>
        </is>
      </c>
    </row>
    <row r="647" ht="32.8" customHeight="1" s="19">
      <c r="A647" s="25" t="n">
        <v>646</v>
      </c>
      <c r="B647" s="25" t="inlineStr">
        <is>
          <t>★★★☆☆</t>
        </is>
      </c>
      <c r="C647" s="25" t="inlineStr">
        <is>
          <t>3 – Adjacent (AI/data/CS/cyber/energy)</t>
        </is>
      </c>
      <c r="D647" s="25" t="inlineStr">
        <is>
          <t>AI / Data science</t>
        </is>
      </c>
      <c r="E647" s="26" t="inlineStr">
        <is>
          <t>Master indifférencié (recherche et professionnel) Sciences, technologies, santé mention informatique parcours Intelligence artificielle distribuée</t>
        </is>
      </c>
      <c r="F647" s="26" t="inlineStr">
        <is>
          <t>Science, Technology, Health (STS) – major: Computer Science – track: Artificial Intelligence distribuée</t>
        </is>
      </c>
      <c r="G647" s="25" t="inlineStr">
        <is>
          <t>Master indifférencié (recherche et professionnel)</t>
        </is>
      </c>
      <c r="H647" s="25" t="inlineStr">
        <is>
          <t>UFR Mathématiques et informatique</t>
        </is>
      </c>
      <c r="I647" s="25" t="inlineStr">
        <is>
          <t>Université Paris Cité</t>
        </is>
      </c>
      <c r="J647" s="25" t="inlineStr">
        <is>
          <t>Site de Paris</t>
        </is>
      </c>
      <c r="K647" s="25" t="inlineStr">
        <is>
          <t>75006 Paris</t>
        </is>
      </c>
      <c r="L647" s="25" t="inlineStr">
        <is>
          <t>Public university</t>
        </is>
      </c>
      <c r="M647" s="25" t="inlineStr">
        <is>
          <t>French</t>
        </is>
      </c>
      <c r="N647" s="25" t="inlineStr">
        <is>
          <t>General</t>
        </is>
      </c>
      <c r="O647" s="25" t="inlineStr">
        <is>
          <t>Bac +4 / Bac +5</t>
        </is>
      </c>
      <c r="P647" s="26" t="inlineStr">
        <is>
          <t>Eligible on level (4-yr BS ≈ Bac+4)</t>
        </is>
      </c>
      <c r="Q647" s="25" t="inlineStr">
        <is>
          <t>1/2</t>
        </is>
      </c>
      <c r="R647" s="25" t="n"/>
      <c r="S647" s="27" t="n">
        <v>3950</v>
      </c>
      <c r="T647" s="27" t="n">
        <v>255</v>
      </c>
      <c r="U647" s="25" t="n">
        <v>2</v>
      </c>
      <c r="V647" s="27">
        <f>IF(S647="","",S647*U647)</f>
        <v/>
      </c>
      <c r="W647" s="26" t="inlineStr">
        <is>
          <t>Not in catalogue. Public national master → 2026-27 differentiated fee €3,950; exemption to ~€254-255 depends on university quota (25% cap in 2027-28).</t>
        </is>
      </c>
      <c r="X647" s="25" t="inlineStr">
        <is>
          <t>Medium</t>
        </is>
      </c>
      <c r="Y647" s="25" t="n"/>
      <c r="Z647" s="26" t="n"/>
      <c r="AA647" s="26" t="inlineStr">
        <is>
          <t>Paris Cité historically exempted non-EU master students (paid EU rate). 2026-27/2027-28 policy not yet published – confirm.</t>
        </is>
      </c>
      <c r="AB647" s="28" t="inlineStr">
        <is>
          <t>https://u-paris.fr/droits-dinscription-tarifs-exonerations/</t>
        </is>
      </c>
      <c r="AC647" s="25" t="inlineStr">
        <is>
          <t>Open</t>
        </is>
      </c>
      <c r="AD647" s="25" t="inlineStr">
        <is>
          <t>2026-10-01</t>
        </is>
      </c>
      <c r="AE647" s="25" t="inlineStr">
        <is>
          <t>2027-03-15</t>
        </is>
      </c>
      <c r="AF647" s="25" t="inlineStr">
        <is>
          <t>No</t>
        </is>
      </c>
      <c r="AG647" s="28" t="inlineStr">
        <is>
          <t>https://math-info.u-paris.fr/</t>
        </is>
      </c>
      <c r="AH647" s="26" t="inlineStr">
        <is>
          <t>Minimum Niveau C1 de la langue française exigé. https://odf.u-paris.fr/fr/offre-de-formation/master-XB/sciences-technologies-sante-STS/informatique-K2NDIF4R//master-informatique-parcours-intelligence-artificielle-distrib</t>
        </is>
      </c>
      <c r="AI647" s="28" t="inlineStr">
        <is>
          <t>Open in EEF</t>
        </is>
      </c>
    </row>
    <row r="648" ht="32.8" customHeight="1" s="19">
      <c r="A648" s="25" t="n">
        <v>647</v>
      </c>
      <c r="B648" s="25" t="inlineStr">
        <is>
          <t>★★★☆☆</t>
        </is>
      </c>
      <c r="C648" s="25" t="inlineStr">
        <is>
          <t>3 – Adjacent (AI/data/CS/cyber/energy)</t>
        </is>
      </c>
      <c r="D648" s="25" t="inlineStr">
        <is>
          <t>AI / Data science</t>
        </is>
      </c>
      <c r="E648" s="26" t="inlineStr">
        <is>
          <t>Master indifférencié (recherche et professionnel) Sciences, Technologies, Santé mention Informatique parcours Intelligence artificielle et ingénierie informatique (NORD)</t>
        </is>
      </c>
      <c r="F648" s="26" t="inlineStr">
        <is>
          <t>Science, Technology, Health (STS) – major: Computer Science – track: Artificial Intelligence &amp; Engineering Computer Science (NORD)</t>
        </is>
      </c>
      <c r="G648" s="25" t="inlineStr">
        <is>
          <t>Master indifférencié (recherche et professionnel)</t>
        </is>
      </c>
      <c r="H648" s="25" t="inlineStr">
        <is>
          <t>UFR Sciences et Technologies</t>
        </is>
      </c>
      <c r="I648" s="25" t="inlineStr">
        <is>
          <t>Université de La Réunion</t>
        </is>
      </c>
      <c r="J648" s="25" t="inlineStr">
        <is>
          <t>Site de Saint-Denis</t>
        </is>
      </c>
      <c r="K648" s="25" t="inlineStr">
        <is>
          <t>92003</t>
        </is>
      </c>
      <c r="L648" s="25" t="inlineStr">
        <is>
          <t>Public university</t>
        </is>
      </c>
      <c r="M648" s="25" t="inlineStr">
        <is>
          <t>French</t>
        </is>
      </c>
      <c r="N648" s="25" t="inlineStr">
        <is>
          <t>General</t>
        </is>
      </c>
      <c r="O648" s="25" t="inlineStr">
        <is>
          <t>Bac +4 / Bac +5</t>
        </is>
      </c>
      <c r="P648" s="26" t="inlineStr">
        <is>
          <t>Eligible on level (4-yr BS ≈ Bac+4)</t>
        </is>
      </c>
      <c r="Q648" s="25" t="inlineStr">
        <is>
          <t>4/5</t>
        </is>
      </c>
      <c r="R648" s="25" t="inlineStr">
        <is>
          <t>12</t>
        </is>
      </c>
      <c r="S648" s="27" t="n">
        <v>3950</v>
      </c>
      <c r="T648" s="27" t="n">
        <v>255</v>
      </c>
      <c r="U648" s="25" t="n">
        <v>1</v>
      </c>
      <c r="V648" s="27">
        <f>IF(S648="","",S648*U648)</f>
        <v/>
      </c>
      <c r="W648" s="26" t="inlineStr">
        <is>
          <t>Not in catalogue. Public national master → 2026-27 differentiated fee €3,950; exemption to ~€254-255 depends on university quota (25% cap in 2027-28).</t>
        </is>
      </c>
      <c r="X648" s="25" t="inlineStr">
        <is>
          <t>Medium</t>
        </is>
      </c>
      <c r="Y648" s="25" t="n"/>
      <c r="Z648" s="26" t="inlineStr">
        <is>
          <t>en diplôme de Licence à 2 902,00 € + 105,00 € de contribution vie étudiante et de campus … en diplôme de Master à 3 950,00 € + 105,00 € de contribution vie étudiante et de campus Procéd</t>
        </is>
      </c>
      <c r="AA648" s="26" t="n"/>
      <c r="AB648" s="25" t="n"/>
      <c r="AC648" s="25" t="inlineStr">
        <is>
          <t>Open</t>
        </is>
      </c>
      <c r="AD648" s="25" t="inlineStr">
        <is>
          <t>2026-10-01</t>
        </is>
      </c>
      <c r="AE648" s="25" t="inlineStr">
        <is>
          <t>2027-03-15</t>
        </is>
      </c>
      <c r="AF648" s="25" t="inlineStr">
        <is>
          <t>No</t>
        </is>
      </c>
      <c r="AG648" s="28" t="inlineStr">
        <is>
          <t>https://sciences.univ-reunion.fr/</t>
        </is>
      </c>
      <c r="AH648" s="26" t="inlineStr">
        <is>
          <t>-L'étudiant devra à minima justifier d'un diplôme équivalent ou d'une expérience professionnelle ainsi que du niveau TCF B2 Obligatoire. -Etude du dossier de candidature par une commission pédagogique.</t>
        </is>
      </c>
      <c r="AI648" s="28" t="inlineStr">
        <is>
          <t>Open in EEF</t>
        </is>
      </c>
    </row>
    <row r="649" ht="22.35" customHeight="1" s="19">
      <c r="A649" s="25" t="n">
        <v>648</v>
      </c>
      <c r="B649" s="25" t="inlineStr">
        <is>
          <t>★★★☆☆</t>
        </is>
      </c>
      <c r="C649" s="25" t="inlineStr">
        <is>
          <t>3 – Adjacent (AI/data/CS/cyber/energy)</t>
        </is>
      </c>
      <c r="D649" s="25" t="inlineStr">
        <is>
          <t>AI / Data science</t>
        </is>
      </c>
      <c r="E649" s="26" t="inlineStr">
        <is>
          <t>Master indifférencié (recherche et professionnel) Sciences, technologies, santé mention informatique parcours Intelligence Artificielle Fondements et Application</t>
        </is>
      </c>
      <c r="F649" s="26" t="inlineStr">
        <is>
          <t>Science, Technology, Health (STS) – major: Computer Science – track: Artificial Intelligence Foundations &amp; Application</t>
        </is>
      </c>
      <c r="G649" s="25" t="inlineStr">
        <is>
          <t>Master indifférencié (recherche et professionnel)</t>
        </is>
      </c>
      <c r="H649" s="25" t="inlineStr">
        <is>
          <t>Faculté des Sciences et d'Ingénierie</t>
        </is>
      </c>
      <c r="I649" s="25" t="inlineStr">
        <is>
          <t>Université de Toulouse</t>
        </is>
      </c>
      <c r="J649" s="25" t="inlineStr">
        <is>
          <t>Site de Toulouse</t>
        </is>
      </c>
      <c r="K649" s="25" t="n"/>
      <c r="L649" s="25" t="inlineStr">
        <is>
          <t>Public university</t>
        </is>
      </c>
      <c r="M649" s="25" t="inlineStr">
        <is>
          <t>French</t>
        </is>
      </c>
      <c r="N649" s="25" t="inlineStr">
        <is>
          <t>General</t>
        </is>
      </c>
      <c r="O649" s="25" t="inlineStr">
        <is>
          <t>Bac +4 / Bac +5</t>
        </is>
      </c>
      <c r="P649" s="26" t="inlineStr">
        <is>
          <t>Eligible on level (4-yr BS ≈ Bac+4)</t>
        </is>
      </c>
      <c r="Q649" s="25" t="inlineStr">
        <is>
          <t>1/2</t>
        </is>
      </c>
      <c r="R649" s="25" t="n"/>
      <c r="S649" s="27" t="n">
        <v>3950</v>
      </c>
      <c r="T649" s="27" t="n">
        <v>255</v>
      </c>
      <c r="U649" s="25" t="n">
        <v>2</v>
      </c>
      <c r="V649" s="27">
        <f>IF(S649="","",S649*U649)</f>
        <v/>
      </c>
      <c r="W649" s="26" t="inlineStr">
        <is>
          <t>Not in catalogue. Public national master → 2026-27 differentiated fee €3,950; exemption to ~€254-255 depends on university quota (25% cap in 2027-28).</t>
        </is>
      </c>
      <c r="X649" s="25" t="inlineStr">
        <is>
          <t>Medium</t>
        </is>
      </c>
      <c r="Y649" s="25" t="n"/>
      <c r="Z649" s="26" t="n"/>
      <c r="AA649" s="26" t="inlineStr">
        <is>
          <t>Board decision (Feb 2026, pre-decree): partial exemption for ALL non-EU students subject to differentiated fees, until end of cycle. Re-check for 2027-28.</t>
        </is>
      </c>
      <c r="AB649" s="28" t="inlineStr">
        <is>
          <t>https://www.utoulouse.fr/medias/fichier/2026-02-ca-075_1774430647495-pdf</t>
        </is>
      </c>
      <c r="AC649" s="25" t="inlineStr">
        <is>
          <t>Open</t>
        </is>
      </c>
      <c r="AD649" s="25" t="inlineStr">
        <is>
          <t>2026-10-01</t>
        </is>
      </c>
      <c r="AE649" s="25" t="inlineStr">
        <is>
          <t>2027-03-15</t>
        </is>
      </c>
      <c r="AF649" s="25" t="inlineStr">
        <is>
          <t>No</t>
        </is>
      </c>
      <c r="AG649" s="28" t="inlineStr">
        <is>
          <t>http://www.univ-tlse3.fr/</t>
        </is>
      </c>
      <c r="AH649" s="26" t="inlineStr">
        <is>
          <t>https://www.univ-tlse3.fr/master-parcours-intelligence-artificielle-fondements-et-applications-iafa</t>
        </is>
      </c>
      <c r="AI649" s="28" t="inlineStr">
        <is>
          <t>Open in EEF</t>
        </is>
      </c>
    </row>
    <row r="650" ht="32.8" customHeight="1" s="19">
      <c r="A650" s="25" t="n">
        <v>649</v>
      </c>
      <c r="B650" s="25" t="inlineStr">
        <is>
          <t>★★★☆☆</t>
        </is>
      </c>
      <c r="C650" s="25" t="inlineStr">
        <is>
          <t>3 – Adjacent (AI/data/CS/cyber/energy)</t>
        </is>
      </c>
      <c r="D650" s="25" t="inlineStr">
        <is>
          <t>AI / Data science</t>
        </is>
      </c>
      <c r="E650" s="26" t="inlineStr">
        <is>
          <t>Master indifférencié (recherche et professionnel) Sciences, technologies, santé mention informatique parcours Intelligence Artificielle, sciences des données et santé</t>
        </is>
      </c>
      <c r="F650" s="26" t="inlineStr">
        <is>
          <t>Science, Technology, Health (STS) – major: Computer Science – track: Artificial Intelligence, Data Science &amp; Health</t>
        </is>
      </c>
      <c r="G650" s="25" t="inlineStr">
        <is>
          <t>Master indifférencié (recherche et professionnel)</t>
        </is>
      </c>
      <c r="H650" s="25" t="inlineStr">
        <is>
          <t>UFR DES SCIENCES (CAMPUS 2 - Portails Mathématiques, Informatique et Physique Chimie Ingénierie)</t>
        </is>
      </c>
      <c r="I650" s="25" t="inlineStr">
        <is>
          <t>Université Caen Normandie</t>
        </is>
      </c>
      <c r="J650" s="25" t="inlineStr">
        <is>
          <t>Site de Caen Campus 2</t>
        </is>
      </c>
      <c r="K650" s="25" t="n"/>
      <c r="L650" s="25" t="inlineStr">
        <is>
          <t>Public university</t>
        </is>
      </c>
      <c r="M650" s="25" t="inlineStr">
        <is>
          <t>n/a</t>
        </is>
      </c>
      <c r="N650" s="25" t="n"/>
      <c r="O650" s="25" t="inlineStr">
        <is>
          <t>Bac +4 / Bac +5</t>
        </is>
      </c>
      <c r="P650" s="26" t="inlineStr">
        <is>
          <t>Eligible on level (4-yr BS ≈ Bac+4)</t>
        </is>
      </c>
      <c r="Q650" s="25" t="n"/>
      <c r="R650" s="25" t="n"/>
      <c r="S650" s="27" t="n">
        <v>3950</v>
      </c>
      <c r="T650" s="27" t="n">
        <v>255</v>
      </c>
      <c r="U650" s="25" t="n">
        <v>1</v>
      </c>
      <c r="V650" s="27">
        <f>IF(S650="","",S650*U650)</f>
        <v/>
      </c>
      <c r="W650" s="26" t="inlineStr">
        <is>
          <t>Not in catalogue. Public national master → 2026-27 differentiated fee €3,950; exemption to ~€254-255 depends on university quota (25% cap in 2027-28).</t>
        </is>
      </c>
      <c r="X650" s="25" t="inlineStr">
        <is>
          <t>Medium</t>
        </is>
      </c>
      <c r="Y650" s="25" t="n"/>
      <c r="Z650" s="26" t="n"/>
      <c r="AA650" s="26" t="n"/>
      <c r="AB650" s="25" t="n"/>
      <c r="AC650" s="25" t="inlineStr">
        <is>
          <t>Closed</t>
        </is>
      </c>
      <c r="AD650" s="25" t="n"/>
      <c r="AE650" s="25" t="n"/>
      <c r="AF650" s="25" t="inlineStr">
        <is>
          <t>No</t>
        </is>
      </c>
      <c r="AG650" s="25" t="n"/>
      <c r="AH650" s="26" t="n"/>
      <c r="AI650" s="28" t="inlineStr">
        <is>
          <t>Open in EEF</t>
        </is>
      </c>
    </row>
    <row r="651" ht="22.35" customHeight="1" s="19">
      <c r="A651" s="25" t="n">
        <v>650</v>
      </c>
      <c r="B651" s="25" t="inlineStr">
        <is>
          <t>★★★☆☆</t>
        </is>
      </c>
      <c r="C651" s="25" t="inlineStr">
        <is>
          <t>3 – Adjacent (AI/data/CS/cyber/energy)</t>
        </is>
      </c>
      <c r="D651" s="25" t="inlineStr">
        <is>
          <t>Computer science / Software</t>
        </is>
      </c>
      <c r="E651" s="26" t="inlineStr">
        <is>
          <t>Master indifférencié (recherche et professionnel) Sciences, technologies, santé mention informatique parcours Interaction homme machine</t>
        </is>
      </c>
      <c r="F651" s="26" t="inlineStr">
        <is>
          <t>Science, Technology, Health (STS) – major: Computer Science – track: Interaction homme machine</t>
        </is>
      </c>
      <c r="G651" s="25" t="inlineStr">
        <is>
          <t>Master indifférencié (recherche et professionnel)</t>
        </is>
      </c>
      <c r="H651" s="25" t="inlineStr">
        <is>
          <t>Faculté des Sciences et d'Ingénierie</t>
        </is>
      </c>
      <c r="I651" s="25" t="inlineStr">
        <is>
          <t>Université de Toulouse</t>
        </is>
      </c>
      <c r="J651" s="25" t="inlineStr">
        <is>
          <t>Site de Toulouse</t>
        </is>
      </c>
      <c r="K651" s="25" t="n"/>
      <c r="L651" s="25" t="inlineStr">
        <is>
          <t>Public university</t>
        </is>
      </c>
      <c r="M651" s="25" t="inlineStr">
        <is>
          <t>French</t>
        </is>
      </c>
      <c r="N651" s="25" t="inlineStr">
        <is>
          <t>General</t>
        </is>
      </c>
      <c r="O651" s="25" t="inlineStr">
        <is>
          <t>Bac +4 / Bac +5</t>
        </is>
      </c>
      <c r="P651" s="26" t="inlineStr">
        <is>
          <t>Eligible on level (4-yr BS ≈ Bac+4)</t>
        </is>
      </c>
      <c r="Q651" s="25" t="inlineStr">
        <is>
          <t>1/2</t>
        </is>
      </c>
      <c r="R651" s="25" t="n"/>
      <c r="S651" s="27" t="n">
        <v>3950</v>
      </c>
      <c r="T651" s="27" t="n">
        <v>255</v>
      </c>
      <c r="U651" s="25" t="n">
        <v>2</v>
      </c>
      <c r="V651" s="27">
        <f>IF(S651="","",S651*U651)</f>
        <v/>
      </c>
      <c r="W651" s="26" t="inlineStr">
        <is>
          <t>Not in catalogue. Public national master → 2026-27 differentiated fee €3,950; exemption to ~€254-255 depends on university quota (25% cap in 2027-28).</t>
        </is>
      </c>
      <c r="X651" s="25" t="inlineStr">
        <is>
          <t>Medium</t>
        </is>
      </c>
      <c r="Y651" s="25" t="n"/>
      <c r="Z651" s="26" t="n"/>
      <c r="AA651" s="26" t="inlineStr">
        <is>
          <t>Board decision (Feb 2026, pre-decree): partial exemption for ALL non-EU students subject to differentiated fees, until end of cycle. Re-check for 2027-28.</t>
        </is>
      </c>
      <c r="AB651" s="28" t="inlineStr">
        <is>
          <t>https://www.utoulouse.fr/medias/fichier/2026-02-ca-075_1774430647495-pdf</t>
        </is>
      </c>
      <c r="AC651" s="25" t="inlineStr">
        <is>
          <t>Open</t>
        </is>
      </c>
      <c r="AD651" s="25" t="inlineStr">
        <is>
          <t>2026-10-01</t>
        </is>
      </c>
      <c r="AE651" s="25" t="inlineStr">
        <is>
          <t>2027-03-15</t>
        </is>
      </c>
      <c r="AF651" s="25" t="inlineStr">
        <is>
          <t>No</t>
        </is>
      </c>
      <c r="AG651" s="28" t="inlineStr">
        <is>
          <t>http://www.univ-tlse3.fr/</t>
        </is>
      </c>
      <c r="AH651" s="26" t="inlineStr">
        <is>
          <t>https://www.univ-tlse3.fr/master-parcours-interaction-homme-machine-ihm</t>
        </is>
      </c>
      <c r="AI651" s="28" t="inlineStr">
        <is>
          <t>Open in EEF</t>
        </is>
      </c>
    </row>
    <row r="652" ht="32.8" customHeight="1" s="19">
      <c r="A652" s="25" t="n">
        <v>651</v>
      </c>
      <c r="B652" s="25" t="inlineStr">
        <is>
          <t>★★★☆☆</t>
        </is>
      </c>
      <c r="C652" s="25" t="inlineStr">
        <is>
          <t>3 – Adjacent (AI/data/CS/cyber/energy)</t>
        </is>
      </c>
      <c r="D652" s="25" t="inlineStr">
        <is>
          <t>AI / Data science</t>
        </is>
      </c>
      <c r="E652" s="26" t="inlineStr">
        <is>
          <t>Master indifférencié (recherche et professionnel) Sciences, technologies, santé mention informatique parcours Machine learning, INtelligence artificielle et Données (MIND)</t>
        </is>
      </c>
      <c r="F652" s="26" t="inlineStr">
        <is>
          <t>Science, Technology, Health (STS) – major: Computer Science – track: Machine learning, Artificial Intelligence &amp; Data (MIND)</t>
        </is>
      </c>
      <c r="G652" s="25" t="inlineStr">
        <is>
          <t>Master indifférencié (recherche et professionnel)</t>
        </is>
      </c>
      <c r="H652" s="25" t="inlineStr">
        <is>
          <t>Sciences et Ingénierie</t>
        </is>
      </c>
      <c r="I652" s="25" t="inlineStr">
        <is>
          <t>Sorbonne Université</t>
        </is>
      </c>
      <c r="J652" s="25" t="inlineStr">
        <is>
          <t>Site de Paris</t>
        </is>
      </c>
      <c r="K652" s="25" t="n"/>
      <c r="L652" s="25" t="inlineStr">
        <is>
          <t>Public university</t>
        </is>
      </c>
      <c r="M652" s="25" t="inlineStr">
        <is>
          <t>French</t>
        </is>
      </c>
      <c r="N652" s="25" t="inlineStr">
        <is>
          <t>General</t>
        </is>
      </c>
      <c r="O652" s="25" t="inlineStr">
        <is>
          <t>Bac +4 / Bac +5</t>
        </is>
      </c>
      <c r="P652" s="26" t="inlineStr">
        <is>
          <t>Eligible on level (4-yr BS ≈ Bac+4)</t>
        </is>
      </c>
      <c r="Q652" s="25" t="inlineStr">
        <is>
          <t>1/2</t>
        </is>
      </c>
      <c r="R652" s="25" t="n"/>
      <c r="S652" s="27" t="n">
        <v>3950</v>
      </c>
      <c r="T652" s="27" t="n">
        <v>255</v>
      </c>
      <c r="U652" s="25" t="n">
        <v>2</v>
      </c>
      <c r="V652" s="27">
        <f>IF(S652="","",S652*U652)</f>
        <v/>
      </c>
      <c r="W652" s="26" t="inlineStr">
        <is>
          <t>Not in catalogue. Public national master → 2026-27 differentiated fee €3,950; exemption to ~€254-255 depends on university quota (25% cap in 2027-28).</t>
        </is>
      </c>
      <c r="X652" s="25" t="inlineStr">
        <is>
          <t>Medium</t>
        </is>
      </c>
      <c r="Y652" s="25" t="n"/>
      <c r="Z652" s="26" t="n"/>
      <c r="AA652" s="26" t="inlineStr">
        <is>
          <t>Board vote 7 Jul 2026: Sorbonne Université says it can exempt all eligible non-EU applicants (pay same as EU, ~€254) for 2026-27.</t>
        </is>
      </c>
      <c r="AB652" s="28" t="inlineStr">
        <is>
          <t>https://www.sorbonne-universite.fr/actualites/le-conseil-dadministration-de-sorbonne-universite-vote-lunanimite-le-7-juillet-2026-sa</t>
        </is>
      </c>
      <c r="AC652" s="25" t="inlineStr">
        <is>
          <t>Open</t>
        </is>
      </c>
      <c r="AD652" s="25" t="inlineStr">
        <is>
          <t>2026-10-01</t>
        </is>
      </c>
      <c r="AE652" s="25" t="inlineStr">
        <is>
          <t>2027-03-15</t>
        </is>
      </c>
      <c r="AF652" s="25" t="inlineStr">
        <is>
          <t>No</t>
        </is>
      </c>
      <c r="AG652" s="28" t="inlineStr">
        <is>
          <t>https://sciences.sorbonne-universite.fr/formation-sciences/masters/master-informatique/parcours-mind</t>
        </is>
      </c>
      <c r="AH652" s="26" t="inlineStr">
        <is>
          <t>OUI</t>
        </is>
      </c>
      <c r="AI652" s="28" t="inlineStr">
        <is>
          <t>Open in EEF</t>
        </is>
      </c>
    </row>
    <row r="653" ht="22.35" customHeight="1" s="19">
      <c r="A653" s="25" t="n">
        <v>652</v>
      </c>
      <c r="B653" s="25" t="inlineStr">
        <is>
          <t>★★★☆☆</t>
        </is>
      </c>
      <c r="C653" s="25" t="inlineStr">
        <is>
          <t>3 – Adjacent (AI/data/CS/cyber/energy)</t>
        </is>
      </c>
      <c r="D653" s="25" t="inlineStr">
        <is>
          <t>Computer science / Software</t>
        </is>
      </c>
      <c r="E653" s="26" t="inlineStr">
        <is>
          <t>Master indifférencié (recherche et professionnel) Sciences, technologies, santé mention informatique parcours Sciences du Logiciel</t>
        </is>
      </c>
      <c r="F653" s="26" t="inlineStr">
        <is>
          <t>Science, Technology, Health (STS) – major: Computer Science – track: Sciences of Software</t>
        </is>
      </c>
      <c r="G653" s="25" t="inlineStr">
        <is>
          <t>Master indifférencié (recherche et professionnel)</t>
        </is>
      </c>
      <c r="H653" s="25" t="inlineStr">
        <is>
          <t>Faculté des Sciences et d'Ingénierie</t>
        </is>
      </c>
      <c r="I653" s="25" t="inlineStr">
        <is>
          <t>Université de Toulouse</t>
        </is>
      </c>
      <c r="J653" s="25" t="inlineStr">
        <is>
          <t>Site de Toulouse</t>
        </is>
      </c>
      <c r="K653" s="25" t="n"/>
      <c r="L653" s="25" t="inlineStr">
        <is>
          <t>Public university</t>
        </is>
      </c>
      <c r="M653" s="25" t="inlineStr">
        <is>
          <t>French</t>
        </is>
      </c>
      <c r="N653" s="25" t="inlineStr">
        <is>
          <t>General</t>
        </is>
      </c>
      <c r="O653" s="25" t="inlineStr">
        <is>
          <t>Bac +4 / Bac +5</t>
        </is>
      </c>
      <c r="P653" s="26" t="inlineStr">
        <is>
          <t>Eligible on level (4-yr BS ≈ Bac+4)</t>
        </is>
      </c>
      <c r="Q653" s="25" t="inlineStr">
        <is>
          <t>1/2</t>
        </is>
      </c>
      <c r="R653" s="25" t="n"/>
      <c r="S653" s="27" t="n">
        <v>3950</v>
      </c>
      <c r="T653" s="27" t="n">
        <v>255</v>
      </c>
      <c r="U653" s="25" t="n">
        <v>2</v>
      </c>
      <c r="V653" s="27">
        <f>IF(S653="","",S653*U653)</f>
        <v/>
      </c>
      <c r="W653" s="26" t="inlineStr">
        <is>
          <t>Not in catalogue. Public national master → 2026-27 differentiated fee €3,950; exemption to ~€254-255 depends on university quota (25% cap in 2027-28).</t>
        </is>
      </c>
      <c r="X653" s="25" t="inlineStr">
        <is>
          <t>Medium</t>
        </is>
      </c>
      <c r="Y653" s="25" t="n"/>
      <c r="Z653" s="26" t="n"/>
      <c r="AA653" s="26" t="inlineStr">
        <is>
          <t>Board decision (Feb 2026, pre-decree): partial exemption for ALL non-EU students subject to differentiated fees, until end of cycle. Re-check for 2027-28.</t>
        </is>
      </c>
      <c r="AB653" s="28" t="inlineStr">
        <is>
          <t>https://www.utoulouse.fr/medias/fichier/2026-02-ca-075_1774430647495-pdf</t>
        </is>
      </c>
      <c r="AC653" s="25" t="inlineStr">
        <is>
          <t>Open</t>
        </is>
      </c>
      <c r="AD653" s="25" t="inlineStr">
        <is>
          <t>2026-10-01</t>
        </is>
      </c>
      <c r="AE653" s="25" t="inlineStr">
        <is>
          <t>2027-03-15</t>
        </is>
      </c>
      <c r="AF653" s="25" t="inlineStr">
        <is>
          <t>No</t>
        </is>
      </c>
      <c r="AG653" s="28" t="inlineStr">
        <is>
          <t>http://www.univ-tlse3.fr/</t>
        </is>
      </c>
      <c r="AH653" s="26" t="inlineStr">
        <is>
          <t>https://www.univ-tlse3.fr/master-parcours-sciences-du-logiciel-sdl</t>
        </is>
      </c>
      <c r="AI653" s="28" t="inlineStr">
        <is>
          <t>Open in EEF</t>
        </is>
      </c>
    </row>
    <row r="654" ht="22.35" customHeight="1" s="19">
      <c r="A654" s="25" t="n">
        <v>653</v>
      </c>
      <c r="B654" s="25" t="inlineStr">
        <is>
          <t>★★★☆☆</t>
        </is>
      </c>
      <c r="C654" s="25" t="inlineStr">
        <is>
          <t>3 – Adjacent (AI/data/CS/cyber/energy)</t>
        </is>
      </c>
      <c r="D654" s="25" t="inlineStr">
        <is>
          <t>Computer science / Software</t>
        </is>
      </c>
      <c r="E654" s="26" t="inlineStr">
        <is>
          <t>Master indifférencié (recherche et professionnel) Sciences, technologies, santé mention informatique parcours Sciences et technologies du logiciel (STL)</t>
        </is>
      </c>
      <c r="F654" s="26" t="inlineStr">
        <is>
          <t>Science, Technology, Health (STS) – major: Computer Science – track: Science &amp; Technology of Software (STL)</t>
        </is>
      </c>
      <c r="G654" s="25" t="inlineStr">
        <is>
          <t>Master indifférencié (recherche et professionnel)</t>
        </is>
      </c>
      <c r="H654" s="25" t="inlineStr">
        <is>
          <t>Sciences et Ingénierie</t>
        </is>
      </c>
      <c r="I654" s="25" t="inlineStr">
        <is>
          <t>Sorbonne Université</t>
        </is>
      </c>
      <c r="J654" s="25" t="inlineStr">
        <is>
          <t>Site de Paris</t>
        </is>
      </c>
      <c r="K654" s="25" t="n"/>
      <c r="L654" s="25" t="inlineStr">
        <is>
          <t>Public university</t>
        </is>
      </c>
      <c r="M654" s="25" t="inlineStr">
        <is>
          <t>French</t>
        </is>
      </c>
      <c r="N654" s="25" t="inlineStr">
        <is>
          <t>General</t>
        </is>
      </c>
      <c r="O654" s="25" t="inlineStr">
        <is>
          <t>Bac +4 / Bac +5</t>
        </is>
      </c>
      <c r="P654" s="26" t="inlineStr">
        <is>
          <t>Eligible on level (4-yr BS ≈ Bac+4)</t>
        </is>
      </c>
      <c r="Q654" s="25" t="inlineStr">
        <is>
          <t>1/2</t>
        </is>
      </c>
      <c r="R654" s="25" t="n"/>
      <c r="S654" s="27" t="n">
        <v>3950</v>
      </c>
      <c r="T654" s="27" t="n">
        <v>255</v>
      </c>
      <c r="U654" s="25" t="n">
        <v>2</v>
      </c>
      <c r="V654" s="27">
        <f>IF(S654="","",S654*U654)</f>
        <v/>
      </c>
      <c r="W654" s="26" t="inlineStr">
        <is>
          <t>Not in catalogue. Public national master → 2026-27 differentiated fee €3,950; exemption to ~€254-255 depends on university quota (25% cap in 2027-28).</t>
        </is>
      </c>
      <c r="X654" s="25" t="inlineStr">
        <is>
          <t>Medium</t>
        </is>
      </c>
      <c r="Y654" s="25" t="n"/>
      <c r="Z654" s="26" t="n"/>
      <c r="AA654" s="26" t="inlineStr">
        <is>
          <t>Board vote 7 Jul 2026: Sorbonne Université says it can exempt all eligible non-EU applicants (pay same as EU, ~€254) for 2026-27.</t>
        </is>
      </c>
      <c r="AB654" s="28" t="inlineStr">
        <is>
          <t>https://www.sorbonne-universite.fr/actualites/le-conseil-dadministration-de-sorbonne-universite-vote-lunanimite-le-7-juillet-2026-sa</t>
        </is>
      </c>
      <c r="AC654" s="25" t="inlineStr">
        <is>
          <t>Open</t>
        </is>
      </c>
      <c r="AD654" s="25" t="inlineStr">
        <is>
          <t>2026-10-01</t>
        </is>
      </c>
      <c r="AE654" s="25" t="inlineStr">
        <is>
          <t>2027-03-15</t>
        </is>
      </c>
      <c r="AF654" s="25" t="inlineStr">
        <is>
          <t>No</t>
        </is>
      </c>
      <c r="AG654" s="28" t="inlineStr">
        <is>
          <t>https://sciences.sorbonne-universite.fr/formation-sciences/masters/master-informatique/parcours-stl</t>
        </is>
      </c>
      <c r="AH654" s="26" t="inlineStr">
        <is>
          <t>OUI</t>
        </is>
      </c>
      <c r="AI654" s="28" t="inlineStr">
        <is>
          <t>Open in EEF</t>
        </is>
      </c>
    </row>
    <row r="655" ht="32.8" customHeight="1" s="19">
      <c r="A655" s="25" t="n">
        <v>654</v>
      </c>
      <c r="B655" s="25" t="inlineStr">
        <is>
          <t>★★★☆☆</t>
        </is>
      </c>
      <c r="C655" s="25" t="inlineStr">
        <is>
          <t>3 – Adjacent (AI/data/CS/cyber/energy)</t>
        </is>
      </c>
      <c r="D655" s="25" t="inlineStr">
        <is>
          <t>Computer science / Software</t>
        </is>
      </c>
      <c r="E655" s="26" t="inlineStr">
        <is>
          <t>Master indifférencié (recherche et professionnel) Sciences, technologies, santé mention informatique parcours système d'information et d'aide à la décision</t>
        </is>
      </c>
      <c r="F655" s="26" t="inlineStr">
        <is>
          <t>Science, Technology, Health (STS) – major: Computer Science – track: System Information &amp; d'Decision Support</t>
        </is>
      </c>
      <c r="G655" s="25" t="inlineStr">
        <is>
          <t>Master indifférencié (recherche et professionnel)</t>
        </is>
      </c>
      <c r="H655" s="25" t="inlineStr">
        <is>
          <t>ISIMA</t>
        </is>
      </c>
      <c r="I655" s="25" t="inlineStr">
        <is>
          <t>Université Clermont Auvergne</t>
        </is>
      </c>
      <c r="J655" s="25" t="inlineStr">
        <is>
          <t>Site de Aubière</t>
        </is>
      </c>
      <c r="K655" s="25" t="n"/>
      <c r="L655" s="25" t="inlineStr">
        <is>
          <t>Public university</t>
        </is>
      </c>
      <c r="M655" s="25" t="inlineStr">
        <is>
          <t>French</t>
        </is>
      </c>
      <c r="N655" s="25" t="inlineStr">
        <is>
          <t>General</t>
        </is>
      </c>
      <c r="O655" s="25" t="inlineStr">
        <is>
          <t>Bac +4 / Bac +5</t>
        </is>
      </c>
      <c r="P655" s="26" t="inlineStr">
        <is>
          <t>Eligible on level (4-yr BS ≈ Bac+4)</t>
        </is>
      </c>
      <c r="Q655" s="25" t="inlineStr">
        <is>
          <t>1/2</t>
        </is>
      </c>
      <c r="R655" s="25" t="n"/>
      <c r="S655" s="27" t="n">
        <v>3950</v>
      </c>
      <c r="T655" s="27" t="n">
        <v>255</v>
      </c>
      <c r="U655" s="25" t="n">
        <v>2</v>
      </c>
      <c r="V655" s="27">
        <f>IF(S655="","",S655*U655)</f>
        <v/>
      </c>
      <c r="W655" s="26" t="inlineStr">
        <is>
          <t>Not in catalogue. Public national master → 2026-27 differentiated fee €3,950; exemption to ~€254-255 depends on university quota (25% cap in 2027-28).</t>
        </is>
      </c>
      <c r="X655" s="25" t="inlineStr">
        <is>
          <t>Medium</t>
        </is>
      </c>
      <c r="Y655" s="25" t="n"/>
      <c r="Z655" s="26" t="n"/>
      <c r="AA655" s="26" t="inlineStr">
        <is>
          <t>UCA board (Dec 2025) kept its partial-exemption framework for 2026-27 (pre-decree; re-check).</t>
        </is>
      </c>
      <c r="AB655" s="28" t="inlineStr">
        <is>
          <t>https://www.uca.fr/medias/fichier/delib-ca-20251205-15-tarifs-differencies_1765204050111-pdf</t>
        </is>
      </c>
      <c r="AC655" s="25" t="inlineStr">
        <is>
          <t>Open</t>
        </is>
      </c>
      <c r="AD655" s="25" t="inlineStr">
        <is>
          <t>2026-10-01</t>
        </is>
      </c>
      <c r="AE655" s="25" t="inlineStr">
        <is>
          <t>2027-03-15</t>
        </is>
      </c>
      <c r="AF655" s="25" t="inlineStr">
        <is>
          <t>No</t>
        </is>
      </c>
      <c r="AG655" s="28" t="inlineStr">
        <is>
          <t>https://www.uca.fr/formation/nos-formations/catalogue-des-formations/master-info</t>
        </is>
      </c>
      <c r="AH655" s="26" t="inlineStr">
        <is>
          <t>M1 Informatique ou équivalent (doctorants et ingénieurs pour les étudiants étrangers) pour l'admission en M2. Un test est recommandé seulement en français avec un niveau B2. Capacité d'accueil limitée à 15 places. https:</t>
        </is>
      </c>
      <c r="AI655" s="28" t="inlineStr">
        <is>
          <t>Open in EEF</t>
        </is>
      </c>
    </row>
    <row r="656" ht="22.35" customHeight="1" s="19">
      <c r="A656" s="25" t="n">
        <v>655</v>
      </c>
      <c r="B656" s="25" t="inlineStr">
        <is>
          <t>★★★☆☆</t>
        </is>
      </c>
      <c r="C656" s="25" t="inlineStr">
        <is>
          <t>3 – Adjacent (AI/data/CS/cyber/energy)</t>
        </is>
      </c>
      <c r="D656" s="25" t="inlineStr">
        <is>
          <t>Computer science / Software</t>
        </is>
      </c>
      <c r="E656" s="26" t="inlineStr">
        <is>
          <t>Master indifférencié (recherche et professionnel) Sciences, technologies, santé mention informatique parcours Systèmes et applications répartis (SAR)</t>
        </is>
      </c>
      <c r="F656" s="26" t="inlineStr">
        <is>
          <t>Science, Technology, Health (STS) – major: Computer Science – track: Systems &amp; Applications répartis (SAR)</t>
        </is>
      </c>
      <c r="G656" s="25" t="inlineStr">
        <is>
          <t>Master indifférencié (recherche et professionnel)</t>
        </is>
      </c>
      <c r="H656" s="25" t="inlineStr">
        <is>
          <t>Sciences et Ingénierie</t>
        </is>
      </c>
      <c r="I656" s="25" t="inlineStr">
        <is>
          <t>Sorbonne Université</t>
        </is>
      </c>
      <c r="J656" s="25" t="inlineStr">
        <is>
          <t>Site de Paris</t>
        </is>
      </c>
      <c r="K656" s="25" t="n"/>
      <c r="L656" s="25" t="inlineStr">
        <is>
          <t>Public university</t>
        </is>
      </c>
      <c r="M656" s="25" t="inlineStr">
        <is>
          <t>French</t>
        </is>
      </c>
      <c r="N656" s="25" t="inlineStr">
        <is>
          <t>General</t>
        </is>
      </c>
      <c r="O656" s="25" t="inlineStr">
        <is>
          <t>Bac +4 / Bac +5</t>
        </is>
      </c>
      <c r="P656" s="26" t="inlineStr">
        <is>
          <t>Eligible on level (4-yr BS ≈ Bac+4)</t>
        </is>
      </c>
      <c r="Q656" s="25" t="inlineStr">
        <is>
          <t>1/2</t>
        </is>
      </c>
      <c r="R656" s="25" t="n"/>
      <c r="S656" s="27" t="n">
        <v>3950</v>
      </c>
      <c r="T656" s="27" t="n">
        <v>255</v>
      </c>
      <c r="U656" s="25" t="n">
        <v>2</v>
      </c>
      <c r="V656" s="27">
        <f>IF(S656="","",S656*U656)</f>
        <v/>
      </c>
      <c r="W656" s="26" t="inlineStr">
        <is>
          <t>Not in catalogue. Public national master → 2026-27 differentiated fee €3,950; exemption to ~€254-255 depends on university quota (25% cap in 2027-28).</t>
        </is>
      </c>
      <c r="X656" s="25" t="inlineStr">
        <is>
          <t>Medium</t>
        </is>
      </c>
      <c r="Y656" s="25" t="n"/>
      <c r="Z656" s="26" t="n"/>
      <c r="AA656" s="26" t="inlineStr">
        <is>
          <t>Board vote 7 Jul 2026: Sorbonne Université says it can exempt all eligible non-EU applicants (pay same as EU, ~€254) for 2026-27.</t>
        </is>
      </c>
      <c r="AB656" s="28" t="inlineStr">
        <is>
          <t>https://www.sorbonne-universite.fr/actualites/le-conseil-dadministration-de-sorbonne-universite-vote-lunanimite-le-7-juillet-2026-sa</t>
        </is>
      </c>
      <c r="AC656" s="25" t="inlineStr">
        <is>
          <t>Open</t>
        </is>
      </c>
      <c r="AD656" s="25" t="inlineStr">
        <is>
          <t>2026-10-01</t>
        </is>
      </c>
      <c r="AE656" s="25" t="inlineStr">
        <is>
          <t>2027-03-15</t>
        </is>
      </c>
      <c r="AF656" s="25" t="inlineStr">
        <is>
          <t>No</t>
        </is>
      </c>
      <c r="AG656" s="28" t="inlineStr">
        <is>
          <t>https://sciences.sorbonne-universite.fr/formation-sciences/masters/master-informatique/parcours-sar</t>
        </is>
      </c>
      <c r="AH656" s="26" t="inlineStr">
        <is>
          <t>OUI</t>
        </is>
      </c>
      <c r="AI656" s="28" t="inlineStr">
        <is>
          <t>Open in EEF</t>
        </is>
      </c>
    </row>
    <row r="657" ht="32.8" customHeight="1" s="19">
      <c r="A657" s="25" t="n">
        <v>656</v>
      </c>
      <c r="B657" s="25" t="inlineStr">
        <is>
          <t>★★★☆☆</t>
        </is>
      </c>
      <c r="C657" s="25" t="inlineStr">
        <is>
          <t>3 – Adjacent (AI/data/CS/cyber/energy)</t>
        </is>
      </c>
      <c r="D657" s="25" t="inlineStr">
        <is>
          <t>AI / Data science</t>
        </is>
      </c>
      <c r="E657" s="26" t="inlineStr">
        <is>
          <t>Master indifférencié (recherche et professionnel) Sciences, technologies, santé mention Mathématiques et Applications parcours Ingénierie mathématique et Data Science</t>
        </is>
      </c>
      <c r="F657" s="26" t="inlineStr">
        <is>
          <t>Science, Technology, Health (STS) – major: Mathematics &amp; Applications – track: Engineering Mathematical &amp; Data Science</t>
        </is>
      </c>
      <c r="G657" s="25" t="inlineStr">
        <is>
          <t>Master indifférencié (recherche et professionnel)</t>
        </is>
      </c>
      <c r="H657" s="25" t="inlineStr">
        <is>
          <t>Faculté des sciences et techniques</t>
        </is>
      </c>
      <c r="I657" s="25" t="inlineStr">
        <is>
          <t>Université de Haute Alsace Mulhouse</t>
        </is>
      </c>
      <c r="J657" s="25" t="inlineStr">
        <is>
          <t>Site de Mulhouse</t>
        </is>
      </c>
      <c r="K657" s="25" t="n"/>
      <c r="L657" s="25" t="inlineStr">
        <is>
          <t>Public university</t>
        </is>
      </c>
      <c r="M657" s="25" t="inlineStr">
        <is>
          <t>French</t>
        </is>
      </c>
      <c r="N657" s="25" t="inlineStr">
        <is>
          <t>General</t>
        </is>
      </c>
      <c r="O657" s="25" t="inlineStr">
        <is>
          <t>Bac +4</t>
        </is>
      </c>
      <c r="P657" s="26" t="inlineStr">
        <is>
          <t>Eligible on level (4-yr BS ≈ Bac+4)</t>
        </is>
      </c>
      <c r="Q657" s="25" t="inlineStr">
        <is>
          <t>1</t>
        </is>
      </c>
      <c r="R657" s="25" t="n"/>
      <c r="S657" s="27" t="n">
        <v>3950</v>
      </c>
      <c r="T657" s="27" t="n">
        <v>255</v>
      </c>
      <c r="U657" s="25" t="n">
        <v>2</v>
      </c>
      <c r="V657" s="27">
        <f>IF(S657="","",S657*U657)</f>
        <v/>
      </c>
      <c r="W657" s="26" t="inlineStr">
        <is>
          <t>Not in catalogue. Public national master → 2026-27 differentiated fee €3,950; exemption to ~€254-255 depends on university quota (25% cap in 2027-28).</t>
        </is>
      </c>
      <c r="X657" s="25" t="inlineStr">
        <is>
          <t>Medium</t>
        </is>
      </c>
      <c r="Y657" s="25" t="n"/>
      <c r="Z657" s="26" t="n"/>
      <c r="AA657" s="26" t="n"/>
      <c r="AB657" s="25" t="n"/>
      <c r="AC657" s="25" t="inlineStr">
        <is>
          <t>Open</t>
        </is>
      </c>
      <c r="AD657" s="25" t="inlineStr">
        <is>
          <t>2026-10-01</t>
        </is>
      </c>
      <c r="AE657" s="25" t="inlineStr">
        <is>
          <t>2027-03-15</t>
        </is>
      </c>
      <c r="AF657" s="25" t="inlineStr">
        <is>
          <t>No</t>
        </is>
      </c>
      <c r="AG657" s="28" t="inlineStr">
        <is>
          <t>http://www.fst.uha.fr</t>
        </is>
      </c>
      <c r="AH657" s="26" t="inlineStr">
        <is>
          <t>* TCF Niveau B2 minimum * BAC + 4 en cours ou déjà validé * Un échange par visio/téléphone peut être proposé au candidat NB : des dossiers vérifiant toutes les conditions prérequises pourront, le cas échéant, être refusé</t>
        </is>
      </c>
      <c r="AI657" s="28" t="inlineStr">
        <is>
          <t>Open in EEF</t>
        </is>
      </c>
    </row>
    <row r="658" ht="32.8" customHeight="1" s="19">
      <c r="A658" s="25" t="n">
        <v>657</v>
      </c>
      <c r="B658" s="25" t="inlineStr">
        <is>
          <t>★★★☆☆</t>
        </is>
      </c>
      <c r="C658" s="25" t="inlineStr">
        <is>
          <t>3 – Adjacent (AI/data/CS/cyber/energy)</t>
        </is>
      </c>
      <c r="D658" s="25" t="inlineStr">
        <is>
          <t>AI / Data science</t>
        </is>
      </c>
      <c r="E658" s="26" t="inlineStr">
        <is>
          <t>Master indifférencié (recherche et professionnel) Sciences, technologies, santé mention mathématiques parcours STATISTIQUE ET SCIENCE DES DONNEES (SSD)</t>
        </is>
      </c>
      <c r="F658" s="26" t="inlineStr">
        <is>
          <t>Science, Technology, Health (STS) – major: Mathematics – track: Statistics &amp; Data Science (SSD)</t>
        </is>
      </c>
      <c r="G658" s="25" t="inlineStr">
        <is>
          <t>Master indifférencié (recherche et professionnel)</t>
        </is>
      </c>
      <c r="H658" s="25" t="inlineStr">
        <is>
          <t>UFR des Sciences de Montpellier</t>
        </is>
      </c>
      <c r="I658" s="25" t="inlineStr">
        <is>
          <t>Université de Montpellier</t>
        </is>
      </c>
      <c r="J658" s="25" t="inlineStr">
        <is>
          <t>Site de Montpellier</t>
        </is>
      </c>
      <c r="K658" s="25" t="n"/>
      <c r="L658" s="25" t="inlineStr">
        <is>
          <t>Public university</t>
        </is>
      </c>
      <c r="M658" s="25" t="inlineStr">
        <is>
          <t>French</t>
        </is>
      </c>
      <c r="N658" s="25" t="inlineStr">
        <is>
          <t>General</t>
        </is>
      </c>
      <c r="O658" s="25" t="inlineStr">
        <is>
          <t>Bac +4</t>
        </is>
      </c>
      <c r="P658" s="26" t="inlineStr">
        <is>
          <t>Eligible on level (4-yr BS ≈ Bac+4)</t>
        </is>
      </c>
      <c r="Q658" s="25" t="inlineStr">
        <is>
          <t>1</t>
        </is>
      </c>
      <c r="R658" s="25" t="n"/>
      <c r="S658" s="27" t="n">
        <v>3950</v>
      </c>
      <c r="T658" s="27" t="n">
        <v>255</v>
      </c>
      <c r="U658" s="25" t="n">
        <v>2</v>
      </c>
      <c r="V658" s="27">
        <f>IF(S658="","",S658*U658)</f>
        <v/>
      </c>
      <c r="W658" s="26" t="inlineStr">
        <is>
          <t>Not in catalogue. Public national master → 2026-27 differentiated fee €3,950; exemption to ~€254-255 depends on university quota (25% cap in 2027-28).</t>
        </is>
      </c>
      <c r="X658" s="25" t="inlineStr">
        <is>
          <t>Medium</t>
        </is>
      </c>
      <c r="Y658" s="25" t="n"/>
      <c r="Z658" s="26" t="n"/>
      <c r="AA658" s="26" t="inlineStr">
        <is>
          <t>Montpellier 2026-27: new non-EU entrants pay the differentiated fee unless individual exemption (limited).</t>
        </is>
      </c>
      <c r="AB658" s="28" t="inlineStr">
        <is>
          <t>https://www.umontpellier.fr/en/international/etudier-a-letranger/etudiants-internationaux-annee-universitaire-2026-2027/</t>
        </is>
      </c>
      <c r="AC658" s="25" t="inlineStr">
        <is>
          <t>Open</t>
        </is>
      </c>
      <c r="AD658" s="25" t="inlineStr">
        <is>
          <t>2026-10-01</t>
        </is>
      </c>
      <c r="AE658" s="25" t="inlineStr">
        <is>
          <t>2027-03-15</t>
        </is>
      </c>
      <c r="AF658" s="25" t="inlineStr">
        <is>
          <t>No</t>
        </is>
      </c>
      <c r="AG658" s="28" t="inlineStr">
        <is>
          <t>http://sciences.edu.umontpellier.fr/</t>
        </is>
      </c>
      <c r="AH658" s="26" t="n"/>
      <c r="AI658" s="28" t="inlineStr">
        <is>
          <t>Open in EEF</t>
        </is>
      </c>
    </row>
    <row r="659" ht="32.8" customHeight="1" s="19">
      <c r="A659" s="25" t="n">
        <v>658</v>
      </c>
      <c r="B659" s="25" t="inlineStr">
        <is>
          <t>★★★☆☆</t>
        </is>
      </c>
      <c r="C659" s="25" t="inlineStr">
        <is>
          <t>3 – Adjacent (AI/data/CS/cyber/energy)</t>
        </is>
      </c>
      <c r="D659" s="25" t="inlineStr">
        <is>
          <t>AI / Data science</t>
        </is>
      </c>
      <c r="E659" s="26" t="inlineStr">
        <is>
          <t>Master indifférencié (recherche et professionnel) Sciences, technologies, santé mention Sciences et numérique pour la santé parcours Bioinformatique, Connaissances, Données (BCD)</t>
        </is>
      </c>
      <c r="F659" s="26" t="inlineStr">
        <is>
          <t>Science, Technology, Health (STS) – major: Sciences &amp; Digital for the Health – track: Bioinformatics, Knowledge, Data (BCD)</t>
        </is>
      </c>
      <c r="G659" s="25" t="inlineStr">
        <is>
          <t>Master indifférencié (recherche et professionnel)</t>
        </is>
      </c>
      <c r="H659" s="25" t="inlineStr">
        <is>
          <t>UFR des Sciences de Montpellier</t>
        </is>
      </c>
      <c r="I659" s="25" t="inlineStr">
        <is>
          <t>Université de Montpellier</t>
        </is>
      </c>
      <c r="J659" s="25" t="inlineStr">
        <is>
          <t>Site de Montpellier</t>
        </is>
      </c>
      <c r="K659" s="25" t="n"/>
      <c r="L659" s="25" t="inlineStr">
        <is>
          <t>Public university</t>
        </is>
      </c>
      <c r="M659" s="25" t="inlineStr">
        <is>
          <t>French</t>
        </is>
      </c>
      <c r="N659" s="25" t="inlineStr">
        <is>
          <t>General</t>
        </is>
      </c>
      <c r="O659" s="25" t="inlineStr">
        <is>
          <t>Bac +4</t>
        </is>
      </c>
      <c r="P659" s="26" t="inlineStr">
        <is>
          <t>Eligible on level (4-yr BS ≈ Bac+4)</t>
        </is>
      </c>
      <c r="Q659" s="25" t="inlineStr">
        <is>
          <t>1</t>
        </is>
      </c>
      <c r="R659" s="25" t="n"/>
      <c r="S659" s="27" t="n">
        <v>3950</v>
      </c>
      <c r="T659" s="27" t="n">
        <v>255</v>
      </c>
      <c r="U659" s="25" t="n">
        <v>2</v>
      </c>
      <c r="V659" s="27">
        <f>IF(S659="","",S659*U659)</f>
        <v/>
      </c>
      <c r="W659" s="26" t="inlineStr">
        <is>
          <t>Not in catalogue. Public national master → 2026-27 differentiated fee €3,950; exemption to ~€254-255 depends on university quota (25% cap in 2027-28).</t>
        </is>
      </c>
      <c r="X659" s="25" t="inlineStr">
        <is>
          <t>Medium</t>
        </is>
      </c>
      <c r="Y659" s="25" t="n"/>
      <c r="Z659" s="26" t="n"/>
      <c r="AA659" s="26" t="inlineStr">
        <is>
          <t>Montpellier 2026-27: new non-EU entrants pay the differentiated fee unless individual exemption (limited).</t>
        </is>
      </c>
      <c r="AB659" s="28" t="inlineStr">
        <is>
          <t>https://www.umontpellier.fr/en/international/etudier-a-letranger/etudiants-internationaux-annee-universitaire-2026-2027/</t>
        </is>
      </c>
      <c r="AC659" s="25" t="inlineStr">
        <is>
          <t>Open</t>
        </is>
      </c>
      <c r="AD659" s="25" t="inlineStr">
        <is>
          <t>2026-10-01</t>
        </is>
      </c>
      <c r="AE659" s="25" t="inlineStr">
        <is>
          <t>2027-03-15</t>
        </is>
      </c>
      <c r="AF659" s="25" t="inlineStr">
        <is>
          <t>No</t>
        </is>
      </c>
      <c r="AG659" s="28" t="inlineStr">
        <is>
          <t>http://sciences.edu.umontpellier.fr/</t>
        </is>
      </c>
      <c r="AH659" s="26" t="inlineStr">
        <is>
          <t>prérequis solide en biologie ou informatique et bon niveau en français</t>
        </is>
      </c>
      <c r="AI659" s="28" t="inlineStr">
        <is>
          <t>Open in EEF</t>
        </is>
      </c>
    </row>
    <row r="660" ht="22.35" customHeight="1" s="19">
      <c r="A660" s="25" t="n">
        <v>659</v>
      </c>
      <c r="B660" s="25" t="inlineStr">
        <is>
          <t>★★★☆☆</t>
        </is>
      </c>
      <c r="C660" s="25" t="inlineStr">
        <is>
          <t>3 – Adjacent (AI/data/CS/cyber/energy)</t>
        </is>
      </c>
      <c r="D660" s="25" t="inlineStr">
        <is>
          <t>AI / Data science</t>
        </is>
      </c>
      <c r="E660" s="26" t="inlineStr">
        <is>
          <t>Master Informatique parcours IA &amp; data computing</t>
        </is>
      </c>
      <c r="F660" s="26" t="inlineStr">
        <is>
          <t>Master Computer Science – track: IA &amp; data computing</t>
        </is>
      </c>
      <c r="G660" s="25" t="inlineStr">
        <is>
          <t>Master indifférencié (recherche et professionnel)</t>
        </is>
      </c>
      <c r="H660" s="25" t="inlineStr">
        <is>
          <t>INSA HAUTS-DE-FRANCE</t>
        </is>
      </c>
      <c r="I660" s="25" t="inlineStr">
        <is>
          <t>Université polytechnique Hauts-de-France (UPHF)</t>
        </is>
      </c>
      <c r="J660" s="25" t="inlineStr">
        <is>
          <t>Site de Maubeuge</t>
        </is>
      </c>
      <c r="K660" s="25" t="n"/>
      <c r="L660" s="25" t="inlineStr">
        <is>
          <t>Public school / institute</t>
        </is>
      </c>
      <c r="M660" s="25" t="inlineStr">
        <is>
          <t>French</t>
        </is>
      </c>
      <c r="N660" s="25" t="inlineStr">
        <is>
          <t>General</t>
        </is>
      </c>
      <c r="O660" s="25" t="inlineStr">
        <is>
          <t>Bac +4</t>
        </is>
      </c>
      <c r="P660" s="26" t="inlineStr">
        <is>
          <t>Eligible on level (4-yr BS ≈ Bac+4)</t>
        </is>
      </c>
      <c r="Q660" s="25" t="inlineStr">
        <is>
          <t>1</t>
        </is>
      </c>
      <c r="R660" s="25" t="n"/>
      <c r="S660" s="27" t="n">
        <v>3950</v>
      </c>
      <c r="T660" s="27" t="n">
        <v>255</v>
      </c>
      <c r="U660" s="25" t="n">
        <v>2</v>
      </c>
      <c r="V660" s="27">
        <f>IF(S660="","",S660*U660)</f>
        <v/>
      </c>
      <c r="W660" s="26" t="inlineStr">
        <is>
          <t>Not in catalogue. Public national master → 2026-27 differentiated fee €3,950; exemption to ~€254-255 depends on university quota (25% cap in 2027-28).</t>
        </is>
      </c>
      <c r="X660" s="25" t="inlineStr">
        <is>
          <t>Medium</t>
        </is>
      </c>
      <c r="Y660" s="25" t="n"/>
      <c r="Z660" s="26" t="n"/>
      <c r="AA660" s="26" t="n"/>
      <c r="AB660" s="25" t="n"/>
      <c r="AC660" s="25" t="inlineStr">
        <is>
          <t>Open</t>
        </is>
      </c>
      <c r="AD660" s="25" t="inlineStr">
        <is>
          <t>2026-10-01</t>
        </is>
      </c>
      <c r="AE660" s="25" t="inlineStr">
        <is>
          <t>2027-03-15</t>
        </is>
      </c>
      <c r="AF660" s="25" t="inlineStr">
        <is>
          <t>No</t>
        </is>
      </c>
      <c r="AG660" s="25" t="n"/>
      <c r="AH660" s="26" t="n"/>
      <c r="AI660" s="28" t="inlineStr">
        <is>
          <t>Open in EEF</t>
        </is>
      </c>
    </row>
    <row r="661" ht="32.8" customHeight="1" s="19">
      <c r="A661" s="25" t="n">
        <v>660</v>
      </c>
      <c r="B661" s="25" t="inlineStr">
        <is>
          <t>★★★☆☆</t>
        </is>
      </c>
      <c r="C661" s="25" t="inlineStr">
        <is>
          <t>3 – Adjacent (AI/data/CS/cyber/energy)</t>
        </is>
      </c>
      <c r="D661" s="25" t="inlineStr">
        <is>
          <t>AI / Data science</t>
        </is>
      </c>
      <c r="E661" s="26" t="inlineStr">
        <is>
          <t>Master Sciences et technologies mention informatique parcours Sciences et ingénierie des données (SID)</t>
        </is>
      </c>
      <c r="F661" s="26" t="inlineStr">
        <is>
          <t>Master Science &amp; Technology – major: Computer Science – track: Science &amp; Engineering of Data (SID)</t>
        </is>
      </c>
      <c r="G661" s="25" t="inlineStr">
        <is>
          <t>Master indifférencié (recherche et professionnel)</t>
        </is>
      </c>
      <c r="H661" s="25" t="inlineStr">
        <is>
          <t>UFR Sciences</t>
        </is>
      </c>
      <c r="I661" s="25" t="inlineStr">
        <is>
          <t>Université d'Aix-Marseille</t>
        </is>
      </c>
      <c r="J661" s="25" t="inlineStr">
        <is>
          <t>Site de Marseille - Luminy</t>
        </is>
      </c>
      <c r="K661" s="25" t="n"/>
      <c r="L661" s="25" t="inlineStr">
        <is>
          <t>Public university</t>
        </is>
      </c>
      <c r="M661" s="25" t="inlineStr">
        <is>
          <t>French</t>
        </is>
      </c>
      <c r="N661" s="25" t="inlineStr">
        <is>
          <t>General</t>
        </is>
      </c>
      <c r="O661" s="25" t="inlineStr">
        <is>
          <t>Bac +4</t>
        </is>
      </c>
      <c r="P661" s="26" t="inlineStr">
        <is>
          <t>Eligible on level (4-yr BS ≈ Bac+4)</t>
        </is>
      </c>
      <c r="Q661" s="25" t="inlineStr">
        <is>
          <t>1</t>
        </is>
      </c>
      <c r="R661" s="25" t="inlineStr">
        <is>
          <t>12</t>
        </is>
      </c>
      <c r="S661" s="27" t="n">
        <v>3950</v>
      </c>
      <c r="T661" s="27" t="n">
        <v>255</v>
      </c>
      <c r="U661" s="25" t="n">
        <v>2</v>
      </c>
      <c r="V661" s="27">
        <f>IF(S661="","",S661*U661)</f>
        <v/>
      </c>
      <c r="W661" s="26" t="inlineStr">
        <is>
          <t>Not in catalogue. Public national master → 2026-27 differentiated fee €3,950; exemption to ~€254-255 depends on university quota (25% cap in 2027-28).</t>
        </is>
      </c>
      <c r="X661" s="25" t="inlineStr">
        <is>
          <t>Medium</t>
        </is>
      </c>
      <c r="Y661" s="25" t="n"/>
      <c r="Z661" s="26" t="n"/>
      <c r="AA661" s="26" t="inlineStr">
        <is>
          <t>AMU 2026-27: limited exemptions (≈1,800 of 5,500 students) – priority to continuing students, conflict zones, excellence scholarships. New master entrants usually pay €3,950.</t>
        </is>
      </c>
      <c r="AB661" s="28" t="inlineStr">
        <is>
          <t>https://www.univ-amu.fr/fr/actualites/aix-marseille-universite-mobilise-pleinement-capacite-dexoneration-continuer-accueillir</t>
        </is>
      </c>
      <c r="AC661" s="25" t="inlineStr">
        <is>
          <t>Open</t>
        </is>
      </c>
      <c r="AD661" s="25" t="inlineStr">
        <is>
          <t>2026-10-01</t>
        </is>
      </c>
      <c r="AE661" s="25" t="inlineStr">
        <is>
          <t>2027-03-15</t>
        </is>
      </c>
      <c r="AF661" s="25" t="inlineStr">
        <is>
          <t>No</t>
        </is>
      </c>
      <c r="AG661" s="28" t="inlineStr">
        <is>
          <t>https://formations.univ-amu.fr/fr/master/5SIN/PRSIN5C6</t>
        </is>
      </c>
      <c r="AH661" s="26" t="inlineStr">
        <is>
          <t>Nous attirons votre attention sur 4 points importants pour votre candidature : Votre dossier doit être complet et validé par l’Espace Etudes en France La faculté des sciences examinera les dossiers de candidature en cohé</t>
        </is>
      </c>
      <c r="AI661" s="28" t="inlineStr">
        <is>
          <t>Open in EEF</t>
        </is>
      </c>
    </row>
    <row r="662" ht="22.35" customHeight="1" s="19">
      <c r="A662" s="25" t="n">
        <v>661</v>
      </c>
      <c r="B662" s="25" t="inlineStr">
        <is>
          <t>★★★☆☆</t>
        </is>
      </c>
      <c r="C662" s="25" t="inlineStr">
        <is>
          <t>3 – Adjacent (AI/data/CS/cyber/energy)</t>
        </is>
      </c>
      <c r="D662" s="25" t="inlineStr">
        <is>
          <t>Other engineering / maths</t>
        </is>
      </c>
      <c r="E662" s="26" t="inlineStr">
        <is>
          <t>Master Sciences et technologies, mention Ingénièrie des systèmes complexes</t>
        </is>
      </c>
      <c r="F662" s="26" t="inlineStr">
        <is>
          <t>Master Science &amp; Technology, – major: Engineering of Systems Complex</t>
        </is>
      </c>
      <c r="G662" s="25" t="inlineStr">
        <is>
          <t>Master indifférencié (recherche et professionnel)</t>
        </is>
      </c>
      <c r="H662" s="25" t="inlineStr">
        <is>
          <t>EIL CO - Ecole d'Ingénieurs du Littoral Côte d'Opale</t>
        </is>
      </c>
      <c r="I662" s="25" t="inlineStr">
        <is>
          <t>Université du Littoral Côte d'Opale</t>
        </is>
      </c>
      <c r="J662" s="25" t="inlineStr">
        <is>
          <t>Site de Calais</t>
        </is>
      </c>
      <c r="K662" s="25" t="n"/>
      <c r="L662" s="25" t="inlineStr">
        <is>
          <t>Public school / institute</t>
        </is>
      </c>
      <c r="M662" s="25" t="inlineStr">
        <is>
          <t>French</t>
        </is>
      </c>
      <c r="N662" s="25" t="inlineStr">
        <is>
          <t>General</t>
        </is>
      </c>
      <c r="O662" s="25" t="inlineStr">
        <is>
          <t>Bac +4 / Bac +5</t>
        </is>
      </c>
      <c r="P662" s="26" t="inlineStr">
        <is>
          <t>Eligible on level (4-yr BS ≈ Bac+4)</t>
        </is>
      </c>
      <c r="Q662" s="25" t="inlineStr">
        <is>
          <t>1/2</t>
        </is>
      </c>
      <c r="R662" s="25" t="n"/>
      <c r="S662" s="27" t="n">
        <v>3950</v>
      </c>
      <c r="T662" s="27" t="n">
        <v>255</v>
      </c>
      <c r="U662" s="25" t="n">
        <v>2</v>
      </c>
      <c r="V662" s="27">
        <f>IF(S662="","",S662*U662)</f>
        <v/>
      </c>
      <c r="W662" s="26" t="inlineStr">
        <is>
          <t>Not in catalogue. Public national master → 2026-27 differentiated fee €3,950; exemption to ~€254-255 depends on university quota (25% cap in 2027-28).</t>
        </is>
      </c>
      <c r="X662" s="25" t="inlineStr">
        <is>
          <t>Medium</t>
        </is>
      </c>
      <c r="Y662" s="25" t="n"/>
      <c r="Z662" s="26" t="n"/>
      <c r="AA662" s="26" t="n"/>
      <c r="AB662" s="25" t="n"/>
      <c r="AC662" s="25" t="inlineStr">
        <is>
          <t>Open</t>
        </is>
      </c>
      <c r="AD662" s="25" t="inlineStr">
        <is>
          <t>2026-10-01</t>
        </is>
      </c>
      <c r="AE662" s="25" t="inlineStr">
        <is>
          <t>2027-03-15</t>
        </is>
      </c>
      <c r="AF662" s="25" t="inlineStr">
        <is>
          <t>No</t>
        </is>
      </c>
      <c r="AG662" s="25" t="n"/>
      <c r="AH662" s="26" t="n"/>
      <c r="AI662" s="28" t="inlineStr">
        <is>
          <t>Open in EEF</t>
        </is>
      </c>
    </row>
    <row r="663" ht="22.35" customHeight="1" s="19">
      <c r="A663" s="25" t="n">
        <v>662</v>
      </c>
      <c r="B663" s="25" t="inlineStr">
        <is>
          <t>★★★☆☆</t>
        </is>
      </c>
      <c r="C663" s="25" t="inlineStr">
        <is>
          <t>3 – Adjacent (AI/data/CS/cyber/energy)</t>
        </is>
      </c>
      <c r="D663" s="25" t="inlineStr">
        <is>
          <t>IoT / Telecom / Networks</t>
        </is>
      </c>
      <c r="E663" s="26" t="inlineStr">
        <is>
          <t>Master Sciences et technologies parcours Energie et informatique spatiale pour les réseaux insulaires et isolés</t>
        </is>
      </c>
      <c r="F663" s="26" t="inlineStr">
        <is>
          <t>Master Science &amp; Technology – track: Energy &amp; Computer Science spatiale for the Networks insulaires &amp; isolés</t>
        </is>
      </c>
      <c r="G663" s="25" t="inlineStr">
        <is>
          <t>Master indifférencié (recherche et professionnel)</t>
        </is>
      </c>
      <c r="H663" s="25" t="inlineStr">
        <is>
          <t>DFR ST - Sciences et Technologies</t>
        </is>
      </c>
      <c r="I663" s="25" t="inlineStr">
        <is>
          <t>Université de la Guyane</t>
        </is>
      </c>
      <c r="J663" s="25" t="inlineStr">
        <is>
          <t>Campus de Troubiran</t>
        </is>
      </c>
      <c r="K663" s="25" t="n"/>
      <c r="L663" s="25" t="inlineStr">
        <is>
          <t>Public university</t>
        </is>
      </c>
      <c r="M663" s="25" t="inlineStr">
        <is>
          <t>French</t>
        </is>
      </c>
      <c r="N663" s="25" t="inlineStr">
        <is>
          <t>General</t>
        </is>
      </c>
      <c r="O663" s="25" t="inlineStr">
        <is>
          <t>Bac +4 / Bac +5</t>
        </is>
      </c>
      <c r="P663" s="26" t="inlineStr">
        <is>
          <t>Eligible on level (4-yr BS ≈ Bac+4)</t>
        </is>
      </c>
      <c r="Q663" s="25" t="inlineStr">
        <is>
          <t>1/2</t>
        </is>
      </c>
      <c r="R663" s="25" t="n"/>
      <c r="S663" s="27" t="n">
        <v>3950</v>
      </c>
      <c r="T663" s="27" t="n">
        <v>255</v>
      </c>
      <c r="U663" s="25" t="n">
        <v>2</v>
      </c>
      <c r="V663" s="27">
        <f>IF(S663="","",S663*U663)</f>
        <v/>
      </c>
      <c r="W663" s="26" t="inlineStr">
        <is>
          <t>Not in catalogue. Public national master → 2026-27 differentiated fee €3,950; exemption to ~€254-255 depends on university quota (25% cap in 2027-28).</t>
        </is>
      </c>
      <c r="X663" s="25" t="inlineStr">
        <is>
          <t>Medium</t>
        </is>
      </c>
      <c r="Y663" s="25" t="n"/>
      <c r="Z663" s="26" t="n"/>
      <c r="AA663" s="26" t="n"/>
      <c r="AB663" s="25" t="n"/>
      <c r="AC663" s="25" t="inlineStr">
        <is>
          <t>Open</t>
        </is>
      </c>
      <c r="AD663" s="25" t="inlineStr">
        <is>
          <t>2026-10-01</t>
        </is>
      </c>
      <c r="AE663" s="25" t="inlineStr">
        <is>
          <t>2027-03-15</t>
        </is>
      </c>
      <c r="AF663" s="25" t="inlineStr">
        <is>
          <t>No</t>
        </is>
      </c>
      <c r="AG663" s="28" t="inlineStr">
        <is>
          <t>https://www.univ-guyane.fr/formation/nos-formations/formations-dfr-sciences-technologies/master-energie/</t>
        </is>
      </c>
      <c r="AH663" s="26" t="n"/>
      <c r="AI663" s="28" t="inlineStr">
        <is>
          <t>Open in EEF</t>
        </is>
      </c>
    </row>
    <row r="664" ht="32.8" customHeight="1" s="19">
      <c r="A664" s="25" t="n">
        <v>663</v>
      </c>
      <c r="B664" s="25" t="inlineStr">
        <is>
          <t>★★★☆☆</t>
        </is>
      </c>
      <c r="C664" s="25" t="inlineStr">
        <is>
          <t>3 – Adjacent (AI/data/CS/cyber/energy)</t>
        </is>
      </c>
      <c r="D664" s="25" t="inlineStr">
        <is>
          <t>AI / Data science</t>
        </is>
      </c>
      <c r="E664" s="26" t="inlineStr">
        <is>
          <t>Master Sciences, technologies et santé, mention Informatique parcours Ingénierie en Intelligence Artificielle (M1 et M2)</t>
        </is>
      </c>
      <c r="F664" s="26" t="inlineStr">
        <is>
          <t>Master Sciences, Technologies &amp; Health, – major: Computer Science – track: Engineering in Artificial Intelligence (M1 &amp; M2)</t>
        </is>
      </c>
      <c r="G664" s="25" t="inlineStr">
        <is>
          <t>Master indifférencié (recherche et professionnel)</t>
        </is>
      </c>
      <c r="H664" s="25" t="inlineStr">
        <is>
          <t>UFR Mathématiques, informatique, technologies, sciences de l'information et de la communication</t>
        </is>
      </c>
      <c r="I664" s="25" t="inlineStr">
        <is>
          <t>Université Vincennes-Saint-Denis</t>
        </is>
      </c>
      <c r="J664" s="25" t="inlineStr">
        <is>
          <t>Site de Saint-Denis</t>
        </is>
      </c>
      <c r="K664" s="25" t="inlineStr">
        <is>
          <t>93526 Saint-Denis cedex</t>
        </is>
      </c>
      <c r="L664" s="25" t="inlineStr">
        <is>
          <t>Public university</t>
        </is>
      </c>
      <c r="M664" s="25" t="inlineStr">
        <is>
          <t>French</t>
        </is>
      </c>
      <c r="N664" s="25" t="inlineStr">
        <is>
          <t>General</t>
        </is>
      </c>
      <c r="O664" s="25" t="inlineStr">
        <is>
          <t>Bac +4 / Bac +5</t>
        </is>
      </c>
      <c r="P664" s="26" t="inlineStr">
        <is>
          <t>Eligible on level (4-yr BS ≈ Bac+4)</t>
        </is>
      </c>
      <c r="Q664" s="25" t="inlineStr">
        <is>
          <t>1/2</t>
        </is>
      </c>
      <c r="R664" s="25" t="n"/>
      <c r="S664" s="27" t="n">
        <v>3950</v>
      </c>
      <c r="T664" s="27" t="n">
        <v>255</v>
      </c>
      <c r="U664" s="25" t="n">
        <v>2</v>
      </c>
      <c r="V664" s="27">
        <f>IF(S664="","",S664*U664)</f>
        <v/>
      </c>
      <c r="W664" s="26" t="inlineStr">
        <is>
          <t>Not in catalogue. Public national master → 2026-27 differentiated fee €3,950; exemption to ~€254-255 depends on university quota (25% cap in 2027-28).</t>
        </is>
      </c>
      <c r="X664" s="25" t="inlineStr">
        <is>
          <t>Medium</t>
        </is>
      </c>
      <c r="Y664" s="25" t="n"/>
      <c r="Z664" s="26" t="n"/>
      <c r="AA664" s="26" t="n"/>
      <c r="AB664" s="25" t="n"/>
      <c r="AC664" s="25" t="inlineStr">
        <is>
          <t>Open</t>
        </is>
      </c>
      <c r="AD664" s="25" t="inlineStr">
        <is>
          <t>2026-10-01</t>
        </is>
      </c>
      <c r="AE664" s="25" t="inlineStr">
        <is>
          <t>2027-03-15</t>
        </is>
      </c>
      <c r="AF664" s="25" t="inlineStr">
        <is>
          <t>No</t>
        </is>
      </c>
      <c r="AG664" s="28" t="inlineStr">
        <is>
          <t>https://www.univ-paris8.fr/-Master-Ingenierie-en-Intelligence-Artificielle-I2A-</t>
        </is>
      </c>
      <c r="AH664" s="26" t="inlineStr">
        <is>
          <t>Les étudiants non francophones devront présenter le DALF d'un niveau B2 ou le TCF (comprenant la partie obligatoire et la partie complémentaire d'expression écrite) d'un niveau B2.</t>
        </is>
      </c>
      <c r="AI664" s="28" t="inlineStr">
        <is>
          <t>Open in EEF</t>
        </is>
      </c>
    </row>
    <row r="665" ht="43.25" customHeight="1" s="19">
      <c r="A665" s="25" t="n">
        <v>664</v>
      </c>
      <c r="B665" s="25" t="inlineStr">
        <is>
          <t>★★★☆☆</t>
        </is>
      </c>
      <c r="C665" s="25" t="inlineStr">
        <is>
          <t>3 – Adjacent (AI/data/CS/cyber/energy)</t>
        </is>
      </c>
      <c r="D665" s="25" t="inlineStr">
        <is>
          <t>Computer science / Software</t>
        </is>
      </c>
      <c r="E665" s="26" t="inlineStr">
        <is>
          <t>Master Sciences, technologies et santé, mention Informatique parcours Master Parisien de Recherche en Informatique</t>
        </is>
      </c>
      <c r="F665" s="26" t="inlineStr">
        <is>
          <t>Master Sciences, Technologies &amp; Health, – major: Computer Science – track: Master Parisien of Research in Computer Science</t>
        </is>
      </c>
      <c r="G665" s="25" t="inlineStr">
        <is>
          <t>Master indifférencié (recherche et professionnel)</t>
        </is>
      </c>
      <c r="H665" s="25" t="inlineStr">
        <is>
          <t>UFR Informatique</t>
        </is>
      </c>
      <c r="I665" s="25" t="inlineStr">
        <is>
          <t>Université Paris Cité</t>
        </is>
      </c>
      <c r="J665" s="25" t="inlineStr">
        <is>
          <t>Campus Paris Rive Gauche</t>
        </is>
      </c>
      <c r="K665" s="25" t="inlineStr">
        <is>
          <t>75013 Paris</t>
        </is>
      </c>
      <c r="L665" s="25" t="inlineStr">
        <is>
          <t>Public university</t>
        </is>
      </c>
      <c r="M665" s="25" t="inlineStr">
        <is>
          <t>French</t>
        </is>
      </c>
      <c r="N665" s="25" t="inlineStr">
        <is>
          <t>General</t>
        </is>
      </c>
      <c r="O665" s="25" t="inlineStr">
        <is>
          <t>Bac +4</t>
        </is>
      </c>
      <c r="P665" s="26" t="inlineStr">
        <is>
          <t>Eligible on level (4-yr BS ≈ Bac+4)</t>
        </is>
      </c>
      <c r="Q665" s="25" t="inlineStr">
        <is>
          <t>1</t>
        </is>
      </c>
      <c r="R665" s="25" t="n"/>
      <c r="S665" s="27" t="n">
        <v>3950</v>
      </c>
      <c r="T665" s="27" t="n">
        <v>255</v>
      </c>
      <c r="U665" s="25" t="n">
        <v>2</v>
      </c>
      <c r="V665" s="27">
        <f>IF(S665="","",S665*U665)</f>
        <v/>
      </c>
      <c r="W665" s="26" t="inlineStr">
        <is>
          <t>Not in catalogue. Public national master → 2026-27 differentiated fee €3,950; exemption to ~€254-255 depends on university quota (25% cap in 2027-28).</t>
        </is>
      </c>
      <c r="X665" s="25" t="inlineStr">
        <is>
          <t>Medium</t>
        </is>
      </c>
      <c r="Y665" s="25" t="n"/>
      <c r="Z665" s="26" t="n"/>
      <c r="AA665" s="26" t="inlineStr">
        <is>
          <t>Paris Cité historically exempted non-EU master students (paid EU rate). 2026-27/2027-28 policy not yet published – confirm.</t>
        </is>
      </c>
      <c r="AB665" s="28" t="inlineStr">
        <is>
          <t>https://u-paris.fr/droits-dinscription-tarifs-exonerations/</t>
        </is>
      </c>
      <c r="AC665" s="25" t="inlineStr">
        <is>
          <t>Open</t>
        </is>
      </c>
      <c r="AD665" s="25" t="inlineStr">
        <is>
          <t>2026-10-01</t>
        </is>
      </c>
      <c r="AE665" s="25" t="inlineStr">
        <is>
          <t>2027-03-15</t>
        </is>
      </c>
      <c r="AF665" s="25" t="inlineStr">
        <is>
          <t>No</t>
        </is>
      </c>
      <c r="AG665" s="28" t="inlineStr">
        <is>
          <t>http://www.informatique.univ-paris-diderot.fr/</t>
        </is>
      </c>
      <c r="AH665" s="26" t="inlineStr">
        <is>
          <t>https://odf.u-paris.fr/fr/offre-de-formation/master-XB/sciences-technologies-sante-STS/informatique-fondamentale-et-appliquee-K875KEVO//master-informatique-fondamentale-et-appliquee-master-parisien-de-recherche-en-inform</t>
        </is>
      </c>
      <c r="AI665" s="28" t="inlineStr">
        <is>
          <t>Open in EEF</t>
        </is>
      </c>
    </row>
    <row r="666" ht="22.35" customHeight="1" s="19">
      <c r="A666" s="25" t="n">
        <v>665</v>
      </c>
      <c r="B666" s="25" t="inlineStr">
        <is>
          <t>★★★☆☆</t>
        </is>
      </c>
      <c r="C666" s="25" t="inlineStr">
        <is>
          <t>3 – Adjacent (AI/data/CS/cyber/energy)</t>
        </is>
      </c>
      <c r="D666" s="25" t="inlineStr">
        <is>
          <t>Computer science / Software</t>
        </is>
      </c>
      <c r="E666" s="26" t="inlineStr">
        <is>
          <t>Master Sciences, technologies, santé mention informatique</t>
        </is>
      </c>
      <c r="F666" s="26" t="inlineStr">
        <is>
          <t>Master Science, Technology, Health (STS) – major: Computer Science</t>
        </is>
      </c>
      <c r="G666" s="25" t="inlineStr">
        <is>
          <t>Master indifférencié (recherche et professionnel)</t>
        </is>
      </c>
      <c r="H666" s="25" t="inlineStr">
        <is>
          <t>IMT Atlantique</t>
        </is>
      </c>
      <c r="I666" s="25" t="inlineStr">
        <is>
          <t>IMT Atlantique</t>
        </is>
      </c>
      <c r="J666" s="25" t="inlineStr">
        <is>
          <t>Campus de Brest</t>
        </is>
      </c>
      <c r="K666" s="25" t="inlineStr">
        <is>
          <t>83818</t>
        </is>
      </c>
      <c r="L666" s="25" t="inlineStr">
        <is>
          <t>Public school / institute</t>
        </is>
      </c>
      <c r="M666" s="25" t="inlineStr">
        <is>
          <t>French</t>
        </is>
      </c>
      <c r="N666" s="25" t="inlineStr">
        <is>
          <t>General</t>
        </is>
      </c>
      <c r="O666" s="25" t="inlineStr">
        <is>
          <t>Bac +4</t>
        </is>
      </c>
      <c r="P666" s="26" t="inlineStr">
        <is>
          <t>Eligible on level (4-yr BS ≈ Bac+4)</t>
        </is>
      </c>
      <c r="Q666" s="25" t="inlineStr">
        <is>
          <t>1</t>
        </is>
      </c>
      <c r="R666" s="25" t="n"/>
      <c r="S666" s="27" t="n">
        <v>3950</v>
      </c>
      <c r="T666" s="27" t="n">
        <v>255</v>
      </c>
      <c r="U666" s="25" t="n">
        <v>2</v>
      </c>
      <c r="V666" s="27">
        <f>IF(S666="","",S666*U666)</f>
        <v/>
      </c>
      <c r="W666" s="26" t="inlineStr">
        <is>
          <t>Not in catalogue. Public national master → 2026-27 differentiated fee €3,950; exemption to ~€254-255 depends on university quota (25% cap in 2027-28).</t>
        </is>
      </c>
      <c r="X666" s="25" t="inlineStr">
        <is>
          <t>Medium</t>
        </is>
      </c>
      <c r="Y666" s="25" t="n"/>
      <c r="Z666" s="26" t="n"/>
      <c r="AA666" s="26" t="n"/>
      <c r="AB666" s="25" t="n"/>
      <c r="AC666" s="25" t="inlineStr">
        <is>
          <t>Open</t>
        </is>
      </c>
      <c r="AD666" s="25" t="inlineStr">
        <is>
          <t>2026-10-01</t>
        </is>
      </c>
      <c r="AE666" s="25" t="inlineStr">
        <is>
          <t>2027-03-15</t>
        </is>
      </c>
      <c r="AF666" s="25" t="inlineStr">
        <is>
          <t>No</t>
        </is>
      </c>
      <c r="AG666" s="28" t="inlineStr">
        <is>
          <t>http://www.imt-atlantique.fr</t>
        </is>
      </c>
      <c r="AH666" s="26" t="n"/>
      <c r="AI666" s="28" t="inlineStr">
        <is>
          <t>Open in EEF</t>
        </is>
      </c>
    </row>
    <row r="667" ht="22.35" customHeight="1" s="19">
      <c r="A667" s="25" t="n">
        <v>666</v>
      </c>
      <c r="B667" s="25" t="inlineStr">
        <is>
          <t>★★★☆☆</t>
        </is>
      </c>
      <c r="C667" s="25" t="inlineStr">
        <is>
          <t>3 – Adjacent (AI/data/CS/cyber/energy)</t>
        </is>
      </c>
      <c r="D667" s="25" t="inlineStr">
        <is>
          <t>Computer science / Software</t>
        </is>
      </c>
      <c r="E667" s="26" t="inlineStr">
        <is>
          <t>Master Sciences, technologies, santé mention informatique</t>
        </is>
      </c>
      <c r="F667" s="26" t="inlineStr">
        <is>
          <t>Master Science, Technology, Health (STS) – major: Computer Science</t>
        </is>
      </c>
      <c r="G667" s="25" t="inlineStr">
        <is>
          <t>Master indifférencié (recherche et professionnel)</t>
        </is>
      </c>
      <c r="H667" s="25" t="inlineStr">
        <is>
          <t>Institut d'électronique et d'informatique Gaspard Monge</t>
        </is>
      </c>
      <c r="I667" s="25" t="inlineStr">
        <is>
          <t>Université Gustave Eiffel</t>
        </is>
      </c>
      <c r="J667" s="25" t="inlineStr">
        <is>
          <t>Site de Champs-sur-Marne</t>
        </is>
      </c>
      <c r="K667" s="25" t="n"/>
      <c r="L667" s="25" t="inlineStr">
        <is>
          <t>Public school / institute</t>
        </is>
      </c>
      <c r="M667" s="25" t="inlineStr">
        <is>
          <t>French</t>
        </is>
      </c>
      <c r="N667" s="25" t="inlineStr">
        <is>
          <t>General</t>
        </is>
      </c>
      <c r="O667" s="25" t="inlineStr">
        <is>
          <t>Bac +4</t>
        </is>
      </c>
      <c r="P667" s="26" t="inlineStr">
        <is>
          <t>Eligible on level (4-yr BS ≈ Bac+4)</t>
        </is>
      </c>
      <c r="Q667" s="25" t="inlineStr">
        <is>
          <t>1</t>
        </is>
      </c>
      <c r="R667" s="25" t="n"/>
      <c r="S667" s="27" t="n">
        <v>3950</v>
      </c>
      <c r="T667" s="27" t="n">
        <v>255</v>
      </c>
      <c r="U667" s="25" t="n">
        <v>2</v>
      </c>
      <c r="V667" s="27">
        <f>IF(S667="","",S667*U667)</f>
        <v/>
      </c>
      <c r="W667" s="26" t="inlineStr">
        <is>
          <t>Not in catalogue. Public national master → 2026-27 differentiated fee €3,950; exemption to ~€254-255 depends on university quota (25% cap in 2027-28).</t>
        </is>
      </c>
      <c r="X667" s="25" t="inlineStr">
        <is>
          <t>Medium</t>
        </is>
      </c>
      <c r="Y667" s="25" t="n"/>
      <c r="Z667" s="26" t="n"/>
      <c r="AA667" s="26" t="n"/>
      <c r="AB667" s="25" t="n"/>
      <c r="AC667" s="25" t="inlineStr">
        <is>
          <t>Open</t>
        </is>
      </c>
      <c r="AD667" s="25" t="inlineStr">
        <is>
          <t>2026-10-01</t>
        </is>
      </c>
      <c r="AE667" s="25" t="inlineStr">
        <is>
          <t>2027-03-15</t>
        </is>
      </c>
      <c r="AF667" s="25" t="inlineStr">
        <is>
          <t>No</t>
        </is>
      </c>
      <c r="AG667" s="28" t="inlineStr">
        <is>
          <t>https://igm.univ-gustave-eiffel.fr/</t>
        </is>
      </c>
      <c r="AH667" s="26" t="inlineStr">
        <is>
          <t>Diplôme équivalent à une Licence en informatique. Français C1.</t>
        </is>
      </c>
      <c r="AI667" s="28" t="inlineStr">
        <is>
          <t>Open in EEF</t>
        </is>
      </c>
    </row>
    <row r="668" ht="22.35" customHeight="1" s="19">
      <c r="A668" s="25" t="n">
        <v>667</v>
      </c>
      <c r="B668" s="25" t="inlineStr">
        <is>
          <t>★★★☆☆</t>
        </is>
      </c>
      <c r="C668" s="25" t="inlineStr">
        <is>
          <t>3 – Adjacent (AI/data/CS/cyber/energy)</t>
        </is>
      </c>
      <c r="D668" s="25" t="inlineStr">
        <is>
          <t>Computer science / Software</t>
        </is>
      </c>
      <c r="E668" s="26" t="inlineStr">
        <is>
          <t>Master Sciences, technologies, santé mention informatique</t>
        </is>
      </c>
      <c r="F668" s="26" t="inlineStr">
        <is>
          <t>Master Science, Technology, Health (STS) – major: Computer Science</t>
        </is>
      </c>
      <c r="G668" s="25" t="inlineStr">
        <is>
          <t>Master indifférencié (recherche et professionnel)</t>
        </is>
      </c>
      <c r="H668" s="25" t="inlineStr">
        <is>
          <t>SUPELEC Campus Rennes</t>
        </is>
      </c>
      <c r="I668" s="25" t="n"/>
      <c r="J668" s="25" t="inlineStr">
        <is>
          <t>Site de Cesson-Sévigné</t>
        </is>
      </c>
      <c r="K668" s="25" t="n"/>
      <c r="L668" s="25" t="inlineStr">
        <is>
          <t>Public school / institute</t>
        </is>
      </c>
      <c r="M668" s="25" t="inlineStr">
        <is>
          <t>French</t>
        </is>
      </c>
      <c r="N668" s="25" t="inlineStr">
        <is>
          <t>General</t>
        </is>
      </c>
      <c r="O668" s="25" t="inlineStr">
        <is>
          <t>Bac +4</t>
        </is>
      </c>
      <c r="P668" s="26" t="inlineStr">
        <is>
          <t>Eligible on level (4-yr BS ≈ Bac+4)</t>
        </is>
      </c>
      <c r="Q668" s="25" t="inlineStr">
        <is>
          <t>1</t>
        </is>
      </c>
      <c r="R668" s="25" t="n"/>
      <c r="S668" s="27" t="n">
        <v>3950</v>
      </c>
      <c r="T668" s="27" t="n">
        <v>255</v>
      </c>
      <c r="U668" s="25" t="n">
        <v>2</v>
      </c>
      <c r="V668" s="27">
        <f>IF(S668="","",S668*U668)</f>
        <v/>
      </c>
      <c r="W668" s="26" t="inlineStr">
        <is>
          <t>Not in catalogue. Public national master → 2026-27 differentiated fee €3,950; exemption to ~€254-255 depends on university quota (25% cap in 2027-28).</t>
        </is>
      </c>
      <c r="X668" s="25" t="inlineStr">
        <is>
          <t>Medium</t>
        </is>
      </c>
      <c r="Y668" s="25" t="n"/>
      <c r="Z668" s="26" t="n"/>
      <c r="AA668" s="26" t="n"/>
      <c r="AB668" s="25" t="n"/>
      <c r="AC668" s="25" t="inlineStr">
        <is>
          <t>Closed</t>
        </is>
      </c>
      <c r="AD668" s="25" t="n"/>
      <c r="AE668" s="25" t="n"/>
      <c r="AF668" s="25" t="inlineStr">
        <is>
          <t>No</t>
        </is>
      </c>
      <c r="AG668" s="28" t="inlineStr">
        <is>
          <t>http://www.supelec.fr</t>
        </is>
      </c>
      <c r="AH668" s="26" t="n"/>
      <c r="AI668" s="28" t="inlineStr">
        <is>
          <t>Open in EEF</t>
        </is>
      </c>
    </row>
    <row r="669" ht="22.35" customHeight="1" s="19">
      <c r="A669" s="25" t="n">
        <v>668</v>
      </c>
      <c r="B669" s="25" t="inlineStr">
        <is>
          <t>★★★☆☆</t>
        </is>
      </c>
      <c r="C669" s="25" t="inlineStr">
        <is>
          <t>3 – Adjacent (AI/data/CS/cyber/energy)</t>
        </is>
      </c>
      <c r="D669" s="25" t="inlineStr">
        <is>
          <t>Computer science / Software</t>
        </is>
      </c>
      <c r="E669" s="26" t="inlineStr">
        <is>
          <t>Master Sciences, technologies, santé mention informatique</t>
        </is>
      </c>
      <c r="F669" s="26" t="inlineStr">
        <is>
          <t>Master Science, Technology, Health (STS) – major: Computer Science</t>
        </is>
      </c>
      <c r="G669" s="25" t="inlineStr">
        <is>
          <t>Master indifférencié (recherche et professionnel)</t>
        </is>
      </c>
      <c r="H669" s="25" t="inlineStr">
        <is>
          <t>SUPELEC Campus Metz</t>
        </is>
      </c>
      <c r="I669" s="25" t="n"/>
      <c r="J669" s="25" t="inlineStr">
        <is>
          <t>Site de Metz</t>
        </is>
      </c>
      <c r="K669" s="25" t="n"/>
      <c r="L669" s="25" t="inlineStr">
        <is>
          <t>Public school / institute</t>
        </is>
      </c>
      <c r="M669" s="25" t="inlineStr">
        <is>
          <t>French</t>
        </is>
      </c>
      <c r="N669" s="25" t="inlineStr">
        <is>
          <t>General</t>
        </is>
      </c>
      <c r="O669" s="25" t="inlineStr">
        <is>
          <t>Bac +4</t>
        </is>
      </c>
      <c r="P669" s="26" t="inlineStr">
        <is>
          <t>Eligible on level (4-yr BS ≈ Bac+4)</t>
        </is>
      </c>
      <c r="Q669" s="25" t="inlineStr">
        <is>
          <t>1</t>
        </is>
      </c>
      <c r="R669" s="25" t="n"/>
      <c r="S669" s="27" t="n">
        <v>3950</v>
      </c>
      <c r="T669" s="27" t="n">
        <v>255</v>
      </c>
      <c r="U669" s="25" t="n">
        <v>2</v>
      </c>
      <c r="V669" s="27">
        <f>IF(S669="","",S669*U669)</f>
        <v/>
      </c>
      <c r="W669" s="26" t="inlineStr">
        <is>
          <t>Not in catalogue. Public national master → 2026-27 differentiated fee €3,950; exemption to ~€254-255 depends on university quota (25% cap in 2027-28).</t>
        </is>
      </c>
      <c r="X669" s="25" t="inlineStr">
        <is>
          <t>Medium</t>
        </is>
      </c>
      <c r="Y669" s="25" t="n"/>
      <c r="Z669" s="26" t="n"/>
      <c r="AA669" s="26" t="n"/>
      <c r="AB669" s="25" t="n"/>
      <c r="AC669" s="25" t="inlineStr">
        <is>
          <t>Closed</t>
        </is>
      </c>
      <c r="AD669" s="25" t="n"/>
      <c r="AE669" s="25" t="n"/>
      <c r="AF669" s="25" t="inlineStr">
        <is>
          <t>No</t>
        </is>
      </c>
      <c r="AG669" s="28" t="inlineStr">
        <is>
          <t>http://www.supelec.fr/metz</t>
        </is>
      </c>
      <c r="AH669" s="26" t="n"/>
      <c r="AI669" s="28" t="inlineStr">
        <is>
          <t>Open in EEF</t>
        </is>
      </c>
    </row>
    <row r="670" ht="22.35" customHeight="1" s="19">
      <c r="A670" s="25" t="n">
        <v>669</v>
      </c>
      <c r="B670" s="25" t="inlineStr">
        <is>
          <t>★★★☆☆</t>
        </is>
      </c>
      <c r="C670" s="25" t="inlineStr">
        <is>
          <t>3 – Adjacent (AI/data/CS/cyber/energy)</t>
        </is>
      </c>
      <c r="D670" s="25" t="inlineStr">
        <is>
          <t>Computer science / Software</t>
        </is>
      </c>
      <c r="E670" s="26" t="inlineStr">
        <is>
          <t>Master Sciences, technologies, santé mention informatique</t>
        </is>
      </c>
      <c r="F670" s="26" t="inlineStr">
        <is>
          <t>Master Science, Technology, Health (STS) – major: Computer Science</t>
        </is>
      </c>
      <c r="G670" s="25" t="inlineStr">
        <is>
          <t>Master indifférencié (recherche et professionnel)</t>
        </is>
      </c>
      <c r="H670" s="25" t="inlineStr">
        <is>
          <t>Ecole normale supérieure</t>
        </is>
      </c>
      <c r="I670" s="25" t="n"/>
      <c r="J670" s="25" t="inlineStr">
        <is>
          <t>Site de Paris</t>
        </is>
      </c>
      <c r="K670" s="25" t="n"/>
      <c r="L670" s="25" t="inlineStr">
        <is>
          <t>Public school / institute</t>
        </is>
      </c>
      <c r="M670" s="25" t="inlineStr">
        <is>
          <t>French</t>
        </is>
      </c>
      <c r="N670" s="25" t="inlineStr">
        <is>
          <t>General</t>
        </is>
      </c>
      <c r="O670" s="25" t="inlineStr">
        <is>
          <t>Bac +4</t>
        </is>
      </c>
      <c r="P670" s="26" t="inlineStr">
        <is>
          <t>Eligible on level (4-yr BS ≈ Bac+4)</t>
        </is>
      </c>
      <c r="Q670" s="25" t="inlineStr">
        <is>
          <t>1</t>
        </is>
      </c>
      <c r="R670" s="25" t="n"/>
      <c r="S670" s="27" t="n">
        <v>3950</v>
      </c>
      <c r="T670" s="27" t="n">
        <v>255</v>
      </c>
      <c r="U670" s="25" t="n">
        <v>2</v>
      </c>
      <c r="V670" s="27">
        <f>IF(S670="","",S670*U670)</f>
        <v/>
      </c>
      <c r="W670" s="26" t="inlineStr">
        <is>
          <t>Not in catalogue. Public national master → 2026-27 differentiated fee €3,950; exemption to ~€254-255 depends on university quota (25% cap in 2027-28).</t>
        </is>
      </c>
      <c r="X670" s="25" t="inlineStr">
        <is>
          <t>Medium</t>
        </is>
      </c>
      <c r="Y670" s="25" t="n"/>
      <c r="Z670" s="26" t="n"/>
      <c r="AA670" s="26" t="n"/>
      <c r="AB670" s="25" t="n"/>
      <c r="AC670" s="25" t="inlineStr">
        <is>
          <t>Closed</t>
        </is>
      </c>
      <c r="AD670" s="25" t="n"/>
      <c r="AE670" s="25" t="n"/>
      <c r="AF670" s="25" t="inlineStr">
        <is>
          <t>No</t>
        </is>
      </c>
      <c r="AG670" s="28" t="inlineStr">
        <is>
          <t>http://www.ens.fr</t>
        </is>
      </c>
      <c r="AH670" s="26" t="n"/>
      <c r="AI670" s="28" t="inlineStr">
        <is>
          <t>Open in EEF</t>
        </is>
      </c>
    </row>
    <row r="671" ht="22.35" customHeight="1" s="19">
      <c r="A671" s="25" t="n">
        <v>670</v>
      </c>
      <c r="B671" s="25" t="inlineStr">
        <is>
          <t>★★★☆☆</t>
        </is>
      </c>
      <c r="C671" s="25" t="inlineStr">
        <is>
          <t>3 – Adjacent (AI/data/CS/cyber/energy)</t>
        </is>
      </c>
      <c r="D671" s="25" t="inlineStr">
        <is>
          <t>Computer science / Software</t>
        </is>
      </c>
      <c r="E671" s="26" t="inlineStr">
        <is>
          <t>Master Sciences, technologies, santé, mention informatique</t>
        </is>
      </c>
      <c r="F671" s="26" t="inlineStr">
        <is>
          <t>Master Science, Technology, Health (STS), – major: Computer Science</t>
        </is>
      </c>
      <c r="G671" s="25" t="inlineStr">
        <is>
          <t>Master indifférencié (recherche et professionnel)</t>
        </is>
      </c>
      <c r="H671" s="25" t="inlineStr">
        <is>
          <t>ISIMA</t>
        </is>
      </c>
      <c r="I671" s="25" t="inlineStr">
        <is>
          <t>Université Clermont Auvergne</t>
        </is>
      </c>
      <c r="J671" s="25" t="inlineStr">
        <is>
          <t>Site de Aubière</t>
        </is>
      </c>
      <c r="K671" s="25" t="n"/>
      <c r="L671" s="25" t="inlineStr">
        <is>
          <t>Public university</t>
        </is>
      </c>
      <c r="M671" s="25" t="inlineStr">
        <is>
          <t>French</t>
        </is>
      </c>
      <c r="N671" s="25" t="inlineStr">
        <is>
          <t>General</t>
        </is>
      </c>
      <c r="O671" s="25" t="inlineStr">
        <is>
          <t>Bac +4 / Bac +5</t>
        </is>
      </c>
      <c r="P671" s="26" t="inlineStr">
        <is>
          <t>Eligible on level (4-yr BS ≈ Bac+4)</t>
        </is>
      </c>
      <c r="Q671" s="25" t="inlineStr">
        <is>
          <t>1/2</t>
        </is>
      </c>
      <c r="R671" s="25" t="n"/>
      <c r="S671" s="27" t="n">
        <v>3950</v>
      </c>
      <c r="T671" s="27" t="n">
        <v>255</v>
      </c>
      <c r="U671" s="25" t="n">
        <v>2</v>
      </c>
      <c r="V671" s="27">
        <f>IF(S671="","",S671*U671)</f>
        <v/>
      </c>
      <c r="W671" s="26" t="inlineStr">
        <is>
          <t>Not in catalogue. Public national master → 2026-27 differentiated fee €3,950; exemption to ~€254-255 depends on university quota (25% cap in 2027-28).</t>
        </is>
      </c>
      <c r="X671" s="25" t="inlineStr">
        <is>
          <t>Medium</t>
        </is>
      </c>
      <c r="Y671" s="25" t="n"/>
      <c r="Z671" s="26" t="n"/>
      <c r="AA671" s="26" t="inlineStr">
        <is>
          <t>UCA board (Dec 2025) kept its partial-exemption framework for 2026-27 (pre-decree; re-check).</t>
        </is>
      </c>
      <c r="AB671" s="28" t="inlineStr">
        <is>
          <t>https://www.uca.fr/medias/fichier/delib-ca-20251205-15-tarifs-differencies_1765204050111-pdf</t>
        </is>
      </c>
      <c r="AC671" s="25" t="inlineStr">
        <is>
          <t>Open</t>
        </is>
      </c>
      <c r="AD671" s="25" t="inlineStr">
        <is>
          <t>2026-10-01</t>
        </is>
      </c>
      <c r="AE671" s="25" t="inlineStr">
        <is>
          <t>2027-03-15</t>
        </is>
      </c>
      <c r="AF671" s="25" t="inlineStr">
        <is>
          <t>No</t>
        </is>
      </c>
      <c r="AG671" s="28" t="inlineStr">
        <is>
          <t>https://www.uca.fr/formation/nos-formations/catalogue-des-formations/master-info</t>
        </is>
      </c>
      <c r="AH671" s="26" t="inlineStr">
        <is>
          <t>Licence Informatique ou équivalent pour l'admission en M1. M1 Informatique ou équivalent pour l'admission en M2. Niveau B2 en français.</t>
        </is>
      </c>
      <c r="AI671" s="28" t="inlineStr">
        <is>
          <t>Open in EEF</t>
        </is>
      </c>
    </row>
    <row r="672" ht="32.8" customHeight="1" s="19">
      <c r="A672" s="25" t="n">
        <v>671</v>
      </c>
      <c r="B672" s="25" t="inlineStr">
        <is>
          <t>★★★☆☆</t>
        </is>
      </c>
      <c r="C672" s="25" t="inlineStr">
        <is>
          <t>3 – Adjacent (AI/data/CS/cyber/energy)</t>
        </is>
      </c>
      <c r="D672" s="25" t="inlineStr">
        <is>
          <t>AI / Data science</t>
        </is>
      </c>
      <c r="E672" s="26" t="inlineStr">
        <is>
          <t>Master Sciences, technologies, santé mention informatique Machine learning pour la science des données</t>
        </is>
      </c>
      <c r="F672" s="26" t="inlineStr">
        <is>
          <t>Master Science, Technology, Health (STS) – major: Computer Science Machine learning for the Data Science</t>
        </is>
      </c>
      <c r="G672" s="25" t="inlineStr">
        <is>
          <t>Master indifférencié (recherche et professionnel)</t>
        </is>
      </c>
      <c r="H672" s="25" t="inlineStr">
        <is>
          <t>UFR des Sciences Fondamentales et Biomédicales</t>
        </is>
      </c>
      <c r="I672" s="25" t="inlineStr">
        <is>
          <t>Université Paris Cité</t>
        </is>
      </c>
      <c r="J672" s="25" t="inlineStr">
        <is>
          <t>Site de Paris</t>
        </is>
      </c>
      <c r="K672" s="25" t="inlineStr">
        <is>
          <t>75006 Paris</t>
        </is>
      </c>
      <c r="L672" s="25" t="inlineStr">
        <is>
          <t>Public university</t>
        </is>
      </c>
      <c r="M672" s="25" t="inlineStr">
        <is>
          <t>French</t>
        </is>
      </c>
      <c r="N672" s="25" t="inlineStr">
        <is>
          <t>General</t>
        </is>
      </c>
      <c r="O672" s="25" t="inlineStr">
        <is>
          <t>Bac +4 / Bac +5</t>
        </is>
      </c>
      <c r="P672" s="26" t="inlineStr">
        <is>
          <t>Eligible on level (4-yr BS ≈ Bac+4)</t>
        </is>
      </c>
      <c r="Q672" s="25" t="inlineStr">
        <is>
          <t>1/2</t>
        </is>
      </c>
      <c r="R672" s="25" t="n"/>
      <c r="S672" s="27" t="n">
        <v>3950</v>
      </c>
      <c r="T672" s="27" t="n">
        <v>255</v>
      </c>
      <c r="U672" s="25" t="n">
        <v>2</v>
      </c>
      <c r="V672" s="27">
        <f>IF(S672="","",S672*U672)</f>
        <v/>
      </c>
      <c r="W672" s="26" t="inlineStr">
        <is>
          <t>Not in catalogue. Public national master → 2026-27 differentiated fee €3,950; exemption to ~€254-255 depends on university quota (25% cap in 2027-28).</t>
        </is>
      </c>
      <c r="X672" s="25" t="inlineStr">
        <is>
          <t>Medium</t>
        </is>
      </c>
      <c r="Y672" s="25" t="n"/>
      <c r="Z672" s="26" t="n"/>
      <c r="AA672" s="26" t="inlineStr">
        <is>
          <t>Paris Cité historically exempted non-EU master students (paid EU rate). 2026-27/2027-28 policy not yet published – confirm.</t>
        </is>
      </c>
      <c r="AB672" s="28" t="inlineStr">
        <is>
          <t>https://u-paris.fr/droits-dinscription-tarifs-exonerations/</t>
        </is>
      </c>
      <c r="AC672" s="25" t="inlineStr">
        <is>
          <t>Open</t>
        </is>
      </c>
      <c r="AD672" s="25" t="inlineStr">
        <is>
          <t>2026-10-01</t>
        </is>
      </c>
      <c r="AE672" s="25" t="inlineStr">
        <is>
          <t>2027-03-15</t>
        </is>
      </c>
      <c r="AF672" s="25" t="inlineStr">
        <is>
          <t>No</t>
        </is>
      </c>
      <c r="AG672" s="28" t="inlineStr">
        <is>
          <t>https://odf.u-paris.fr/fr/offre-de-formation/master-XB/sciences-technologies-sante-STS/informatique-K2NDIF4R.html</t>
        </is>
      </c>
      <c r="AH672" s="26" t="inlineStr">
        <is>
          <t>https://odf.u-paris.fr/fr/offre-de-formation/master-XB/sciences-technologies-sante-STS/informatique-K2NDIF4R.html Droits d’inscriptions différenciés 2027-2028, pour plus d’informations : https://u-pariscite.fr/droits-din</t>
        </is>
      </c>
      <c r="AI672" s="28" t="inlineStr">
        <is>
          <t>Open in EEF</t>
        </is>
      </c>
    </row>
    <row r="673" ht="32.8" customHeight="1" s="19">
      <c r="A673" s="25" t="n">
        <v>672</v>
      </c>
      <c r="B673" s="25" t="inlineStr">
        <is>
          <t>★★★☆☆</t>
        </is>
      </c>
      <c r="C673" s="25" t="inlineStr">
        <is>
          <t>3 – Adjacent (AI/data/CS/cyber/energy)</t>
        </is>
      </c>
      <c r="D673" s="25" t="inlineStr">
        <is>
          <t>AI / Data science</t>
        </is>
      </c>
      <c r="E673" s="26" t="inlineStr">
        <is>
          <t>Master Sciences, technologies, santé mention informatique parcours Données, connaissances et intelligence (DCI)</t>
        </is>
      </c>
      <c r="F673" s="26" t="inlineStr">
        <is>
          <t>Master Science, Technology, Health (STS) – major: Computer Science – track: Data, Knowledge &amp; intelligence (DCI)</t>
        </is>
      </c>
      <c r="G673" s="25" t="inlineStr">
        <is>
          <t>Master indifférencié (recherche et professionnel)</t>
        </is>
      </c>
      <c r="H673" s="25" t="inlineStr">
        <is>
          <t>UFR Mathématiques et informatique</t>
        </is>
      </c>
      <c r="I673" s="25" t="inlineStr">
        <is>
          <t>Université Paris Cité</t>
        </is>
      </c>
      <c r="J673" s="25" t="inlineStr">
        <is>
          <t>Site de Paris</t>
        </is>
      </c>
      <c r="K673" s="25" t="inlineStr">
        <is>
          <t>75006 Paris</t>
        </is>
      </c>
      <c r="L673" s="25" t="inlineStr">
        <is>
          <t>Public university</t>
        </is>
      </c>
      <c r="M673" s="25" t="inlineStr">
        <is>
          <t>French</t>
        </is>
      </c>
      <c r="N673" s="25" t="inlineStr">
        <is>
          <t>General</t>
        </is>
      </c>
      <c r="O673" s="25" t="inlineStr">
        <is>
          <t>Bac +4</t>
        </is>
      </c>
      <c r="P673" s="26" t="inlineStr">
        <is>
          <t>Eligible on level (4-yr BS ≈ Bac+4)</t>
        </is>
      </c>
      <c r="Q673" s="25" t="inlineStr">
        <is>
          <t>1</t>
        </is>
      </c>
      <c r="R673" s="25" t="n"/>
      <c r="S673" s="27" t="n">
        <v>3950</v>
      </c>
      <c r="T673" s="27" t="n">
        <v>255</v>
      </c>
      <c r="U673" s="25" t="n">
        <v>2</v>
      </c>
      <c r="V673" s="27">
        <f>IF(S673="","",S673*U673)</f>
        <v/>
      </c>
      <c r="W673" s="26" t="inlineStr">
        <is>
          <t>Not in catalogue. Public national master → 2026-27 differentiated fee €3,950; exemption to ~€254-255 depends on university quota (25% cap in 2027-28).</t>
        </is>
      </c>
      <c r="X673" s="25" t="inlineStr">
        <is>
          <t>Medium</t>
        </is>
      </c>
      <c r="Y673" s="25" t="n"/>
      <c r="Z673" s="26" t="n"/>
      <c r="AA673" s="26" t="inlineStr">
        <is>
          <t>Paris Cité historically exempted non-EU master students (paid EU rate). 2026-27/2027-28 policy not yet published – confirm.</t>
        </is>
      </c>
      <c r="AB673" s="28" t="inlineStr">
        <is>
          <t>https://u-paris.fr/droits-dinscription-tarifs-exonerations/</t>
        </is>
      </c>
      <c r="AC673" s="25" t="inlineStr">
        <is>
          <t>Open</t>
        </is>
      </c>
      <c r="AD673" s="25" t="inlineStr">
        <is>
          <t>2026-10-01</t>
        </is>
      </c>
      <c r="AE673" s="25" t="inlineStr">
        <is>
          <t>2027-03-15</t>
        </is>
      </c>
      <c r="AF673" s="25" t="inlineStr">
        <is>
          <t>No</t>
        </is>
      </c>
      <c r="AG673" s="28" t="inlineStr">
        <is>
          <t>https://math-info.u-paris.fr/</t>
        </is>
      </c>
      <c r="AH673" s="26" t="inlineStr">
        <is>
          <t>Minimum Niveau C1 de la langue française. https://math-info.u-paris.fr/master-informatique/ Droits d’inscriptions différenciés 2027-2028, pour plus d’informations : https://u-pariscite.fr/droits-dinscription-tarifs-exone</t>
        </is>
      </c>
      <c r="AI673" s="28" t="inlineStr">
        <is>
          <t>Open in EEF</t>
        </is>
      </c>
    </row>
    <row r="674" ht="22.35" customHeight="1" s="19">
      <c r="A674" s="25" t="n">
        <v>673</v>
      </c>
      <c r="B674" s="25" t="inlineStr">
        <is>
          <t>★★★☆☆</t>
        </is>
      </c>
      <c r="C674" s="25" t="inlineStr">
        <is>
          <t>3 – Adjacent (AI/data/CS/cyber/energy)</t>
        </is>
      </c>
      <c r="D674" s="25" t="inlineStr">
        <is>
          <t>Cybersecurity</t>
        </is>
      </c>
      <c r="E674" s="26" t="inlineStr">
        <is>
          <t>Master Sciences, technologies, santé mention informatique parcours Cryptologie, Calcul haute-performance et Algorithmique (CCA)</t>
        </is>
      </c>
      <c r="F674" s="26" t="inlineStr">
        <is>
          <t>Master Science, Technology, Health (STS) – major: Computer Science – track: Cryptology, Computing haute-performance &amp; Algorithmics (CCA)</t>
        </is>
      </c>
      <c r="G674" s="25" t="inlineStr">
        <is>
          <t>Master indifférencié (recherche et professionnel)</t>
        </is>
      </c>
      <c r="H674" s="25" t="inlineStr">
        <is>
          <t>Sciences et Ingénierie</t>
        </is>
      </c>
      <c r="I674" s="25" t="inlineStr">
        <is>
          <t>Sorbonne Université</t>
        </is>
      </c>
      <c r="J674" s="25" t="inlineStr">
        <is>
          <t>Site de Paris</t>
        </is>
      </c>
      <c r="K674" s="25" t="n"/>
      <c r="L674" s="25" t="inlineStr">
        <is>
          <t>Public university</t>
        </is>
      </c>
      <c r="M674" s="25" t="inlineStr">
        <is>
          <t>French</t>
        </is>
      </c>
      <c r="N674" s="25" t="inlineStr">
        <is>
          <t>General</t>
        </is>
      </c>
      <c r="O674" s="25" t="inlineStr">
        <is>
          <t>Bac +4 / Bac +5</t>
        </is>
      </c>
      <c r="P674" s="26" t="inlineStr">
        <is>
          <t>Eligible on level (4-yr BS ≈ Bac+4)</t>
        </is>
      </c>
      <c r="Q674" s="25" t="inlineStr">
        <is>
          <t>1/2</t>
        </is>
      </c>
      <c r="R674" s="25" t="n"/>
      <c r="S674" s="27" t="n">
        <v>3950</v>
      </c>
      <c r="T674" s="27" t="n">
        <v>255</v>
      </c>
      <c r="U674" s="25" t="n">
        <v>2</v>
      </c>
      <c r="V674" s="27">
        <f>IF(S674="","",S674*U674)</f>
        <v/>
      </c>
      <c r="W674" s="26" t="inlineStr">
        <is>
          <t>Not in catalogue. Public national master → 2026-27 differentiated fee €3,950; exemption to ~€254-255 depends on university quota (25% cap in 2027-28).</t>
        </is>
      </c>
      <c r="X674" s="25" t="inlineStr">
        <is>
          <t>Medium</t>
        </is>
      </c>
      <c r="Y674" s="25" t="n"/>
      <c r="Z674" s="26" t="n"/>
      <c r="AA674" s="26" t="inlineStr">
        <is>
          <t>Board vote 7 Jul 2026: Sorbonne Université says it can exempt all eligible non-EU applicants (pay same as EU, ~€254) for 2026-27.</t>
        </is>
      </c>
      <c r="AB674" s="28" t="inlineStr">
        <is>
          <t>https://www.sorbonne-universite.fr/actualites/le-conseil-dadministration-de-sorbonne-universite-vote-lunanimite-le-7-juillet-2026-sa</t>
        </is>
      </c>
      <c r="AC674" s="25" t="inlineStr">
        <is>
          <t>Open</t>
        </is>
      </c>
      <c r="AD674" s="25" t="inlineStr">
        <is>
          <t>2026-10-01</t>
        </is>
      </c>
      <c r="AE674" s="25" t="inlineStr">
        <is>
          <t>2027-03-15</t>
        </is>
      </c>
      <c r="AF674" s="25" t="inlineStr">
        <is>
          <t>No</t>
        </is>
      </c>
      <c r="AG674" s="28" t="inlineStr">
        <is>
          <t>https://sciences.sorbonne-universite.fr/formation-sciences/offre-de-formation/masters/master-informatique/parcours-cca</t>
        </is>
      </c>
      <c r="AH674" s="26" t="inlineStr">
        <is>
          <t>OUI</t>
        </is>
      </c>
      <c r="AI674" s="28" t="inlineStr">
        <is>
          <t>Open in EEF</t>
        </is>
      </c>
    </row>
    <row r="675" ht="22.35" customHeight="1" s="19">
      <c r="A675" s="25" t="n">
        <v>674</v>
      </c>
      <c r="B675" s="25" t="inlineStr">
        <is>
          <t>★★★☆☆</t>
        </is>
      </c>
      <c r="C675" s="25" t="inlineStr">
        <is>
          <t>3 – Adjacent (AI/data/CS/cyber/energy)</t>
        </is>
      </c>
      <c r="D675" s="25" t="inlineStr">
        <is>
          <t>AI / Data science</t>
        </is>
      </c>
      <c r="E675" s="26" t="inlineStr">
        <is>
          <t>Master Sciences, technologies, santé mention informatique parcours Sciences et ingénierie des données</t>
        </is>
      </c>
      <c r="F675" s="26" t="inlineStr">
        <is>
          <t>Master Science, Technology, Health (STS) – major: Computer Science – track: Science &amp; Engineering of Data</t>
        </is>
      </c>
      <c r="G675" s="25" t="inlineStr">
        <is>
          <t>Master indifférencié (recherche et professionnel)</t>
        </is>
      </c>
      <c r="H675" s="25" t="inlineStr">
        <is>
          <t>Faculté des Sciences et d'Ingénierie</t>
        </is>
      </c>
      <c r="I675" s="25" t="inlineStr">
        <is>
          <t>Université de Toulouse</t>
        </is>
      </c>
      <c r="J675" s="25" t="inlineStr">
        <is>
          <t>Site de Toulouse</t>
        </is>
      </c>
      <c r="K675" s="25" t="n"/>
      <c r="L675" s="25" t="inlineStr">
        <is>
          <t>Public university</t>
        </is>
      </c>
      <c r="M675" s="25" t="inlineStr">
        <is>
          <t>French</t>
        </is>
      </c>
      <c r="N675" s="25" t="inlineStr">
        <is>
          <t>General</t>
        </is>
      </c>
      <c r="O675" s="25" t="inlineStr">
        <is>
          <t>Bac +4 / Bac +5</t>
        </is>
      </c>
      <c r="P675" s="26" t="inlineStr">
        <is>
          <t>Eligible on level (4-yr BS ≈ Bac+4)</t>
        </is>
      </c>
      <c r="Q675" s="25" t="inlineStr">
        <is>
          <t>1/2</t>
        </is>
      </c>
      <c r="R675" s="25" t="n"/>
      <c r="S675" s="27" t="n">
        <v>3950</v>
      </c>
      <c r="T675" s="27" t="n">
        <v>255</v>
      </c>
      <c r="U675" s="25" t="n">
        <v>2</v>
      </c>
      <c r="V675" s="27">
        <f>IF(S675="","",S675*U675)</f>
        <v/>
      </c>
      <c r="W675" s="26" t="inlineStr">
        <is>
          <t>Not in catalogue. Public national master → 2026-27 differentiated fee €3,950; exemption to ~€254-255 depends on university quota (25% cap in 2027-28).</t>
        </is>
      </c>
      <c r="X675" s="25" t="inlineStr">
        <is>
          <t>Medium</t>
        </is>
      </c>
      <c r="Y675" s="25" t="n"/>
      <c r="Z675" s="26" t="n"/>
      <c r="AA675" s="26" t="inlineStr">
        <is>
          <t>Board decision (Feb 2026, pre-decree): partial exemption for ALL non-EU students subject to differentiated fees, until end of cycle. Re-check for 2027-28.</t>
        </is>
      </c>
      <c r="AB675" s="28" t="inlineStr">
        <is>
          <t>https://www.utoulouse.fr/medias/fichier/2026-02-ca-075_1774430647495-pdf</t>
        </is>
      </c>
      <c r="AC675" s="25" t="inlineStr">
        <is>
          <t>Open</t>
        </is>
      </c>
      <c r="AD675" s="25" t="inlineStr">
        <is>
          <t>2026-10-01</t>
        </is>
      </c>
      <c r="AE675" s="25" t="inlineStr">
        <is>
          <t>2027-03-15</t>
        </is>
      </c>
      <c r="AF675" s="25" t="inlineStr">
        <is>
          <t>No</t>
        </is>
      </c>
      <c r="AG675" s="28" t="inlineStr">
        <is>
          <t>https://www.univ-tlse3.fr/</t>
        </is>
      </c>
      <c r="AH675" s="26" t="inlineStr">
        <is>
          <t>https://www.univ-tlse3.fr/master-parcours-sciences-et-ingenierie-des-donnees-sid</t>
        </is>
      </c>
      <c r="AI675" s="28" t="inlineStr">
        <is>
          <t>Open in EEF</t>
        </is>
      </c>
    </row>
    <row r="676" ht="32.8" customHeight="1" s="19">
      <c r="A676" s="25" t="n">
        <v>675</v>
      </c>
      <c r="B676" s="25" t="inlineStr">
        <is>
          <t>★★★☆☆</t>
        </is>
      </c>
      <c r="C676" s="25" t="inlineStr">
        <is>
          <t>3 – Adjacent (AI/data/CS/cyber/energy)</t>
        </is>
      </c>
      <c r="D676" s="25" t="inlineStr">
        <is>
          <t>AI / Data science</t>
        </is>
      </c>
      <c r="E676" s="26" t="inlineStr">
        <is>
          <t>Master Sciences, technologies, santé, mention Mathématiques appliquées, statistique parcours Mathématiques pour la science des données et l’intelligence artificielle</t>
        </is>
      </c>
      <c r="F676" s="26" t="inlineStr">
        <is>
          <t>Master Science, Technology, Health (STS), – major: Applied Mathematics, Statistics – track: Mathematics for the Data Science &amp; l’Artificial Intelligence</t>
        </is>
      </c>
      <c r="G676" s="25" t="inlineStr">
        <is>
          <t>Master indifférencié (recherche et professionnel)</t>
        </is>
      </c>
      <c r="H676" s="25" t="inlineStr">
        <is>
          <t>Unité de formation de mathématiques et intéractions</t>
        </is>
      </c>
      <c r="I676" s="25" t="inlineStr">
        <is>
          <t>Université de Bordeaux</t>
        </is>
      </c>
      <c r="J676" s="25" t="inlineStr">
        <is>
          <t>Site de Talence</t>
        </is>
      </c>
      <c r="K676" s="25" t="n"/>
      <c r="L676" s="25" t="inlineStr">
        <is>
          <t>Public university</t>
        </is>
      </c>
      <c r="M676" s="25" t="inlineStr">
        <is>
          <t>French</t>
        </is>
      </c>
      <c r="N676" s="25" t="inlineStr">
        <is>
          <t>General</t>
        </is>
      </c>
      <c r="O676" s="25" t="inlineStr">
        <is>
          <t>Bac +4</t>
        </is>
      </c>
      <c r="P676" s="26" t="inlineStr">
        <is>
          <t>Eligible on level (4-yr BS ≈ Bac+4)</t>
        </is>
      </c>
      <c r="Q676" s="25" t="inlineStr">
        <is>
          <t>1</t>
        </is>
      </c>
      <c r="R676" s="25" t="n"/>
      <c r="S676" s="27" t="n">
        <v>3950</v>
      </c>
      <c r="T676" s="27" t="n">
        <v>255</v>
      </c>
      <c r="U676" s="25" t="n">
        <v>2</v>
      </c>
      <c r="V676" s="27">
        <f>IF(S676="","",S676*U676)</f>
        <v/>
      </c>
      <c r="W676" s="26" t="inlineStr">
        <is>
          <t>Not in catalogue. Public national master → 2026-27 differentiated fee €3,950; exemption to ~€254-255 depends on university quota (25% cap in 2027-28).</t>
        </is>
      </c>
      <c r="X676" s="25" t="inlineStr">
        <is>
          <t>Medium</t>
        </is>
      </c>
      <c r="Y676" s="25" t="n"/>
      <c r="Z676" s="26" t="n"/>
      <c r="AA676" s="26" t="n"/>
      <c r="AB676" s="25" t="n"/>
      <c r="AC676" s="25" t="inlineStr">
        <is>
          <t>Open</t>
        </is>
      </c>
      <c r="AD676" s="25" t="inlineStr">
        <is>
          <t>2026-10-01</t>
        </is>
      </c>
      <c r="AE676" s="25" t="inlineStr">
        <is>
          <t>2027-03-15</t>
        </is>
      </c>
      <c r="AF676" s="25" t="inlineStr">
        <is>
          <t>No</t>
        </is>
      </c>
      <c r="AG676" s="25" t="n"/>
      <c r="AH676" s="26" t="inlineStr">
        <is>
          <t>TCF B2. Prérequis de type licence de mathématiques, ingénierie mathématique ou MIASH, avec un bon niveau en programmation (Python). Lettre de recommandation d'enseignants locaux attestant d'un avis pour une poursuite d'é</t>
        </is>
      </c>
      <c r="AI676" s="28" t="inlineStr">
        <is>
          <t>Open in EEF</t>
        </is>
      </c>
    </row>
    <row r="677" ht="22.35" customHeight="1" s="19">
      <c r="A677" s="25" t="n">
        <v>676</v>
      </c>
      <c r="B677" s="25" t="inlineStr">
        <is>
          <t>★★★☆☆</t>
        </is>
      </c>
      <c r="C677" s="25" t="inlineStr">
        <is>
          <t>3 – Adjacent (AI/data/CS/cyber/energy)</t>
        </is>
      </c>
      <c r="D677" s="25" t="inlineStr">
        <is>
          <t>Other engineering / maths</t>
        </is>
      </c>
      <c r="E677" s="26" t="inlineStr">
        <is>
          <t>Master Sciences, technologies, santé mention mathématiques et applications</t>
        </is>
      </c>
      <c r="F677" s="26" t="inlineStr">
        <is>
          <t>Master Science, Technology, Health (STS) – major: Mathematics &amp; Applications</t>
        </is>
      </c>
      <c r="G677" s="25" t="inlineStr">
        <is>
          <t>Master indifférencié (recherche et professionnel)</t>
        </is>
      </c>
      <c r="H677" s="25" t="inlineStr">
        <is>
          <t>Ecole normale supérieure</t>
        </is>
      </c>
      <c r="I677" s="25" t="n"/>
      <c r="J677" s="25" t="inlineStr">
        <is>
          <t>Site de Paris</t>
        </is>
      </c>
      <c r="K677" s="25" t="n"/>
      <c r="L677" s="25" t="inlineStr">
        <is>
          <t>Public school / institute</t>
        </is>
      </c>
      <c r="M677" s="25" t="inlineStr">
        <is>
          <t>French</t>
        </is>
      </c>
      <c r="N677" s="25" t="inlineStr">
        <is>
          <t>General</t>
        </is>
      </c>
      <c r="O677" s="25" t="inlineStr">
        <is>
          <t>Bac +4</t>
        </is>
      </c>
      <c r="P677" s="26" t="inlineStr">
        <is>
          <t>Eligible on level (4-yr BS ≈ Bac+4)</t>
        </is>
      </c>
      <c r="Q677" s="25" t="inlineStr">
        <is>
          <t>1</t>
        </is>
      </c>
      <c r="R677" s="25" t="n"/>
      <c r="S677" s="27" t="n">
        <v>3950</v>
      </c>
      <c r="T677" s="27" t="n">
        <v>255</v>
      </c>
      <c r="U677" s="25" t="n">
        <v>2</v>
      </c>
      <c r="V677" s="27">
        <f>IF(S677="","",S677*U677)</f>
        <v/>
      </c>
      <c r="W677" s="26" t="inlineStr">
        <is>
          <t>Not in catalogue. Public national master → 2026-27 differentiated fee €3,950; exemption to ~€254-255 depends on university quota (25% cap in 2027-28).</t>
        </is>
      </c>
      <c r="X677" s="25" t="inlineStr">
        <is>
          <t>Medium</t>
        </is>
      </c>
      <c r="Y677" s="25" t="n"/>
      <c r="Z677" s="26" t="n"/>
      <c r="AA677" s="26" t="n"/>
      <c r="AB677" s="25" t="n"/>
      <c r="AC677" s="25" t="inlineStr">
        <is>
          <t>Closed</t>
        </is>
      </c>
      <c r="AD677" s="25" t="n"/>
      <c r="AE677" s="25" t="n"/>
      <c r="AF677" s="25" t="inlineStr">
        <is>
          <t>No</t>
        </is>
      </c>
      <c r="AG677" s="28" t="inlineStr">
        <is>
          <t>http://www.ens.fr</t>
        </is>
      </c>
      <c r="AH677" s="26" t="n"/>
      <c r="AI677" s="28" t="inlineStr">
        <is>
          <t>Open in EEF</t>
        </is>
      </c>
    </row>
    <row r="678" ht="22.35" customHeight="1" s="19">
      <c r="A678" s="25" t="n">
        <v>677</v>
      </c>
      <c r="B678" s="25" t="inlineStr">
        <is>
          <t>★★★☆☆</t>
        </is>
      </c>
      <c r="C678" s="25" t="inlineStr">
        <is>
          <t>3 – Adjacent (AI/data/CS/cyber/energy)</t>
        </is>
      </c>
      <c r="D678" s="25" t="inlineStr">
        <is>
          <t>Other engineering / maths</t>
        </is>
      </c>
      <c r="E678" s="26" t="inlineStr">
        <is>
          <t>Master Sciences, technologies, santé mention mathématiques et applications</t>
        </is>
      </c>
      <c r="F678" s="26" t="inlineStr">
        <is>
          <t>Master Science, Technology, Health (STS) – major: Mathematics &amp; Applications</t>
        </is>
      </c>
      <c r="G678" s="25" t="inlineStr">
        <is>
          <t>Master indifférencié (recherche et professionnel)</t>
        </is>
      </c>
      <c r="H678" s="25" t="inlineStr">
        <is>
          <t>Sciences et Ingénierie</t>
        </is>
      </c>
      <c r="I678" s="25" t="inlineStr">
        <is>
          <t>Sorbonne Université</t>
        </is>
      </c>
      <c r="J678" s="25" t="inlineStr">
        <is>
          <t>Site de Paris</t>
        </is>
      </c>
      <c r="K678" s="25" t="n"/>
      <c r="L678" s="25" t="inlineStr">
        <is>
          <t>Public university</t>
        </is>
      </c>
      <c r="M678" s="25" t="inlineStr">
        <is>
          <t>French</t>
        </is>
      </c>
      <c r="N678" s="25" t="inlineStr">
        <is>
          <t>General</t>
        </is>
      </c>
      <c r="O678" s="25" t="inlineStr">
        <is>
          <t>Bac +4</t>
        </is>
      </c>
      <c r="P678" s="26" t="inlineStr">
        <is>
          <t>Eligible on level (4-yr BS ≈ Bac+4)</t>
        </is>
      </c>
      <c r="Q678" s="25" t="inlineStr">
        <is>
          <t>1</t>
        </is>
      </c>
      <c r="R678" s="25" t="n"/>
      <c r="S678" s="27" t="n">
        <v>3950</v>
      </c>
      <c r="T678" s="27" t="n">
        <v>255</v>
      </c>
      <c r="U678" s="25" t="n">
        <v>2</v>
      </c>
      <c r="V678" s="27">
        <f>IF(S678="","",S678*U678)</f>
        <v/>
      </c>
      <c r="W678" s="26" t="inlineStr">
        <is>
          <t>Not in catalogue. Public national master → 2026-27 differentiated fee €3,950; exemption to ~€254-255 depends on university quota (25% cap in 2027-28).</t>
        </is>
      </c>
      <c r="X678" s="25" t="inlineStr">
        <is>
          <t>Medium</t>
        </is>
      </c>
      <c r="Y678" s="25" t="n"/>
      <c r="Z678" s="26" t="n"/>
      <c r="AA678" s="26" t="inlineStr">
        <is>
          <t>Board vote 7 Jul 2026: Sorbonne Université says it can exempt all eligible non-EU applicants (pay same as EU, ~€254) for 2026-27.</t>
        </is>
      </c>
      <c r="AB678" s="28" t="inlineStr">
        <is>
          <t>https://www.sorbonne-universite.fr/actualites/le-conseil-dadministration-de-sorbonne-universite-vote-lunanimite-le-7-juillet-2026-sa</t>
        </is>
      </c>
      <c r="AC678" s="25" t="inlineStr">
        <is>
          <t>Open</t>
        </is>
      </c>
      <c r="AD678" s="25" t="inlineStr">
        <is>
          <t>2026-10-01</t>
        </is>
      </c>
      <c r="AE678" s="25" t="inlineStr">
        <is>
          <t>2027-03-15</t>
        </is>
      </c>
      <c r="AF678" s="25" t="inlineStr">
        <is>
          <t>No</t>
        </is>
      </c>
      <c r="AG678" s="28" t="inlineStr">
        <is>
          <t>https://sciences.sorbonne-universite.fr/masters/master-mathematiques-et-applications</t>
        </is>
      </c>
      <c r="AH678" s="26" t="n"/>
      <c r="AI678" s="28" t="inlineStr">
        <is>
          <t>Open in EEF</t>
        </is>
      </c>
    </row>
    <row r="679" ht="22.35" customHeight="1" s="19">
      <c r="A679" s="25" t="n">
        <v>678</v>
      </c>
      <c r="B679" s="25" t="inlineStr">
        <is>
          <t>★★★☆☆</t>
        </is>
      </c>
      <c r="C679" s="25" t="inlineStr">
        <is>
          <t>3 – Adjacent (AI/data/CS/cyber/energy)</t>
        </is>
      </c>
      <c r="D679" s="25" t="inlineStr">
        <is>
          <t>AI / Data science</t>
        </is>
      </c>
      <c r="E679" s="26" t="inlineStr">
        <is>
          <t>Master Sciences, technologies, santé mention mathématiques et applications parcours Sciences des données pour l’ingénieur-e (SCDI)</t>
        </is>
      </c>
      <c r="F679" s="26" t="inlineStr">
        <is>
          <t>Master Science, Technology, Health (STS) – major: Mathematics &amp; Applications – track: Data Science for l’ingénieur-e (SCDI)</t>
        </is>
      </c>
      <c r="G679" s="25" t="inlineStr">
        <is>
          <t>Master indifférencié (recherche et professionnel)</t>
        </is>
      </c>
      <c r="H679" s="25" t="inlineStr">
        <is>
          <t>Sciences et Ingénierie</t>
        </is>
      </c>
      <c r="I679" s="25" t="inlineStr">
        <is>
          <t>Sorbonne Université</t>
        </is>
      </c>
      <c r="J679" s="25" t="inlineStr">
        <is>
          <t>Site de Paris</t>
        </is>
      </c>
      <c r="K679" s="25" t="n"/>
      <c r="L679" s="25" t="inlineStr">
        <is>
          <t>Public university</t>
        </is>
      </c>
      <c r="M679" s="25" t="inlineStr">
        <is>
          <t>French</t>
        </is>
      </c>
      <c r="N679" s="25" t="inlineStr">
        <is>
          <t>General</t>
        </is>
      </c>
      <c r="O679" s="25" t="inlineStr">
        <is>
          <t>Bac +4</t>
        </is>
      </c>
      <c r="P679" s="26" t="inlineStr">
        <is>
          <t>Eligible on level (4-yr BS ≈ Bac+4)</t>
        </is>
      </c>
      <c r="Q679" s="25" t="inlineStr">
        <is>
          <t>1</t>
        </is>
      </c>
      <c r="R679" s="25" t="n"/>
      <c r="S679" s="27" t="n">
        <v>3950</v>
      </c>
      <c r="T679" s="27" t="n">
        <v>255</v>
      </c>
      <c r="U679" s="25" t="n">
        <v>2</v>
      </c>
      <c r="V679" s="27">
        <f>IF(S679="","",S679*U679)</f>
        <v/>
      </c>
      <c r="W679" s="26" t="inlineStr">
        <is>
          <t>Not in catalogue. Public national master → 2026-27 differentiated fee €3,950; exemption to ~€254-255 depends on university quota (25% cap in 2027-28).</t>
        </is>
      </c>
      <c r="X679" s="25" t="inlineStr">
        <is>
          <t>Medium</t>
        </is>
      </c>
      <c r="Y679" s="25" t="n"/>
      <c r="Z679" s="26" t="n"/>
      <c r="AA679" s="26" t="inlineStr">
        <is>
          <t>Board vote 7 Jul 2026: Sorbonne Université says it can exempt all eligible non-EU applicants (pay same as EU, ~€254) for 2026-27.</t>
        </is>
      </c>
      <c r="AB679" s="28" t="inlineStr">
        <is>
          <t>https://www.sorbonne-universite.fr/actualites/le-conseil-dadministration-de-sorbonne-universite-vote-lunanimite-le-7-juillet-2026-sa</t>
        </is>
      </c>
      <c r="AC679" s="25" t="inlineStr">
        <is>
          <t>Open</t>
        </is>
      </c>
      <c r="AD679" s="25" t="inlineStr">
        <is>
          <t>2026-10-01</t>
        </is>
      </c>
      <c r="AE679" s="25" t="inlineStr">
        <is>
          <t>2027-03-15</t>
        </is>
      </c>
      <c r="AF679" s="25" t="inlineStr">
        <is>
          <t>No</t>
        </is>
      </c>
      <c r="AG679" s="28" t="inlineStr">
        <is>
          <t>https://sciences.sorbonne-universite.fr/masters/master-mathematiques-et-applications</t>
        </is>
      </c>
      <c r="AH679" s="26" t="n"/>
      <c r="AI679" s="28" t="inlineStr">
        <is>
          <t>Open in EEF</t>
        </is>
      </c>
    </row>
    <row r="680" ht="32.8" customHeight="1" s="19">
      <c r="A680" s="25" t="n">
        <v>679</v>
      </c>
      <c r="B680" s="25" t="inlineStr">
        <is>
          <t>★★★☆☆</t>
        </is>
      </c>
      <c r="C680" s="25" t="inlineStr">
        <is>
          <t>3 – Adjacent (AI/data/CS/cyber/energy)</t>
        </is>
      </c>
      <c r="D680" s="25" t="inlineStr">
        <is>
          <t>Computer science / Software</t>
        </is>
      </c>
      <c r="E680" s="26" t="inlineStr">
        <is>
          <t>Master Sciences, technologies, santé mention Méthodes informatiques appliquées à la gestion des entreprises - MIAGE parcours Ingénierie informatique responsable</t>
        </is>
      </c>
      <c r="F680" s="26" t="inlineStr">
        <is>
          <t>Master Science, Technology, Health (STS) – major: Methods informatiques Applied at the Management of Companies - MIAGE – track: Engineering Computer Science Manager</t>
        </is>
      </c>
      <c r="G680" s="25" t="inlineStr">
        <is>
          <t>Master indifférencié (recherche et professionnel)</t>
        </is>
      </c>
      <c r="H680" s="25" t="inlineStr">
        <is>
          <t>UFR d'informatique, mathématiques et mathématiques appliquées</t>
        </is>
      </c>
      <c r="I680" s="25" t="inlineStr">
        <is>
          <t>Université de Grenoble Alpes</t>
        </is>
      </c>
      <c r="J680" s="25" t="inlineStr">
        <is>
          <t>Site de Grenoble - Campus de Saint Martin d'Hères</t>
        </is>
      </c>
      <c r="K680" s="25" t="n"/>
      <c r="L680" s="25" t="inlineStr">
        <is>
          <t>Public university</t>
        </is>
      </c>
      <c r="M680" s="25" t="inlineStr">
        <is>
          <t>French</t>
        </is>
      </c>
      <c r="N680" s="25" t="inlineStr">
        <is>
          <t>General</t>
        </is>
      </c>
      <c r="O680" s="25" t="inlineStr">
        <is>
          <t>Bac +4</t>
        </is>
      </c>
      <c r="P680" s="26" t="inlineStr">
        <is>
          <t>Eligible on level (4-yr BS ≈ Bac+4)</t>
        </is>
      </c>
      <c r="Q680" s="25" t="inlineStr">
        <is>
          <t>1</t>
        </is>
      </c>
      <c r="R680" s="25" t="n"/>
      <c r="S680" s="27" t="n">
        <v>3950</v>
      </c>
      <c r="T680" s="27" t="n">
        <v>255</v>
      </c>
      <c r="U680" s="25" t="n">
        <v>2</v>
      </c>
      <c r="V680" s="27">
        <f>IF(S680="","",S680*U680)</f>
        <v/>
      </c>
      <c r="W680" s="26" t="inlineStr">
        <is>
          <t>Not in catalogue. Public national master → 2026-27 differentiated fee €3,950; exemption to ~€254-255 depends on university quota (25% cap in 2027-28).</t>
        </is>
      </c>
      <c r="X680" s="25" t="inlineStr">
        <is>
          <t>Medium</t>
        </is>
      </c>
      <c r="Y680" s="25" t="n"/>
      <c r="Z680" s="26" t="n"/>
      <c r="AA680" s="26" t="inlineStr">
        <is>
          <t>UGA (incl. Grenoble INP masters): 2026-27 broad exemptions on request (pay national €254). From 2027-28 the decree caps apply; exemptions based on resources.</t>
        </is>
      </c>
      <c r="AB680" s="28" t="inlineStr">
        <is>
          <t>https://www.univ-grenoble-alpes.fr/actualites/a-la-une/actualites-universite/etudiants-internationaux-ce-que-change-le-nouveau-decret-sur-les-droits-d-inscription-a-l-uga-1775870.kjsp</t>
        </is>
      </c>
      <c r="AC680" s="25" t="inlineStr">
        <is>
          <t>Open</t>
        </is>
      </c>
      <c r="AD680" s="25" t="inlineStr">
        <is>
          <t>2026-10-01</t>
        </is>
      </c>
      <c r="AE680" s="25" t="inlineStr">
        <is>
          <t>2027-03-15</t>
        </is>
      </c>
      <c r="AF680" s="25" t="inlineStr">
        <is>
          <t>No</t>
        </is>
      </c>
      <c r="AG680" s="28" t="inlineStr">
        <is>
          <t>https://formations.univ-grenoble-alpes.fr/fr/catalogue-2021/master-XB/master-methodes-informatiques-appliquees-a-la-gestion-des-entreprises-miage-KPWBYAF2.html</t>
        </is>
      </c>
      <c r="AH680" s="26" t="inlineStr">
        <is>
          <t>Les acquis d'une licence MIAGE de France sont attendus : - 2 mois de stage informatique ou expérience en entreprise minimum déjà effectués; - au minimum un bac+3 informatique déjà acquis au dépôt de candidature Analyser</t>
        </is>
      </c>
      <c r="AI680" s="28" t="inlineStr">
        <is>
          <t>Open in EEF</t>
        </is>
      </c>
    </row>
    <row r="681" ht="32.8" customHeight="1" s="19">
      <c r="A681" s="25" t="n">
        <v>680</v>
      </c>
      <c r="B681" s="25" t="inlineStr">
        <is>
          <t>★★★☆☆</t>
        </is>
      </c>
      <c r="C681" s="25" t="inlineStr">
        <is>
          <t>3 – Adjacent (AI/data/CS/cyber/energy)</t>
        </is>
      </c>
      <c r="D681" s="25" t="inlineStr">
        <is>
          <t>AI / Data science</t>
        </is>
      </c>
      <c r="E681" s="26" t="inlineStr">
        <is>
          <t>Master Sciences, technologies, santé mention méthodes informatiques appliquées à la gestion des entreprises parcours Valorisation et protection des données de l'entreprise</t>
        </is>
      </c>
      <c r="F681" s="26" t="inlineStr">
        <is>
          <t>Master Science, Technology, Health (STS) – major: Methods informatiques Applied at the Management of Companies – track: Valorisation &amp; Protection of Data of the Company</t>
        </is>
      </c>
      <c r="G681" s="25" t="inlineStr">
        <is>
          <t>Master indifférencié (recherche et professionnel)</t>
        </is>
      </c>
      <c r="H681" s="25" t="inlineStr">
        <is>
          <t>UFR Mathématiques et informatique</t>
        </is>
      </c>
      <c r="I681" s="25" t="inlineStr">
        <is>
          <t>Université Paris Cité</t>
        </is>
      </c>
      <c r="J681" s="25" t="inlineStr">
        <is>
          <t>Site de Paris</t>
        </is>
      </c>
      <c r="K681" s="25" t="inlineStr">
        <is>
          <t>75006 Paris</t>
        </is>
      </c>
      <c r="L681" s="25" t="inlineStr">
        <is>
          <t>Public university</t>
        </is>
      </c>
      <c r="M681" s="25" t="inlineStr">
        <is>
          <t>French</t>
        </is>
      </c>
      <c r="N681" s="25" t="inlineStr">
        <is>
          <t>General</t>
        </is>
      </c>
      <c r="O681" s="25" t="inlineStr">
        <is>
          <t>Bac +4</t>
        </is>
      </c>
      <c r="P681" s="26" t="inlineStr">
        <is>
          <t>Eligible on level (4-yr BS ≈ Bac+4)</t>
        </is>
      </c>
      <c r="Q681" s="25" t="inlineStr">
        <is>
          <t>1</t>
        </is>
      </c>
      <c r="R681" s="25" t="n"/>
      <c r="S681" s="27" t="n">
        <v>3950</v>
      </c>
      <c r="T681" s="27" t="n">
        <v>255</v>
      </c>
      <c r="U681" s="25" t="n">
        <v>2</v>
      </c>
      <c r="V681" s="27">
        <f>IF(S681="","",S681*U681)</f>
        <v/>
      </c>
      <c r="W681" s="26" t="inlineStr">
        <is>
          <t>Not in catalogue. Public national master → 2026-27 differentiated fee €3,950; exemption to ~€254-255 depends on university quota (25% cap in 2027-28).</t>
        </is>
      </c>
      <c r="X681" s="25" t="inlineStr">
        <is>
          <t>Medium</t>
        </is>
      </c>
      <c r="Y681" s="25" t="n"/>
      <c r="Z681" s="26" t="n"/>
      <c r="AA681" s="26" t="inlineStr">
        <is>
          <t>Paris Cité historically exempted non-EU master students (paid EU rate). 2026-27/2027-28 policy not yet published – confirm.</t>
        </is>
      </c>
      <c r="AB681" s="28" t="inlineStr">
        <is>
          <t>https://u-paris.fr/droits-dinscription-tarifs-exonerations/</t>
        </is>
      </c>
      <c r="AC681" s="25" t="inlineStr">
        <is>
          <t>Open</t>
        </is>
      </c>
      <c r="AD681" s="25" t="inlineStr">
        <is>
          <t>2026-10-01</t>
        </is>
      </c>
      <c r="AE681" s="25" t="inlineStr">
        <is>
          <t>2027-03-15</t>
        </is>
      </c>
      <c r="AF681" s="25" t="inlineStr">
        <is>
          <t>No</t>
        </is>
      </c>
      <c r="AG681" s="28" t="inlineStr">
        <is>
          <t>https://math-info.u-paris.fr/</t>
        </is>
      </c>
      <c r="AH681" s="26" t="inlineStr">
        <is>
          <t>Minimum Niveau C1 de la langue française. https://math-info.u-paris.fr/master-miage/ Droits d’inscriptions différenciés 2027-2028, pour plus d’informations : https://u-pariscite.fr/droits-dinscription-tarifs-exonerations</t>
        </is>
      </c>
      <c r="AI681" s="28" t="inlineStr">
        <is>
          <t>Open in EEF</t>
        </is>
      </c>
    </row>
    <row r="682" ht="32.8" customHeight="1" s="19">
      <c r="A682" s="25" t="n">
        <v>681</v>
      </c>
      <c r="B682" s="25" t="inlineStr">
        <is>
          <t>★★★☆☆</t>
        </is>
      </c>
      <c r="C682" s="25" t="inlineStr">
        <is>
          <t>3 – Adjacent (AI/data/CS/cyber/energy)</t>
        </is>
      </c>
      <c r="D682" s="25" t="inlineStr">
        <is>
          <t>Bioinformatics</t>
        </is>
      </c>
      <c r="E682" s="26" t="inlineStr">
        <is>
          <t>Master Sciences, technologies, santé mention sciences du vivant parcours BioInformatique et Biologie Computationnelle (BBC)</t>
        </is>
      </c>
      <c r="F682" s="26" t="inlineStr">
        <is>
          <t>Master Science, Technology, Health (STS) – major: Sciences of Life – track: Bioinformatics &amp; Biology Computational (BBC)</t>
        </is>
      </c>
      <c r="G682" s="25" t="inlineStr">
        <is>
          <t>Master indifférencié (recherche et professionnel)</t>
        </is>
      </c>
      <c r="H682" s="25" t="inlineStr">
        <is>
          <t>Sciences</t>
        </is>
      </c>
      <c r="I682" s="25" t="inlineStr">
        <is>
          <t>Université Côte d'Azur</t>
        </is>
      </c>
      <c r="J682" s="25" t="inlineStr">
        <is>
          <t>Site de Nice</t>
        </is>
      </c>
      <c r="K682" s="25" t="n"/>
      <c r="L682" s="25" t="inlineStr">
        <is>
          <t>Public university</t>
        </is>
      </c>
      <c r="M682" s="25" t="inlineStr">
        <is>
          <t>French</t>
        </is>
      </c>
      <c r="N682" s="25" t="inlineStr">
        <is>
          <t>General</t>
        </is>
      </c>
      <c r="O682" s="25" t="inlineStr">
        <is>
          <t>Bac +4 / Bac +5</t>
        </is>
      </c>
      <c r="P682" s="26" t="inlineStr">
        <is>
          <t>Eligible on level (4-yr BS ≈ Bac+4)</t>
        </is>
      </c>
      <c r="Q682" s="25" t="inlineStr">
        <is>
          <t>1/2</t>
        </is>
      </c>
      <c r="R682" s="25" t="n"/>
      <c r="S682" s="27" t="n">
        <v>3950</v>
      </c>
      <c r="T682" s="27" t="n">
        <v>255</v>
      </c>
      <c r="U682" s="25" t="n">
        <v>2</v>
      </c>
      <c r="V682" s="27">
        <f>IF(S682="","",S682*U682)</f>
        <v/>
      </c>
      <c r="W682" s="26" t="inlineStr">
        <is>
          <t>Not in catalogue. Public national master → 2026-27 differentiated fee €3,950; exemption to ~€254-255 depends on university quota (25% cap in 2027-28).</t>
        </is>
      </c>
      <c r="X682" s="25" t="inlineStr">
        <is>
          <t>Medium</t>
        </is>
      </c>
      <c r="Y682" s="25" t="n"/>
      <c r="Z682" s="26" t="inlineStr">
        <is>
          <t>en Licence: 2 895€ / en Master: 3 941€ (à titre indicatif) Voici un lien utile : https:/ … en Licence: 2 895€ / en Master: 3 941€ (à titre indicatif) Voici un lien utile : https:/</t>
        </is>
      </c>
      <c r="AA682" s="26" t="n"/>
      <c r="AB682" s="25" t="n"/>
      <c r="AC682" s="25" t="inlineStr">
        <is>
          <t>Open</t>
        </is>
      </c>
      <c r="AD682" s="25" t="inlineStr">
        <is>
          <t>2026-10-01</t>
        </is>
      </c>
      <c r="AE682" s="25" t="inlineStr">
        <is>
          <t>2027-03-15</t>
        </is>
      </c>
      <c r="AF682" s="25" t="inlineStr">
        <is>
          <t>No</t>
        </is>
      </c>
      <c r="AG682" s="28" t="inlineStr">
        <is>
          <t>https://univ-cotedazur.fr/formation/offre-de-formation/parcours-biologie-bioinformatique-computationnelle</t>
        </is>
      </c>
      <c r="AH682" s="26" t="inlineStr">
        <is>
          <t>Compétences linguistique B2/C1 en Français, niveau au moins B2 en anglais Niveau académique démontrant une très bonne maitrise des thématiques inhérentes à chaque parcours</t>
        </is>
      </c>
      <c r="AI682" s="28" t="inlineStr">
        <is>
          <t>Open in EEF</t>
        </is>
      </c>
    </row>
    <row r="683" ht="32.8" customHeight="1" s="19">
      <c r="A683" s="25" t="n">
        <v>682</v>
      </c>
      <c r="B683" s="25" t="inlineStr">
        <is>
          <t>★★★☆☆</t>
        </is>
      </c>
      <c r="C683" s="25" t="inlineStr">
        <is>
          <t>3 – Adjacent (AI/data/CS/cyber/energy)</t>
        </is>
      </c>
      <c r="D683" s="25" t="inlineStr">
        <is>
          <t>AI / Data science</t>
        </is>
      </c>
      <c r="E683" s="26" t="inlineStr">
        <is>
          <t>Master professionnel Sciences, technologies, santé mention Mathématiques appliquées, statistique parcours Science des données</t>
        </is>
      </c>
      <c r="F683" s="26" t="inlineStr">
        <is>
          <t>Professional Master Science, Technology, Health (STS) – major: Applied Mathematics, Statistics – track: Data Science</t>
        </is>
      </c>
      <c r="G683" s="25" t="inlineStr">
        <is>
          <t>Master professionnel</t>
        </is>
      </c>
      <c r="H683" s="25" t="inlineStr">
        <is>
          <t>UFR Sciences Sociales</t>
        </is>
      </c>
      <c r="I683" s="25" t="inlineStr">
        <is>
          <t>Université Rennes 2</t>
        </is>
      </c>
      <c r="J683" s="25" t="inlineStr">
        <is>
          <t>Campus Villejean - Site de RENNES</t>
        </is>
      </c>
      <c r="K683" s="25" t="inlineStr">
        <is>
          <t>24307</t>
        </is>
      </c>
      <c r="L683" s="25" t="inlineStr">
        <is>
          <t>Public university</t>
        </is>
      </c>
      <c r="M683" s="25" t="inlineStr">
        <is>
          <t>French</t>
        </is>
      </c>
      <c r="N683" s="25" t="inlineStr">
        <is>
          <t>General</t>
        </is>
      </c>
      <c r="O683" s="25" t="inlineStr">
        <is>
          <t>Bac +4</t>
        </is>
      </c>
      <c r="P683" s="26" t="inlineStr">
        <is>
          <t>Eligible on level (4-yr BS ≈ Bac+4)</t>
        </is>
      </c>
      <c r="Q683" s="25" t="inlineStr">
        <is>
          <t>1</t>
        </is>
      </c>
      <c r="R683" s="25" t="inlineStr">
        <is>
          <t>10</t>
        </is>
      </c>
      <c r="S683" s="27" t="n">
        <v>3950</v>
      </c>
      <c r="T683" s="27" t="n">
        <v>255</v>
      </c>
      <c r="U683" s="25" t="n">
        <v>2</v>
      </c>
      <c r="V683" s="27">
        <f>IF(S683="","",S683*U683)</f>
        <v/>
      </c>
      <c r="W683" s="26" t="inlineStr">
        <is>
          <t>Not in catalogue. Public national master → 2026-27 differentiated fee €3,950; exemption to ~€254-255 depends on university quota (25% cap in 2027-28).</t>
        </is>
      </c>
      <c r="X683" s="25" t="inlineStr">
        <is>
          <t>Medium</t>
        </is>
      </c>
      <c r="Y683" s="25" t="n"/>
      <c r="Z683" s="26" t="n"/>
      <c r="AA683" s="26" t="n"/>
      <c r="AB683" s="25" t="n"/>
      <c r="AC683" s="25" t="inlineStr">
        <is>
          <t>Open</t>
        </is>
      </c>
      <c r="AD683" s="25" t="inlineStr">
        <is>
          <t>2026-10-01</t>
        </is>
      </c>
      <c r="AE683" s="25" t="inlineStr">
        <is>
          <t>2027-03-15</t>
        </is>
      </c>
      <c r="AF683" s="25" t="inlineStr">
        <is>
          <t>No</t>
        </is>
      </c>
      <c r="AG683" s="28" t="inlineStr">
        <is>
          <t>http://www.univ-rennes2.fr</t>
        </is>
      </c>
      <c r="AH683" s="26" t="inlineStr">
        <is>
          <t>Prérequis : Niveau linguistique C1 (minimum requis de 450 points et 14/20 à l'épreuve d'expression écrite (TCF)) Mathématiques générales : Analyse, Algèbre, probabilités et statistique (programme de Licence de Mathématiq</t>
        </is>
      </c>
      <c r="AI683" s="28" t="inlineStr">
        <is>
          <t>Open in EEF</t>
        </is>
      </c>
    </row>
    <row r="684" ht="32.8" customHeight="1" s="19">
      <c r="A684" s="25" t="n">
        <v>683</v>
      </c>
      <c r="B684" s="25" t="inlineStr">
        <is>
          <t>★★★☆☆</t>
        </is>
      </c>
      <c r="C684" s="25" t="inlineStr">
        <is>
          <t>3 – Adjacent (AI/data/CS/cyber/energy)</t>
        </is>
      </c>
      <c r="D684" s="25" t="inlineStr">
        <is>
          <t>Other engineering / maths</t>
        </is>
      </c>
      <c r="E684" s="26" t="inlineStr">
        <is>
          <t>Master pro Sciences, technologies, santé mention ingénierie des systèmes complexes spécialité Master Optimisation de la production et pilotage intelligent</t>
        </is>
      </c>
      <c r="F684" s="26" t="inlineStr">
        <is>
          <t>Master pro Science, Technology, Health (STS) – major: Complex Systems Engineering – specialisation: Master Optimisation of the Production &amp; Control intelligent</t>
        </is>
      </c>
      <c r="G684" s="25" t="inlineStr">
        <is>
          <t>Master professionnel</t>
        </is>
      </c>
      <c r="H684" s="25" t="inlineStr">
        <is>
          <t>Faculté des sciences et sciences de l'ingénieur (Campus de Lorient)</t>
        </is>
      </c>
      <c r="I684" s="25" t="inlineStr">
        <is>
          <t>Université Bretagne-Sud</t>
        </is>
      </c>
      <c r="J684" s="25" t="inlineStr">
        <is>
          <t>Site de Lorient</t>
        </is>
      </c>
      <c r="K684" s="25" t="n"/>
      <c r="L684" s="25" t="inlineStr">
        <is>
          <t>Public university</t>
        </is>
      </c>
      <c r="M684" s="25" t="inlineStr">
        <is>
          <t>French</t>
        </is>
      </c>
      <c r="N684" s="25" t="inlineStr">
        <is>
          <t>General</t>
        </is>
      </c>
      <c r="O684" s="25" t="inlineStr">
        <is>
          <t>Bac +4 / Bac +5</t>
        </is>
      </c>
      <c r="P684" s="26" t="inlineStr">
        <is>
          <t>Eligible on level (4-yr BS ≈ Bac+4)</t>
        </is>
      </c>
      <c r="Q684" s="25" t="inlineStr">
        <is>
          <t>1/2</t>
        </is>
      </c>
      <c r="R684" s="25" t="n"/>
      <c r="S684" s="27" t="n">
        <v>3950</v>
      </c>
      <c r="T684" s="27" t="n">
        <v>255</v>
      </c>
      <c r="U684" s="25" t="n">
        <v>2</v>
      </c>
      <c r="V684" s="27">
        <f>IF(S684="","",S684*U684)</f>
        <v/>
      </c>
      <c r="W684" s="26" t="inlineStr">
        <is>
          <t>Not in catalogue. Public national master → 2026-27 differentiated fee €3,950; exemption to ~€254-255 depends on university quota (25% cap in 2027-28).</t>
        </is>
      </c>
      <c r="X684" s="25" t="inlineStr">
        <is>
          <t>Medium</t>
        </is>
      </c>
      <c r="Y684" s="25" t="n"/>
      <c r="Z684" s="26" t="n"/>
      <c r="AA684" s="26" t="n"/>
      <c r="AB684" s="25" t="n"/>
      <c r="AC684" s="25" t="inlineStr">
        <is>
          <t>Open</t>
        </is>
      </c>
      <c r="AD684" s="25" t="inlineStr">
        <is>
          <t>2026-10-01</t>
        </is>
      </c>
      <c r="AE684" s="25" t="inlineStr">
        <is>
          <t>2027-03-15</t>
        </is>
      </c>
      <c r="AF684" s="25" t="inlineStr">
        <is>
          <t>No</t>
        </is>
      </c>
      <c r="AG684" s="25" t="n"/>
      <c r="AH684" s="26" t="inlineStr">
        <is>
          <t>Niveau minimum exigé en français : B2 Formation en alternance UNIQUEMENT Pour l'alternance: date limite pour la signature du contrat 31 octobre 2027</t>
        </is>
      </c>
      <c r="AI684" s="28" t="inlineStr">
        <is>
          <t>Open in EEF</t>
        </is>
      </c>
    </row>
    <row r="685" ht="22.35" customHeight="1" s="19">
      <c r="A685" s="25" t="n">
        <v>684</v>
      </c>
      <c r="B685" s="25" t="inlineStr">
        <is>
          <t>★★★☆☆</t>
        </is>
      </c>
      <c r="C685" s="25" t="inlineStr">
        <is>
          <t>3 – Adjacent (AI/data/CS/cyber/energy)</t>
        </is>
      </c>
      <c r="D685" s="25" t="inlineStr">
        <is>
          <t>Computer science / Software</t>
        </is>
      </c>
      <c r="E685" s="26" t="inlineStr">
        <is>
          <t>Master rech. Sciences de l'ingénieur mention mathématiques appliquées et sciences de l'information</t>
        </is>
      </c>
      <c r="F685" s="26" t="inlineStr">
        <is>
          <t>Research Master Sciences of Engineering – major: Applied Mathematics &amp; Sciences of Information</t>
        </is>
      </c>
      <c r="G685" s="25" t="inlineStr">
        <is>
          <t>Master recherche</t>
        </is>
      </c>
      <c r="H685" s="25" t="inlineStr">
        <is>
          <t>Institut national des sciences et techniques nucléaires</t>
        </is>
      </c>
      <c r="I685" s="25" t="n"/>
      <c r="J685" s="25" t="inlineStr">
        <is>
          <t>Site de Gif-sur-Yvette</t>
        </is>
      </c>
      <c r="K685" s="25" t="n"/>
      <c r="L685" s="25" t="inlineStr">
        <is>
          <t>Public school / institute</t>
        </is>
      </c>
      <c r="M685" s="25" t="inlineStr">
        <is>
          <t>French</t>
        </is>
      </c>
      <c r="N685" s="25" t="inlineStr">
        <is>
          <t>General</t>
        </is>
      </c>
      <c r="O685" s="25" t="inlineStr">
        <is>
          <t>Bac +4</t>
        </is>
      </c>
      <c r="P685" s="26" t="inlineStr">
        <is>
          <t>Eligible on level (4-yr BS ≈ Bac+4)</t>
        </is>
      </c>
      <c r="Q685" s="25" t="inlineStr">
        <is>
          <t>1</t>
        </is>
      </c>
      <c r="R685" s="25" t="n"/>
      <c r="S685" s="27" t="n">
        <v>3950</v>
      </c>
      <c r="T685" s="27" t="n">
        <v>255</v>
      </c>
      <c r="U685" s="25" t="n">
        <v>2</v>
      </c>
      <c r="V685" s="27">
        <f>IF(S685="","",S685*U685)</f>
        <v/>
      </c>
      <c r="W685" s="26" t="inlineStr">
        <is>
          <t>Not in catalogue. Public national master → 2026-27 differentiated fee €3,950; exemption to ~€254-255 depends on university quota (25% cap in 2027-28).</t>
        </is>
      </c>
      <c r="X685" s="25" t="inlineStr">
        <is>
          <t>Medium</t>
        </is>
      </c>
      <c r="Y685" s="25" t="n"/>
      <c r="Z685" s="26" t="n"/>
      <c r="AA685" s="26" t="n"/>
      <c r="AB685" s="25" t="n"/>
      <c r="AC685" s="25" t="inlineStr">
        <is>
          <t>Closed</t>
        </is>
      </c>
      <c r="AD685" s="25" t="n"/>
      <c r="AE685" s="25" t="n"/>
      <c r="AF685" s="25" t="inlineStr">
        <is>
          <t>No</t>
        </is>
      </c>
      <c r="AG685" s="28" t="inlineStr">
        <is>
          <t>http://www-instn.cea.fr</t>
        </is>
      </c>
      <c r="AH685" s="26" t="n"/>
      <c r="AI685" s="28" t="inlineStr">
        <is>
          <t>Open in EEF</t>
        </is>
      </c>
    </row>
    <row r="686" ht="22.35" customHeight="1" s="19">
      <c r="A686" s="25" t="n">
        <v>685</v>
      </c>
      <c r="B686" s="25" t="inlineStr">
        <is>
          <t>★★★☆☆</t>
        </is>
      </c>
      <c r="C686" s="25" t="inlineStr">
        <is>
          <t>3 – Adjacent (AI/data/CS/cyber/energy)</t>
        </is>
      </c>
      <c r="D686" s="25" t="inlineStr">
        <is>
          <t>Other engineering / maths</t>
        </is>
      </c>
      <c r="E686" s="26" t="inlineStr">
        <is>
          <t>Master rech. Sciences, technologies, santé mention ingénierie des systèmes intelligents et modélisation</t>
        </is>
      </c>
      <c r="F686" s="26" t="inlineStr">
        <is>
          <t>Research Master Science, Technology, Health (STS) – major: Engineering of Systems Intelligent &amp; Modelling</t>
        </is>
      </c>
      <c r="G686" s="25" t="inlineStr">
        <is>
          <t>Master recherche</t>
        </is>
      </c>
      <c r="H686" s="25" t="inlineStr">
        <is>
          <t>Ecole nationale supérieure de l'électronique et de ses applications</t>
        </is>
      </c>
      <c r="I686" s="25" t="n"/>
      <c r="J686" s="25" t="inlineStr">
        <is>
          <t>Site de Cergy</t>
        </is>
      </c>
      <c r="K686" s="25" t="n"/>
      <c r="L686" s="25" t="inlineStr">
        <is>
          <t>Public school / institute</t>
        </is>
      </c>
      <c r="M686" s="25" t="inlineStr">
        <is>
          <t>French</t>
        </is>
      </c>
      <c r="N686" s="25" t="inlineStr">
        <is>
          <t>General</t>
        </is>
      </c>
      <c r="O686" s="25" t="inlineStr">
        <is>
          <t>Bac +4</t>
        </is>
      </c>
      <c r="P686" s="26" t="inlineStr">
        <is>
          <t>Eligible on level (4-yr BS ≈ Bac+4)</t>
        </is>
      </c>
      <c r="Q686" s="25" t="inlineStr">
        <is>
          <t>1</t>
        </is>
      </c>
      <c r="R686" s="25" t="n"/>
      <c r="S686" s="27" t="n">
        <v>3950</v>
      </c>
      <c r="T686" s="27" t="n">
        <v>255</v>
      </c>
      <c r="U686" s="25" t="n">
        <v>2</v>
      </c>
      <c r="V686" s="27">
        <f>IF(S686="","",S686*U686)</f>
        <v/>
      </c>
      <c r="W686" s="26" t="inlineStr">
        <is>
          <t>Not in catalogue. Public national master → 2026-27 differentiated fee €3,950; exemption to ~€254-255 depends on university quota (25% cap in 2027-28).</t>
        </is>
      </c>
      <c r="X686" s="25" t="inlineStr">
        <is>
          <t>Medium</t>
        </is>
      </c>
      <c r="Y686" s="25" t="n"/>
      <c r="Z686" s="26" t="n"/>
      <c r="AA686" s="26" t="n"/>
      <c r="AB686" s="25" t="n"/>
      <c r="AC686" s="25" t="inlineStr">
        <is>
          <t>Closed</t>
        </is>
      </c>
      <c r="AD686" s="25" t="n"/>
      <c r="AE686" s="25" t="n"/>
      <c r="AF686" s="25" t="inlineStr">
        <is>
          <t>No</t>
        </is>
      </c>
      <c r="AG686" s="28" t="inlineStr">
        <is>
          <t>http://www.ensea.fr</t>
        </is>
      </c>
      <c r="AH686" s="26" t="n"/>
      <c r="AI686" s="28" t="inlineStr">
        <is>
          <t>Open in EEF</t>
        </is>
      </c>
    </row>
    <row r="687" ht="22.35" customHeight="1" s="19">
      <c r="A687" s="25" t="n">
        <v>686</v>
      </c>
      <c r="B687" s="25" t="inlineStr">
        <is>
          <t>★★★☆☆</t>
        </is>
      </c>
      <c r="C687" s="25" t="inlineStr">
        <is>
          <t>3 – Adjacent (AI/data/CS/cyber/energy)</t>
        </is>
      </c>
      <c r="D687" s="25" t="inlineStr">
        <is>
          <t>Computer science / Software</t>
        </is>
      </c>
      <c r="E687" s="26" t="inlineStr">
        <is>
          <t>Master rech. Sciences, technologies, santé mention mathématiques, informatique</t>
        </is>
      </c>
      <c r="F687" s="26" t="inlineStr">
        <is>
          <t>Research Master Science, Technology, Health (STS) – major: Mathematics, Computer Science</t>
        </is>
      </c>
      <c r="G687" s="25" t="inlineStr">
        <is>
          <t>Master recherche</t>
        </is>
      </c>
      <c r="H687" s="25" t="inlineStr">
        <is>
          <t>Ecole normale supérieure</t>
        </is>
      </c>
      <c r="I687" s="25" t="n"/>
      <c r="J687" s="25" t="inlineStr">
        <is>
          <t>Site de Paris</t>
        </is>
      </c>
      <c r="K687" s="25" t="n"/>
      <c r="L687" s="25" t="inlineStr">
        <is>
          <t>Public school / institute</t>
        </is>
      </c>
      <c r="M687" s="25" t="inlineStr">
        <is>
          <t>French</t>
        </is>
      </c>
      <c r="N687" s="25" t="inlineStr">
        <is>
          <t>General</t>
        </is>
      </c>
      <c r="O687" s="25" t="inlineStr">
        <is>
          <t>Bac +4</t>
        </is>
      </c>
      <c r="P687" s="26" t="inlineStr">
        <is>
          <t>Eligible on level (4-yr BS ≈ Bac+4)</t>
        </is>
      </c>
      <c r="Q687" s="25" t="inlineStr">
        <is>
          <t>1</t>
        </is>
      </c>
      <c r="R687" s="25" t="n"/>
      <c r="S687" s="27" t="n">
        <v>3950</v>
      </c>
      <c r="T687" s="27" t="n">
        <v>255</v>
      </c>
      <c r="U687" s="25" t="n">
        <v>2</v>
      </c>
      <c r="V687" s="27">
        <f>IF(S687="","",S687*U687)</f>
        <v/>
      </c>
      <c r="W687" s="26" t="inlineStr">
        <is>
          <t>Not in catalogue. Public national master → 2026-27 differentiated fee €3,950; exemption to ~€254-255 depends on university quota (25% cap in 2027-28).</t>
        </is>
      </c>
      <c r="X687" s="25" t="inlineStr">
        <is>
          <t>Medium</t>
        </is>
      </c>
      <c r="Y687" s="25" t="n"/>
      <c r="Z687" s="26" t="n"/>
      <c r="AA687" s="26" t="n"/>
      <c r="AB687" s="25" t="n"/>
      <c r="AC687" s="25" t="inlineStr">
        <is>
          <t>Closed</t>
        </is>
      </c>
      <c r="AD687" s="25" t="n"/>
      <c r="AE687" s="25" t="n"/>
      <c r="AF687" s="25" t="inlineStr">
        <is>
          <t>No</t>
        </is>
      </c>
      <c r="AG687" s="28" t="inlineStr">
        <is>
          <t>http://www.ens.fr</t>
        </is>
      </c>
      <c r="AH687" s="26" t="n"/>
      <c r="AI687" s="28" t="inlineStr">
        <is>
          <t>Open in EEF</t>
        </is>
      </c>
    </row>
    <row r="688" ht="22.35" customHeight="1" s="19">
      <c r="A688" s="25" t="n">
        <v>687</v>
      </c>
      <c r="B688" s="25" t="inlineStr">
        <is>
          <t>★★★☆☆</t>
        </is>
      </c>
      <c r="C688" s="25" t="inlineStr">
        <is>
          <t>3 – Adjacent (AI/data/CS/cyber/energy)</t>
        </is>
      </c>
      <c r="D688" s="25" t="inlineStr">
        <is>
          <t>Other engineering / maths</t>
        </is>
      </c>
      <c r="E688" s="26" t="inlineStr">
        <is>
          <t>Master rech. Sciences, technologies, santé mention mathématiques, ingénierie des mathématiques</t>
        </is>
      </c>
      <c r="F688" s="26" t="inlineStr">
        <is>
          <t>Research Master Science, Technology, Health (STS) – major: Mathematics, Engineering of Mathematics</t>
        </is>
      </c>
      <c r="G688" s="25" t="inlineStr">
        <is>
          <t>Master recherche</t>
        </is>
      </c>
      <c r="H688" s="25" t="inlineStr">
        <is>
          <t>Ecole normale supérieure</t>
        </is>
      </c>
      <c r="I688" s="25" t="n"/>
      <c r="J688" s="25" t="inlineStr">
        <is>
          <t>Site de Paris</t>
        </is>
      </c>
      <c r="K688" s="25" t="n"/>
      <c r="L688" s="25" t="inlineStr">
        <is>
          <t>Public school / institute</t>
        </is>
      </c>
      <c r="M688" s="25" t="inlineStr">
        <is>
          <t>French</t>
        </is>
      </c>
      <c r="N688" s="25" t="inlineStr">
        <is>
          <t>General</t>
        </is>
      </c>
      <c r="O688" s="25" t="inlineStr">
        <is>
          <t>Bac +4</t>
        </is>
      </c>
      <c r="P688" s="26" t="inlineStr">
        <is>
          <t>Eligible on level (4-yr BS ≈ Bac+4)</t>
        </is>
      </c>
      <c r="Q688" s="25" t="inlineStr">
        <is>
          <t>1</t>
        </is>
      </c>
      <c r="R688" s="25" t="n"/>
      <c r="S688" s="27" t="n">
        <v>3950</v>
      </c>
      <c r="T688" s="27" t="n">
        <v>255</v>
      </c>
      <c r="U688" s="25" t="n">
        <v>2</v>
      </c>
      <c r="V688" s="27">
        <f>IF(S688="","",S688*U688)</f>
        <v/>
      </c>
      <c r="W688" s="26" t="inlineStr">
        <is>
          <t>Not in catalogue. Public national master → 2026-27 differentiated fee €3,950; exemption to ~€254-255 depends on university quota (25% cap in 2027-28).</t>
        </is>
      </c>
      <c r="X688" s="25" t="inlineStr">
        <is>
          <t>Medium</t>
        </is>
      </c>
      <c r="Y688" s="25" t="n"/>
      <c r="Z688" s="26" t="n"/>
      <c r="AA688" s="26" t="n"/>
      <c r="AB688" s="25" t="n"/>
      <c r="AC688" s="25" t="inlineStr">
        <is>
          <t>Closed</t>
        </is>
      </c>
      <c r="AD688" s="25" t="n"/>
      <c r="AE688" s="25" t="n"/>
      <c r="AF688" s="25" t="inlineStr">
        <is>
          <t>No</t>
        </is>
      </c>
      <c r="AG688" s="28" t="inlineStr">
        <is>
          <t>http://www.ens.fr</t>
        </is>
      </c>
      <c r="AH688" s="26" t="n"/>
      <c r="AI688" s="28" t="inlineStr">
        <is>
          <t>Open in EEF</t>
        </is>
      </c>
    </row>
    <row r="689" ht="22.35" customHeight="1" s="19">
      <c r="A689" s="25" t="n">
        <v>688</v>
      </c>
      <c r="B689" s="25" t="inlineStr">
        <is>
          <t>★★★☆☆</t>
        </is>
      </c>
      <c r="C689" s="25" t="inlineStr">
        <is>
          <t>3 – Adjacent (AI/data/CS/cyber/energy)</t>
        </is>
      </c>
      <c r="D689" s="25" t="inlineStr">
        <is>
          <t>Computer science / Software</t>
        </is>
      </c>
      <c r="E689" s="26" t="inlineStr">
        <is>
          <t>Master rech. Sciences, technologies, santé mention systèmes d'information</t>
        </is>
      </c>
      <c r="F689" s="26" t="inlineStr">
        <is>
          <t>Research Master Science, Technology, Health (STS) – major: Information Systems</t>
        </is>
      </c>
      <c r="G689" s="25" t="inlineStr">
        <is>
          <t>Master recherche</t>
        </is>
      </c>
      <c r="H689" s="25" t="inlineStr">
        <is>
          <t>Institut national des sciences et techniques nucléaires</t>
        </is>
      </c>
      <c r="I689" s="25" t="n"/>
      <c r="J689" s="25" t="inlineStr">
        <is>
          <t>Site de Gif-sur-Yvette</t>
        </is>
      </c>
      <c r="K689" s="25" t="n"/>
      <c r="L689" s="25" t="inlineStr">
        <is>
          <t>Public school / institute</t>
        </is>
      </c>
      <c r="M689" s="25" t="inlineStr">
        <is>
          <t>French</t>
        </is>
      </c>
      <c r="N689" s="25" t="inlineStr">
        <is>
          <t>General</t>
        </is>
      </c>
      <c r="O689" s="25" t="inlineStr">
        <is>
          <t>Bac +4</t>
        </is>
      </c>
      <c r="P689" s="26" t="inlineStr">
        <is>
          <t>Eligible on level (4-yr BS ≈ Bac+4)</t>
        </is>
      </c>
      <c r="Q689" s="25" t="inlineStr">
        <is>
          <t>1</t>
        </is>
      </c>
      <c r="R689" s="25" t="n"/>
      <c r="S689" s="27" t="n">
        <v>3950</v>
      </c>
      <c r="T689" s="27" t="n">
        <v>255</v>
      </c>
      <c r="U689" s="25" t="n">
        <v>2</v>
      </c>
      <c r="V689" s="27">
        <f>IF(S689="","",S689*U689)</f>
        <v/>
      </c>
      <c r="W689" s="26" t="inlineStr">
        <is>
          <t>Not in catalogue. Public national master → 2026-27 differentiated fee €3,950; exemption to ~€254-255 depends on university quota (25% cap in 2027-28).</t>
        </is>
      </c>
      <c r="X689" s="25" t="inlineStr">
        <is>
          <t>Medium</t>
        </is>
      </c>
      <c r="Y689" s="25" t="n"/>
      <c r="Z689" s="26" t="n"/>
      <c r="AA689" s="26" t="n"/>
      <c r="AB689" s="25" t="n"/>
      <c r="AC689" s="25" t="inlineStr">
        <is>
          <t>Closed</t>
        </is>
      </c>
      <c r="AD689" s="25" t="n"/>
      <c r="AE689" s="25" t="n"/>
      <c r="AF689" s="25" t="inlineStr">
        <is>
          <t>No</t>
        </is>
      </c>
      <c r="AG689" s="28" t="inlineStr">
        <is>
          <t>http://www-instn.cea.fr</t>
        </is>
      </c>
      <c r="AH689" s="26" t="n"/>
      <c r="AI689" s="28" t="inlineStr">
        <is>
          <t>Open in EEF</t>
        </is>
      </c>
    </row>
    <row r="690" ht="22.35" customHeight="1" s="19">
      <c r="A690" s="25" t="n">
        <v>689</v>
      </c>
      <c r="B690" s="25" t="inlineStr">
        <is>
          <t>★★★☆☆</t>
        </is>
      </c>
      <c r="C690" s="25" t="inlineStr">
        <is>
          <t>3 – Adjacent (AI/data/CS/cyber/energy)</t>
        </is>
      </c>
      <c r="D690" s="25" t="inlineStr">
        <is>
          <t>Computer science / Software</t>
        </is>
      </c>
      <c r="E690" s="26" t="inlineStr">
        <is>
          <t>diplôme d'ingénieur de l'Ecole polytechnique universitaire Sorbonne Université, Mathématiques appliquées et Informatique</t>
        </is>
      </c>
      <c r="F690" s="26" t="inlineStr">
        <is>
          <t>Engineering diploma of the University Polytechnic School Sorbonne University, Applied Mathematics &amp; Computer Science</t>
        </is>
      </c>
      <c r="G690" s="25" t="inlineStr">
        <is>
          <t>Diplôme d'ingénieur</t>
        </is>
      </c>
      <c r="H690" s="25" t="inlineStr">
        <is>
          <t>Polytech Sorbonne</t>
        </is>
      </c>
      <c r="I690" s="25" t="inlineStr">
        <is>
          <t>Groupement Polytech</t>
        </is>
      </c>
      <c r="J690" s="25" t="inlineStr">
        <is>
          <t>Site de Paris</t>
        </is>
      </c>
      <c r="K690" s="25" t="n"/>
      <c r="L690" s="25" t="inlineStr">
        <is>
          <t>Public school / institute</t>
        </is>
      </c>
      <c r="M690" s="25" t="inlineStr">
        <is>
          <t>French</t>
        </is>
      </c>
      <c r="N690" s="25" t="inlineStr">
        <is>
          <t>General</t>
        </is>
      </c>
      <c r="O690" s="25" t="inlineStr">
        <is>
          <t>Bac +3 / Bac +4</t>
        </is>
      </c>
      <c r="P690" s="26" t="inlineStr">
        <is>
          <t>Eligible on level (4-yr BS ≈ Bac+4)</t>
        </is>
      </c>
      <c r="Q690" s="25" t="inlineStr">
        <is>
          <t>3/4</t>
        </is>
      </c>
      <c r="R690" s="25" t="n"/>
      <c r="S690" s="27" t="n">
        <v>610</v>
      </c>
      <c r="T690" s="27" t="n"/>
      <c r="U690" s="25" t="n">
        <v>2</v>
      </c>
      <c r="V690" s="27">
        <f>IF(S690="","",S690*U690)</f>
        <v/>
      </c>
      <c r="W690" s="26" t="inlineStr">
        <is>
          <t>Catalogue lists €610 (EU/national rate). Confirm whether non-EU surcharge applies.</t>
        </is>
      </c>
      <c r="X690" s="25" t="inlineStr">
        <is>
          <t>Medium</t>
        </is>
      </c>
      <c r="Y690" s="25" t="inlineStr">
        <is>
          <t>610</t>
        </is>
      </c>
      <c r="Z690" s="26" t="n"/>
      <c r="AA690" s="26" t="inlineStr">
        <is>
          <t>Board vote 7 Jul 2026: Sorbonne Université says it can exempt all eligible non-EU applicants (pay same as EU, ~€254) for 2026-27.</t>
        </is>
      </c>
      <c r="AB690" s="28" t="inlineStr">
        <is>
          <t>https://www.sorbonne-universite.fr/actualites/le-conseil-dadministration-de-sorbonne-universite-vote-lunanimite-le-7-juillet-2026-sa</t>
        </is>
      </c>
      <c r="AC690" s="25" t="inlineStr">
        <is>
          <t>Open</t>
        </is>
      </c>
      <c r="AD690" s="25" t="inlineStr">
        <is>
          <t>2026-10-01</t>
        </is>
      </c>
      <c r="AE690" s="25" t="inlineStr">
        <is>
          <t>2027-03-15</t>
        </is>
      </c>
      <c r="AF690" s="25" t="inlineStr">
        <is>
          <t>Yes</t>
        </is>
      </c>
      <c r="AG690" s="28" t="inlineStr">
        <is>
          <t>http://www.polytech.upmc.fr</t>
        </is>
      </c>
      <c r="AH690" s="26" t="n"/>
      <c r="AI690" s="28" t="inlineStr">
        <is>
          <t>Open in EEF</t>
        </is>
      </c>
    </row>
    <row r="691" ht="32.8" customHeight="1" s="19">
      <c r="A691" s="25" t="n">
        <v>690</v>
      </c>
      <c r="B691" s="25" t="inlineStr">
        <is>
          <t>★★★☆☆</t>
        </is>
      </c>
      <c r="C691" s="25" t="inlineStr">
        <is>
          <t>3 – Adjacent (AI/data/CS/cyber/energy)</t>
        </is>
      </c>
      <c r="D691" s="25" t="inlineStr">
        <is>
          <t>Computer science / Software</t>
        </is>
      </c>
      <c r="E691" s="26" t="inlineStr">
        <is>
          <t>Diplôme d'Ingénieur de l'Institut des Sciences et Techniques des Yvelines de l'université de Versailles Saint-Quentin en Yvelines spécialité informatique</t>
        </is>
      </c>
      <c r="F691" s="26" t="inlineStr">
        <is>
          <t>Engineering diploma of Institute of Sciences &amp; Techniques of Yvelines of University of Versailles Saint-Quentin in Yvelines – specialisation: Computer Science</t>
        </is>
      </c>
      <c r="G691" s="25" t="inlineStr">
        <is>
          <t>Diplôme d'ingénieur</t>
        </is>
      </c>
      <c r="H691" s="25" t="inlineStr">
        <is>
          <t>Institut des sciences et techniques des Yvelines (ISTY)</t>
        </is>
      </c>
      <c r="I691" s="25" t="inlineStr">
        <is>
          <t>Université de Versailles Saint-Quentin-en-Yvelines</t>
        </is>
      </c>
      <c r="J691" s="25" t="inlineStr">
        <is>
          <t>ISTY</t>
        </is>
      </c>
      <c r="K691" s="25" t="n"/>
      <c r="L691" s="25" t="inlineStr">
        <is>
          <t>Public school / institute</t>
        </is>
      </c>
      <c r="M691" s="25" t="inlineStr">
        <is>
          <t>French</t>
        </is>
      </c>
      <c r="N691" s="25" t="inlineStr">
        <is>
          <t>General</t>
        </is>
      </c>
      <c r="O691" s="25" t="inlineStr">
        <is>
          <t>Bac +3 / Bac +4</t>
        </is>
      </c>
      <c r="P691" s="26" t="inlineStr">
        <is>
          <t>Eligible on level (4-yr BS ≈ Bac+4)</t>
        </is>
      </c>
      <c r="Q691" s="25" t="inlineStr">
        <is>
          <t>3/4</t>
        </is>
      </c>
      <c r="R691" s="25" t="n"/>
      <c r="S691" s="27" t="n">
        <v>628</v>
      </c>
      <c r="T691" s="27" t="n"/>
      <c r="U691" s="25" t="n">
        <v>2</v>
      </c>
      <c r="V691" s="27">
        <f>IF(S691="","",S691*U691)</f>
        <v/>
      </c>
      <c r="W691" s="26" t="inlineStr">
        <is>
          <t>Catalogue lists €628 (EU/national rate). Confirm whether non-EU surcharge applies.</t>
        </is>
      </c>
      <c r="X691" s="25" t="inlineStr">
        <is>
          <t>Medium</t>
        </is>
      </c>
      <c r="Y691" s="25" t="inlineStr">
        <is>
          <t>628</t>
        </is>
      </c>
      <c r="Z691" s="26" t="n"/>
      <c r="AA691" s="26" t="n"/>
      <c r="AB691" s="25" t="n"/>
      <c r="AC691" s="25" t="inlineStr">
        <is>
          <t>Open</t>
        </is>
      </c>
      <c r="AD691" s="25" t="inlineStr">
        <is>
          <t>2026-10-01</t>
        </is>
      </c>
      <c r="AE691" s="25" t="inlineStr">
        <is>
          <t>2027-03-15</t>
        </is>
      </c>
      <c r="AF691" s="25" t="inlineStr">
        <is>
          <t>No</t>
        </is>
      </c>
      <c r="AG691" s="28" t="inlineStr">
        <is>
          <t>http://www.isty.uvsq.fr</t>
        </is>
      </c>
      <c r="AH691" s="26" t="inlineStr">
        <is>
          <t>Bac scientifique Candidature en 3ème année : Diplôme Bac+2 ou Bac+3 Candidature en 4ème année : Diplôme Bac+4 Date limite de dépôt du dossier : mardi 7 avril 2026. Les entretiens d'admission se déroulent dans nos locaux</t>
        </is>
      </c>
      <c r="AI691" s="28" t="inlineStr">
        <is>
          <t>Open in EEF</t>
        </is>
      </c>
    </row>
    <row r="692" ht="22.35" customHeight="1" s="19">
      <c r="A692" s="25" t="n">
        <v>691</v>
      </c>
      <c r="B692" s="25" t="inlineStr">
        <is>
          <t>★★★☆☆</t>
        </is>
      </c>
      <c r="C692" s="25" t="inlineStr">
        <is>
          <t>3 – Adjacent (AI/data/CS/cyber/energy)</t>
        </is>
      </c>
      <c r="D692" s="25" t="inlineStr">
        <is>
          <t>Computer science / Software</t>
        </is>
      </c>
      <c r="E692" s="26" t="inlineStr">
        <is>
          <t>diplôme d'ingénieur de l'Université Sorbonne Paris Nord spécialité informatique</t>
        </is>
      </c>
      <c r="F692" s="26" t="inlineStr">
        <is>
          <t>Engineering diploma of University Sorbonne Paris Nord – specialisation: Computer Science</t>
        </is>
      </c>
      <c r="G692" s="25" t="inlineStr">
        <is>
          <t>Diplôme d'ingénieur</t>
        </is>
      </c>
      <c r="H692" s="25" t="inlineStr">
        <is>
          <t>Institut Galilée</t>
        </is>
      </c>
      <c r="I692" s="25" t="inlineStr">
        <is>
          <t>Université Sorbonne Paris Nord</t>
        </is>
      </c>
      <c r="J692" s="25" t="inlineStr">
        <is>
          <t>Site de Villetaneuse</t>
        </is>
      </c>
      <c r="K692" s="25" t="n"/>
      <c r="L692" s="25" t="inlineStr">
        <is>
          <t>Public school / institute</t>
        </is>
      </c>
      <c r="M692" s="25" t="inlineStr">
        <is>
          <t>French</t>
        </is>
      </c>
      <c r="N692" s="25" t="inlineStr">
        <is>
          <t>General</t>
        </is>
      </c>
      <c r="O692" s="25" t="inlineStr">
        <is>
          <t>Bac +3 / Bac +4</t>
        </is>
      </c>
      <c r="P692" s="26" t="inlineStr">
        <is>
          <t>Eligible on level (4-yr BS ≈ Bac+4)</t>
        </is>
      </c>
      <c r="Q692" s="25" t="inlineStr">
        <is>
          <t>3/4</t>
        </is>
      </c>
      <c r="R692" s="25" t="n"/>
      <c r="S692" s="27" t="n">
        <v>628</v>
      </c>
      <c r="T692" s="27" t="n"/>
      <c r="U692" s="25" t="n">
        <v>2</v>
      </c>
      <c r="V692" s="27">
        <f>IF(S692="","",S692*U692)</f>
        <v/>
      </c>
      <c r="W692" s="26" t="inlineStr">
        <is>
          <t>Catalogue lists €628 (EU/national rate). Confirm whether non-EU surcharge applies.</t>
        </is>
      </c>
      <c r="X692" s="25" t="inlineStr">
        <is>
          <t>Medium</t>
        </is>
      </c>
      <c r="Y692" s="25" t="inlineStr">
        <is>
          <t>628</t>
        </is>
      </c>
      <c r="Z692" s="26" t="n"/>
      <c r="AA692" s="26" t="n"/>
      <c r="AB692" s="25" t="n"/>
      <c r="AC692" s="25" t="inlineStr">
        <is>
          <t>Open</t>
        </is>
      </c>
      <c r="AD692" s="25" t="inlineStr">
        <is>
          <t>2026-10-01</t>
        </is>
      </c>
      <c r="AE692" s="25" t="inlineStr">
        <is>
          <t>2027-03-15</t>
        </is>
      </c>
      <c r="AF692" s="25" t="inlineStr">
        <is>
          <t>No</t>
        </is>
      </c>
      <c r="AG692" s="28" t="inlineStr">
        <is>
          <t>http://www.sup-galilee.univ-paris13.fr/</t>
        </is>
      </c>
      <c r="AH692" s="26" t="n"/>
      <c r="AI692" s="28" t="inlineStr">
        <is>
          <t>Open in EEF</t>
        </is>
      </c>
    </row>
    <row r="693" ht="22.35" customHeight="1" s="19">
      <c r="A693" s="25" t="n">
        <v>692</v>
      </c>
      <c r="B693" s="25" t="inlineStr">
        <is>
          <t>★★★☆☆</t>
        </is>
      </c>
      <c r="C693" s="25" t="inlineStr">
        <is>
          <t>3 – Adjacent (AI/data/CS/cyber/energy)</t>
        </is>
      </c>
      <c r="D693" s="25" t="inlineStr">
        <is>
          <t>Other engineering / maths</t>
        </is>
      </c>
      <c r="E693" s="26" t="inlineStr">
        <is>
          <t>diplôme d'ingénieur de l'Université Sorbonne Paris Nord spécialité mathématiques appliquées</t>
        </is>
      </c>
      <c r="F693" s="26" t="inlineStr">
        <is>
          <t>Engineering diploma of University Sorbonne Paris Nord – specialisation: Applied Mathematics</t>
        </is>
      </c>
      <c r="G693" s="25" t="inlineStr">
        <is>
          <t>Diplôme d'ingénieur</t>
        </is>
      </c>
      <c r="H693" s="25" t="inlineStr">
        <is>
          <t>Institut Galilée</t>
        </is>
      </c>
      <c r="I693" s="25" t="inlineStr">
        <is>
          <t>Université Sorbonne Paris Nord</t>
        </is>
      </c>
      <c r="J693" s="25" t="inlineStr">
        <is>
          <t>Site de Villetaneuse</t>
        </is>
      </c>
      <c r="K693" s="25" t="n"/>
      <c r="L693" s="25" t="inlineStr">
        <is>
          <t>Public school / institute</t>
        </is>
      </c>
      <c r="M693" s="25" t="inlineStr">
        <is>
          <t>French</t>
        </is>
      </c>
      <c r="N693" s="25" t="inlineStr">
        <is>
          <t>General</t>
        </is>
      </c>
      <c r="O693" s="25" t="inlineStr">
        <is>
          <t>Bac +3 / Bac +4</t>
        </is>
      </c>
      <c r="P693" s="26" t="inlineStr">
        <is>
          <t>Eligible on level (4-yr BS ≈ Bac+4)</t>
        </is>
      </c>
      <c r="Q693" s="25" t="inlineStr">
        <is>
          <t>3/4</t>
        </is>
      </c>
      <c r="R693" s="25" t="n"/>
      <c r="S693" s="27" t="n">
        <v>628</v>
      </c>
      <c r="T693" s="27" t="n"/>
      <c r="U693" s="25" t="n">
        <v>2</v>
      </c>
      <c r="V693" s="27">
        <f>IF(S693="","",S693*U693)</f>
        <v/>
      </c>
      <c r="W693" s="26" t="inlineStr">
        <is>
          <t>Catalogue lists €628 (EU/national rate). Confirm whether non-EU surcharge applies.</t>
        </is>
      </c>
      <c r="X693" s="25" t="inlineStr">
        <is>
          <t>Medium</t>
        </is>
      </c>
      <c r="Y693" s="25" t="inlineStr">
        <is>
          <t>628</t>
        </is>
      </c>
      <c r="Z693" s="26" t="n"/>
      <c r="AA693" s="26" t="n"/>
      <c r="AB693" s="25" t="n"/>
      <c r="AC693" s="25" t="inlineStr">
        <is>
          <t>Open</t>
        </is>
      </c>
      <c r="AD693" s="25" t="inlineStr">
        <is>
          <t>2026-10-01</t>
        </is>
      </c>
      <c r="AE693" s="25" t="inlineStr">
        <is>
          <t>2027-03-15</t>
        </is>
      </c>
      <c r="AF693" s="25" t="inlineStr">
        <is>
          <t>No</t>
        </is>
      </c>
      <c r="AG693" s="28" t="inlineStr">
        <is>
          <t>http://www.sup-galilee.univ-paris13.fr/</t>
        </is>
      </c>
      <c r="AH693" s="26" t="n"/>
      <c r="AI693" s="28" t="inlineStr">
        <is>
          <t>Open in EEF</t>
        </is>
      </c>
    </row>
    <row r="694" ht="32.8" customHeight="1" s="19">
      <c r="A694" s="25" t="n">
        <v>693</v>
      </c>
      <c r="B694" s="25" t="inlineStr">
        <is>
          <t>★★★☆☆</t>
        </is>
      </c>
      <c r="C694" s="25" t="inlineStr">
        <is>
          <t>3 – Adjacent (AI/data/CS/cyber/energy)</t>
        </is>
      </c>
      <c r="D694" s="25" t="inlineStr">
        <is>
          <t>Computer science / Software</t>
        </is>
      </c>
      <c r="E694" s="26" t="inlineStr">
        <is>
          <t>spécialité Système d’information</t>
        </is>
      </c>
      <c r="F694" s="26" t="inlineStr">
        <is>
          <t>specialisation: System Information</t>
        </is>
      </c>
      <c r="G694" s="25" t="inlineStr">
        <is>
          <t>Diplôme d'ingénieur</t>
        </is>
      </c>
      <c r="H694" s="25" t="inlineStr">
        <is>
          <t>Ecole Publique d'Ingénieurs de la Santé et du Numérique - EPISEN</t>
        </is>
      </c>
      <c r="I694" s="25" t="inlineStr">
        <is>
          <t>Université Paris-Est Créteil Val-de-Marne</t>
        </is>
      </c>
      <c r="J694" s="25" t="inlineStr">
        <is>
          <t>Site de Créteil</t>
        </is>
      </c>
      <c r="K694" s="25" t="inlineStr">
        <is>
          <t>94000 Créteil</t>
        </is>
      </c>
      <c r="L694" s="25" t="inlineStr">
        <is>
          <t>Public university</t>
        </is>
      </c>
      <c r="M694" s="25" t="inlineStr">
        <is>
          <t>French</t>
        </is>
      </c>
      <c r="N694" s="25" t="inlineStr">
        <is>
          <t>General</t>
        </is>
      </c>
      <c r="O694" s="25" t="inlineStr">
        <is>
          <t>Bac +3 / Bac +4</t>
        </is>
      </c>
      <c r="P694" s="26" t="inlineStr">
        <is>
          <t>Eligible on level (4-yr BS ≈ Bac+4)</t>
        </is>
      </c>
      <c r="Q694" s="25" t="inlineStr">
        <is>
          <t>1/2</t>
        </is>
      </c>
      <c r="R694" s="25" t="inlineStr">
        <is>
          <t>12</t>
        </is>
      </c>
      <c r="S694" s="27" t="n">
        <v>628</v>
      </c>
      <c r="T694" s="27" t="n"/>
      <c r="U694" s="25" t="n">
        <v>2</v>
      </c>
      <c r="V694" s="27">
        <f>IF(S694="","",S694*U694)</f>
        <v/>
      </c>
      <c r="W694" s="26" t="inlineStr">
        <is>
          <t>Catalogue lists €628 (EU/national rate). Confirm whether non-EU surcharge applies.</t>
        </is>
      </c>
      <c r="X694" s="25" t="inlineStr">
        <is>
          <t>Medium</t>
        </is>
      </c>
      <c r="Y694" s="25" t="inlineStr">
        <is>
          <t>628</t>
        </is>
      </c>
      <c r="Z694" s="26" t="inlineStr">
        <is>
          <t>Montant frais inscription 2025-2026 = 628€, susceptibles d’augmenter en 2026-2027 … Montant frais inscription 2025-2026 = 628€, susceptibles d’augmenter en 2026-2027</t>
        </is>
      </c>
      <c r="AA694" s="26" t="n"/>
      <c r="AB694" s="25" t="n"/>
      <c r="AC694" s="25" t="inlineStr">
        <is>
          <t>Open</t>
        </is>
      </c>
      <c r="AD694" s="25" t="inlineStr">
        <is>
          <t>2026-10-01</t>
        </is>
      </c>
      <c r="AE694" s="25" t="inlineStr">
        <is>
          <t>2027-03-15</t>
        </is>
      </c>
      <c r="AF694" s="25" t="inlineStr">
        <is>
          <t>No</t>
        </is>
      </c>
      <c r="AG694" s="28" t="inlineStr">
        <is>
          <t>https://episen.u-pec.fr/</t>
        </is>
      </c>
      <c r="AH694" s="26" t="inlineStr">
        <is>
          <t>1ère année : Informatique et Mathématiques niveau Classe Préparatoire, L2 ou L3 info ou BUT Info ou très bon DUT Info. Bon niveau d'anglais et de français 2ème année : Informatique et Mathématiques niveau première année</t>
        </is>
      </c>
      <c r="AI694" s="28" t="inlineStr">
        <is>
          <t>Open in EEF</t>
        </is>
      </c>
    </row>
    <row r="695" ht="32.8" customHeight="1" s="19">
      <c r="A695" s="25" t="n">
        <v>694</v>
      </c>
      <c r="B695" s="25" t="inlineStr">
        <is>
          <t>★★★☆☆</t>
        </is>
      </c>
      <c r="C695" s="25" t="inlineStr">
        <is>
          <t>3 – Adjacent (AI/data/CS/cyber/energy)</t>
        </is>
      </c>
      <c r="D695" s="25" t="inlineStr">
        <is>
          <t>Computer science / Software</t>
        </is>
      </c>
      <c r="E695" s="26" t="inlineStr">
        <is>
          <t>diplôme d'ingénieur de l'Institut national des sciences appliquées de Rennes spécialité Informatique</t>
        </is>
      </c>
      <c r="F695" s="26" t="inlineStr">
        <is>
          <t>Engineering diploma of INSA of Rennes – specialisation: Computer Science</t>
        </is>
      </c>
      <c r="G695" s="25" t="inlineStr">
        <is>
          <t>Diplôme d'ingénieur</t>
        </is>
      </c>
      <c r="H695" s="25" t="inlineStr">
        <is>
          <t>Institut national des sciences appliquées de Rennes</t>
        </is>
      </c>
      <c r="I695" s="25" t="n"/>
      <c r="J695" s="25" t="inlineStr">
        <is>
          <t>Site de Rennes</t>
        </is>
      </c>
      <c r="K695" s="25" t="n"/>
      <c r="L695" s="25" t="inlineStr">
        <is>
          <t>Public school / institute</t>
        </is>
      </c>
      <c r="M695" s="25" t="inlineStr">
        <is>
          <t>French &amp; English</t>
        </is>
      </c>
      <c r="N695" s="25" t="inlineStr">
        <is>
          <t>General</t>
        </is>
      </c>
      <c r="O695" s="25" t="inlineStr">
        <is>
          <t>Bac +3 / Bac +4</t>
        </is>
      </c>
      <c r="P695" s="26" t="inlineStr">
        <is>
          <t>Eligible on level (4-yr BS ≈ Bac+4)</t>
        </is>
      </c>
      <c r="Q695" s="25" t="inlineStr">
        <is>
          <t>3/4</t>
        </is>
      </c>
      <c r="R695" s="25" t="n"/>
      <c r="S695" s="27" t="n">
        <v>3950</v>
      </c>
      <c r="T695" s="27" t="n">
        <v>628</v>
      </c>
      <c r="U695" s="25" t="n">
        <v>2</v>
      </c>
      <c r="V695" s="27">
        <f>IF(S695="","",S695*U695)</f>
        <v/>
      </c>
      <c r="W695" s="26" t="inlineStr">
        <is>
          <t>Not in catalogue. Public engineering diploma: national rate ~€601-628; many schools charge non-EU up to ~€3,950. Verify.</t>
        </is>
      </c>
      <c r="X695" s="25" t="inlineStr">
        <is>
          <t>Low</t>
        </is>
      </c>
      <c r="Y695" s="25" t="n"/>
      <c r="Z695" s="26" t="n"/>
      <c r="AA695" s="26" t="n"/>
      <c r="AB695" s="25" t="n"/>
      <c r="AC695" s="25" t="inlineStr">
        <is>
          <t>Open</t>
        </is>
      </c>
      <c r="AD695" s="25" t="inlineStr">
        <is>
          <t>2026-10-01</t>
        </is>
      </c>
      <c r="AE695" s="25" t="inlineStr">
        <is>
          <t>2027-03-15</t>
        </is>
      </c>
      <c r="AF695" s="25" t="inlineStr">
        <is>
          <t>Yes</t>
        </is>
      </c>
      <c r="AG695" s="28" t="inlineStr">
        <is>
          <t>http://www.insa-rennes.fr</t>
        </is>
      </c>
      <c r="AH695" s="26" t="inlineStr">
        <is>
          <t>Admissions en 3ème année du cycle ingénieur : candidatures à faire sur le site du groupe INSA : www.groupe-insa.fr/comment-candidater de début janvier à fin mars Admission en 4ème année du cycle ingénieur à l'INSA de Ren</t>
        </is>
      </c>
      <c r="AI695" s="28" t="inlineStr">
        <is>
          <t>Open in EEF</t>
        </is>
      </c>
    </row>
    <row r="696" ht="32.8" customHeight="1" s="19">
      <c r="A696" s="25" t="n">
        <v>695</v>
      </c>
      <c r="B696" s="25" t="inlineStr">
        <is>
          <t>★★★☆☆</t>
        </is>
      </c>
      <c r="C696" s="25" t="inlineStr">
        <is>
          <t>3 – Adjacent (AI/data/CS/cyber/energy)</t>
        </is>
      </c>
      <c r="D696" s="25" t="inlineStr">
        <is>
          <t>Other engineering / maths</t>
        </is>
      </c>
      <c r="E696" s="26" t="inlineStr">
        <is>
          <t>diplôme d'ingénieur de l'Institut national des sciences appliquées de Rennes spécialité Mathématiques Appliquées</t>
        </is>
      </c>
      <c r="F696" s="26" t="inlineStr">
        <is>
          <t>Engineering diploma of INSA of Rennes – specialisation: Applied Mathematics</t>
        </is>
      </c>
      <c r="G696" s="25" t="inlineStr">
        <is>
          <t>Diplôme d'ingénieur</t>
        </is>
      </c>
      <c r="H696" s="25" t="inlineStr">
        <is>
          <t>Institut national des sciences appliquées de Rennes</t>
        </is>
      </c>
      <c r="I696" s="25" t="n"/>
      <c r="J696" s="25" t="inlineStr">
        <is>
          <t>Site de Rennes</t>
        </is>
      </c>
      <c r="K696" s="25" t="n"/>
      <c r="L696" s="25" t="inlineStr">
        <is>
          <t>Public school / institute</t>
        </is>
      </c>
      <c r="M696" s="25" t="inlineStr">
        <is>
          <t>French &amp; English</t>
        </is>
      </c>
      <c r="N696" s="25" t="inlineStr">
        <is>
          <t>General</t>
        </is>
      </c>
      <c r="O696" s="25" t="inlineStr">
        <is>
          <t>Bac +3 / Bac +4</t>
        </is>
      </c>
      <c r="P696" s="26" t="inlineStr">
        <is>
          <t>Eligible on level (4-yr BS ≈ Bac+4)</t>
        </is>
      </c>
      <c r="Q696" s="25" t="inlineStr">
        <is>
          <t>3/4</t>
        </is>
      </c>
      <c r="R696" s="25" t="n"/>
      <c r="S696" s="27" t="n">
        <v>3950</v>
      </c>
      <c r="T696" s="27" t="n">
        <v>628</v>
      </c>
      <c r="U696" s="25" t="n">
        <v>2</v>
      </c>
      <c r="V696" s="27">
        <f>IF(S696="","",S696*U696)</f>
        <v/>
      </c>
      <c r="W696" s="26" t="inlineStr">
        <is>
          <t>Not in catalogue. Public engineering diploma: national rate ~€601-628; many schools charge non-EU up to ~€3,950. Verify.</t>
        </is>
      </c>
      <c r="X696" s="25" t="inlineStr">
        <is>
          <t>Low</t>
        </is>
      </c>
      <c r="Y696" s="25" t="n"/>
      <c r="Z696" s="26" t="n"/>
      <c r="AA696" s="26" t="n"/>
      <c r="AB696" s="25" t="n"/>
      <c r="AC696" s="25" t="inlineStr">
        <is>
          <t>Open</t>
        </is>
      </c>
      <c r="AD696" s="25" t="inlineStr">
        <is>
          <t>2026-10-01</t>
        </is>
      </c>
      <c r="AE696" s="25" t="inlineStr">
        <is>
          <t>2027-03-15</t>
        </is>
      </c>
      <c r="AF696" s="25" t="inlineStr">
        <is>
          <t>Yes</t>
        </is>
      </c>
      <c r="AG696" s="28" t="inlineStr">
        <is>
          <t>http://www.insa-rennes.fr</t>
        </is>
      </c>
      <c r="AH696" s="26" t="inlineStr">
        <is>
          <t>Admissions en 3ème année du cycle ingénieur : candidatures à faire sur le site du groupe INSA : www.groupe-insa.fr/comment-candidater du 20 janvier au 22 mars Admission en 4ème année du cycle ingénieur à l'INSA de Rennes</t>
        </is>
      </c>
      <c r="AI696" s="28" t="inlineStr">
        <is>
          <t>Open in EEF</t>
        </is>
      </c>
    </row>
    <row r="697" ht="32.8" customHeight="1" s="19">
      <c r="A697" s="25" t="n">
        <v>696</v>
      </c>
      <c r="B697" s="25" t="inlineStr">
        <is>
          <t>★★★☆☆</t>
        </is>
      </c>
      <c r="C697" s="25" t="inlineStr">
        <is>
          <t>3 – Adjacent (AI/data/CS/cyber/energy)</t>
        </is>
      </c>
      <c r="D697" s="25" t="inlineStr">
        <is>
          <t>Computer science / Software</t>
        </is>
      </c>
      <c r="E697" s="26" t="inlineStr">
        <is>
          <t>Diplôme d'Ingénieur de l'Université de Technologie de Troyes spécialité Informatique et Systèmes d'Information</t>
        </is>
      </c>
      <c r="F697" s="26" t="inlineStr">
        <is>
          <t>Engineering diploma of University of Technology of Troyes – specialisation: Computer Science &amp; Information Systems</t>
        </is>
      </c>
      <c r="G697" s="25" t="inlineStr">
        <is>
          <t>Diplôme d'ingénieur</t>
        </is>
      </c>
      <c r="H697" s="25" t="inlineStr">
        <is>
          <t>Université de technologie de Troyes</t>
        </is>
      </c>
      <c r="I697" s="25" t="n"/>
      <c r="J697" s="25" t="inlineStr">
        <is>
          <t>Site de Troyes</t>
        </is>
      </c>
      <c r="K697" s="25" t="n"/>
      <c r="L697" s="25" t="inlineStr">
        <is>
          <t>Public university</t>
        </is>
      </c>
      <c r="M697" s="25" t="inlineStr">
        <is>
          <t>French &amp; English</t>
        </is>
      </c>
      <c r="N697" s="25" t="inlineStr">
        <is>
          <t>General</t>
        </is>
      </c>
      <c r="O697" s="25" t="inlineStr">
        <is>
          <t>Bac +3 / Bac +4 / Bac +5</t>
        </is>
      </c>
      <c r="P697" s="26" t="inlineStr">
        <is>
          <t>Eligible on level (4-yr BS ≈ Bac+4)</t>
        </is>
      </c>
      <c r="Q697" s="25" t="inlineStr">
        <is>
          <t>3/4/5</t>
        </is>
      </c>
      <c r="R697" s="25" t="inlineStr">
        <is>
          <t>12</t>
        </is>
      </c>
      <c r="S697" s="27" t="n">
        <v>3950</v>
      </c>
      <c r="T697" s="27" t="n">
        <v>628</v>
      </c>
      <c r="U697" s="25" t="n">
        <v>2</v>
      </c>
      <c r="V697" s="27">
        <f>IF(S697="","",S697*U697)</f>
        <v/>
      </c>
      <c r="W697" s="26" t="inlineStr">
        <is>
          <t>Not in catalogue. Public engineering diploma: national rate ~€601-628; many schools charge non-EU up to ~€3,950. Verify.</t>
        </is>
      </c>
      <c r="X697" s="25" t="inlineStr">
        <is>
          <t>Low</t>
        </is>
      </c>
      <c r="Y697" s="25" t="n"/>
      <c r="Z697" s="26" t="n"/>
      <c r="AA697" s="26" t="n"/>
      <c r="AB697" s="25" t="n"/>
      <c r="AC697" s="25" t="inlineStr">
        <is>
          <t>Open</t>
        </is>
      </c>
      <c r="AD697" s="25" t="inlineStr">
        <is>
          <t>2026-10-01</t>
        </is>
      </c>
      <c r="AE697" s="25" t="inlineStr">
        <is>
          <t>2027-03-15</t>
        </is>
      </c>
      <c r="AF697" s="25" t="inlineStr">
        <is>
          <t>Yes</t>
        </is>
      </c>
      <c r="AG697" s="28" t="inlineStr">
        <is>
          <t>http://www.utt.fr</t>
        </is>
      </c>
      <c r="AH697" s="26" t="inlineStr">
        <is>
          <t>Admission en 1ère année de branche : La formation est ouverte, en 3ème année d'igénieur, aux titulaires d’un diplôme national conférant le grade de bac +2 minimum, d'un titre étranger ou français admis par équivalence, L</t>
        </is>
      </c>
      <c r="AI697" s="28" t="inlineStr">
        <is>
          <t>Open in EEF</t>
        </is>
      </c>
    </row>
    <row r="698" ht="32.8" customHeight="1" s="19">
      <c r="A698" s="25" t="n">
        <v>697</v>
      </c>
      <c r="B698" s="25" t="inlineStr">
        <is>
          <t>★★★☆☆</t>
        </is>
      </c>
      <c r="C698" s="25" t="inlineStr">
        <is>
          <t>3 – Adjacent (AI/data/CS/cyber/energy)</t>
        </is>
      </c>
      <c r="D698" s="25" t="inlineStr">
        <is>
          <t>Computer science / Software</t>
        </is>
      </c>
      <c r="E698" s="26" t="inlineStr">
        <is>
          <t>Cycle Ingénieur Informatique (SUD)</t>
        </is>
      </c>
      <c r="F698" s="26" t="inlineStr">
        <is>
          <t>cycle Engineer Computer Science (SUD)</t>
        </is>
      </c>
      <c r="G698" s="25" t="inlineStr">
        <is>
          <t>Diplôme d'ingénieur</t>
        </is>
      </c>
      <c r="H698" s="25" t="inlineStr">
        <is>
          <t>Ecole Supérieure d'Ingénieurs Réunion Océan Indien</t>
        </is>
      </c>
      <c r="I698" s="25" t="inlineStr">
        <is>
          <t>Université de La Réunion</t>
        </is>
      </c>
      <c r="J698" s="25" t="inlineStr">
        <is>
          <t>Site de Saint-Pierre</t>
        </is>
      </c>
      <c r="K698" s="25" t="inlineStr">
        <is>
          <t>97455 Saint-Pierre Cédex</t>
        </is>
      </c>
      <c r="L698" s="25" t="inlineStr">
        <is>
          <t>Public school / institute</t>
        </is>
      </c>
      <c r="M698" s="25" t="inlineStr">
        <is>
          <t>French</t>
        </is>
      </c>
      <c r="N698" s="25" t="inlineStr">
        <is>
          <t>General</t>
        </is>
      </c>
      <c r="O698" s="25" t="inlineStr">
        <is>
          <t>Bac +3 / Bac +4</t>
        </is>
      </c>
      <c r="P698" s="26" t="inlineStr">
        <is>
          <t>Eligible on level (4-yr BS ≈ Bac+4)</t>
        </is>
      </c>
      <c r="Q698" s="25" t="inlineStr">
        <is>
          <t>3/4</t>
        </is>
      </c>
      <c r="R698" s="25" t="inlineStr">
        <is>
          <t>12</t>
        </is>
      </c>
      <c r="S698" s="27" t="n">
        <v>3950</v>
      </c>
      <c r="T698" s="27" t="n">
        <v>628</v>
      </c>
      <c r="U698" s="25" t="n">
        <v>2</v>
      </c>
      <c r="V698" s="27">
        <f>IF(S698="","",S698*U698)</f>
        <v/>
      </c>
      <c r="W698" s="26" t="inlineStr">
        <is>
          <t>Not in catalogue. Public engineering diploma: national rate ~€601-628; many schools charge non-EU up to ~€3,950. Verify.</t>
        </is>
      </c>
      <c r="X698" s="25" t="inlineStr">
        <is>
          <t>Low</t>
        </is>
      </c>
      <c r="Y698" s="25" t="n"/>
      <c r="Z698" s="26" t="n"/>
      <c r="AA698" s="26" t="n"/>
      <c r="AB698" s="25" t="n"/>
      <c r="AC698" s="25" t="inlineStr">
        <is>
          <t>Open</t>
        </is>
      </c>
      <c r="AD698" s="25" t="inlineStr">
        <is>
          <t>2026-10-01</t>
        </is>
      </c>
      <c r="AE698" s="25" t="inlineStr">
        <is>
          <t>2027-03-15</t>
        </is>
      </c>
      <c r="AF698" s="25" t="inlineStr">
        <is>
          <t>No</t>
        </is>
      </c>
      <c r="AG698" s="28" t="inlineStr">
        <is>
          <t>http://esiroi.univ-reunion.fr</t>
        </is>
      </c>
      <c r="AH698" s="26" t="inlineStr">
        <is>
          <t>-L'étudiant devra à minima justifier d'un diplôme équivalent ou d'une expérience professionnelle ainsi que du niveau TCF B2 Obligatoire. -Etude du dossier de candidature par une commission pédagogique.</t>
        </is>
      </c>
      <c r="AI698" s="28" t="inlineStr">
        <is>
          <t>Open in EEF</t>
        </is>
      </c>
    </row>
    <row r="699" ht="22.35" customHeight="1" s="19">
      <c r="A699" s="25" t="n">
        <v>698</v>
      </c>
      <c r="B699" s="25" t="inlineStr">
        <is>
          <t>★★★☆☆</t>
        </is>
      </c>
      <c r="C699" s="25" t="inlineStr">
        <is>
          <t>3 – Adjacent (AI/data/CS/cyber/energy)</t>
        </is>
      </c>
      <c r="D699" s="25" t="inlineStr">
        <is>
          <t>IoT / Telecom / Networks</t>
        </is>
      </c>
      <c r="E699" s="26" t="inlineStr">
        <is>
          <t>diplôme d'ingénieur de l'Institut supérieur d'études logistiques de l'université du Havre spécialité Mix-énergétique et réseaux intelligents</t>
        </is>
      </c>
      <c r="F699" s="26" t="inlineStr">
        <is>
          <t>Engineering diploma of Institute Higher d'études logistiques of University of Havre – specialisation: Mix-énergétique &amp; Networks Intelligent</t>
        </is>
      </c>
      <c r="G699" s="25" t="inlineStr">
        <is>
          <t>Diplôme d'ingénieur</t>
        </is>
      </c>
      <c r="H699" s="25" t="inlineStr">
        <is>
          <t>Institut supérieur d'études logistiques</t>
        </is>
      </c>
      <c r="I699" s="25" t="inlineStr">
        <is>
          <t>Université du Havre</t>
        </is>
      </c>
      <c r="J699" s="25" t="inlineStr">
        <is>
          <t>Site de Le Havre</t>
        </is>
      </c>
      <c r="K699" s="25" t="n"/>
      <c r="L699" s="25" t="inlineStr">
        <is>
          <t>Public school / institute</t>
        </is>
      </c>
      <c r="M699" s="25" t="inlineStr">
        <is>
          <t>French</t>
        </is>
      </c>
      <c r="N699" s="25" t="inlineStr">
        <is>
          <t>General</t>
        </is>
      </c>
      <c r="O699" s="25" t="inlineStr">
        <is>
          <t>Bac +3</t>
        </is>
      </c>
      <c r="P699" s="26" t="inlineStr">
        <is>
          <t>Eligible on level (4-yr BS ≈ Bac+4)</t>
        </is>
      </c>
      <c r="Q699" s="25" t="inlineStr">
        <is>
          <t>3</t>
        </is>
      </c>
      <c r="R699" s="25" t="n"/>
      <c r="S699" s="27" t="n">
        <v>3950</v>
      </c>
      <c r="T699" s="27" t="n">
        <v>628</v>
      </c>
      <c r="U699" s="25" t="n">
        <v>2</v>
      </c>
      <c r="V699" s="27">
        <f>IF(S699="","",S699*U699)</f>
        <v/>
      </c>
      <c r="W699" s="26" t="inlineStr">
        <is>
          <t>Not in catalogue. Public engineering diploma: national rate ~€601-628; many schools charge non-EU up to ~€3,950. Verify.</t>
        </is>
      </c>
      <c r="X699" s="25" t="inlineStr">
        <is>
          <t>Low</t>
        </is>
      </c>
      <c r="Y699" s="25" t="n"/>
      <c r="Z699" s="26" t="n"/>
      <c r="AA699" s="26" t="n"/>
      <c r="AB699" s="25" t="n"/>
      <c r="AC699" s="25" t="inlineStr">
        <is>
          <t>Open</t>
        </is>
      </c>
      <c r="AD699" s="25" t="inlineStr">
        <is>
          <t>2026-10-01</t>
        </is>
      </c>
      <c r="AE699" s="25" t="inlineStr">
        <is>
          <t>2027-03-15</t>
        </is>
      </c>
      <c r="AF699" s="25" t="inlineStr">
        <is>
          <t>No</t>
        </is>
      </c>
      <c r="AG699" s="25" t="n"/>
      <c r="AH699" s="26" t="n"/>
      <c r="AI699" s="28" t="inlineStr">
        <is>
          <t>Open in EEF</t>
        </is>
      </c>
    </row>
    <row r="700" ht="32.8" customHeight="1" s="19">
      <c r="A700" s="25" t="n">
        <v>699</v>
      </c>
      <c r="B700" s="25" t="inlineStr">
        <is>
          <t>★★★☆☆</t>
        </is>
      </c>
      <c r="C700" s="25" t="inlineStr">
        <is>
          <t>3 – Adjacent (AI/data/CS/cyber/energy)</t>
        </is>
      </c>
      <c r="D700" s="25" t="inlineStr">
        <is>
          <t>Computer science / Software</t>
        </is>
      </c>
      <c r="E700" s="26" t="inlineStr">
        <is>
          <t>diplôme d'Ingénieur CY Tech spécialité génie informatique</t>
        </is>
      </c>
      <c r="F700" s="26" t="inlineStr">
        <is>
          <t>Engineering diploma CY Tech – specialisation: Engineering Computer Science</t>
        </is>
      </c>
      <c r="G700" s="25" t="inlineStr">
        <is>
          <t>Diplôme d'ingénieur</t>
        </is>
      </c>
      <c r="H700" s="25" t="inlineStr">
        <is>
          <t>CY Tech école d'ingénieur</t>
        </is>
      </c>
      <c r="I700" s="25" t="inlineStr">
        <is>
          <t>CY Cergy Paris Université</t>
        </is>
      </c>
      <c r="J700" s="25" t="inlineStr">
        <is>
          <t>Campus de Pau</t>
        </is>
      </c>
      <c r="K700" s="25" t="n"/>
      <c r="L700" s="25" t="inlineStr">
        <is>
          <t>Public school / institute</t>
        </is>
      </c>
      <c r="M700" s="25" t="inlineStr">
        <is>
          <t>French</t>
        </is>
      </c>
      <c r="N700" s="25" t="inlineStr">
        <is>
          <t>General</t>
        </is>
      </c>
      <c r="O700" s="25" t="inlineStr">
        <is>
          <t>Bac +1 / Bac +2 / Bac +3 / Bac +4</t>
        </is>
      </c>
      <c r="P700" s="26" t="inlineStr">
        <is>
          <t>Eligible on level (4-yr BS ≈ Bac+4)</t>
        </is>
      </c>
      <c r="Q700" s="25" t="inlineStr">
        <is>
          <t>1/2/3/4</t>
        </is>
      </c>
      <c r="R700" s="25" t="n"/>
      <c r="S700" s="27" t="n">
        <v>3950</v>
      </c>
      <c r="T700" s="27" t="n">
        <v>628</v>
      </c>
      <c r="U700" s="25" t="n">
        <v>2</v>
      </c>
      <c r="V700" s="27">
        <f>IF(S700="","",S700*U700)</f>
        <v/>
      </c>
      <c r="W700" s="26" t="inlineStr">
        <is>
          <t>Not in catalogue. Public engineering diploma: national rate ~€601-628; many schools charge non-EU up to ~€3,950. Verify.</t>
        </is>
      </c>
      <c r="X700" s="25" t="inlineStr">
        <is>
          <t>Low</t>
        </is>
      </c>
      <c r="Y700" s="25" t="n"/>
      <c r="Z700" s="26" t="inlineStr">
        <is>
          <t>Votre candidature sera enregistrée lorsque vous aurez réglé les frais de candidature de 80€ … Votre candidature sera enregistrée lorsque vous aurez réglé les frais de candidature de 80€</t>
        </is>
      </c>
      <c r="AA700" s="26" t="n"/>
      <c r="AB700" s="25" t="n"/>
      <c r="AC700" s="25" t="inlineStr">
        <is>
          <t>Open</t>
        </is>
      </c>
      <c r="AD700" s="25" t="inlineStr">
        <is>
          <t>2026-10-01</t>
        </is>
      </c>
      <c r="AE700" s="25" t="inlineStr">
        <is>
          <t>2027-03-15</t>
        </is>
      </c>
      <c r="AF700" s="25" t="inlineStr">
        <is>
          <t>Yes</t>
        </is>
      </c>
      <c r="AG700" s="28" t="inlineStr">
        <is>
          <t>https://cytech.cyu.fr/</t>
        </is>
      </c>
      <c r="AH700" s="26" t="n"/>
      <c r="AI700" s="28" t="inlineStr">
        <is>
          <t>Open in EEF</t>
        </is>
      </c>
    </row>
    <row r="701" ht="22.35" customHeight="1" s="19">
      <c r="A701" s="25" t="n">
        <v>700</v>
      </c>
      <c r="B701" s="25" t="inlineStr">
        <is>
          <t>★★★☆☆</t>
        </is>
      </c>
      <c r="C701" s="25" t="inlineStr">
        <is>
          <t>3 – Adjacent (AI/data/CS/cyber/energy)</t>
        </is>
      </c>
      <c r="D701" s="25" t="inlineStr">
        <is>
          <t>Computer science / Software</t>
        </is>
      </c>
      <c r="E701" s="26" t="inlineStr">
        <is>
          <t>diplôme d'Ingénieur CY Tech spécialité génie informatique</t>
        </is>
      </c>
      <c r="F701" s="26" t="inlineStr">
        <is>
          <t>Engineering diploma CY Tech – specialisation: Engineering Computer Science</t>
        </is>
      </c>
      <c r="G701" s="25" t="inlineStr">
        <is>
          <t>Diplôme d'ingénieur</t>
        </is>
      </c>
      <c r="H701" s="25" t="inlineStr">
        <is>
          <t>CY Tech école d'ingénieur</t>
        </is>
      </c>
      <c r="I701" s="25" t="inlineStr">
        <is>
          <t>CY Cergy Paris Université</t>
        </is>
      </c>
      <c r="J701" s="25" t="inlineStr">
        <is>
          <t>Site de Cergy</t>
        </is>
      </c>
      <c r="K701" s="25" t="n"/>
      <c r="L701" s="25" t="inlineStr">
        <is>
          <t>Public school / institute</t>
        </is>
      </c>
      <c r="M701" s="25" t="inlineStr">
        <is>
          <t>French</t>
        </is>
      </c>
      <c r="N701" s="25" t="inlineStr">
        <is>
          <t>General</t>
        </is>
      </c>
      <c r="O701" s="25" t="inlineStr">
        <is>
          <t>Bac +1 / Bac +2 / Bac +3 / Bac +4 / Bac +5</t>
        </is>
      </c>
      <c r="P701" s="26" t="inlineStr">
        <is>
          <t>Eligible on level (4-yr BS ≈ Bac+4)</t>
        </is>
      </c>
      <c r="Q701" s="25" t="inlineStr">
        <is>
          <t>1/2/3/4/5</t>
        </is>
      </c>
      <c r="R701" s="25" t="n"/>
      <c r="S701" s="27" t="n">
        <v>3950</v>
      </c>
      <c r="T701" s="27" t="n">
        <v>628</v>
      </c>
      <c r="U701" s="25" t="n">
        <v>2</v>
      </c>
      <c r="V701" s="27">
        <f>IF(S701="","",S701*U701)</f>
        <v/>
      </c>
      <c r="W701" s="26" t="inlineStr">
        <is>
          <t>Not in catalogue. Public engineering diploma: national rate ~€601-628; many schools charge non-EU up to ~€3,950. Verify.</t>
        </is>
      </c>
      <c r="X701" s="25" t="inlineStr">
        <is>
          <t>Low</t>
        </is>
      </c>
      <c r="Y701" s="25" t="n"/>
      <c r="Z701" s="26" t="n"/>
      <c r="AA701" s="26" t="n"/>
      <c r="AB701" s="25" t="n"/>
      <c r="AC701" s="25" t="inlineStr">
        <is>
          <t>Open</t>
        </is>
      </c>
      <c r="AD701" s="25" t="inlineStr">
        <is>
          <t>2026-10-01</t>
        </is>
      </c>
      <c r="AE701" s="25" t="inlineStr">
        <is>
          <t>2027-03-15</t>
        </is>
      </c>
      <c r="AF701" s="25" t="inlineStr">
        <is>
          <t>Yes</t>
        </is>
      </c>
      <c r="AG701" s="28" t="inlineStr">
        <is>
          <t>https://cytech.cyu.fr/international-cy-tech/programme-grande-ecole-ingenieur</t>
        </is>
      </c>
      <c r="AH701" s="26" t="inlineStr">
        <is>
          <t>Il faut être issu de formations à caractère scientifique. Niveau de français minimum requis : B2</t>
        </is>
      </c>
      <c r="AI701" s="28" t="inlineStr">
        <is>
          <t>Open in EEF</t>
        </is>
      </c>
    </row>
    <row r="702" ht="22.35" customHeight="1" s="19">
      <c r="A702" s="25" t="n">
        <v>701</v>
      </c>
      <c r="B702" s="25" t="inlineStr">
        <is>
          <t>★★★☆☆</t>
        </is>
      </c>
      <c r="C702" s="25" t="inlineStr">
        <is>
          <t>3 – Adjacent (AI/data/CS/cyber/energy)</t>
        </is>
      </c>
      <c r="D702" s="25" t="inlineStr">
        <is>
          <t>Computer science / Software</t>
        </is>
      </c>
      <c r="E702" s="26" t="inlineStr">
        <is>
          <t>diplôme d'ingénieur de l'École centrale de Lille spécialité génie informatique et industriel</t>
        </is>
      </c>
      <c r="F702" s="26" t="inlineStr">
        <is>
          <t>Engineering diploma of School centrale of Lille – specialisation: Engineering Computer Science &amp; Industrial</t>
        </is>
      </c>
      <c r="G702" s="25" t="inlineStr">
        <is>
          <t>Diplôme d'ingénieur</t>
        </is>
      </c>
      <c r="H702" s="25" t="inlineStr">
        <is>
          <t>Institut de génie informatique et industriel - Centrale Lille</t>
        </is>
      </c>
      <c r="I702" s="25" t="n"/>
      <c r="J702" s="25" t="inlineStr">
        <is>
          <t>Site de Lens</t>
        </is>
      </c>
      <c r="K702" s="25" t="n"/>
      <c r="L702" s="25" t="inlineStr">
        <is>
          <t>Public school / institute</t>
        </is>
      </c>
      <c r="M702" s="25" t="inlineStr">
        <is>
          <t>French</t>
        </is>
      </c>
      <c r="N702" s="25" t="inlineStr">
        <is>
          <t>General</t>
        </is>
      </c>
      <c r="O702" s="25" t="inlineStr">
        <is>
          <t>Bac +1 / Bac +2 / Bac +3 / Bac +4 / Bac +5</t>
        </is>
      </c>
      <c r="P702" s="26" t="inlineStr">
        <is>
          <t>Eligible on level (4-yr BS ≈ Bac+4)</t>
        </is>
      </c>
      <c r="Q702" s="25" t="inlineStr">
        <is>
          <t>1/2/3/4/5</t>
        </is>
      </c>
      <c r="R702" s="25" t="n"/>
      <c r="S702" s="27" t="n">
        <v>3950</v>
      </c>
      <c r="T702" s="27" t="n">
        <v>628</v>
      </c>
      <c r="U702" s="25" t="n">
        <v>2</v>
      </c>
      <c r="V702" s="27">
        <f>IF(S702="","",S702*U702)</f>
        <v/>
      </c>
      <c r="W702" s="26" t="inlineStr">
        <is>
          <t>Not in catalogue. Public engineering diploma: national rate ~€601-628; many schools charge non-EU up to ~€3,950. Verify.</t>
        </is>
      </c>
      <c r="X702" s="25" t="inlineStr">
        <is>
          <t>Low</t>
        </is>
      </c>
      <c r="Y702" s="25" t="n"/>
      <c r="Z702" s="26" t="n"/>
      <c r="AA702" s="26" t="n"/>
      <c r="AB702" s="25" t="n"/>
      <c r="AC702" s="25" t="inlineStr">
        <is>
          <t>Closed</t>
        </is>
      </c>
      <c r="AD702" s="25" t="n"/>
      <c r="AE702" s="25" t="n"/>
      <c r="AF702" s="25" t="inlineStr">
        <is>
          <t>No</t>
        </is>
      </c>
      <c r="AG702" s="28" t="inlineStr">
        <is>
          <t>http://www.ig2i.fr</t>
        </is>
      </c>
      <c r="AH702" s="26" t="n"/>
      <c r="AI702" s="28" t="inlineStr">
        <is>
          <t>Open in EEF</t>
        </is>
      </c>
    </row>
    <row r="703" ht="32.8" customHeight="1" s="19">
      <c r="A703" s="25" t="n">
        <v>702</v>
      </c>
      <c r="B703" s="25" t="inlineStr">
        <is>
          <t>★★★☆☆</t>
        </is>
      </c>
      <c r="C703" s="25" t="inlineStr">
        <is>
          <t>3 – Adjacent (AI/data/CS/cyber/energy)</t>
        </is>
      </c>
      <c r="D703" s="25" t="inlineStr">
        <is>
          <t>Computer science / Software</t>
        </is>
      </c>
      <c r="E703" s="26" t="inlineStr">
        <is>
          <t>diplôme d'ingénieur de l'École d'ingénieurs du Littoral Côte d'Opale de l'Université du Littoral Informatique</t>
        </is>
      </c>
      <c r="F703" s="26" t="inlineStr">
        <is>
          <t>Engineering diploma of School of Engineers of Littoral Côte d'Opale of University of Littoral Computer Science</t>
        </is>
      </c>
      <c r="G703" s="25" t="inlineStr">
        <is>
          <t>Diplôme d'ingénieur</t>
        </is>
      </c>
      <c r="H703" s="25" t="inlineStr">
        <is>
          <t>EIL CO - Ecole d'Ingénieurs du Littoral Côte d'Opale</t>
        </is>
      </c>
      <c r="I703" s="25" t="inlineStr">
        <is>
          <t>Université du Littoral Côte d'Opale</t>
        </is>
      </c>
      <c r="J703" s="25" t="inlineStr">
        <is>
          <t>Site de Calais</t>
        </is>
      </c>
      <c r="K703" s="25" t="n"/>
      <c r="L703" s="25" t="inlineStr">
        <is>
          <t>Public school / institute</t>
        </is>
      </c>
      <c r="M703" s="25" t="inlineStr">
        <is>
          <t>French</t>
        </is>
      </c>
      <c r="N703" s="25" t="inlineStr">
        <is>
          <t>General</t>
        </is>
      </c>
      <c r="O703" s="25" t="inlineStr">
        <is>
          <t>Bac +3 / Bac +4 / Bac +5</t>
        </is>
      </c>
      <c r="P703" s="26" t="inlineStr">
        <is>
          <t>Eligible on level (4-yr BS ≈ Bac+4)</t>
        </is>
      </c>
      <c r="Q703" s="25" t="inlineStr">
        <is>
          <t>1/2/3</t>
        </is>
      </c>
      <c r="R703" s="25" t="n"/>
      <c r="S703" s="27" t="n">
        <v>3950</v>
      </c>
      <c r="T703" s="27" t="n">
        <v>628</v>
      </c>
      <c r="U703" s="25" t="n">
        <v>2</v>
      </c>
      <c r="V703" s="27">
        <f>IF(S703="","",S703*U703)</f>
        <v/>
      </c>
      <c r="W703" s="26" t="inlineStr">
        <is>
          <t>Not in catalogue. Public engineering diploma: national rate ~€601-628; many schools charge non-EU up to ~€3,950. Verify.</t>
        </is>
      </c>
      <c r="X703" s="25" t="inlineStr">
        <is>
          <t>Low</t>
        </is>
      </c>
      <c r="Y703" s="25" t="n"/>
      <c r="Z703" s="26" t="n"/>
      <c r="AA703" s="26" t="n"/>
      <c r="AB703" s="25" t="n"/>
      <c r="AC703" s="25" t="inlineStr">
        <is>
          <t>Open</t>
        </is>
      </c>
      <c r="AD703" s="25" t="inlineStr">
        <is>
          <t>2026-10-01</t>
        </is>
      </c>
      <c r="AE703" s="25" t="inlineStr">
        <is>
          <t>2027-03-15</t>
        </is>
      </c>
      <c r="AF703" s="25" t="inlineStr">
        <is>
          <t>No</t>
        </is>
      </c>
      <c r="AG703" s="28" t="inlineStr">
        <is>
          <t>https://www.eilco-ulco.fr</t>
        </is>
      </c>
      <c r="AH703" s="26" t="inlineStr">
        <is>
          <t>Pour les étudiants étrangers originaires d’un pays où le français n’est pas la langue officielle (hors Espace Economique Européen) : exigence du DELF (niveau B2), du DALF, du TCF (niveau B2) ou TEF (niveau B2). Cette att</t>
        </is>
      </c>
      <c r="AI703" s="28" t="inlineStr">
        <is>
          <t>Open in EEF</t>
        </is>
      </c>
    </row>
    <row r="704" ht="22.35" customHeight="1" s="19">
      <c r="A704" s="25" t="n">
        <v>703</v>
      </c>
      <c r="B704" s="25" t="inlineStr">
        <is>
          <t>★★★☆☆</t>
        </is>
      </c>
      <c r="C704" s="25" t="inlineStr">
        <is>
          <t>3 – Adjacent (AI/data/CS/cyber/energy)</t>
        </is>
      </c>
      <c r="D704" s="25" t="inlineStr">
        <is>
          <t>Computer science / Software</t>
        </is>
      </c>
      <c r="E704" s="26" t="inlineStr">
        <is>
          <t>diplôme d'ingénieur de l'Ecole nationale supérieure d'informatique pour l'industrie et l'entreprise</t>
        </is>
      </c>
      <c r="F704" s="26" t="inlineStr">
        <is>
          <t>Engineering diploma of the National Graduate School of Computer Science for Industry &amp; the Company</t>
        </is>
      </c>
      <c r="G704" s="25" t="inlineStr">
        <is>
          <t>Diplôme d'ingénieur</t>
        </is>
      </c>
      <c r="H704" s="25" t="inlineStr">
        <is>
          <t>Ecole nationale supérieure d'informatique pour l'industrie et l'entreprise</t>
        </is>
      </c>
      <c r="I704" s="25" t="n"/>
      <c r="J704" s="25" t="inlineStr">
        <is>
          <t>EVRY</t>
        </is>
      </c>
      <c r="K704" s="25" t="n"/>
      <c r="L704" s="25" t="inlineStr">
        <is>
          <t>Public school / institute</t>
        </is>
      </c>
      <c r="M704" s="25" t="inlineStr">
        <is>
          <t>French</t>
        </is>
      </c>
      <c r="N704" s="25" t="inlineStr">
        <is>
          <t>General</t>
        </is>
      </c>
      <c r="O704" s="25" t="inlineStr">
        <is>
          <t>Bac +3 / Bac +4 / Bac +5</t>
        </is>
      </c>
      <c r="P704" s="26" t="inlineStr">
        <is>
          <t>Eligible on level (4-yr BS ≈ Bac+4)</t>
        </is>
      </c>
      <c r="Q704" s="25" t="inlineStr">
        <is>
          <t>1/2/3</t>
        </is>
      </c>
      <c r="R704" s="25" t="n"/>
      <c r="S704" s="27" t="n">
        <v>3950</v>
      </c>
      <c r="T704" s="27" t="n">
        <v>628</v>
      </c>
      <c r="U704" s="25" t="n">
        <v>2</v>
      </c>
      <c r="V704" s="27">
        <f>IF(S704="","",S704*U704)</f>
        <v/>
      </c>
      <c r="W704" s="26" t="inlineStr">
        <is>
          <t>Not in catalogue. Public engineering diploma: national rate ~€601-628; many schools charge non-EU up to ~€3,950. Verify.</t>
        </is>
      </c>
      <c r="X704" s="25" t="inlineStr">
        <is>
          <t>Low</t>
        </is>
      </c>
      <c r="Y704" s="25" t="n"/>
      <c r="Z704" s="26" t="n"/>
      <c r="AA704" s="26" t="n"/>
      <c r="AB704" s="25" t="n"/>
      <c r="AC704" s="25" t="inlineStr">
        <is>
          <t>Open</t>
        </is>
      </c>
      <c r="AD704" s="25" t="inlineStr">
        <is>
          <t>2026-10-01</t>
        </is>
      </c>
      <c r="AE704" s="25" t="inlineStr">
        <is>
          <t>2027-03-15</t>
        </is>
      </c>
      <c r="AF704" s="25" t="inlineStr">
        <is>
          <t>No</t>
        </is>
      </c>
      <c r="AG704" s="28" t="inlineStr">
        <is>
          <t>http://www.ensiie.fr</t>
        </is>
      </c>
      <c r="AH704" s="26" t="n"/>
      <c r="AI704" s="28" t="inlineStr">
        <is>
          <t>Open in EEF</t>
        </is>
      </c>
    </row>
    <row r="705" ht="32.8" customHeight="1" s="19">
      <c r="A705" s="25" t="n">
        <v>704</v>
      </c>
      <c r="B705" s="25" t="inlineStr">
        <is>
          <t>★★★☆☆</t>
        </is>
      </c>
      <c r="C705" s="25" t="inlineStr">
        <is>
          <t>3 – Adjacent (AI/data/CS/cyber/energy)</t>
        </is>
      </c>
      <c r="D705" s="25" t="inlineStr">
        <is>
          <t>IoT / Telecom / Networks</t>
        </is>
      </c>
      <c r="E705" s="26" t="inlineStr">
        <is>
          <t>diplôme d'ingénieur de l'Ecole nationale supérieure d'ingénieurs Sud Alsace de l'université de Mulhouse spécialité informatique et réseaux</t>
        </is>
      </c>
      <c r="F705" s="26" t="inlineStr">
        <is>
          <t>Engineering diploma of the National Graduate School of Engineers Sud Alsace of University of Mulhouse – specialisation: Computer Science &amp; Networks</t>
        </is>
      </c>
      <c r="G705" s="25" t="inlineStr">
        <is>
          <t>Diplôme d'ingénieur</t>
        </is>
      </c>
      <c r="H705" s="25" t="inlineStr">
        <is>
          <t>Ecole nationale supérieure d'ingénieurs Sud Alsace</t>
        </is>
      </c>
      <c r="I705" s="25" t="inlineStr">
        <is>
          <t>Université de Haute Alsace Mulhouse</t>
        </is>
      </c>
      <c r="J705" s="25" t="inlineStr">
        <is>
          <t>Site de Mulhouse</t>
        </is>
      </c>
      <c r="K705" s="25" t="n"/>
      <c r="L705" s="25" t="inlineStr">
        <is>
          <t>Public school / institute</t>
        </is>
      </c>
      <c r="M705" s="25" t="inlineStr">
        <is>
          <t>French</t>
        </is>
      </c>
      <c r="N705" s="25" t="inlineStr">
        <is>
          <t>General</t>
        </is>
      </c>
      <c r="O705" s="25" t="inlineStr">
        <is>
          <t>Bac +3 / Bac +4</t>
        </is>
      </c>
      <c r="P705" s="26" t="inlineStr">
        <is>
          <t>Eligible on level (4-yr BS ≈ Bac+4)</t>
        </is>
      </c>
      <c r="Q705" s="25" t="inlineStr">
        <is>
          <t>1/2</t>
        </is>
      </c>
      <c r="R705" s="25" t="n"/>
      <c r="S705" s="27" t="n">
        <v>3950</v>
      </c>
      <c r="T705" s="27" t="n">
        <v>628</v>
      </c>
      <c r="U705" s="25" t="n">
        <v>2</v>
      </c>
      <c r="V705" s="27">
        <f>IF(S705="","",S705*U705)</f>
        <v/>
      </c>
      <c r="W705" s="26" t="inlineStr">
        <is>
          <t>Not in catalogue. Public engineering diploma: national rate ~€601-628; many schools charge non-EU up to ~€3,950. Verify.</t>
        </is>
      </c>
      <c r="X705" s="25" t="inlineStr">
        <is>
          <t>Low</t>
        </is>
      </c>
      <c r="Y705" s="25" t="n"/>
      <c r="Z705" s="26" t="n"/>
      <c r="AA705" s="26" t="n"/>
      <c r="AB705" s="25" t="n"/>
      <c r="AC705" s="25" t="inlineStr">
        <is>
          <t>Open</t>
        </is>
      </c>
      <c r="AD705" s="25" t="inlineStr">
        <is>
          <t>2026-10-01</t>
        </is>
      </c>
      <c r="AE705" s="25" t="inlineStr">
        <is>
          <t>2027-03-15</t>
        </is>
      </c>
      <c r="AF705" s="25" t="inlineStr">
        <is>
          <t>No</t>
        </is>
      </c>
      <c r="AG705" s="28" t="inlineStr">
        <is>
          <t>http://www.ensisa.uha.fr</t>
        </is>
      </c>
      <c r="AH705" s="26" t="inlineStr">
        <is>
          <t>Niveau de français exigé : B2</t>
        </is>
      </c>
      <c r="AI705" s="28" t="inlineStr">
        <is>
          <t>Open in EEF</t>
        </is>
      </c>
    </row>
    <row r="706" ht="32.8" customHeight="1" s="19">
      <c r="A706" s="25" t="n">
        <v>705</v>
      </c>
      <c r="B706" s="25" t="inlineStr">
        <is>
          <t>★★★☆☆</t>
        </is>
      </c>
      <c r="C706" s="25" t="inlineStr">
        <is>
          <t>3 – Adjacent (AI/data/CS/cyber/energy)</t>
        </is>
      </c>
      <c r="D706" s="25" t="inlineStr">
        <is>
          <t>AI / Data science</t>
        </is>
      </c>
      <c r="E706" s="26" t="inlineStr">
        <is>
          <t>diplôme d'ingénieur de l'Ecole polytechnique universitaire de Lille, Université Lille I, sciences et technologies spécialité Informatique, Statistique et Intelligence Artificielle</t>
        </is>
      </c>
      <c r="F706" s="26" t="inlineStr">
        <is>
          <t>Engineering diploma of the University Polytechnic School of Lille, University Lille I, Science &amp; Technology – specialisation: Computer Science, Statistics &amp; Artificial Intelligence</t>
        </is>
      </c>
      <c r="G706" s="25" t="inlineStr">
        <is>
          <t>Diplôme d'ingénieur</t>
        </is>
      </c>
      <c r="H706" s="25" t="inlineStr">
        <is>
          <t>Polytech Lille</t>
        </is>
      </c>
      <c r="I706" s="25" t="inlineStr">
        <is>
          <t>Groupement Polytech</t>
        </is>
      </c>
      <c r="J706" s="25" t="inlineStr">
        <is>
          <t>Site de Villeneuve-d'Ascq</t>
        </is>
      </c>
      <c r="K706" s="25" t="n"/>
      <c r="L706" s="25" t="inlineStr">
        <is>
          <t>Public school / institute</t>
        </is>
      </c>
      <c r="M706" s="25" t="inlineStr">
        <is>
          <t>French</t>
        </is>
      </c>
      <c r="N706" s="25" t="inlineStr">
        <is>
          <t>General</t>
        </is>
      </c>
      <c r="O706" s="25" t="inlineStr">
        <is>
          <t>Bac +3 / Bac +4</t>
        </is>
      </c>
      <c r="P706" s="26" t="inlineStr">
        <is>
          <t>Eligible on level (4-yr BS ≈ Bac+4)</t>
        </is>
      </c>
      <c r="Q706" s="25" t="inlineStr">
        <is>
          <t>3/4</t>
        </is>
      </c>
      <c r="R706" s="25" t="inlineStr">
        <is>
          <t>12</t>
        </is>
      </c>
      <c r="S706" s="27" t="n">
        <v>3950</v>
      </c>
      <c r="T706" s="27" t="n">
        <v>628</v>
      </c>
      <c r="U706" s="25" t="n">
        <v>2</v>
      </c>
      <c r="V706" s="27">
        <f>IF(S706="","",S706*U706)</f>
        <v/>
      </c>
      <c r="W706" s="26" t="inlineStr">
        <is>
          <t>Not in catalogue. Public engineering diploma: national rate ~€601-628; many schools charge non-EU up to ~€3,950. Verify.</t>
        </is>
      </c>
      <c r="X706" s="25" t="inlineStr">
        <is>
          <t>Low</t>
        </is>
      </c>
      <c r="Y706" s="25" t="n"/>
      <c r="Z706" s="26" t="n"/>
      <c r="AA706" s="26" t="n"/>
      <c r="AB706" s="25" t="n"/>
      <c r="AC706" s="25" t="inlineStr">
        <is>
          <t>Open</t>
        </is>
      </c>
      <c r="AD706" s="25" t="inlineStr">
        <is>
          <t>2026-10-01</t>
        </is>
      </c>
      <c r="AE706" s="25" t="inlineStr">
        <is>
          <t>2027-03-15</t>
        </is>
      </c>
      <c r="AF706" s="25" t="inlineStr">
        <is>
          <t>Yes</t>
        </is>
      </c>
      <c r="AG706" s="28" t="inlineStr">
        <is>
          <t>https://www.polytech-lille.fr/formation/informatique-et-statistique/</t>
        </is>
      </c>
      <c r="AH706" s="26" t="inlineStr">
        <is>
          <t>Spécialiste du traitement de l’information , l’ingénieur Informatique, Statistique et Intelligence Artificielle est au cœur du Big Data, de l’Intelligence Artificielle et de la Data Science . Il synthétise et optimise de</t>
        </is>
      </c>
      <c r="AI706" s="28" t="inlineStr">
        <is>
          <t>Open in EEF</t>
        </is>
      </c>
    </row>
    <row r="707" ht="32.8" customHeight="1" s="19">
      <c r="A707" s="25" t="n">
        <v>706</v>
      </c>
      <c r="B707" s="25" t="inlineStr">
        <is>
          <t>★★★☆☆</t>
        </is>
      </c>
      <c r="C707" s="25" t="inlineStr">
        <is>
          <t>3 – Adjacent (AI/data/CS/cyber/energy)</t>
        </is>
      </c>
      <c r="D707" s="25" t="inlineStr">
        <is>
          <t>Computer science / Software</t>
        </is>
      </c>
      <c r="E707" s="26" t="inlineStr">
        <is>
          <t>diplôme d'ingénieur de l'École polytechnique universitaire de Marseille de l'Université d'Aix-Marseille spécialité génie industriel et informatique</t>
        </is>
      </c>
      <c r="F707" s="26" t="inlineStr">
        <is>
          <t>Engineering diploma of the University Polytechnic School of Marseille of University d'Aix-Marseille – specialisation: Industrial Engineering &amp; Computer Science</t>
        </is>
      </c>
      <c r="G707" s="25" t="inlineStr">
        <is>
          <t>Diplôme d'ingénieur</t>
        </is>
      </c>
      <c r="H707" s="25" t="inlineStr">
        <is>
          <t>Polytech Marseille</t>
        </is>
      </c>
      <c r="I707" s="25" t="inlineStr">
        <is>
          <t>Groupement Polytech</t>
        </is>
      </c>
      <c r="J707" s="25" t="inlineStr">
        <is>
          <t>Site de l'Etoile (St Jérôme - Château Gombert)</t>
        </is>
      </c>
      <c r="K707" s="25" t="n"/>
      <c r="L707" s="25" t="inlineStr">
        <is>
          <t>Public school / institute</t>
        </is>
      </c>
      <c r="M707" s="25" t="inlineStr">
        <is>
          <t>French</t>
        </is>
      </c>
      <c r="N707" s="25" t="inlineStr">
        <is>
          <t>General</t>
        </is>
      </c>
      <c r="O707" s="25" t="inlineStr">
        <is>
          <t>Bac +3 / Bac +4</t>
        </is>
      </c>
      <c r="P707" s="26" t="inlineStr">
        <is>
          <t>Eligible on level (4-yr BS ≈ Bac+4)</t>
        </is>
      </c>
      <c r="Q707" s="25" t="inlineStr">
        <is>
          <t>3/4</t>
        </is>
      </c>
      <c r="R707" s="25" t="n"/>
      <c r="S707" s="27" t="n">
        <v>3950</v>
      </c>
      <c r="T707" s="27" t="n">
        <v>628</v>
      </c>
      <c r="U707" s="25" t="n">
        <v>2</v>
      </c>
      <c r="V707" s="27">
        <f>IF(S707="","",S707*U707)</f>
        <v/>
      </c>
      <c r="W707" s="26" t="inlineStr">
        <is>
          <t>Not in catalogue. Public engineering diploma: national rate ~€601-628; many schools charge non-EU up to ~€3,950. Verify.</t>
        </is>
      </c>
      <c r="X707" s="25" t="inlineStr">
        <is>
          <t>Low</t>
        </is>
      </c>
      <c r="Y707" s="25" t="n"/>
      <c r="Z707" s="26" t="n"/>
      <c r="AA707" s="26" t="inlineStr">
        <is>
          <t>AMU 2026-27: limited exemptions (≈1,800 of 5,500 students) – priority to continuing students, conflict zones, excellence scholarships. New master entrants usually pay €3,950.</t>
        </is>
      </c>
      <c r="AB707" s="28" t="inlineStr">
        <is>
          <t>https://www.univ-amu.fr/fr/actualites/aix-marseille-universite-mobilise-pleinement-capacite-dexoneration-continuer-accueillir</t>
        </is>
      </c>
      <c r="AC707" s="25" t="inlineStr">
        <is>
          <t>Open</t>
        </is>
      </c>
      <c r="AD707" s="25" t="inlineStr">
        <is>
          <t>2026-10-01</t>
        </is>
      </c>
      <c r="AE707" s="25" t="inlineStr">
        <is>
          <t>2027-03-15</t>
        </is>
      </c>
      <c r="AF707" s="25" t="inlineStr">
        <is>
          <t>Yes</t>
        </is>
      </c>
      <c r="AG707" s="28" t="inlineStr">
        <is>
          <t>https://polytech.univ-amu.fr/fr/formations/cycle-ingenieur/genie-industriel-informatique</t>
        </is>
      </c>
      <c r="AH707" s="26" t="inlineStr">
        <is>
          <t>Les informations qui suivent, concernent la candidature en cycle ingénieur (diplôme niveau Bac+5) du réseau Polytech. Les candidatures sont possibles : - en 3ème année (1ère année cycle ingénieur) avec un niveau Bac+2/Ba</t>
        </is>
      </c>
      <c r="AI707" s="28" t="inlineStr">
        <is>
          <t>Open in EEF</t>
        </is>
      </c>
    </row>
    <row r="708" ht="32.8" customHeight="1" s="19">
      <c r="A708" s="25" t="n">
        <v>707</v>
      </c>
      <c r="B708" s="25" t="inlineStr">
        <is>
          <t>★★★☆☆</t>
        </is>
      </c>
      <c r="C708" s="25" t="inlineStr">
        <is>
          <t>3 – Adjacent (AI/data/CS/cyber/energy)</t>
        </is>
      </c>
      <c r="D708" s="25" t="inlineStr">
        <is>
          <t>Computer science / Software</t>
        </is>
      </c>
      <c r="E708" s="26" t="inlineStr">
        <is>
          <t>diplôme d'ingénieur de l'École polytechnique universitaire de Marseille de l'Université d'Aix-Marseille spécialité Informatique</t>
        </is>
      </c>
      <c r="F708" s="26" t="inlineStr">
        <is>
          <t>Engineering diploma of the University Polytechnic School of Marseille of University d'Aix-Marseille – specialisation: Computer Science</t>
        </is>
      </c>
      <c r="G708" s="25" t="inlineStr">
        <is>
          <t>Diplôme d'ingénieur</t>
        </is>
      </c>
      <c r="H708" s="25" t="inlineStr">
        <is>
          <t>Polytech Marseille</t>
        </is>
      </c>
      <c r="I708" s="25" t="inlineStr">
        <is>
          <t>Groupement Polytech</t>
        </is>
      </c>
      <c r="J708" s="25" t="inlineStr">
        <is>
          <t>Site de Luminy</t>
        </is>
      </c>
      <c r="K708" s="25" t="n"/>
      <c r="L708" s="25" t="inlineStr">
        <is>
          <t>Public school / institute</t>
        </is>
      </c>
      <c r="M708" s="25" t="inlineStr">
        <is>
          <t>French</t>
        </is>
      </c>
      <c r="N708" s="25" t="inlineStr">
        <is>
          <t>General</t>
        </is>
      </c>
      <c r="O708" s="25" t="inlineStr">
        <is>
          <t>Bac +3 / Bac +4</t>
        </is>
      </c>
      <c r="P708" s="26" t="inlineStr">
        <is>
          <t>Eligible on level (4-yr BS ≈ Bac+4)</t>
        </is>
      </c>
      <c r="Q708" s="25" t="inlineStr">
        <is>
          <t>3/4</t>
        </is>
      </c>
      <c r="R708" s="25" t="n"/>
      <c r="S708" s="27" t="n">
        <v>3950</v>
      </c>
      <c r="T708" s="27" t="n">
        <v>628</v>
      </c>
      <c r="U708" s="25" t="n">
        <v>2</v>
      </c>
      <c r="V708" s="27">
        <f>IF(S708="","",S708*U708)</f>
        <v/>
      </c>
      <c r="W708" s="26" t="inlineStr">
        <is>
          <t>Not in catalogue. Public engineering diploma: national rate ~€601-628; many schools charge non-EU up to ~€3,950. Verify.</t>
        </is>
      </c>
      <c r="X708" s="25" t="inlineStr">
        <is>
          <t>Low</t>
        </is>
      </c>
      <c r="Y708" s="25" t="n"/>
      <c r="Z708" s="26" t="n"/>
      <c r="AA708" s="26" t="inlineStr">
        <is>
          <t>AMU 2026-27: limited exemptions (≈1,800 of 5,500 students) – priority to continuing students, conflict zones, excellence scholarships. New master entrants usually pay €3,950.</t>
        </is>
      </c>
      <c r="AB708" s="28" t="inlineStr">
        <is>
          <t>https://www.univ-amu.fr/fr/actualites/aix-marseille-universite-mobilise-pleinement-capacite-dexoneration-continuer-accueillir</t>
        </is>
      </c>
      <c r="AC708" s="25" t="inlineStr">
        <is>
          <t>Open</t>
        </is>
      </c>
      <c r="AD708" s="25" t="inlineStr">
        <is>
          <t>2026-10-01</t>
        </is>
      </c>
      <c r="AE708" s="25" t="inlineStr">
        <is>
          <t>2027-03-15</t>
        </is>
      </c>
      <c r="AF708" s="25" t="inlineStr">
        <is>
          <t>Yes</t>
        </is>
      </c>
      <c r="AG708" s="28" t="inlineStr">
        <is>
          <t>https://polytech.univ-amu.fr/fr/formations/cycle-ingenieur/informatique</t>
        </is>
      </c>
      <c r="AH708" s="26" t="inlineStr">
        <is>
          <t>Les informations qui suivent, concernent la candidature en cycle ingénieur (diplôme niveau Bac+5) du réseau Polytech. Les candidatures sont possibles : - en 3ème année (1ère année cycle ingénieur) avec un niveau Bac+2/Ba</t>
        </is>
      </c>
      <c r="AI708" s="28" t="inlineStr">
        <is>
          <t>Open in EEF</t>
        </is>
      </c>
    </row>
    <row r="709" ht="32.8" customHeight="1" s="19">
      <c r="A709" s="25" t="n">
        <v>708</v>
      </c>
      <c r="B709" s="25" t="inlineStr">
        <is>
          <t>★★★☆☆</t>
        </is>
      </c>
      <c r="C709" s="25" t="inlineStr">
        <is>
          <t>3 – Adjacent (AI/data/CS/cyber/energy)</t>
        </is>
      </c>
      <c r="D709" s="25" t="inlineStr">
        <is>
          <t>AI / Data science</t>
        </is>
      </c>
      <c r="E709" s="26" t="inlineStr">
        <is>
          <t>diplôme d'ingénieur de l'Ecole polytechnique universitaire de Savoie de l'université de Chambéry spécialité Informatique Données Usages (IDU)</t>
        </is>
      </c>
      <c r="F709" s="26" t="inlineStr">
        <is>
          <t>Engineering diploma of the University Polytechnic School of Savoie of University of Chambéry – specialisation: Computer Science Data Usages (IDU)</t>
        </is>
      </c>
      <c r="G709" s="25" t="inlineStr">
        <is>
          <t>Diplôme d'ingénieur</t>
        </is>
      </c>
      <c r="H709" s="25" t="inlineStr">
        <is>
          <t>Polytech Annecy-Chambéry</t>
        </is>
      </c>
      <c r="I709" s="25" t="inlineStr">
        <is>
          <t>Groupement Polytech</t>
        </is>
      </c>
      <c r="J709" s="25" t="inlineStr">
        <is>
          <t>Site d'Annecy</t>
        </is>
      </c>
      <c r="K709" s="25" t="n"/>
      <c r="L709" s="25" t="inlineStr">
        <is>
          <t>Public school / institute</t>
        </is>
      </c>
      <c r="M709" s="25" t="inlineStr">
        <is>
          <t>French</t>
        </is>
      </c>
      <c r="N709" s="25" t="inlineStr">
        <is>
          <t>General</t>
        </is>
      </c>
      <c r="O709" s="25" t="inlineStr">
        <is>
          <t>Bac +3 / Bac +4</t>
        </is>
      </c>
      <c r="P709" s="26" t="inlineStr">
        <is>
          <t>Eligible on level (4-yr BS ≈ Bac+4)</t>
        </is>
      </c>
      <c r="Q709" s="25" t="inlineStr">
        <is>
          <t>3/4</t>
        </is>
      </c>
      <c r="R709" s="25" t="inlineStr">
        <is>
          <t>12</t>
        </is>
      </c>
      <c r="S709" s="27" t="n">
        <v>3950</v>
      </c>
      <c r="T709" s="27" t="n">
        <v>628</v>
      </c>
      <c r="U709" s="25" t="n">
        <v>2</v>
      </c>
      <c r="V709" s="27">
        <f>IF(S709="","",S709*U709)</f>
        <v/>
      </c>
      <c r="W709" s="26" t="inlineStr">
        <is>
          <t>Not in catalogue. Public engineering diploma: national rate ~€601-628; many schools charge non-EU up to ~€3,950. Verify.</t>
        </is>
      </c>
      <c r="X709" s="25" t="inlineStr">
        <is>
          <t>Low</t>
        </is>
      </c>
      <c r="Y709" s="25" t="n"/>
      <c r="Z709" s="26" t="n"/>
      <c r="AA709" s="26" t="n"/>
      <c r="AB709" s="25" t="n"/>
      <c r="AC709" s="25" t="inlineStr">
        <is>
          <t>Open</t>
        </is>
      </c>
      <c r="AD709" s="25" t="inlineStr">
        <is>
          <t>2026-10-01</t>
        </is>
      </c>
      <c r="AE709" s="25" t="inlineStr">
        <is>
          <t>2027-03-15</t>
        </is>
      </c>
      <c r="AF709" s="25" t="inlineStr">
        <is>
          <t>Yes</t>
        </is>
      </c>
      <c r="AG709" s="28" t="inlineStr">
        <is>
          <t>http://www.polytech.univ-savoie.fr</t>
        </is>
      </c>
      <c r="AH709" s="26" t="inlineStr">
        <is>
          <t>Les informations qui suivent, concernent la candidature en cycle ingénieur (diplôme niveau Bac+5) du réseau Polytech. Les candidatures sont possibles : - en 3ème année (1ère année cycle ingénieur) avec un niveau Bac+2/Ba</t>
        </is>
      </c>
      <c r="AI709" s="28" t="inlineStr">
        <is>
          <t>Open in EEF</t>
        </is>
      </c>
    </row>
    <row r="710" ht="22.35" customHeight="1" s="19">
      <c r="A710" s="25" t="n">
        <v>709</v>
      </c>
      <c r="B710" s="25" t="inlineStr">
        <is>
          <t>★★★☆☆</t>
        </is>
      </c>
      <c r="C710" s="25" t="inlineStr">
        <is>
          <t>3 – Adjacent (AI/data/CS/cyber/energy)</t>
        </is>
      </c>
      <c r="D710" s="25" t="inlineStr">
        <is>
          <t>Computer science / Software</t>
        </is>
      </c>
      <c r="E710" s="26" t="inlineStr">
        <is>
          <t>diplôme d'ingénieur de l'Ecole Polytech Paris-Saclay parcours Informatique et Ingénierie Mathématique</t>
        </is>
      </c>
      <c r="F710" s="26" t="inlineStr">
        <is>
          <t>Engineering diploma of School Polytech Paris-Saclay – track: Computer Science &amp; Engineering Mathematical</t>
        </is>
      </c>
      <c r="G710" s="25" t="inlineStr">
        <is>
          <t>Diplôme d'ingénieur</t>
        </is>
      </c>
      <c r="H710" s="25" t="inlineStr">
        <is>
          <t>Polytech Paris-Saclay</t>
        </is>
      </c>
      <c r="I710" s="25" t="inlineStr">
        <is>
          <t>Groupement Polytech</t>
        </is>
      </c>
      <c r="J710" s="25" t="inlineStr">
        <is>
          <t>Site d'Orsay</t>
        </is>
      </c>
      <c r="K710" s="25" t="inlineStr">
        <is>
          <t>91400 Orsay</t>
        </is>
      </c>
      <c r="L710" s="25" t="inlineStr">
        <is>
          <t>Public school / institute</t>
        </is>
      </c>
      <c r="M710" s="25" t="inlineStr">
        <is>
          <t>French</t>
        </is>
      </c>
      <c r="N710" s="25" t="inlineStr">
        <is>
          <t>General</t>
        </is>
      </c>
      <c r="O710" s="25" t="inlineStr">
        <is>
          <t>Bac +3 / Bac +4</t>
        </is>
      </c>
      <c r="P710" s="26" t="inlineStr">
        <is>
          <t>Eligible on level (4-yr BS ≈ Bac+4)</t>
        </is>
      </c>
      <c r="Q710" s="25" t="inlineStr">
        <is>
          <t>3/4</t>
        </is>
      </c>
      <c r="R710" s="25" t="inlineStr">
        <is>
          <t>12</t>
        </is>
      </c>
      <c r="S710" s="27" t="n">
        <v>3950</v>
      </c>
      <c r="T710" s="27" t="n">
        <v>628</v>
      </c>
      <c r="U710" s="25" t="n">
        <v>2</v>
      </c>
      <c r="V710" s="27">
        <f>IF(S710="","",S710*U710)</f>
        <v/>
      </c>
      <c r="W710" s="26" t="inlineStr">
        <is>
          <t>Not in catalogue. Public engineering diploma: national rate ~€601-628; many schools charge non-EU up to ~€3,950. Verify.</t>
        </is>
      </c>
      <c r="X710" s="25" t="inlineStr">
        <is>
          <t>Low</t>
        </is>
      </c>
      <c r="Y710" s="25" t="n"/>
      <c r="Z710" s="26" t="n"/>
      <c r="AA710" s="26" t="n"/>
      <c r="AB710" s="25" t="n"/>
      <c r="AC710" s="25" t="inlineStr">
        <is>
          <t>Open</t>
        </is>
      </c>
      <c r="AD710" s="25" t="inlineStr">
        <is>
          <t>2026-10-01</t>
        </is>
      </c>
      <c r="AE710" s="25" t="inlineStr">
        <is>
          <t>2027-03-15</t>
        </is>
      </c>
      <c r="AF710" s="25" t="inlineStr">
        <is>
          <t>Yes</t>
        </is>
      </c>
      <c r="AG710" s="28" t="inlineStr">
        <is>
          <t>https://www.polytech.universite-paris-saclay.fr/formation/informatique-et-ingenierie-mathematique</t>
        </is>
      </c>
      <c r="AH710" s="26" t="n"/>
      <c r="AI710" s="28" t="inlineStr">
        <is>
          <t>Open in EEF</t>
        </is>
      </c>
    </row>
    <row r="711" ht="22.35" customHeight="1" s="19">
      <c r="A711" s="25" t="n">
        <v>710</v>
      </c>
      <c r="B711" s="25" t="inlineStr">
        <is>
          <t>★★★☆☆</t>
        </is>
      </c>
      <c r="C711" s="25" t="inlineStr">
        <is>
          <t>3 – Adjacent (AI/data/CS/cyber/energy)</t>
        </is>
      </c>
      <c r="D711" s="25" t="inlineStr">
        <is>
          <t>Electrical energy</t>
        </is>
      </c>
      <c r="E711" s="26" t="inlineStr">
        <is>
          <t>diplôme d'ingénieur de l'Ecole supérieure d'électricité</t>
        </is>
      </c>
      <c r="F711" s="26" t="inlineStr">
        <is>
          <t>Engineering diploma of School Higher of Electricity</t>
        </is>
      </c>
      <c r="G711" s="25" t="inlineStr">
        <is>
          <t>Diplôme d'ingénieur</t>
        </is>
      </c>
      <c r="H711" s="25" t="inlineStr">
        <is>
          <t>SUPELEC Campus Rennes</t>
        </is>
      </c>
      <c r="I711" s="25" t="n"/>
      <c r="J711" s="25" t="inlineStr">
        <is>
          <t>Site de Cesson-Sévigné</t>
        </is>
      </c>
      <c r="K711" s="25" t="n"/>
      <c r="L711" s="25" t="inlineStr">
        <is>
          <t>Public school / institute</t>
        </is>
      </c>
      <c r="M711" s="25" t="inlineStr">
        <is>
          <t>French</t>
        </is>
      </c>
      <c r="N711" s="25" t="inlineStr">
        <is>
          <t>General</t>
        </is>
      </c>
      <c r="O711" s="25" t="inlineStr">
        <is>
          <t>Bac +3</t>
        </is>
      </c>
      <c r="P711" s="26" t="inlineStr">
        <is>
          <t>Eligible on level (4-yr BS ≈ Bac+4)</t>
        </is>
      </c>
      <c r="Q711" s="25" t="inlineStr">
        <is>
          <t>1</t>
        </is>
      </c>
      <c r="R711" s="25" t="n"/>
      <c r="S711" s="27" t="n">
        <v>3950</v>
      </c>
      <c r="T711" s="27" t="n">
        <v>628</v>
      </c>
      <c r="U711" s="25" t="n">
        <v>2</v>
      </c>
      <c r="V711" s="27">
        <f>IF(S711="","",S711*U711)</f>
        <v/>
      </c>
      <c r="W711" s="26" t="inlineStr">
        <is>
          <t>Not in catalogue. Public engineering diploma: national rate ~€601-628; many schools charge non-EU up to ~€3,950. Verify.</t>
        </is>
      </c>
      <c r="X711" s="25" t="inlineStr">
        <is>
          <t>Low</t>
        </is>
      </c>
      <c r="Y711" s="25" t="n"/>
      <c r="Z711" s="26" t="n"/>
      <c r="AA711" s="26" t="n"/>
      <c r="AB711" s="25" t="n"/>
      <c r="AC711" s="25" t="inlineStr">
        <is>
          <t>Closed</t>
        </is>
      </c>
      <c r="AD711" s="25" t="n"/>
      <c r="AE711" s="25" t="n"/>
      <c r="AF711" s="25" t="inlineStr">
        <is>
          <t>No</t>
        </is>
      </c>
      <c r="AG711" s="28" t="inlineStr">
        <is>
          <t>http://www.supelec.fr</t>
        </is>
      </c>
      <c r="AH711" s="26" t="n"/>
      <c r="AI711" s="28" t="inlineStr">
        <is>
          <t>Open in EEF</t>
        </is>
      </c>
    </row>
    <row r="712" ht="22.35" customHeight="1" s="19">
      <c r="A712" s="25" t="n">
        <v>711</v>
      </c>
      <c r="B712" s="25" t="inlineStr">
        <is>
          <t>★★★☆☆</t>
        </is>
      </c>
      <c r="C712" s="25" t="inlineStr">
        <is>
          <t>3 – Adjacent (AI/data/CS/cyber/energy)</t>
        </is>
      </c>
      <c r="D712" s="25" t="inlineStr">
        <is>
          <t>Electrical energy</t>
        </is>
      </c>
      <c r="E712" s="26" t="inlineStr">
        <is>
          <t>diplôme d'ingénieur de l'Ecole supérieure d'électricité</t>
        </is>
      </c>
      <c r="F712" s="26" t="inlineStr">
        <is>
          <t>Engineering diploma of School Higher of Electricity</t>
        </is>
      </c>
      <c r="G712" s="25" t="inlineStr">
        <is>
          <t>Diplôme d'ingénieur</t>
        </is>
      </c>
      <c r="H712" s="25" t="inlineStr">
        <is>
          <t>SUPELEC Campus Metz</t>
        </is>
      </c>
      <c r="I712" s="25" t="n"/>
      <c r="J712" s="25" t="inlineStr">
        <is>
          <t>Site de Metz</t>
        </is>
      </c>
      <c r="K712" s="25" t="n"/>
      <c r="L712" s="25" t="inlineStr">
        <is>
          <t>Public school / institute</t>
        </is>
      </c>
      <c r="M712" s="25" t="inlineStr">
        <is>
          <t>French</t>
        </is>
      </c>
      <c r="N712" s="25" t="inlineStr">
        <is>
          <t>General</t>
        </is>
      </c>
      <c r="O712" s="25" t="inlineStr">
        <is>
          <t>Bac +3</t>
        </is>
      </c>
      <c r="P712" s="26" t="inlineStr">
        <is>
          <t>Eligible on level (4-yr BS ≈ Bac+4)</t>
        </is>
      </c>
      <c r="Q712" s="25" t="inlineStr">
        <is>
          <t>1</t>
        </is>
      </c>
      <c r="R712" s="25" t="n"/>
      <c r="S712" s="27" t="n">
        <v>3950</v>
      </c>
      <c r="T712" s="27" t="n">
        <v>628</v>
      </c>
      <c r="U712" s="25" t="n">
        <v>2</v>
      </c>
      <c r="V712" s="27">
        <f>IF(S712="","",S712*U712)</f>
        <v/>
      </c>
      <c r="W712" s="26" t="inlineStr">
        <is>
          <t>Not in catalogue. Public engineering diploma: national rate ~€601-628; many schools charge non-EU up to ~€3,950. Verify.</t>
        </is>
      </c>
      <c r="X712" s="25" t="inlineStr">
        <is>
          <t>Low</t>
        </is>
      </c>
      <c r="Y712" s="25" t="n"/>
      <c r="Z712" s="26" t="n"/>
      <c r="AA712" s="26" t="n"/>
      <c r="AB712" s="25" t="n"/>
      <c r="AC712" s="25" t="inlineStr">
        <is>
          <t>Closed</t>
        </is>
      </c>
      <c r="AD712" s="25" t="n"/>
      <c r="AE712" s="25" t="n"/>
      <c r="AF712" s="25" t="inlineStr">
        <is>
          <t>No</t>
        </is>
      </c>
      <c r="AG712" s="28" t="inlineStr">
        <is>
          <t>http://www.supelec.fr/metz</t>
        </is>
      </c>
      <c r="AH712" s="26" t="n"/>
      <c r="AI712" s="28" t="inlineStr">
        <is>
          <t>Open in EEF</t>
        </is>
      </c>
    </row>
    <row r="713" ht="22.35" customHeight="1" s="19">
      <c r="A713" s="25" t="n">
        <v>712</v>
      </c>
      <c r="B713" s="25" t="inlineStr">
        <is>
          <t>★★★☆☆</t>
        </is>
      </c>
      <c r="C713" s="25" t="inlineStr">
        <is>
          <t>3 – Adjacent (AI/data/CS/cyber/energy)</t>
        </is>
      </c>
      <c r="D713" s="25" t="inlineStr">
        <is>
          <t>Computer science / Software</t>
        </is>
      </c>
      <c r="E713" s="26" t="inlineStr">
        <is>
          <t>diplôme d'ingénieur de l'Institut d'ingénierie informatique de Limoges</t>
        </is>
      </c>
      <c r="F713" s="26" t="inlineStr">
        <is>
          <t>Engineering diploma of Institute of Engineering Computer Science of Limoges</t>
        </is>
      </c>
      <c r="G713" s="25" t="inlineStr">
        <is>
          <t>Diplôme d'ingénieur</t>
        </is>
      </c>
      <c r="H713" s="25" t="inlineStr">
        <is>
          <t>Institut d'ingénierie informatique</t>
        </is>
      </c>
      <c r="I713" s="25" t="n"/>
      <c r="J713" s="25" t="inlineStr">
        <is>
          <t>Site de Rodez</t>
        </is>
      </c>
      <c r="K713" s="25" t="n"/>
      <c r="L713" s="25" t="inlineStr">
        <is>
          <t>Public school / institute</t>
        </is>
      </c>
      <c r="M713" s="25" t="inlineStr">
        <is>
          <t>French</t>
        </is>
      </c>
      <c r="N713" s="25" t="inlineStr">
        <is>
          <t>General</t>
        </is>
      </c>
      <c r="O713" s="25" t="inlineStr">
        <is>
          <t>Bac +3 / Bac +4 / Bac +5</t>
        </is>
      </c>
      <c r="P713" s="26" t="inlineStr">
        <is>
          <t>Eligible on level (4-yr BS ≈ Bac+4)</t>
        </is>
      </c>
      <c r="Q713" s="25" t="inlineStr">
        <is>
          <t>1/2/3</t>
        </is>
      </c>
      <c r="R713" s="25" t="n"/>
      <c r="S713" s="27" t="n">
        <v>3950</v>
      </c>
      <c r="T713" s="27" t="n">
        <v>628</v>
      </c>
      <c r="U713" s="25" t="n">
        <v>2</v>
      </c>
      <c r="V713" s="27">
        <f>IF(S713="","",S713*U713)</f>
        <v/>
      </c>
      <c r="W713" s="26" t="inlineStr">
        <is>
          <t>Not in catalogue. Public engineering diploma: national rate ~€601-628; many schools charge non-EU up to ~€3,950. Verify.</t>
        </is>
      </c>
      <c r="X713" s="25" t="inlineStr">
        <is>
          <t>Low</t>
        </is>
      </c>
      <c r="Y713" s="25" t="n"/>
      <c r="Z713" s="26" t="n"/>
      <c r="AA713" s="26" t="n"/>
      <c r="AB713" s="25" t="n"/>
      <c r="AC713" s="25" t="inlineStr">
        <is>
          <t>Closed</t>
        </is>
      </c>
      <c r="AD713" s="25" t="n"/>
      <c r="AE713" s="25" t="n"/>
      <c r="AF713" s="25" t="inlineStr">
        <is>
          <t>No</t>
        </is>
      </c>
      <c r="AG713" s="28" t="inlineStr">
        <is>
          <t>http://www.3ilrodez.fr/</t>
        </is>
      </c>
      <c r="AH713" s="26" t="n"/>
      <c r="AI713" s="28" t="inlineStr">
        <is>
          <t>Open in EEF</t>
        </is>
      </c>
    </row>
    <row r="714" ht="32.8" customHeight="1" s="19">
      <c r="A714" s="25" t="n">
        <v>713</v>
      </c>
      <c r="B714" s="25" t="inlineStr">
        <is>
          <t>★★★☆☆</t>
        </is>
      </c>
      <c r="C714" s="25" t="inlineStr">
        <is>
          <t>3 – Adjacent (AI/data/CS/cyber/energy)</t>
        </is>
      </c>
      <c r="D714" s="25" t="inlineStr">
        <is>
          <t>Sensors / Instrumentation / Micro-Nano / Photonics</t>
        </is>
      </c>
      <c r="E714" s="26" t="inlineStr">
        <is>
          <t>Diplôme d'ingénieur de l'Institut d'Optique théorique et appliquée</t>
        </is>
      </c>
      <c r="F714" s="26" t="inlineStr">
        <is>
          <t>Engineering diploma of Institute of Optics théorique &amp; Applied</t>
        </is>
      </c>
      <c r="G714" s="25" t="inlineStr">
        <is>
          <t>Diplôme d'ingénieur</t>
        </is>
      </c>
      <c r="H714" s="25" t="inlineStr">
        <is>
          <t>Institut d'optique théorique et appliquée Graduate School (SupOptique)</t>
        </is>
      </c>
      <c r="I714" s="25" t="n"/>
      <c r="J714" s="25" t="inlineStr">
        <is>
          <t>Paris-Saclay</t>
        </is>
      </c>
      <c r="K714" s="25" t="n"/>
      <c r="L714" s="25" t="inlineStr">
        <is>
          <t>Public school / institute</t>
        </is>
      </c>
      <c r="M714" s="25" t="inlineStr">
        <is>
          <t>French</t>
        </is>
      </c>
      <c r="N714" s="25" t="inlineStr">
        <is>
          <t>General</t>
        </is>
      </c>
      <c r="O714" s="25" t="inlineStr">
        <is>
          <t>Bac +4</t>
        </is>
      </c>
      <c r="P714" s="26" t="inlineStr">
        <is>
          <t>Eligible on level (4-yr BS ≈ Bac+4)</t>
        </is>
      </c>
      <c r="Q714" s="25" t="inlineStr">
        <is>
          <t>2</t>
        </is>
      </c>
      <c r="R714" s="25" t="n"/>
      <c r="S714" s="27" t="n">
        <v>3950</v>
      </c>
      <c r="T714" s="27" t="n">
        <v>628</v>
      </c>
      <c r="U714" s="25" t="n">
        <v>2</v>
      </c>
      <c r="V714" s="27">
        <f>IF(S714="","",S714*U714)</f>
        <v/>
      </c>
      <c r="W714" s="26" t="inlineStr">
        <is>
          <t>Not in catalogue. Public engineering diploma: national rate ~€601-628; many schools charge non-EU up to ~€3,950. Verify.</t>
        </is>
      </c>
      <c r="X714" s="25" t="inlineStr">
        <is>
          <t>Low</t>
        </is>
      </c>
      <c r="Y714" s="25" t="n"/>
      <c r="Z714" s="26" t="n"/>
      <c r="AA714" s="26" t="n"/>
      <c r="AB714" s="25" t="n"/>
      <c r="AC714" s="25" t="inlineStr">
        <is>
          <t>Open</t>
        </is>
      </c>
      <c r="AD714" s="25" t="inlineStr">
        <is>
          <t>2026-10-01</t>
        </is>
      </c>
      <c r="AE714" s="25" t="inlineStr">
        <is>
          <t>2027-03-15</t>
        </is>
      </c>
      <c r="AF714" s="25" t="inlineStr">
        <is>
          <t>Yes</t>
        </is>
      </c>
      <c r="AG714" s="28" t="inlineStr">
        <is>
          <t>http://www.institutoptique.fr</t>
        </is>
      </c>
      <c r="AH714" s="26" t="inlineStr">
        <is>
          <t>L'admission se fait soit par le concours commun Centrale-Supélec, soit par l'admission internationale directement : contacter les Relations Internationales de l'Institut d'Optique via www.institutoptique.fr pour en savoi</t>
        </is>
      </c>
      <c r="AI714" s="28" t="inlineStr">
        <is>
          <t>Open in EEF</t>
        </is>
      </c>
    </row>
    <row r="715" ht="43.25" customHeight="1" s="19">
      <c r="A715" s="25" t="n">
        <v>714</v>
      </c>
      <c r="B715" s="25" t="inlineStr">
        <is>
          <t>★★★☆☆</t>
        </is>
      </c>
      <c r="C715" s="25" t="inlineStr">
        <is>
          <t>3 – Adjacent (AI/data/CS/cyber/energy)</t>
        </is>
      </c>
      <c r="D715" s="25" t="inlineStr">
        <is>
          <t>IoT / Telecom / Networks</t>
        </is>
      </c>
      <c r="E715" s="26" t="inlineStr">
        <is>
          <t>diplôme d'ingénieur de l'Institut polytechnique de Grenoble - Ecole nationale supérieure des systèmes avancés et réseaux</t>
        </is>
      </c>
      <c r="F715" s="26" t="inlineStr">
        <is>
          <t>Engineering diploma of Institute polytechnique of Grenoble - National Graduate School of Systems Advanced &amp; Networks</t>
        </is>
      </c>
      <c r="G715" s="25" t="inlineStr">
        <is>
          <t>Diplôme d'ingénieur</t>
        </is>
      </c>
      <c r="H715" s="25" t="inlineStr">
        <is>
          <t>Ecole nationale supérieure en systèmes avancés et réseaux - Grenoble INP</t>
        </is>
      </c>
      <c r="I715" s="25" t="inlineStr">
        <is>
          <t>Grenoble INP</t>
        </is>
      </c>
      <c r="J715" s="25" t="inlineStr">
        <is>
          <t>Site de Valence</t>
        </is>
      </c>
      <c r="K715" s="25" t="inlineStr">
        <is>
          <t>26902 Valence Cedex</t>
        </is>
      </c>
      <c r="L715" s="25" t="inlineStr">
        <is>
          <t>Public school / institute</t>
        </is>
      </c>
      <c r="M715" s="25" t="inlineStr">
        <is>
          <t>French</t>
        </is>
      </c>
      <c r="N715" s="25" t="inlineStr">
        <is>
          <t>General</t>
        </is>
      </c>
      <c r="O715" s="25" t="inlineStr">
        <is>
          <t>Bac +1 / Bac +2 / Bac +3 / Bac +4 / Bac +5</t>
        </is>
      </c>
      <c r="P715" s="26" t="inlineStr">
        <is>
          <t>Eligible on level (4-yr BS ≈ Bac+4)</t>
        </is>
      </c>
      <c r="Q715" s="25" t="inlineStr">
        <is>
          <t>1/2/3/4/5</t>
        </is>
      </c>
      <c r="R715" s="25" t="n"/>
      <c r="S715" s="27" t="n">
        <v>3950</v>
      </c>
      <c r="T715" s="27" t="n">
        <v>628</v>
      </c>
      <c r="U715" s="25" t="n">
        <v>2</v>
      </c>
      <c r="V715" s="27">
        <f>IF(S715="","",S715*U715)</f>
        <v/>
      </c>
      <c r="W715" s="26" t="inlineStr">
        <is>
          <t>Not in catalogue. Public engineering diploma: national rate ~€601-628; many schools charge non-EU up to ~€3,950. Verify.</t>
        </is>
      </c>
      <c r="X715" s="25" t="inlineStr">
        <is>
          <t>Low</t>
        </is>
      </c>
      <c r="Y715" s="25" t="n"/>
      <c r="Z715" s="26" t="inlineStr">
        <is>
          <t>A SAVOIR : Une participation de 50 euros est demandée pour tout dépôt de candidatures … fr/fr/formation/admissions A SAVOIR : Une participation de 50 euros est demandée pour tout dépôt de candidatures</t>
        </is>
      </c>
      <c r="AA715" s="26" t="inlineStr">
        <is>
          <t>UGA (incl. Grenoble INP masters): 2026-27 broad exemptions on request (pay national €254). From 2027-28 the decree caps apply; exemptions based on resources.</t>
        </is>
      </c>
      <c r="AB715" s="28" t="inlineStr">
        <is>
          <t>https://www.univ-grenoble-alpes.fr/actualites/a-la-une/actualites-universite/etudiants-internationaux-ce-que-change-le-nouveau-decret-sur-les-droits-d-inscription-a-l-uga-1775870.kjsp</t>
        </is>
      </c>
      <c r="AC715" s="25" t="inlineStr">
        <is>
          <t>Open</t>
        </is>
      </c>
      <c r="AD715" s="25" t="inlineStr">
        <is>
          <t>2026-10-01</t>
        </is>
      </c>
      <c r="AE715" s="25" t="inlineStr">
        <is>
          <t>2027-03-15</t>
        </is>
      </c>
      <c r="AF715" s="25" t="inlineStr">
        <is>
          <t>Yes</t>
        </is>
      </c>
      <c r="AG715" s="28" t="inlineStr">
        <is>
          <t>http://esisar.grenoble-inp.fr</t>
        </is>
      </c>
      <c r="AH715" s="26" t="inlineStr">
        <is>
          <t>***PAGE EN COURS D'ACTUALISATION POUR LA RENTREE UNIVERSITAIRE 2027- 2028 **** (PAGE CURRENTLY BEING UPDATED FOR THE 2027–2028 ACADEMIC YEAR) Avant de candidater, il est important de vérifier le coût de la formation et l</t>
        </is>
      </c>
      <c r="AI715" s="28" t="inlineStr">
        <is>
          <t>Open in EEF</t>
        </is>
      </c>
    </row>
    <row r="716" ht="43.25" customHeight="1" s="19">
      <c r="A716" s="25" t="n">
        <v>715</v>
      </c>
      <c r="B716" s="25" t="inlineStr">
        <is>
          <t>★★★☆☆</t>
        </is>
      </c>
      <c r="C716" s="25" t="inlineStr">
        <is>
          <t>3 – Adjacent (AI/data/CS/cyber/energy)</t>
        </is>
      </c>
      <c r="D716" s="25" t="inlineStr">
        <is>
          <t>Computer science / Software</t>
        </is>
      </c>
      <c r="E716" s="26" t="inlineStr">
        <is>
          <t>diplôme d'ingénieur de l'Institut polytechnique de Grenoble - Ecole nationale supérieure d'informatique et de mathématiques appliquées</t>
        </is>
      </c>
      <c r="F716" s="26" t="inlineStr">
        <is>
          <t>Engineering diploma of Institute polytechnique of Grenoble - National Graduate School of Computer Science &amp; of Applied Mathematics</t>
        </is>
      </c>
      <c r="G716" s="25" t="inlineStr">
        <is>
          <t>Diplôme d'ingénieur</t>
        </is>
      </c>
      <c r="H716" s="25" t="inlineStr">
        <is>
          <t>Ecole nationale supérieure d'informatique et de mathématiques appliquées (Ensimag) - Grenoble INP</t>
        </is>
      </c>
      <c r="I716" s="25" t="inlineStr">
        <is>
          <t>Grenoble INP</t>
        </is>
      </c>
      <c r="J716" s="25" t="inlineStr">
        <is>
          <t>Site de Saint-Martin-d'Hères</t>
        </is>
      </c>
      <c r="K716" s="25" t="n"/>
      <c r="L716" s="25" t="inlineStr">
        <is>
          <t>Public school / institute</t>
        </is>
      </c>
      <c r="M716" s="25" t="inlineStr">
        <is>
          <t>French</t>
        </is>
      </c>
      <c r="N716" s="25" t="inlineStr">
        <is>
          <t>General</t>
        </is>
      </c>
      <c r="O716" s="25" t="inlineStr">
        <is>
          <t>Bac +3 / Bac +4</t>
        </is>
      </c>
      <c r="P716" s="26" t="inlineStr">
        <is>
          <t>Eligible on level (4-yr BS ≈ Bac+4)</t>
        </is>
      </c>
      <c r="Q716" s="25" t="inlineStr">
        <is>
          <t>1/2</t>
        </is>
      </c>
      <c r="R716" s="25" t="n"/>
      <c r="S716" s="27" t="n">
        <v>3950</v>
      </c>
      <c r="T716" s="27" t="n">
        <v>628</v>
      </c>
      <c r="U716" s="25" t="n">
        <v>2</v>
      </c>
      <c r="V716" s="27">
        <f>IF(S716="","",S716*U716)</f>
        <v/>
      </c>
      <c r="W716" s="26" t="inlineStr">
        <is>
          <t>Not in catalogue. Public engineering diploma: national rate ~€601-628; many schools charge non-EU up to ~€3,950. Verify.</t>
        </is>
      </c>
      <c r="X716" s="25" t="inlineStr">
        <is>
          <t>Low</t>
        </is>
      </c>
      <c r="Y716" s="25" t="n"/>
      <c r="Z716" s="26" t="inlineStr">
        <is>
          <t>A SAVOIR : Une participation de 100 euros est demandée pour tout dépôt de candidatures en c … fr/fr/formation/admissions A SAVOIR : Une participation de 100 euros est demandée pour tout dépôt de candidatures en c</t>
        </is>
      </c>
      <c r="AA716" s="26" t="inlineStr">
        <is>
          <t>UGA (incl. Grenoble INP masters): 2026-27 broad exemptions on request (pay national €254). From 2027-28 the decree caps apply; exemptions based on resources.</t>
        </is>
      </c>
      <c r="AB716" s="28" t="inlineStr">
        <is>
          <t>https://www.univ-grenoble-alpes.fr/actualites/a-la-une/actualites-universite/etudiants-internationaux-ce-que-change-le-nouveau-decret-sur-les-droits-d-inscription-a-l-uga-1775870.kjsp</t>
        </is>
      </c>
      <c r="AC716" s="25" t="inlineStr">
        <is>
          <t>Open</t>
        </is>
      </c>
      <c r="AD716" s="25" t="inlineStr">
        <is>
          <t>2026-10-01</t>
        </is>
      </c>
      <c r="AE716" s="25" t="inlineStr">
        <is>
          <t>2027-03-15</t>
        </is>
      </c>
      <c r="AF716" s="25" t="inlineStr">
        <is>
          <t>Yes</t>
        </is>
      </c>
      <c r="AG716" s="28" t="inlineStr">
        <is>
          <t>https://ensimag.grenoble-inp.fr/fr/formation/ingenieur-formation-initiale et https://ensimag.grenoble-inp.fr/fr/formation/admissions</t>
        </is>
      </c>
      <c r="AH716" s="26" t="inlineStr">
        <is>
          <t>***PAGE EN COURS D'ACTUALISATION POUR LA RENTREE UNIVERSITAIRE 2027- 2028 **** (PAGE CURRENTLY BEING UPDATED FOR THE 2027–2028 ACADEMIC YEAR) Avant de candidater, il est important de vérifier le coût de la formation et l</t>
        </is>
      </c>
      <c r="AI716" s="28" t="inlineStr">
        <is>
          <t>Open in EEF</t>
        </is>
      </c>
    </row>
    <row r="717" ht="32.8" customHeight="1" s="19">
      <c r="A717" s="25" t="n">
        <v>716</v>
      </c>
      <c r="B717" s="25" t="inlineStr">
        <is>
          <t>★★★☆☆</t>
        </is>
      </c>
      <c r="C717" s="25" t="inlineStr">
        <is>
          <t>3 – Adjacent (AI/data/CS/cyber/energy)</t>
        </is>
      </c>
      <c r="D717" s="25" t="inlineStr">
        <is>
          <t>IoT / Telecom / Networks</t>
        </is>
      </c>
      <c r="E717" s="26" t="inlineStr">
        <is>
          <t>Diplôme d Ingénieur de Polytech Dijon de l Université de Dijon spécialité Informatique et Réseaux - Polytech Dijon</t>
        </is>
      </c>
      <c r="F717" s="26" t="inlineStr">
        <is>
          <t>Diplôme d Engineer of Polytech Dijon of l University of Dijon – specialisation: Computer Science &amp; Networks - Polytech Dijon</t>
        </is>
      </c>
      <c r="G717" s="25" t="inlineStr">
        <is>
          <t>Diplôme d'ingénieur</t>
        </is>
      </c>
      <c r="H717" s="25" t="inlineStr">
        <is>
          <t>Polytech Dijon</t>
        </is>
      </c>
      <c r="I717" s="25" t="inlineStr">
        <is>
          <t>Groupement Polytech</t>
        </is>
      </c>
      <c r="J717" s="25" t="inlineStr">
        <is>
          <t>Campus Dijon</t>
        </is>
      </c>
      <c r="K717" s="25" t="n"/>
      <c r="L717" s="25" t="inlineStr">
        <is>
          <t>Public school / institute</t>
        </is>
      </c>
      <c r="M717" s="25" t="inlineStr">
        <is>
          <t>French</t>
        </is>
      </c>
      <c r="N717" s="25" t="inlineStr">
        <is>
          <t>General</t>
        </is>
      </c>
      <c r="O717" s="25" t="inlineStr">
        <is>
          <t>Bac +3 / Bac +4</t>
        </is>
      </c>
      <c r="P717" s="26" t="inlineStr">
        <is>
          <t>Eligible on level (4-yr BS ≈ Bac+4)</t>
        </is>
      </c>
      <c r="Q717" s="25" t="inlineStr">
        <is>
          <t>3/4</t>
        </is>
      </c>
      <c r="R717" s="25" t="inlineStr">
        <is>
          <t>36/24</t>
        </is>
      </c>
      <c r="S717" s="27" t="n">
        <v>3950</v>
      </c>
      <c r="T717" s="27" t="n">
        <v>628</v>
      </c>
      <c r="U717" s="25" t="n">
        <v>2</v>
      </c>
      <c r="V717" s="27">
        <f>IF(S717="","",S717*U717)</f>
        <v/>
      </c>
      <c r="W717" s="26" t="inlineStr">
        <is>
          <t>Not in catalogue. Public engineering diploma: national rate ~€601-628; many schools charge non-EU up to ~€3,950. Verify.</t>
        </is>
      </c>
      <c r="X717" s="25" t="inlineStr">
        <is>
          <t>Low</t>
        </is>
      </c>
      <c r="Y717" s="25" t="n"/>
      <c r="Z717" s="26" t="n"/>
      <c r="AA717" s="26" t="n"/>
      <c r="AB717" s="25" t="n"/>
      <c r="AC717" s="25" t="inlineStr">
        <is>
          <t>Open</t>
        </is>
      </c>
      <c r="AD717" s="25" t="inlineStr">
        <is>
          <t>2026-10-01</t>
        </is>
      </c>
      <c r="AE717" s="25" t="inlineStr">
        <is>
          <t>2027-03-15</t>
        </is>
      </c>
      <c r="AF717" s="25" t="inlineStr">
        <is>
          <t>Yes</t>
        </is>
      </c>
      <c r="AG717" s="28" t="inlineStr">
        <is>
          <t>https://polytech.u-bourgogne.fr/informatique-reseaux</t>
        </is>
      </c>
      <c r="AH717" s="26" t="inlineStr">
        <is>
          <t>Les informations qui suivent concernent la candidature en cycle ingénieur (diplôme niveau BAC+5). Le niveau minimal de formation des candidats requis pour l'entrée dans la spécialité Informatique et Réseaux est : - BAC+2</t>
        </is>
      </c>
      <c r="AI717" s="28" t="inlineStr">
        <is>
          <t>Open in EEF</t>
        </is>
      </c>
    </row>
    <row r="718" ht="32.8" customHeight="1" s="19">
      <c r="A718" s="25" t="n">
        <v>717</v>
      </c>
      <c r="B718" s="25" t="inlineStr">
        <is>
          <t>★★★☆☆</t>
        </is>
      </c>
      <c r="C718" s="25" t="inlineStr">
        <is>
          <t>3 – Adjacent (AI/data/CS/cyber/energy)</t>
        </is>
      </c>
      <c r="D718" s="25" t="inlineStr">
        <is>
          <t>Computer science / Software</t>
        </is>
      </c>
      <c r="E718" s="26" t="inlineStr">
        <is>
          <t>diplôme d'ingénieur du Centre universitaire de formation et de recherche du Nord-Est Midi-Pyrénées Jean-François Champollion spécialité informatique pour la santé</t>
        </is>
      </c>
      <c r="F718" s="26" t="inlineStr">
        <is>
          <t>Engineering diploma of Centre University of Training &amp; of Research of Nord-Est Midi-Pyrénées Jean-François Champollion – specialisation: Computer Science for the Health</t>
        </is>
      </c>
      <c r="G718" s="25" t="inlineStr">
        <is>
          <t>Diplôme d'ingénieur</t>
        </is>
      </c>
      <c r="H718" s="25" t="inlineStr">
        <is>
          <t>Ecole d'ingénieur Informatique et Systèmes d'Information pour la Santé</t>
        </is>
      </c>
      <c r="I718" s="25" t="inlineStr">
        <is>
          <t>Institut National Universitaire Champollion</t>
        </is>
      </c>
      <c r="J718" s="25" t="inlineStr">
        <is>
          <t>Site de Castres</t>
        </is>
      </c>
      <c r="K718" s="25" t="n"/>
      <c r="L718" s="25" t="inlineStr">
        <is>
          <t>Public school / institute</t>
        </is>
      </c>
      <c r="M718" s="25" t="inlineStr">
        <is>
          <t>French</t>
        </is>
      </c>
      <c r="N718" s="25" t="inlineStr">
        <is>
          <t>General</t>
        </is>
      </c>
      <c r="O718" s="25" t="inlineStr">
        <is>
          <t>Bac +1 / Bac +2 / Bac +3 / Bac +4 / Bac +5</t>
        </is>
      </c>
      <c r="P718" s="26" t="inlineStr">
        <is>
          <t>Eligible on level (4-yr BS ≈ Bac+4)</t>
        </is>
      </c>
      <c r="Q718" s="25" t="inlineStr">
        <is>
          <t>1/2/3/4/5</t>
        </is>
      </c>
      <c r="R718" s="25" t="inlineStr">
        <is>
          <t>10</t>
        </is>
      </c>
      <c r="S718" s="27" t="n">
        <v>3950</v>
      </c>
      <c r="T718" s="27" t="n">
        <v>628</v>
      </c>
      <c r="U718" s="25" t="n">
        <v>2</v>
      </c>
      <c r="V718" s="27">
        <f>IF(S718="","",S718*U718)</f>
        <v/>
      </c>
      <c r="W718" s="26" t="inlineStr">
        <is>
          <t>Not in catalogue. Public engineering diploma: national rate ~€601-628; many schools charge non-EU up to ~€3,950. Verify.</t>
        </is>
      </c>
      <c r="X718" s="25" t="inlineStr">
        <is>
          <t>Low</t>
        </is>
      </c>
      <c r="Y718" s="25" t="n"/>
      <c r="Z718" s="26" t="n"/>
      <c r="AA718" s="26" t="n"/>
      <c r="AB718" s="25" t="n"/>
      <c r="AC718" s="25" t="inlineStr">
        <is>
          <t>Open</t>
        </is>
      </c>
      <c r="AD718" s="25" t="inlineStr">
        <is>
          <t>2026-10-01</t>
        </is>
      </c>
      <c r="AE718" s="25" t="inlineStr">
        <is>
          <t>2027-03-15</t>
        </is>
      </c>
      <c r="AF718" s="25" t="inlineStr">
        <is>
          <t>No</t>
        </is>
      </c>
      <c r="AG718" s="28" t="inlineStr">
        <is>
          <t>http://www.isis-ingenieur.fr</t>
        </is>
      </c>
      <c r="AH718" s="26" t="inlineStr">
        <is>
          <t>http://www.isis-ingenieur.fr Disposer d’un bon niveau en langue française (niveau B2). Cette mention comporte obligatoirement des enseignements de langues vivantes. La maîtrise de l'anglais au niveau baccalauréat est don</t>
        </is>
      </c>
      <c r="AI718" s="28" t="inlineStr">
        <is>
          <t>Open in EEF</t>
        </is>
      </c>
    </row>
    <row r="719" ht="22.35" customHeight="1" s="19">
      <c r="A719" s="25" t="n">
        <v>718</v>
      </c>
      <c r="B719" s="25" t="inlineStr">
        <is>
          <t>★★★☆☆</t>
        </is>
      </c>
      <c r="C719" s="25" t="inlineStr">
        <is>
          <t>3 – Adjacent (AI/data/CS/cyber/energy)</t>
        </is>
      </c>
      <c r="D719" s="25" t="inlineStr">
        <is>
          <t>Computer science / Software</t>
        </is>
      </c>
      <c r="E719" s="26" t="inlineStr">
        <is>
          <t>diplôme d'ingénieur du CNAM spécialité informatique</t>
        </is>
      </c>
      <c r="F719" s="26" t="inlineStr">
        <is>
          <t>Engineering diploma of CNAM – specialisation: Computer Science</t>
        </is>
      </c>
      <c r="G719" s="25" t="inlineStr">
        <is>
          <t>Diplôme d'ingénieur</t>
        </is>
      </c>
      <c r="H719" s="25" t="inlineStr">
        <is>
          <t>Conservatoire national des arts et métiers de la Guadeloupe</t>
        </is>
      </c>
      <c r="I719" s="25" t="n"/>
      <c r="J719" s="25" t="inlineStr">
        <is>
          <t>Site de Pointe-à-Pitre</t>
        </is>
      </c>
      <c r="K719" s="25" t="n"/>
      <c r="L719" s="25" t="inlineStr">
        <is>
          <t>Public school / institute</t>
        </is>
      </c>
      <c r="M719" s="25" t="inlineStr">
        <is>
          <t>French</t>
        </is>
      </c>
      <c r="N719" s="25" t="inlineStr">
        <is>
          <t>General</t>
        </is>
      </c>
      <c r="O719" s="25" t="inlineStr">
        <is>
          <t>Bac +3 / Bac +5</t>
        </is>
      </c>
      <c r="P719" s="26" t="inlineStr">
        <is>
          <t>Eligible on level (4-yr BS ≈ Bac+4)</t>
        </is>
      </c>
      <c r="Q719" s="25" t="inlineStr">
        <is>
          <t>1/3</t>
        </is>
      </c>
      <c r="R719" s="25" t="n"/>
      <c r="S719" s="27" t="n">
        <v>3950</v>
      </c>
      <c r="T719" s="27" t="n">
        <v>628</v>
      </c>
      <c r="U719" s="25" t="n">
        <v>2</v>
      </c>
      <c r="V719" s="27">
        <f>IF(S719="","",S719*U719)</f>
        <v/>
      </c>
      <c r="W719" s="26" t="inlineStr">
        <is>
          <t>Not in catalogue. Public engineering diploma: national rate ~€601-628; many schools charge non-EU up to ~€3,950. Verify.</t>
        </is>
      </c>
      <c r="X719" s="25" t="inlineStr">
        <is>
          <t>Low</t>
        </is>
      </c>
      <c r="Y719" s="25" t="n"/>
      <c r="Z719" s="26" t="n"/>
      <c r="AA719" s="26" t="n"/>
      <c r="AB719" s="25" t="n"/>
      <c r="AC719" s="25" t="inlineStr">
        <is>
          <t>Closed</t>
        </is>
      </c>
      <c r="AD719" s="25" t="n"/>
      <c r="AE719" s="25" t="n"/>
      <c r="AF719" s="25" t="inlineStr">
        <is>
          <t>No</t>
        </is>
      </c>
      <c r="AG719" s="28" t="inlineStr">
        <is>
          <t>http://cnam.univ-ag.fr</t>
        </is>
      </c>
      <c r="AH719" s="26" t="n"/>
      <c r="AI719" s="28" t="inlineStr">
        <is>
          <t>Open in EEF</t>
        </is>
      </c>
    </row>
    <row r="720" ht="22.35" customHeight="1" s="19">
      <c r="A720" s="25" t="n">
        <v>719</v>
      </c>
      <c r="B720" s="25" t="inlineStr">
        <is>
          <t>★★★☆☆</t>
        </is>
      </c>
      <c r="C720" s="25" t="inlineStr">
        <is>
          <t>3 – Adjacent (AI/data/CS/cyber/energy)</t>
        </is>
      </c>
      <c r="D720" s="25" t="inlineStr">
        <is>
          <t>Computer science / Software</t>
        </is>
      </c>
      <c r="E720" s="26" t="inlineStr">
        <is>
          <t>diplôme d'ingénieur du CNAM spécialité informatique en sciences et technologie des médias numériques</t>
        </is>
      </c>
      <c r="F720" s="26" t="inlineStr">
        <is>
          <t>Engineering diploma of CNAM – specialisation: Computer Science in Sciences &amp; Technology of médias Digital</t>
        </is>
      </c>
      <c r="G720" s="25" t="inlineStr">
        <is>
          <t>Diplôme d'ingénieur</t>
        </is>
      </c>
      <c r="H720" s="25" t="inlineStr">
        <is>
          <t>Ecole d'ingénieurs du Conservatoire national des arts et métiers de Poitou-Charentes Centre de Poitiers</t>
        </is>
      </c>
      <c r="I720" s="25" t="n"/>
      <c r="J720" s="25" t="inlineStr">
        <is>
          <t>Site de Chasseneuil-du-Poitou</t>
        </is>
      </c>
      <c r="K720" s="25" t="n"/>
      <c r="L720" s="25" t="inlineStr">
        <is>
          <t>Public school / institute</t>
        </is>
      </c>
      <c r="M720" s="25" t="inlineStr">
        <is>
          <t>French</t>
        </is>
      </c>
      <c r="N720" s="25" t="inlineStr">
        <is>
          <t>General</t>
        </is>
      </c>
      <c r="O720" s="25" t="inlineStr">
        <is>
          <t>Bac +3</t>
        </is>
      </c>
      <c r="P720" s="26" t="inlineStr">
        <is>
          <t>Eligible on level (4-yr BS ≈ Bac+4)</t>
        </is>
      </c>
      <c r="Q720" s="25" t="inlineStr">
        <is>
          <t>1</t>
        </is>
      </c>
      <c r="R720" s="25" t="n"/>
      <c r="S720" s="27" t="n">
        <v>3950</v>
      </c>
      <c r="T720" s="27" t="n">
        <v>628</v>
      </c>
      <c r="U720" s="25" t="n">
        <v>2</v>
      </c>
      <c r="V720" s="27">
        <f>IF(S720="","",S720*U720)</f>
        <v/>
      </c>
      <c r="W720" s="26" t="inlineStr">
        <is>
          <t>Not in catalogue. Public engineering diploma: national rate ~€601-628; many schools charge non-EU up to ~€3,950. Verify.</t>
        </is>
      </c>
      <c r="X720" s="25" t="inlineStr">
        <is>
          <t>Low</t>
        </is>
      </c>
      <c r="Y720" s="25" t="n"/>
      <c r="Z720" s="26" t="n"/>
      <c r="AA720" s="26" t="n"/>
      <c r="AB720" s="25" t="n"/>
      <c r="AC720" s="25" t="inlineStr">
        <is>
          <t>Closed</t>
        </is>
      </c>
      <c r="AD720" s="25" t="n"/>
      <c r="AE720" s="25" t="n"/>
      <c r="AF720" s="25" t="inlineStr">
        <is>
          <t>No</t>
        </is>
      </c>
      <c r="AG720" s="28" t="inlineStr">
        <is>
          <t>http://www.cnam-poitou-charentes.fr</t>
        </is>
      </c>
      <c r="AH720" s="26" t="n"/>
      <c r="AI720" s="28" t="inlineStr">
        <is>
          <t>Open in EEF</t>
        </is>
      </c>
    </row>
    <row r="721" ht="32.8" customHeight="1" s="19">
      <c r="A721" s="25" t="n">
        <v>720</v>
      </c>
      <c r="B721" s="25" t="inlineStr">
        <is>
          <t>★★★☆☆</t>
        </is>
      </c>
      <c r="C721" s="25" t="inlineStr">
        <is>
          <t>3 – Adjacent (AI/data/CS/cyber/energy)</t>
        </is>
      </c>
      <c r="D721" s="25" t="inlineStr">
        <is>
          <t>Cybersecurity</t>
        </is>
      </c>
      <c r="E721" s="26" t="inlineStr">
        <is>
          <t>Diplôme d'ingénieur mention Gestion des risques parcours Sécurité des systèmes d'information</t>
        </is>
      </c>
      <c r="F721" s="26" t="inlineStr">
        <is>
          <t>Engineering diploma – major: Management of Risks – track: Security of Information Systems</t>
        </is>
      </c>
      <c r="G721" s="25" t="inlineStr">
        <is>
          <t>Diplôme d'ingénieur</t>
        </is>
      </c>
      <c r="H721" s="25" t="inlineStr">
        <is>
          <t>ENSAR - Sciences du risque et de la donnée</t>
        </is>
      </c>
      <c r="I721" s="25" t="inlineStr">
        <is>
          <t>Université de Poitiers</t>
        </is>
      </c>
      <c r="J721" s="25" t="inlineStr">
        <is>
          <t>Site de Niort</t>
        </is>
      </c>
      <c r="K721" s="25" t="n"/>
      <c r="L721" s="25" t="inlineStr">
        <is>
          <t>Public university</t>
        </is>
      </c>
      <c r="M721" s="25" t="inlineStr">
        <is>
          <t>French</t>
        </is>
      </c>
      <c r="N721" s="25" t="inlineStr">
        <is>
          <t>General</t>
        </is>
      </c>
      <c r="O721" s="25" t="inlineStr">
        <is>
          <t>Bac +4</t>
        </is>
      </c>
      <c r="P721" s="26" t="inlineStr">
        <is>
          <t>Eligible on level (4-yr BS ≈ Bac+4)</t>
        </is>
      </c>
      <c r="Q721" s="25" t="inlineStr">
        <is>
          <t>2</t>
        </is>
      </c>
      <c r="R721" s="25" t="n"/>
      <c r="S721" s="27" t="n">
        <v>3950</v>
      </c>
      <c r="T721" s="27" t="n">
        <v>628</v>
      </c>
      <c r="U721" s="25" t="n">
        <v>2</v>
      </c>
      <c r="V721" s="27">
        <f>IF(S721="","",S721*U721)</f>
        <v/>
      </c>
      <c r="W721" s="26" t="inlineStr">
        <is>
          <t>Not in catalogue. Public engineering diploma: national rate ~€601-628; many schools charge non-EU up to ~€3,950. Verify.</t>
        </is>
      </c>
      <c r="X721" s="25" t="inlineStr">
        <is>
          <t>Low</t>
        </is>
      </c>
      <c r="Y721" s="25" t="n"/>
      <c r="Z721" s="26" t="n"/>
      <c r="AA721" s="26" t="n"/>
      <c r="AB721" s="25" t="n"/>
      <c r="AC721" s="25" t="inlineStr">
        <is>
          <t>Open</t>
        </is>
      </c>
      <c r="AD721" s="25" t="inlineStr">
        <is>
          <t>2026-10-01</t>
        </is>
      </c>
      <c r="AE721" s="25" t="inlineStr">
        <is>
          <t>2027-03-15</t>
        </is>
      </c>
      <c r="AF721" s="25" t="inlineStr">
        <is>
          <t>No</t>
        </is>
      </c>
      <c r="AG721" s="28" t="inlineStr">
        <is>
          <t>https://ensar.univ-poitiers.fr</t>
        </is>
      </c>
      <c r="AH721" s="26" t="inlineStr">
        <is>
          <t>Niveau de français demandé B2 minimum Titulaire d'un M1 dans les domaines suivants : - Chimie - Génie civil - Informatique - Mathématiques - Mécanique - Physique - Physique-Chimie - Sciences et technologies - Sciences po</t>
        </is>
      </c>
      <c r="AI721" s="28" t="inlineStr">
        <is>
          <t>Open in EEF</t>
        </is>
      </c>
    </row>
    <row r="722" ht="22.35" customHeight="1" s="19">
      <c r="A722" s="25" t="n">
        <v>721</v>
      </c>
      <c r="B722" s="25" t="inlineStr">
        <is>
          <t>★★★☆☆</t>
        </is>
      </c>
      <c r="C722" s="25" t="inlineStr">
        <is>
          <t>3 – Adjacent (AI/data/CS/cyber/energy)</t>
        </is>
      </c>
      <c r="D722" s="25" t="inlineStr">
        <is>
          <t>Computer science / Software</t>
        </is>
      </c>
      <c r="E722" s="26" t="inlineStr">
        <is>
          <t>diplôme d'ingénieur de l'Ecole polytechnique de l'université de Nantes spécialité informatique</t>
        </is>
      </c>
      <c r="F722" s="26" t="inlineStr">
        <is>
          <t>Engineering diploma of School polytechnique of University of Nantes – specialisation: Computer Science</t>
        </is>
      </c>
      <c r="G722" s="25" t="inlineStr">
        <is>
          <t>Diplôme d'ingénieur</t>
        </is>
      </c>
      <c r="H722" s="25" t="inlineStr">
        <is>
          <t>Polytech Nantes</t>
        </is>
      </c>
      <c r="I722" s="25" t="inlineStr">
        <is>
          <t>Groupement Polytech</t>
        </is>
      </c>
      <c r="J722" s="25" t="inlineStr">
        <is>
          <t>Site de Nantes</t>
        </is>
      </c>
      <c r="K722" s="25" t="n"/>
      <c r="L722" s="25" t="inlineStr">
        <is>
          <t>Public school / institute</t>
        </is>
      </c>
      <c r="M722" s="25" t="inlineStr">
        <is>
          <t>French</t>
        </is>
      </c>
      <c r="N722" s="25" t="inlineStr">
        <is>
          <t>General</t>
        </is>
      </c>
      <c r="O722" s="25" t="inlineStr">
        <is>
          <t>Bac +3 / Bac +4</t>
        </is>
      </c>
      <c r="P722" s="26" t="inlineStr">
        <is>
          <t>Eligible on level (4-yr BS ≈ Bac+4)</t>
        </is>
      </c>
      <c r="Q722" s="25" t="inlineStr">
        <is>
          <t>3/4</t>
        </is>
      </c>
      <c r="R722" s="25" t="n"/>
      <c r="S722" s="27" t="n">
        <v>630</v>
      </c>
      <c r="T722" s="27" t="n"/>
      <c r="U722" s="25" t="n">
        <v>2</v>
      </c>
      <c r="V722" s="27">
        <f>IF(S722="","",S722*U722)</f>
        <v/>
      </c>
      <c r="W722" s="26" t="inlineStr">
        <is>
          <t>Catalogue lists €630 (EU/national rate). Confirm whether non-EU surcharge applies.</t>
        </is>
      </c>
      <c r="X722" s="25" t="inlineStr">
        <is>
          <t>Medium</t>
        </is>
      </c>
      <c r="Y722" s="25" t="inlineStr">
        <is>
          <t>630</t>
        </is>
      </c>
      <c r="Z722" s="26" t="n"/>
      <c r="AA722" s="26" t="n"/>
      <c r="AB722" s="25" t="n"/>
      <c r="AC722" s="25" t="inlineStr">
        <is>
          <t>Open</t>
        </is>
      </c>
      <c r="AD722" s="25" t="inlineStr">
        <is>
          <t>2026-10-01</t>
        </is>
      </c>
      <c r="AE722" s="25" t="inlineStr">
        <is>
          <t>2027-03-15</t>
        </is>
      </c>
      <c r="AF722" s="25" t="inlineStr">
        <is>
          <t>Yes</t>
        </is>
      </c>
      <c r="AG722" s="28" t="inlineStr">
        <is>
          <t>http://www.polytech.univ-nantes.fr</t>
        </is>
      </c>
      <c r="AH722" s="26" t="n"/>
      <c r="AI722" s="28" t="inlineStr">
        <is>
          <t>Open in EEF</t>
        </is>
      </c>
    </row>
    <row r="723" ht="32.8" customHeight="1" s="19">
      <c r="A723" s="25" t="n">
        <v>722</v>
      </c>
      <c r="B723" s="25" t="inlineStr">
        <is>
          <t>★★★☆☆</t>
        </is>
      </c>
      <c r="C723" s="25" t="inlineStr">
        <is>
          <t>3 – Adjacent (AI/data/CS/cyber/energy)</t>
        </is>
      </c>
      <c r="D723" s="25" t="inlineStr">
        <is>
          <t>Computer science / Software</t>
        </is>
      </c>
      <c r="E723" s="26" t="inlineStr">
        <is>
          <t>diplôme d'ingénieur de l'Ecole polytechnique de l'université de Tours spécialité informatique</t>
        </is>
      </c>
      <c r="F723" s="26" t="inlineStr">
        <is>
          <t>Engineering diploma of School polytechnique of University of Tours – specialisation: Computer Science</t>
        </is>
      </c>
      <c r="G723" s="25" t="inlineStr">
        <is>
          <t>Diplôme d'ingénieur</t>
        </is>
      </c>
      <c r="H723" s="25" t="inlineStr">
        <is>
          <t>Polytech Tours</t>
        </is>
      </c>
      <c r="I723" s="25" t="inlineStr">
        <is>
          <t>Groupement Polytech</t>
        </is>
      </c>
      <c r="J723" s="25" t="inlineStr">
        <is>
          <t>Site de Tours</t>
        </is>
      </c>
      <c r="K723" s="25" t="inlineStr">
        <is>
          <t>37200 Tours</t>
        </is>
      </c>
      <c r="L723" s="25" t="inlineStr">
        <is>
          <t>Public school / institute</t>
        </is>
      </c>
      <c r="M723" s="25" t="inlineStr">
        <is>
          <t>French</t>
        </is>
      </c>
      <c r="N723" s="25" t="inlineStr">
        <is>
          <t>General</t>
        </is>
      </c>
      <c r="O723" s="25" t="inlineStr">
        <is>
          <t>Bac +3 / Bac +4</t>
        </is>
      </c>
      <c r="P723" s="26" t="inlineStr">
        <is>
          <t>Eligible on level (4-yr BS ≈ Bac+4)</t>
        </is>
      </c>
      <c r="Q723" s="25" t="inlineStr">
        <is>
          <t>3/4</t>
        </is>
      </c>
      <c r="R723" s="25" t="n"/>
      <c r="S723" s="27" t="n">
        <v>630</v>
      </c>
      <c r="T723" s="27" t="n"/>
      <c r="U723" s="25" t="n">
        <v>2</v>
      </c>
      <c r="V723" s="27">
        <f>IF(S723="","",S723*U723)</f>
        <v/>
      </c>
      <c r="W723" s="26" t="inlineStr">
        <is>
          <t>Catalogue lists €630 (EU/national rate). Confirm whether non-EU surcharge applies.</t>
        </is>
      </c>
      <c r="X723" s="25" t="inlineStr">
        <is>
          <t>Medium</t>
        </is>
      </c>
      <c r="Y723" s="25" t="inlineStr">
        <is>
          <t>630</t>
        </is>
      </c>
      <c r="Z723" s="26" t="n"/>
      <c r="AA723" s="26" t="inlineStr">
        <is>
          <t>Tours: exemptions capped at 30% of non-EU students (2026-27); exempted students pay €255.</t>
        </is>
      </c>
      <c r="AB723" s="28" t="inlineStr">
        <is>
          <t>https://www.univ-tours.fr/international/etudes-stages-a-tours/droits-dinscription-differencies-pour-les-etudiants-extra-communautaires-2026-2027</t>
        </is>
      </c>
      <c r="AC723" s="25" t="inlineStr">
        <is>
          <t>Open</t>
        </is>
      </c>
      <c r="AD723" s="25" t="inlineStr">
        <is>
          <t>2026-10-01</t>
        </is>
      </c>
      <c r="AE723" s="25" t="inlineStr">
        <is>
          <t>2027-03-15</t>
        </is>
      </c>
      <c r="AF723" s="25" t="inlineStr">
        <is>
          <t>Yes</t>
        </is>
      </c>
      <c r="AG723" s="28" t="inlineStr">
        <is>
          <t>http://polytech.univ-tours.fr/informatique</t>
        </is>
      </c>
      <c r="AH723" s="26" t="inlineStr">
        <is>
          <t>Les informations qui suivent, concernent la candidature en cycle ingénieur (diplôme de niveau Bac+5) du réseau Polytech. Les candidatures sont possibles : - en 3ème année (1ère année cycle ingénieur) avec un niveau Bac+2</t>
        </is>
      </c>
      <c r="AI723" s="28" t="inlineStr">
        <is>
          <t>Open in EEF</t>
        </is>
      </c>
    </row>
    <row r="724" ht="32.8" customHeight="1" s="19">
      <c r="A724" s="25" t="n">
        <v>723</v>
      </c>
      <c r="B724" s="25" t="inlineStr">
        <is>
          <t>★★★☆☆</t>
        </is>
      </c>
      <c r="C724" s="25" t="inlineStr">
        <is>
          <t>3 – Adjacent (AI/data/CS/cyber/energy)</t>
        </is>
      </c>
      <c r="D724" s="25" t="inlineStr">
        <is>
          <t>Cybersecurity</t>
        </is>
      </c>
      <c r="E724" s="26" t="inlineStr">
        <is>
          <t>Diplôme d'ingénieur spécialité Cybersécurité</t>
        </is>
      </c>
      <c r="F724" s="26" t="inlineStr">
        <is>
          <t>Engineering diploma – specialisation: Cybersecurity</t>
        </is>
      </c>
      <c r="G724" s="25" t="inlineStr">
        <is>
          <t>Diplôme d'ingénieur</t>
        </is>
      </c>
      <c r="H724" s="25" t="inlineStr">
        <is>
          <t>Ecole d'Ingénieur</t>
        </is>
      </c>
      <c r="I724" s="25" t="inlineStr">
        <is>
          <t>Université Picardie Jules Verne Amiens</t>
        </is>
      </c>
      <c r="J724" s="25" t="inlineStr">
        <is>
          <t>Site d'Amiens</t>
        </is>
      </c>
      <c r="K724" s="25" t="inlineStr">
        <is>
          <t>80000 AMIENS</t>
        </is>
      </c>
      <c r="L724" s="25" t="inlineStr">
        <is>
          <t>Public school / institute</t>
        </is>
      </c>
      <c r="M724" s="25" t="inlineStr">
        <is>
          <t>French</t>
        </is>
      </c>
      <c r="N724" s="25" t="inlineStr">
        <is>
          <t>General</t>
        </is>
      </c>
      <c r="O724" s="25" t="inlineStr">
        <is>
          <t>Bac +3</t>
        </is>
      </c>
      <c r="P724" s="26" t="inlineStr">
        <is>
          <t>Eligible on level (4-yr BS ≈ Bac+4)</t>
        </is>
      </c>
      <c r="Q724" s="25" t="inlineStr">
        <is>
          <t>1</t>
        </is>
      </c>
      <c r="R724" s="25" t="inlineStr">
        <is>
          <t>12</t>
        </is>
      </c>
      <c r="S724" s="27" t="n">
        <v>630</v>
      </c>
      <c r="T724" s="27" t="n"/>
      <c r="U724" s="25" t="n">
        <v>2</v>
      </c>
      <c r="V724" s="27">
        <f>IF(S724="","",S724*U724)</f>
        <v/>
      </c>
      <c r="W724" s="26" t="inlineStr">
        <is>
          <t>Catalogue lists €630 (EU/national rate). Confirm whether non-EU surcharge applies.</t>
        </is>
      </c>
      <c r="X724" s="25" t="inlineStr">
        <is>
          <t>Medium</t>
        </is>
      </c>
      <c r="Y724" s="25" t="inlineStr">
        <is>
          <t>630</t>
        </is>
      </c>
      <c r="Z724" s="26" t="n"/>
      <c r="AA724" s="26" t="n"/>
      <c r="AB724" s="25" t="n"/>
      <c r="AC724" s="25" t="inlineStr">
        <is>
          <t>Open</t>
        </is>
      </c>
      <c r="AD724" s="25" t="inlineStr">
        <is>
          <t>2026-10-01</t>
        </is>
      </c>
      <c r="AE724" s="25" t="inlineStr">
        <is>
          <t>2027-03-15</t>
        </is>
      </c>
      <c r="AF724" s="25" t="inlineStr">
        <is>
          <t>No</t>
        </is>
      </c>
      <c r="AG724" s="28" t="inlineStr">
        <is>
          <t>https://eijv.u-picardie.fr/</t>
        </is>
      </c>
      <c r="AH724" s="26" t="inlineStr">
        <is>
          <t>Niveau du test de connaissance en Français requis : C1. Le tarif indiqué est celui de l'année universitaire 2026/2027. L'éxoneration des droits différenciés est susceptible de ne pas être reconduit pour l'année universit</t>
        </is>
      </c>
      <c r="AI724" s="28" t="inlineStr">
        <is>
          <t>Open in EEF</t>
        </is>
      </c>
    </row>
    <row r="725" ht="32.8" customHeight="1" s="19">
      <c r="A725" s="25" t="n">
        <v>724</v>
      </c>
      <c r="B725" s="25" t="inlineStr">
        <is>
          <t>★★★☆☆</t>
        </is>
      </c>
      <c r="C725" s="25" t="inlineStr">
        <is>
          <t>3 – Adjacent (AI/data/CS/cyber/energy)</t>
        </is>
      </c>
      <c r="D725" s="25" t="inlineStr">
        <is>
          <t>Computer science / Software</t>
        </is>
      </c>
      <c r="E725" s="26" t="inlineStr">
        <is>
          <t>Diplôme d'ingénieur spécialité Technologie de l'information pour la Santé</t>
        </is>
      </c>
      <c r="F725" s="26" t="inlineStr">
        <is>
          <t>Engineering diploma – specialisation: Technology of Information for the Health</t>
        </is>
      </c>
      <c r="G725" s="25" t="inlineStr">
        <is>
          <t>Diplôme d'ingénieur</t>
        </is>
      </c>
      <c r="H725" s="25" t="inlineStr">
        <is>
          <t>Ecole d'Ingénieur</t>
        </is>
      </c>
      <c r="I725" s="25" t="inlineStr">
        <is>
          <t>Université Picardie Jules Verne Amiens</t>
        </is>
      </c>
      <c r="J725" s="25" t="inlineStr">
        <is>
          <t>Site d'Amiens</t>
        </is>
      </c>
      <c r="K725" s="25" t="inlineStr">
        <is>
          <t>80000 AMIENS</t>
        </is>
      </c>
      <c r="L725" s="25" t="inlineStr">
        <is>
          <t>Public school / institute</t>
        </is>
      </c>
      <c r="M725" s="25" t="inlineStr">
        <is>
          <t>French</t>
        </is>
      </c>
      <c r="N725" s="25" t="inlineStr">
        <is>
          <t>General</t>
        </is>
      </c>
      <c r="O725" s="25" t="inlineStr">
        <is>
          <t>Bac +3</t>
        </is>
      </c>
      <c r="P725" s="26" t="inlineStr">
        <is>
          <t>Eligible on level (4-yr BS ≈ Bac+4)</t>
        </is>
      </c>
      <c r="Q725" s="25" t="inlineStr">
        <is>
          <t>1</t>
        </is>
      </c>
      <c r="R725" s="25" t="inlineStr">
        <is>
          <t>12</t>
        </is>
      </c>
      <c r="S725" s="27" t="n">
        <v>630</v>
      </c>
      <c r="T725" s="27" t="n"/>
      <c r="U725" s="25" t="n">
        <v>2</v>
      </c>
      <c r="V725" s="27">
        <f>IF(S725="","",S725*U725)</f>
        <v/>
      </c>
      <c r="W725" s="26" t="inlineStr">
        <is>
          <t>Catalogue lists €630 (EU/national rate). Confirm whether non-EU surcharge applies.</t>
        </is>
      </c>
      <c r="X725" s="25" t="inlineStr">
        <is>
          <t>Medium</t>
        </is>
      </c>
      <c r="Y725" s="25" t="inlineStr">
        <is>
          <t>630</t>
        </is>
      </c>
      <c r="Z725" s="26" t="n"/>
      <c r="AA725" s="26" t="n"/>
      <c r="AB725" s="25" t="n"/>
      <c r="AC725" s="25" t="inlineStr">
        <is>
          <t>Open</t>
        </is>
      </c>
      <c r="AD725" s="25" t="inlineStr">
        <is>
          <t>2026-10-01</t>
        </is>
      </c>
      <c r="AE725" s="25" t="inlineStr">
        <is>
          <t>2027-03-15</t>
        </is>
      </c>
      <c r="AF725" s="25" t="inlineStr">
        <is>
          <t>No</t>
        </is>
      </c>
      <c r="AG725" s="28" t="inlineStr">
        <is>
          <t>https://eijv.u-picardie.fr/</t>
        </is>
      </c>
      <c r="AH725" s="26" t="inlineStr">
        <is>
          <t>Cycle ingénieur Numérique, Santé &amp; IA Niveau du test de connaissance en Français requis : C1. Le tarif indiqué est celui de l'année universitaire 2026/2027. L'éxoneration des droits différenciés est susceptible de ne pas</t>
        </is>
      </c>
      <c r="AI725" s="28" t="inlineStr">
        <is>
          <t>Open in EEF</t>
        </is>
      </c>
    </row>
    <row r="726" ht="22.35" customHeight="1" s="19">
      <c r="A726" s="25" t="n">
        <v>725</v>
      </c>
      <c r="B726" s="25" t="inlineStr">
        <is>
          <t>★★★☆☆</t>
        </is>
      </c>
      <c r="C726" s="25" t="inlineStr">
        <is>
          <t>3 – Adjacent (AI/data/CS/cyber/energy)</t>
        </is>
      </c>
      <c r="D726" s="25" t="inlineStr">
        <is>
          <t>Other engineering / maths</t>
        </is>
      </c>
      <c r="E726" s="26" t="inlineStr">
        <is>
          <t>Master Sciences, technologies, santé, mention Ingénierie des systèmes complexes</t>
        </is>
      </c>
      <c r="F726" s="26" t="inlineStr">
        <is>
          <t>Master Science, Technology, Health (STS), – major: Complex Systems Engineering</t>
        </is>
      </c>
      <c r="G726" s="25" t="inlineStr">
        <is>
          <t>Master indifférencié (recherche et professionnel)</t>
        </is>
      </c>
      <c r="H726" s="25" t="inlineStr">
        <is>
          <t>Ecole nationale supérieure de mécanique et des microtechniques</t>
        </is>
      </c>
      <c r="I726" s="25" t="n"/>
      <c r="J726" s="25" t="inlineStr">
        <is>
          <t>Site de Besançon</t>
        </is>
      </c>
      <c r="K726" s="25" t="n"/>
      <c r="L726" s="25" t="inlineStr">
        <is>
          <t>Public school / institute</t>
        </is>
      </c>
      <c r="M726" s="25" t="inlineStr">
        <is>
          <t>French</t>
        </is>
      </c>
      <c r="N726" s="25" t="inlineStr">
        <is>
          <t>General</t>
        </is>
      </c>
      <c r="O726" s="25" t="inlineStr">
        <is>
          <t>Bac +4 / Bac +5</t>
        </is>
      </c>
      <c r="P726" s="26" t="inlineStr">
        <is>
          <t>Eligible on level (4-yr BS ≈ Bac+4)</t>
        </is>
      </c>
      <c r="Q726" s="25" t="inlineStr">
        <is>
          <t>1/2</t>
        </is>
      </c>
      <c r="R726" s="25" t="inlineStr">
        <is>
          <t>24</t>
        </is>
      </c>
      <c r="S726" s="27" t="n">
        <v>1114</v>
      </c>
      <c r="T726" s="27" t="n"/>
      <c r="U726" s="25" t="n">
        <v>2</v>
      </c>
      <c r="V726" s="27">
        <f>IF(S726="","",S726*U726)</f>
        <v/>
      </c>
      <c r="W726" s="26" t="inlineStr">
        <is>
          <t>Catalogue fee €1,114/yr (entered by institution).</t>
        </is>
      </c>
      <c r="X726" s="25" t="inlineStr">
        <is>
          <t>High</t>
        </is>
      </c>
      <c r="Y726" s="25" t="inlineStr">
        <is>
          <t>1114</t>
        </is>
      </c>
      <c r="Z726" s="26" t="n"/>
      <c r="AA726" s="26" t="n"/>
      <c r="AB726" s="25" t="n"/>
      <c r="AC726" s="25" t="inlineStr">
        <is>
          <t>Open</t>
        </is>
      </c>
      <c r="AD726" s="25" t="inlineStr">
        <is>
          <t>2026-10-01</t>
        </is>
      </c>
      <c r="AE726" s="25" t="inlineStr">
        <is>
          <t>2027-03-15</t>
        </is>
      </c>
      <c r="AF726" s="25" t="inlineStr">
        <is>
          <t>No</t>
        </is>
      </c>
      <c r="AG726" s="28" t="inlineStr">
        <is>
          <t>https://www.ens2m.fr/</t>
        </is>
      </c>
      <c r="AH726" s="26" t="inlineStr">
        <is>
          <t>Niveau requis en Français pour l'admission : TCF niveau B2</t>
        </is>
      </c>
      <c r="AI726" s="28" t="inlineStr">
        <is>
          <t>Open in EEF</t>
        </is>
      </c>
    </row>
    <row r="727" ht="32.8" customHeight="1" s="19">
      <c r="A727" s="25" t="n">
        <v>726</v>
      </c>
      <c r="B727" s="25" t="inlineStr">
        <is>
          <t>★★★☆☆</t>
        </is>
      </c>
      <c r="C727" s="25" t="inlineStr">
        <is>
          <t>3 – Adjacent (AI/data/CS/cyber/energy)</t>
        </is>
      </c>
      <c r="D727" s="25" t="inlineStr">
        <is>
          <t>Computer science / Software</t>
        </is>
      </c>
      <c r="E727" s="26" t="inlineStr">
        <is>
          <t>diplôme d'ingénieur de l'Ecole nationale supérieure de sciences appliquées et de technologie de Lannion de l'université Rennes spécialité informatique</t>
        </is>
      </c>
      <c r="F727" s="26" t="inlineStr">
        <is>
          <t>Engineering diploma of the National Graduate School of Sciences Applied &amp; of Technology of Lannion of University Rennes – specialisation: Computer Science</t>
        </is>
      </c>
      <c r="G727" s="25" t="inlineStr">
        <is>
          <t>Diplôme d'ingénieur</t>
        </is>
      </c>
      <c r="H727" s="25" t="inlineStr">
        <is>
          <t>Ecole nationale supérieure des sciences appliquées et de technologie</t>
        </is>
      </c>
      <c r="I727" s="25" t="inlineStr">
        <is>
          <t>Université de Rennes</t>
        </is>
      </c>
      <c r="J727" s="25" t="inlineStr">
        <is>
          <t>Site de Lannion</t>
        </is>
      </c>
      <c r="K727" s="25" t="n"/>
      <c r="L727" s="25" t="inlineStr">
        <is>
          <t>Public school / institute</t>
        </is>
      </c>
      <c r="M727" s="25" t="inlineStr">
        <is>
          <t>French</t>
        </is>
      </c>
      <c r="N727" s="25" t="inlineStr">
        <is>
          <t>General</t>
        </is>
      </c>
      <c r="O727" s="25" t="inlineStr">
        <is>
          <t>Bac +3 / Bac +4</t>
        </is>
      </c>
      <c r="P727" s="26" t="inlineStr">
        <is>
          <t>Eligible on level (4-yr BS ≈ Bac+4)</t>
        </is>
      </c>
      <c r="Q727" s="25" t="inlineStr">
        <is>
          <t>1/2</t>
        </is>
      </c>
      <c r="R727" s="25" t="n"/>
      <c r="S727" s="27" t="n">
        <v>1370</v>
      </c>
      <c r="T727" s="27" t="n"/>
      <c r="U727" s="25" t="n">
        <v>2</v>
      </c>
      <c r="V727" s="27">
        <f>IF(S727="","",S727*U727)</f>
        <v/>
      </c>
      <c r="W727" s="26" t="inlineStr">
        <is>
          <t>Catalogue fee €1,370/yr (entered by institution).</t>
        </is>
      </c>
      <c r="X727" s="25" t="inlineStr">
        <is>
          <t>High</t>
        </is>
      </c>
      <c r="Y727" s="25" t="inlineStr">
        <is>
          <t>1370</t>
        </is>
      </c>
      <c r="Z727" s="26" t="n"/>
      <c r="AA727" s="26" t="n"/>
      <c r="AB727" s="25" t="n"/>
      <c r="AC727" s="25" t="inlineStr">
        <is>
          <t>Open</t>
        </is>
      </c>
      <c r="AD727" s="25" t="inlineStr">
        <is>
          <t>2026-10-01</t>
        </is>
      </c>
      <c r="AE727" s="25" t="inlineStr">
        <is>
          <t>2027-03-15</t>
        </is>
      </c>
      <c r="AF727" s="25" t="inlineStr">
        <is>
          <t>Yes</t>
        </is>
      </c>
      <c r="AG727" s="28" t="inlineStr">
        <is>
          <t>http://www.enssat.fr/</t>
        </is>
      </c>
      <c r="AH727" s="26" t="inlineStr">
        <is>
          <t>Pour intégrer cette formation, il est obligatoire de s'inscrire sur le concours sur titres de l'Enssat, à partir du site web : http://www.enssat.fr/fr_FR/formations/admissions#expand_1.</t>
        </is>
      </c>
      <c r="AI727" s="28" t="inlineStr">
        <is>
          <t>Open in EEF</t>
        </is>
      </c>
    </row>
    <row r="728" ht="43.25" customHeight="1" s="19">
      <c r="A728" s="25" t="n">
        <v>727</v>
      </c>
      <c r="B728" s="25" t="inlineStr">
        <is>
          <t>★★★☆☆</t>
        </is>
      </c>
      <c r="C728" s="25" t="inlineStr">
        <is>
          <t>3 – Adjacent (AI/data/CS/cyber/energy)</t>
        </is>
      </c>
      <c r="D728" s="25" t="inlineStr">
        <is>
          <t>Computer science / Software</t>
        </is>
      </c>
      <c r="E728" s="26" t="inlineStr">
        <is>
          <t>diplôme d'ingénieur de l'Ecole supérieure d'ingénieurs de Rennes de l'Université Rennes spécialité Informatique</t>
        </is>
      </c>
      <c r="F728" s="26" t="inlineStr">
        <is>
          <t>Engineering diploma of School Higher of Engineers of Rennes of University Rennes – specialisation: Computer Science</t>
        </is>
      </c>
      <c r="G728" s="25" t="inlineStr">
        <is>
          <t>Diplôme d'ingénieur</t>
        </is>
      </c>
      <c r="H728" s="25" t="inlineStr">
        <is>
          <t>Ecole supérieure d'ingénieurs de Rennes</t>
        </is>
      </c>
      <c r="I728" s="25" t="inlineStr">
        <is>
          <t>Université de Rennes</t>
        </is>
      </c>
      <c r="J728" s="25" t="inlineStr">
        <is>
          <t>Site de Rennes</t>
        </is>
      </c>
      <c r="K728" s="25" t="n"/>
      <c r="L728" s="25" t="inlineStr">
        <is>
          <t>Public school / institute</t>
        </is>
      </c>
      <c r="M728" s="25" t="inlineStr">
        <is>
          <t>French</t>
        </is>
      </c>
      <c r="N728" s="25" t="inlineStr">
        <is>
          <t>General</t>
        </is>
      </c>
      <c r="O728" s="25" t="inlineStr">
        <is>
          <t>Bac +3 / Bac +4</t>
        </is>
      </c>
      <c r="P728" s="26" t="inlineStr">
        <is>
          <t>Eligible on level (4-yr BS ≈ Bac+4)</t>
        </is>
      </c>
      <c r="Q728" s="25" t="inlineStr">
        <is>
          <t>1/2</t>
        </is>
      </c>
      <c r="R728" s="25" t="inlineStr">
        <is>
          <t>12</t>
        </is>
      </c>
      <c r="S728" s="27" t="n">
        <v>1370</v>
      </c>
      <c r="T728" s="27" t="n"/>
      <c r="U728" s="25" t="n">
        <v>2</v>
      </c>
      <c r="V728" s="27">
        <f>IF(S728="","",S728*U728)</f>
        <v/>
      </c>
      <c r="W728" s="26" t="inlineStr">
        <is>
          <t>Catalogue fee €1,370/yr (entered by institution).</t>
        </is>
      </c>
      <c r="X728" s="25" t="inlineStr">
        <is>
          <t>High</t>
        </is>
      </c>
      <c r="Y728" s="25" t="inlineStr">
        <is>
          <t>1370</t>
        </is>
      </c>
      <c r="Z728" s="26" t="inlineStr">
        <is>
          <t>ous serez redevable : 1) Contribution Vie Etudiante et de Campus (montant 2026/2027 : 105 € ) R endez-vous sur http://cvec … ion : Pour l'année 2027-2028, les droits différenciés s'élèvent en cycle ingénieur à 1370 euros</t>
        </is>
      </c>
      <c r="AA728" s="26" t="n"/>
      <c r="AB728" s="25" t="n"/>
      <c r="AC728" s="25" t="inlineStr">
        <is>
          <t>Open</t>
        </is>
      </c>
      <c r="AD728" s="25" t="inlineStr">
        <is>
          <t>2026-10-01</t>
        </is>
      </c>
      <c r="AE728" s="25" t="inlineStr">
        <is>
          <t>2027-03-15</t>
        </is>
      </c>
      <c r="AF728" s="25" t="inlineStr">
        <is>
          <t>No</t>
        </is>
      </c>
      <c r="AG728" s="28" t="inlineStr">
        <is>
          <t>https://esir.univ-rennes.fr/</t>
        </is>
      </c>
      <c r="AH728" s="26" t="inlineStr">
        <is>
          <t>Un niveau minimal B2 de Français est requis.</t>
        </is>
      </c>
      <c r="AI728" s="28" t="inlineStr">
        <is>
          <t>Open in EEF</t>
        </is>
      </c>
    </row>
    <row r="729" ht="43.25" customHeight="1" s="19">
      <c r="A729" s="25" t="n">
        <v>728</v>
      </c>
      <c r="B729" s="25" t="inlineStr">
        <is>
          <t>★★★☆☆</t>
        </is>
      </c>
      <c r="C729" s="25" t="inlineStr">
        <is>
          <t>3 – Adjacent (AI/data/CS/cyber/energy)</t>
        </is>
      </c>
      <c r="D729" s="25" t="inlineStr">
        <is>
          <t>Computer science / Software</t>
        </is>
      </c>
      <c r="E729" s="26" t="inlineStr">
        <is>
          <t>diplôme d'ingénieur de l'Ecole supérieure d'ingénieurs de Rennes de l'Université Rennes, spécialité technologies de l'information pour la santé</t>
        </is>
      </c>
      <c r="F729" s="26" t="inlineStr">
        <is>
          <t>Engineering diploma of School Higher of Engineers of Rennes of University Rennes, – specialisation: Technologies of Information for the Health</t>
        </is>
      </c>
      <c r="G729" s="25" t="inlineStr">
        <is>
          <t>Diplôme d'ingénieur</t>
        </is>
      </c>
      <c r="H729" s="25" t="inlineStr">
        <is>
          <t>Ecole supérieure d'ingénieurs de Rennes</t>
        </is>
      </c>
      <c r="I729" s="25" t="inlineStr">
        <is>
          <t>Université de Rennes</t>
        </is>
      </c>
      <c r="J729" s="25" t="inlineStr">
        <is>
          <t>Site de Rennes</t>
        </is>
      </c>
      <c r="K729" s="25" t="n"/>
      <c r="L729" s="25" t="inlineStr">
        <is>
          <t>Public school / institute</t>
        </is>
      </c>
      <c r="M729" s="25" t="inlineStr">
        <is>
          <t>French</t>
        </is>
      </c>
      <c r="N729" s="25" t="inlineStr">
        <is>
          <t>General</t>
        </is>
      </c>
      <c r="O729" s="25" t="inlineStr">
        <is>
          <t>Bac +3 / Bac +4</t>
        </is>
      </c>
      <c r="P729" s="26" t="inlineStr">
        <is>
          <t>Eligible on level (4-yr BS ≈ Bac+4)</t>
        </is>
      </c>
      <c r="Q729" s="25" t="inlineStr">
        <is>
          <t>1/2</t>
        </is>
      </c>
      <c r="R729" s="25" t="n"/>
      <c r="S729" s="27" t="n">
        <v>1370</v>
      </c>
      <c r="T729" s="27" t="n"/>
      <c r="U729" s="25" t="n">
        <v>2</v>
      </c>
      <c r="V729" s="27">
        <f>IF(S729="","",S729*U729)</f>
        <v/>
      </c>
      <c r="W729" s="26" t="inlineStr">
        <is>
          <t>Catalogue fee €1,370/yr (entered by institution).</t>
        </is>
      </c>
      <c r="X729" s="25" t="inlineStr">
        <is>
          <t>High</t>
        </is>
      </c>
      <c r="Y729" s="25" t="inlineStr">
        <is>
          <t>1370</t>
        </is>
      </c>
      <c r="Z729" s="26" t="inlineStr">
        <is>
          <t>ous serez redevable : 1) Contribution Vie Etudiante et de Campus (montant 2026/2027 : 105 € ) R endez-vous sur http://cvec … ion : Pour l'année 2027-2028, les droits différenciés s'élèvent en cycle ingénieur à 1370 euros</t>
        </is>
      </c>
      <c r="AA729" s="26" t="n"/>
      <c r="AB729" s="25" t="n"/>
      <c r="AC729" s="25" t="inlineStr">
        <is>
          <t>Open</t>
        </is>
      </c>
      <c r="AD729" s="25" t="inlineStr">
        <is>
          <t>2026-10-01</t>
        </is>
      </c>
      <c r="AE729" s="25" t="inlineStr">
        <is>
          <t>2027-03-15</t>
        </is>
      </c>
      <c r="AF729" s="25" t="inlineStr">
        <is>
          <t>No</t>
        </is>
      </c>
      <c r="AG729" s="28" t="inlineStr">
        <is>
          <t>https://esir.univ-rennes.fr/</t>
        </is>
      </c>
      <c r="AH729" s="26" t="inlineStr">
        <is>
          <t>Un niveau minimal B2 de Français est requis.</t>
        </is>
      </c>
      <c r="AI729" s="28" t="inlineStr">
        <is>
          <t>Open in EEF</t>
        </is>
      </c>
    </row>
    <row r="730" ht="32.8" customHeight="1" s="19">
      <c r="A730" s="25" t="n">
        <v>729</v>
      </c>
      <c r="B730" s="25" t="inlineStr">
        <is>
          <t>★★★☆☆</t>
        </is>
      </c>
      <c r="C730" s="25" t="inlineStr">
        <is>
          <t>3 – Adjacent (AI/data/CS/cyber/energy)</t>
        </is>
      </c>
      <c r="D730" s="25" t="inlineStr">
        <is>
          <t>Cybersecurity</t>
        </is>
      </c>
      <c r="E730" s="26" t="inlineStr">
        <is>
          <t>diplôme d'ingénieur de l'Institut national des sciences appliquées Centre Val de Loire parcours Sécurité et Technologies Informatiques sous statut étudiant</t>
        </is>
      </c>
      <c r="F730" s="26" t="inlineStr">
        <is>
          <t>Engineering diploma of INSA Centre Val of Loire – track: Security &amp; Technologies Informatiques under status étudiant</t>
        </is>
      </c>
      <c r="G730" s="25" t="inlineStr">
        <is>
          <t>Diplôme d'ingénieur</t>
        </is>
      </c>
      <c r="H730" s="25" t="inlineStr">
        <is>
          <t>INSA Centre Val de Loire</t>
        </is>
      </c>
      <c r="I730" s="25" t="inlineStr">
        <is>
          <t>INSA Centre Val de Loire</t>
        </is>
      </c>
      <c r="J730" s="25" t="inlineStr">
        <is>
          <t>Site de Bourges</t>
        </is>
      </c>
      <c r="K730" s="25" t="n"/>
      <c r="L730" s="25" t="inlineStr">
        <is>
          <t>Public school / institute</t>
        </is>
      </c>
      <c r="M730" s="25" t="inlineStr">
        <is>
          <t>French</t>
        </is>
      </c>
      <c r="N730" s="25" t="inlineStr">
        <is>
          <t>General</t>
        </is>
      </c>
      <c r="O730" s="25" t="inlineStr">
        <is>
          <t>Bac +1 / Bac +2 / Bac +3 / Bac +4 / Bac +5</t>
        </is>
      </c>
      <c r="P730" s="26" t="inlineStr">
        <is>
          <t>Eligible on level (4-yr BS ≈ Bac+4)</t>
        </is>
      </c>
      <c r="Q730" s="25" t="inlineStr">
        <is>
          <t>1/2/3/4/5</t>
        </is>
      </c>
      <c r="R730" s="25" t="n"/>
      <c r="S730" s="27" t="n">
        <v>2985</v>
      </c>
      <c r="T730" s="27" t="n"/>
      <c r="U730" s="25" t="n">
        <v>2</v>
      </c>
      <c r="V730" s="27">
        <f>IF(S730="","",S730*U730)</f>
        <v/>
      </c>
      <c r="W730" s="26" t="inlineStr">
        <is>
          <t>Catalogue fee €2,985/yr (entered by institution).</t>
        </is>
      </c>
      <c r="X730" s="25" t="inlineStr">
        <is>
          <t>High</t>
        </is>
      </c>
      <c r="Y730" s="25" t="inlineStr">
        <is>
          <t>2985/3941</t>
        </is>
      </c>
      <c r="Z730" s="26" t="n"/>
      <c r="AA730" s="26" t="n"/>
      <c r="AB730" s="25" t="n"/>
      <c r="AC730" s="25" t="inlineStr">
        <is>
          <t>Open</t>
        </is>
      </c>
      <c r="AD730" s="25" t="inlineStr">
        <is>
          <t>2026-10-01</t>
        </is>
      </c>
      <c r="AE730" s="25" t="inlineStr">
        <is>
          <t>2027-03-15</t>
        </is>
      </c>
      <c r="AF730" s="25" t="inlineStr">
        <is>
          <t>Yes</t>
        </is>
      </c>
      <c r="AG730" s="28" t="inlineStr">
        <is>
          <t>http://www.insa-centrevaldeloire.fr</t>
        </is>
      </c>
      <c r="AH730" s="26" t="inlineStr">
        <is>
          <t>* Pour candidater en 3ème année, être titulaire de 2 années de classes préparatoires aux grandes écoles ou d'un bac+2/3. * Pour candidater en 4ème année, être titulaire d'un bac +4.</t>
        </is>
      </c>
      <c r="AI730" s="28" t="inlineStr">
        <is>
          <t>Open in EEF</t>
        </is>
      </c>
    </row>
    <row r="731" ht="32.8" customHeight="1" s="19">
      <c r="A731" s="25" t="n">
        <v>730</v>
      </c>
      <c r="B731" s="25" t="inlineStr">
        <is>
          <t>★★★☆☆</t>
        </is>
      </c>
      <c r="C731" s="25" t="inlineStr">
        <is>
          <t>3 – Adjacent (AI/data/CS/cyber/energy)</t>
        </is>
      </c>
      <c r="D731" s="25" t="inlineStr">
        <is>
          <t>Computer science / Software</t>
        </is>
      </c>
      <c r="E731" s="26" t="inlineStr">
        <is>
          <t>diplôme d'ingénieur de l'Ecole nationale supérieure d'ingénieurs de Caen spécialité informatique</t>
        </is>
      </c>
      <c r="F731" s="26" t="inlineStr">
        <is>
          <t>Engineering diploma of the National Graduate School of Engineers of Caen – specialisation: Computer Science</t>
        </is>
      </c>
      <c r="G731" s="25" t="inlineStr">
        <is>
          <t>Diplôme d'ingénieur</t>
        </is>
      </c>
      <c r="H731" s="25" t="inlineStr">
        <is>
          <t>Ecole nationale supérieure d'ingénieurs de Caen et centre de recherche</t>
        </is>
      </c>
      <c r="I731" s="25" t="n"/>
      <c r="J731" s="25" t="inlineStr">
        <is>
          <t>Site de Caen</t>
        </is>
      </c>
      <c r="K731" s="25" t="n"/>
      <c r="L731" s="25" t="inlineStr">
        <is>
          <t>Public school / institute</t>
        </is>
      </c>
      <c r="M731" s="25" t="inlineStr">
        <is>
          <t>French</t>
        </is>
      </c>
      <c r="N731" s="25" t="inlineStr">
        <is>
          <t>General</t>
        </is>
      </c>
      <c r="O731" s="25" t="inlineStr">
        <is>
          <t>Bac +3 / Bac +4</t>
        </is>
      </c>
      <c r="P731" s="26" t="inlineStr">
        <is>
          <t>Eligible on level (4-yr BS ≈ Bac+4)</t>
        </is>
      </c>
      <c r="Q731" s="25" t="inlineStr">
        <is>
          <t>1/2</t>
        </is>
      </c>
      <c r="R731" s="25" t="n"/>
      <c r="S731" s="27" t="n">
        <v>3879</v>
      </c>
      <c r="T731" s="27" t="n"/>
      <c r="U731" s="25" t="n">
        <v>2</v>
      </c>
      <c r="V731" s="27">
        <f>IF(S731="","",S731*U731)</f>
        <v/>
      </c>
      <c r="W731" s="26" t="inlineStr">
        <is>
          <t>Catalogue fee €3,879/yr (entered by institution).</t>
        </is>
      </c>
      <c r="X731" s="25" t="inlineStr">
        <is>
          <t>High</t>
        </is>
      </c>
      <c r="Y731" s="25" t="inlineStr">
        <is>
          <t>3941/3879</t>
        </is>
      </c>
      <c r="Z731" s="26" t="n"/>
      <c r="AA731" s="26" t="n"/>
      <c r="AB731" s="25" t="n"/>
      <c r="AC731" s="25" t="inlineStr">
        <is>
          <t>Open</t>
        </is>
      </c>
      <c r="AD731" s="25" t="inlineStr">
        <is>
          <t>2026-10-01</t>
        </is>
      </c>
      <c r="AE731" s="25" t="inlineStr">
        <is>
          <t>2027-03-15</t>
        </is>
      </c>
      <c r="AF731" s="25" t="inlineStr">
        <is>
          <t>Yes</t>
        </is>
      </c>
      <c r="AG731" s="28" t="inlineStr">
        <is>
          <t>https://www.ensicaen.fr/</t>
        </is>
      </c>
      <c r="AH731" s="26" t="inlineStr">
        <is>
          <t>Le candidat doit obligatoirement suivre la procédure d'admission sur dossier de l'ENSICAEN dont le détail se trouve sur le site internet de l'établissement. Dates clés : Téléchargement et ouverture du dépôt des dossiers</t>
        </is>
      </c>
      <c r="AI731" s="28" t="inlineStr">
        <is>
          <t>Open in EEF</t>
        </is>
      </c>
    </row>
    <row r="732" ht="22.35" customHeight="1" s="19">
      <c r="A732" s="25" t="n">
        <v>731</v>
      </c>
      <c r="B732" s="25" t="inlineStr">
        <is>
          <t>★★★☆☆</t>
        </is>
      </c>
      <c r="C732" s="25" t="inlineStr">
        <is>
          <t>3 – Adjacent (AI/data/CS/cyber/energy)</t>
        </is>
      </c>
      <c r="D732" s="25" t="inlineStr">
        <is>
          <t>AI / Data science</t>
        </is>
      </c>
      <c r="E732" s="26" t="inlineStr">
        <is>
          <t>diplôme d'ingénieur de l'Ecole Polytechnique de l'université Clermont Auvergne, spécialité Ingénierie Mathématique et Data Science</t>
        </is>
      </c>
      <c r="F732" s="26" t="inlineStr">
        <is>
          <t>Engineering diploma of School Polytechnique of University Clermont Auvergne, – specialisation: Engineering Mathematical &amp; Data Science</t>
        </is>
      </c>
      <c r="G732" s="25" t="inlineStr">
        <is>
          <t>Diplôme d'ingénieur</t>
        </is>
      </c>
      <c r="H732" s="25" t="inlineStr">
        <is>
          <t>Polytech Clermont</t>
        </is>
      </c>
      <c r="I732" s="25" t="inlineStr">
        <is>
          <t>Groupement Polytech</t>
        </is>
      </c>
      <c r="J732" s="25" t="inlineStr">
        <is>
          <t>Clermont-Ferrand (Campus des Cézeaux - AUBIERE)</t>
        </is>
      </c>
      <c r="K732" s="25" t="inlineStr">
        <is>
          <t>63178 AUBIERE CEDEX FRANCE</t>
        </is>
      </c>
      <c r="L732" s="25" t="inlineStr">
        <is>
          <t>Public school / institute</t>
        </is>
      </c>
      <c r="M732" s="25" t="inlineStr">
        <is>
          <t>French</t>
        </is>
      </c>
      <c r="N732" s="25" t="inlineStr">
        <is>
          <t>General</t>
        </is>
      </c>
      <c r="O732" s="25" t="inlineStr">
        <is>
          <t>Bac +3 / Bac +4</t>
        </is>
      </c>
      <c r="P732" s="26" t="inlineStr">
        <is>
          <t>Eligible on level (4-yr BS ≈ Bac+4)</t>
        </is>
      </c>
      <c r="Q732" s="25" t="inlineStr">
        <is>
          <t>3/4</t>
        </is>
      </c>
      <c r="R732" s="25" t="inlineStr">
        <is>
          <t>12</t>
        </is>
      </c>
      <c r="S732" s="27" t="n">
        <v>3879</v>
      </c>
      <c r="T732" s="27" t="n"/>
      <c r="U732" s="25" t="n">
        <v>2</v>
      </c>
      <c r="V732" s="27">
        <f>IF(S732="","",S732*U732)</f>
        <v/>
      </c>
      <c r="W732" s="26" t="inlineStr">
        <is>
          <t>Catalogue fee €3,879/yr (entered by institution).</t>
        </is>
      </c>
      <c r="X732" s="25" t="inlineStr">
        <is>
          <t>High</t>
        </is>
      </c>
      <c r="Y732" s="25" t="inlineStr">
        <is>
          <t>3879</t>
        </is>
      </c>
      <c r="Z732" s="26" t="n"/>
      <c r="AA732" s="26" t="inlineStr">
        <is>
          <t>UCA board (Dec 2025) kept its partial-exemption framework for 2026-27 (pre-decree; re-check).</t>
        </is>
      </c>
      <c r="AB732" s="28" t="inlineStr">
        <is>
          <t>https://www.uca.fr/medias/fichier/delib-ca-20251205-15-tarifs-differencies_1765204050111-pdf</t>
        </is>
      </c>
      <c r="AC732" s="25" t="inlineStr">
        <is>
          <t>Open</t>
        </is>
      </c>
      <c r="AD732" s="25" t="inlineStr">
        <is>
          <t>2026-10-01</t>
        </is>
      </c>
      <c r="AE732" s="25" t="inlineStr">
        <is>
          <t>2027-03-15</t>
        </is>
      </c>
      <c r="AF732" s="25" t="inlineStr">
        <is>
          <t>Yes</t>
        </is>
      </c>
      <c r="AG732" s="28" t="inlineStr">
        <is>
          <t>http://www.polytech-clermont.fr</t>
        </is>
      </c>
      <c r="AH732" s="26" t="n"/>
      <c r="AI732" s="28" t="inlineStr">
        <is>
          <t>Open in EEF</t>
        </is>
      </c>
    </row>
    <row r="733" ht="32.8" customHeight="1" s="19">
      <c r="A733" s="25" t="n">
        <v>732</v>
      </c>
      <c r="B733" s="25" t="inlineStr">
        <is>
          <t>★★★☆☆</t>
        </is>
      </c>
      <c r="C733" s="25" t="inlineStr">
        <is>
          <t>3 – Adjacent (AI/data/CS/cyber/energy)</t>
        </is>
      </c>
      <c r="D733" s="25" t="inlineStr">
        <is>
          <t>Computer science / Software</t>
        </is>
      </c>
      <c r="E733" s="26" t="inlineStr">
        <is>
          <t>diplôme d'ingénieur de l'Ecole polytechnique de l'université de Nice spécialité informatique</t>
        </is>
      </c>
      <c r="F733" s="26" t="inlineStr">
        <is>
          <t>Engineering diploma of School polytechnique of University of Nice – specialisation: Computer Science</t>
        </is>
      </c>
      <c r="G733" s="25" t="inlineStr">
        <is>
          <t>Diplôme d'ingénieur</t>
        </is>
      </c>
      <c r="H733" s="25" t="inlineStr">
        <is>
          <t>Polytech Nice-Sophia</t>
        </is>
      </c>
      <c r="I733" s="25" t="inlineStr">
        <is>
          <t>Groupement Polytech</t>
        </is>
      </c>
      <c r="J733" s="25" t="inlineStr">
        <is>
          <t>Site de Biot</t>
        </is>
      </c>
      <c r="K733" s="25" t="n"/>
      <c r="L733" s="25" t="inlineStr">
        <is>
          <t>Public school / institute</t>
        </is>
      </c>
      <c r="M733" s="25" t="inlineStr">
        <is>
          <t>French</t>
        </is>
      </c>
      <c r="N733" s="25" t="inlineStr">
        <is>
          <t>General</t>
        </is>
      </c>
      <c r="O733" s="25" t="inlineStr">
        <is>
          <t>Bac +3 / Bac +4</t>
        </is>
      </c>
      <c r="P733" s="26" t="inlineStr">
        <is>
          <t>Eligible on level (4-yr BS ≈ Bac+4)</t>
        </is>
      </c>
      <c r="Q733" s="25" t="inlineStr">
        <is>
          <t>3/4</t>
        </is>
      </c>
      <c r="R733" s="25" t="inlineStr">
        <is>
          <t>36/24</t>
        </is>
      </c>
      <c r="S733" s="27" t="n">
        <v>3879</v>
      </c>
      <c r="T733" s="27" t="n"/>
      <c r="U733" s="25" t="n">
        <v>2</v>
      </c>
      <c r="V733" s="27">
        <f>IF(S733="","",S733*U733)</f>
        <v/>
      </c>
      <c r="W733" s="26" t="inlineStr">
        <is>
          <t>Catalogue fee €3,879/yr (entered by institution).</t>
        </is>
      </c>
      <c r="X733" s="25" t="inlineStr">
        <is>
          <t>High</t>
        </is>
      </c>
      <c r="Y733" s="25" t="inlineStr">
        <is>
          <t>3879</t>
        </is>
      </c>
      <c r="Z733" s="26" t="n"/>
      <c r="AA733" s="26" t="n"/>
      <c r="AB733" s="25" t="n"/>
      <c r="AC733" s="25" t="inlineStr">
        <is>
          <t>Open</t>
        </is>
      </c>
      <c r="AD733" s="25" t="inlineStr">
        <is>
          <t>2026-10-01</t>
        </is>
      </c>
      <c r="AE733" s="25" t="inlineStr">
        <is>
          <t>2027-03-15</t>
        </is>
      </c>
      <c r="AF733" s="25" t="inlineStr">
        <is>
          <t>Yes</t>
        </is>
      </c>
      <c r="AG733" s="28" t="inlineStr">
        <is>
          <t>https://polytech.univ-cotedazur.fr/</t>
        </is>
      </c>
      <c r="AH733" s="26" t="inlineStr">
        <is>
          <t>Le curriculum de la formation se trouve sur Internet : http://www.polytech.univ-cotedazur.fr/ Frais d'inscription : Etudiants français ou d'un pays de l'union européenne, de l'espace économique européen ou de la Suisse :</t>
        </is>
      </c>
      <c r="AI733" s="28" t="inlineStr">
        <is>
          <t>Open in EEF</t>
        </is>
      </c>
    </row>
    <row r="734" ht="43.25" customHeight="1" s="19">
      <c r="A734" s="25" t="n">
        <v>733</v>
      </c>
      <c r="B734" s="25" t="inlineStr">
        <is>
          <t>★★★☆☆</t>
        </is>
      </c>
      <c r="C734" s="25" t="inlineStr">
        <is>
          <t>3 – Adjacent (AI/data/CS/cyber/energy)</t>
        </is>
      </c>
      <c r="D734" s="25" t="inlineStr">
        <is>
          <t>Computer science / Software</t>
        </is>
      </c>
      <c r="E734" s="26" t="inlineStr">
        <is>
          <t>diplôme d'ingénieur de l'Institut national des sciences appliquées de Lyon spécialité informatique</t>
        </is>
      </c>
      <c r="F734" s="26" t="inlineStr">
        <is>
          <t>Engineering diploma of INSA of Lyon – specialisation: Computer Science</t>
        </is>
      </c>
      <c r="G734" s="25" t="inlineStr">
        <is>
          <t>Diplôme d'ingénieur</t>
        </is>
      </c>
      <c r="H734" s="25" t="inlineStr">
        <is>
          <t>Institut national des sciences appliquées de Lyon</t>
        </is>
      </c>
      <c r="I734" s="25" t="n"/>
      <c r="J734" s="25" t="inlineStr">
        <is>
          <t>Site de Villeurbanne</t>
        </is>
      </c>
      <c r="K734" s="25" t="n"/>
      <c r="L734" s="25" t="inlineStr">
        <is>
          <t>Public school / institute</t>
        </is>
      </c>
      <c r="M734" s="25" t="inlineStr">
        <is>
          <t>French</t>
        </is>
      </c>
      <c r="N734" s="25" t="inlineStr">
        <is>
          <t>General</t>
        </is>
      </c>
      <c r="O734" s="25" t="inlineStr">
        <is>
          <t>Bac +3 / Bac +4</t>
        </is>
      </c>
      <c r="P734" s="26" t="inlineStr">
        <is>
          <t>Eligible on level (4-yr BS ≈ Bac+4)</t>
        </is>
      </c>
      <c r="Q734" s="25" t="inlineStr">
        <is>
          <t>3/4</t>
        </is>
      </c>
      <c r="R734" s="25" t="inlineStr">
        <is>
          <t>12</t>
        </is>
      </c>
      <c r="S734" s="27" t="n">
        <v>3941</v>
      </c>
      <c r="T734" s="27" t="n"/>
      <c r="U734" s="25" t="n">
        <v>2</v>
      </c>
      <c r="V734" s="27">
        <f>IF(S734="","",S734*U734)</f>
        <v/>
      </c>
      <c r="W734" s="26" t="inlineStr">
        <is>
          <t>Catalogue fee €3,941/yr (entered by institution).</t>
        </is>
      </c>
      <c r="X734" s="25" t="inlineStr">
        <is>
          <t>High</t>
        </is>
      </c>
      <c r="Y734" s="25" t="inlineStr">
        <is>
          <t>3941</t>
        </is>
      </c>
      <c r="Z734" s="26" t="inlineStr">
        <is>
          <t>sa-en-3e-annee Période de candidature: 19/01/2026 au 19/03/2026 Droits de candidature 105 euros (candidats boursiers exonérés) C1 français requis … on de l'arrêté ministériel) : - pour les étudiants nationaux et intra-co</t>
        </is>
      </c>
      <c r="AA734" s="26" t="n"/>
      <c r="AB734" s="25" t="n"/>
      <c r="AC734" s="25" t="inlineStr">
        <is>
          <t>Open</t>
        </is>
      </c>
      <c r="AD734" s="25" t="inlineStr">
        <is>
          <t>2026-10-01</t>
        </is>
      </c>
      <c r="AE734" s="25" t="inlineStr">
        <is>
          <t>2027-03-15</t>
        </is>
      </c>
      <c r="AF734" s="25" t="inlineStr">
        <is>
          <t>Yes</t>
        </is>
      </c>
      <c r="AG734" s="28" t="inlineStr">
        <is>
          <t>https://www.insa-lyon.fr/fr/formation/</t>
        </is>
      </c>
      <c r="AH734" s="26" t="inlineStr">
        <is>
          <t>La spécialité du diplôme n'est accessible qu'en troisième et quatrième année du cycle d'ingénieur. Le Département Informatique, créé en 1969, forme des ingénieurs à caractère généraliste et multi-métiers. Le devenir de n</t>
        </is>
      </c>
      <c r="AI734" s="28" t="inlineStr">
        <is>
          <t>Open in EEF</t>
        </is>
      </c>
    </row>
    <row r="735" ht="43.25" customHeight="1" s="19">
      <c r="A735" s="25" t="n">
        <v>734</v>
      </c>
      <c r="B735" s="25" t="inlineStr">
        <is>
          <t>★★★☆☆</t>
        </is>
      </c>
      <c r="C735" s="25" t="inlineStr">
        <is>
          <t>3 – Adjacent (AI/data/CS/cyber/energy)</t>
        </is>
      </c>
      <c r="D735" s="25" t="inlineStr">
        <is>
          <t>Cybersecurity</t>
        </is>
      </c>
      <c r="E735" s="26" t="inlineStr">
        <is>
          <t>diplôme d'ingénieur de l'Institut National des Sciences Appliquées Hauts-de-France Informatique et Cyber Sécurité (ICY)</t>
        </is>
      </c>
      <c r="F735" s="26" t="inlineStr">
        <is>
          <t>Engineering diploma of INSA Hauts-de-France Computer Science &amp; Cyber Security (ICY)</t>
        </is>
      </c>
      <c r="G735" s="25" t="inlineStr">
        <is>
          <t>Diplôme d'ingénieur</t>
        </is>
      </c>
      <c r="H735" s="25" t="inlineStr">
        <is>
          <t>INSA HAUTS-DE-FRANCE</t>
        </is>
      </c>
      <c r="I735" s="25" t="inlineStr">
        <is>
          <t>Université polytechnique Hauts-de-France (UPHF)</t>
        </is>
      </c>
      <c r="J735" s="25" t="inlineStr">
        <is>
          <t>Site de Valenciennes</t>
        </is>
      </c>
      <c r="K735" s="25" t="n"/>
      <c r="L735" s="25" t="inlineStr">
        <is>
          <t>Public school / institute</t>
        </is>
      </c>
      <c r="M735" s="25" t="inlineStr">
        <is>
          <t>French</t>
        </is>
      </c>
      <c r="N735" s="25" t="inlineStr">
        <is>
          <t>General</t>
        </is>
      </c>
      <c r="O735" s="25" t="inlineStr">
        <is>
          <t>Bac +3 / Bac +4</t>
        </is>
      </c>
      <c r="P735" s="26" t="inlineStr">
        <is>
          <t>Eligible on level (4-yr BS ≈ Bac+4)</t>
        </is>
      </c>
      <c r="Q735" s="25" t="inlineStr">
        <is>
          <t>3/4</t>
        </is>
      </c>
      <c r="R735" s="25" t="n"/>
      <c r="S735" s="27" t="n">
        <v>3941</v>
      </c>
      <c r="T735" s="27" t="n"/>
      <c r="U735" s="25" t="n">
        <v>2</v>
      </c>
      <c r="V735" s="27">
        <f>IF(S735="","",S735*U735)</f>
        <v/>
      </c>
      <c r="W735" s="26" t="inlineStr">
        <is>
          <t>Catalogue fee €3,941/yr (entered by institution).</t>
        </is>
      </c>
      <c r="X735" s="25" t="inlineStr">
        <is>
          <t>High</t>
        </is>
      </c>
      <c r="Y735" s="25" t="inlineStr">
        <is>
          <t>3941</t>
        </is>
      </c>
      <c r="Z735" s="26" t="inlineStr">
        <is>
          <t>te du groupe INSA sont assujetties à des frais de dossier obligatoires qui s’élèvent à 105€ … TUDIEE QUE SI CES DEUX DEMARCHES SONT EFFECTUEES Frais à prévoir : Frais de dossier : 105 € , non remboursables même en cas de</t>
        </is>
      </c>
      <c r="AA735" s="26" t="n"/>
      <c r="AB735" s="25" t="n"/>
      <c r="AC735" s="25" t="inlineStr">
        <is>
          <t>Open</t>
        </is>
      </c>
      <c r="AD735" s="25" t="inlineStr">
        <is>
          <t>2026-10-01</t>
        </is>
      </c>
      <c r="AE735" s="25" t="inlineStr">
        <is>
          <t>2027-03-15</t>
        </is>
      </c>
      <c r="AF735" s="25" t="inlineStr">
        <is>
          <t>Yes</t>
        </is>
      </c>
      <c r="AG735" s="28" t="inlineStr">
        <is>
          <t>https://www.insa-hautsdefrance.fr/formation-ingenieurs</t>
        </is>
      </c>
      <c r="AH735" s="26" t="inlineStr">
        <is>
          <t>Entrée en année 3 : Etre titulaire d'un diplôme à BAC+2 dans une spécialité compatible Entrée en année 4 : Etre titulaire d'un diplôme à BAC+4 dans une spécialité compatible Niveau certifié en langues : - C1 en français</t>
        </is>
      </c>
      <c r="AI735" s="28" t="inlineStr">
        <is>
          <t>Open in EEF</t>
        </is>
      </c>
    </row>
    <row r="736" ht="43.25" customHeight="1" s="19">
      <c r="A736" s="25" t="n">
        <v>735</v>
      </c>
      <c r="B736" s="25" t="inlineStr">
        <is>
          <t>★★★☆☆</t>
        </is>
      </c>
      <c r="C736" s="25" t="inlineStr">
        <is>
          <t>3 – Adjacent (AI/data/CS/cyber/energy)</t>
        </is>
      </c>
      <c r="D736" s="25" t="inlineStr">
        <is>
          <t>Bioinformatics</t>
        </is>
      </c>
      <c r="E736" s="26" t="inlineStr">
        <is>
          <t>spécialité diplôme d'ingénieur de l'Institut national des sciences appliquées de Lyon parcours Biotechnologies et Bioinformatique</t>
        </is>
      </c>
      <c r="F736" s="26" t="inlineStr">
        <is>
          <t>specialisation: Engineering diploma of INSA of Lyon – track: Biotechnologies &amp; Bioinformatics</t>
        </is>
      </c>
      <c r="G736" s="25" t="inlineStr">
        <is>
          <t>Diplôme d'ingénieur</t>
        </is>
      </c>
      <c r="H736" s="25" t="inlineStr">
        <is>
          <t>Institut national des sciences appliquées de Lyon</t>
        </is>
      </c>
      <c r="I736" s="25" t="n"/>
      <c r="J736" s="25" t="inlineStr">
        <is>
          <t>Site de Villeurbanne</t>
        </is>
      </c>
      <c r="K736" s="25" t="n"/>
      <c r="L736" s="25" t="inlineStr">
        <is>
          <t>Public school / institute</t>
        </is>
      </c>
      <c r="M736" s="25" t="inlineStr">
        <is>
          <t>French</t>
        </is>
      </c>
      <c r="N736" s="25" t="inlineStr">
        <is>
          <t>General</t>
        </is>
      </c>
      <c r="O736" s="25" t="inlineStr">
        <is>
          <t>Bac +3 / Bac +4</t>
        </is>
      </c>
      <c r="P736" s="26" t="inlineStr">
        <is>
          <t>Eligible on level (4-yr BS ≈ Bac+4)</t>
        </is>
      </c>
      <c r="Q736" s="25" t="inlineStr">
        <is>
          <t>3/4</t>
        </is>
      </c>
      <c r="R736" s="25" t="inlineStr">
        <is>
          <t>12</t>
        </is>
      </c>
      <c r="S736" s="27" t="n">
        <v>3941</v>
      </c>
      <c r="T736" s="27" t="n"/>
      <c r="U736" s="25" t="n">
        <v>2</v>
      </c>
      <c r="V736" s="27">
        <f>IF(S736="","",S736*U736)</f>
        <v/>
      </c>
      <c r="W736" s="26" t="inlineStr">
        <is>
          <t>Catalogue fee €3,941/yr (entered by institution).</t>
        </is>
      </c>
      <c r="X736" s="25" t="inlineStr">
        <is>
          <t>High</t>
        </is>
      </c>
      <c r="Y736" s="25" t="inlineStr">
        <is>
          <t>3941</t>
        </is>
      </c>
      <c r="Z736" s="26" t="inlineStr">
        <is>
          <t>sa-en-3e-annee Période de candidature: 19/01/2026 au 19/03/2026 Droits de candidature 105 euros (candidats boursiers exonérés) C1 français requis … on de l'arrêté ministériel) : - pour les étudiants nationaux et intra-co</t>
        </is>
      </c>
      <c r="AA736" s="26" t="n"/>
      <c r="AB736" s="25" t="n"/>
      <c r="AC736" s="25" t="inlineStr">
        <is>
          <t>Open</t>
        </is>
      </c>
      <c r="AD736" s="25" t="inlineStr">
        <is>
          <t>2026-10-01</t>
        </is>
      </c>
      <c r="AE736" s="25" t="inlineStr">
        <is>
          <t>2027-03-15</t>
        </is>
      </c>
      <c r="AF736" s="25" t="inlineStr">
        <is>
          <t>Yes</t>
        </is>
      </c>
      <c r="AG736" s="28" t="inlineStr">
        <is>
          <t>https://www.insa-lyon.fr/fr/formation/</t>
        </is>
      </c>
      <c r="AH736" s="26" t="inlineStr">
        <is>
          <t>La spécialité du diplôme n'est accessible qu'en troisième et quatrième année du cycle d'ingénieur. Le département Biotechnologies et Bioinformatique forme des ingénieurs pluridisciplinaires, gestionnaires de projets, pré</t>
        </is>
      </c>
      <c r="AI736" s="28" t="inlineStr">
        <is>
          <t>Open in EEF</t>
        </is>
      </c>
    </row>
    <row r="737" ht="32.8" customHeight="1" s="19">
      <c r="A737" s="25" t="n">
        <v>736</v>
      </c>
      <c r="B737" s="25" t="inlineStr">
        <is>
          <t>★★★☆☆</t>
        </is>
      </c>
      <c r="C737" s="25" t="inlineStr">
        <is>
          <t>3 – Adjacent (AI/data/CS/cyber/energy)</t>
        </is>
      </c>
      <c r="D737" s="25" t="inlineStr">
        <is>
          <t>Computer science / Software</t>
        </is>
      </c>
      <c r="E737" s="26" t="inlineStr">
        <is>
          <t>diplôme d'ingénieur de l'Ecole polytechnique de l'université Grenoble Alpes spécialité informatique</t>
        </is>
      </c>
      <c r="F737" s="26" t="inlineStr">
        <is>
          <t>Engineering diploma of School polytechnique of University Grenoble Alpes – specialisation: Computer Science</t>
        </is>
      </c>
      <c r="G737" s="25" t="inlineStr">
        <is>
          <t>Diplôme d'ingénieur</t>
        </is>
      </c>
      <c r="H737" s="25" t="inlineStr">
        <is>
          <t>Polytech Grenoble</t>
        </is>
      </c>
      <c r="I737" s="25" t="inlineStr">
        <is>
          <t>Groupement Polytech</t>
        </is>
      </c>
      <c r="J737" s="25" t="inlineStr">
        <is>
          <t>Site de Grenoble</t>
        </is>
      </c>
      <c r="K737" s="25" t="n"/>
      <c r="L737" s="25" t="inlineStr">
        <is>
          <t>Public school / institute</t>
        </is>
      </c>
      <c r="M737" s="25" t="inlineStr">
        <is>
          <t>French</t>
        </is>
      </c>
      <c r="N737" s="25" t="inlineStr">
        <is>
          <t>General</t>
        </is>
      </c>
      <c r="O737" s="25" t="inlineStr">
        <is>
          <t>Bac +3 / Bac +4</t>
        </is>
      </c>
      <c r="P737" s="26" t="inlineStr">
        <is>
          <t>Eligible on level (4-yr BS ≈ Bac+4)</t>
        </is>
      </c>
      <c r="Q737" s="25" t="inlineStr">
        <is>
          <t>3/4</t>
        </is>
      </c>
      <c r="R737" s="25" t="inlineStr">
        <is>
          <t>12</t>
        </is>
      </c>
      <c r="S737" s="27" t="n">
        <v>3950</v>
      </c>
      <c r="T737" s="27" t="n"/>
      <c r="U737" s="25" t="n">
        <v>2</v>
      </c>
      <c r="V737" s="27">
        <f>IF(S737="","",S737*U737)</f>
        <v/>
      </c>
      <c r="W737" s="26" t="inlineStr">
        <is>
          <t>Catalogue fee €3,950/yr (entered by institution).</t>
        </is>
      </c>
      <c r="X737" s="25" t="inlineStr">
        <is>
          <t>High</t>
        </is>
      </c>
      <c r="Y737" s="25" t="inlineStr">
        <is>
          <t>3950</t>
        </is>
      </c>
      <c r="Z737" s="26" t="n"/>
      <c r="AA737" s="26" t="inlineStr">
        <is>
          <t>UGA (incl. Grenoble INP masters): 2026-27 broad exemptions on request (pay national €254). From 2027-28 the decree caps apply; exemptions based on resources.</t>
        </is>
      </c>
      <c r="AB737" s="28" t="inlineStr">
        <is>
          <t>https://www.univ-grenoble-alpes.fr/actualites/a-la-une/actualites-universite/etudiants-internationaux-ce-que-change-le-nouveau-decret-sur-les-droits-d-inscription-a-l-uga-1775870.kjsp</t>
        </is>
      </c>
      <c r="AC737" s="25" t="inlineStr">
        <is>
          <t>Open</t>
        </is>
      </c>
      <c r="AD737" s="25" t="inlineStr">
        <is>
          <t>2026-10-01</t>
        </is>
      </c>
      <c r="AE737" s="25" t="inlineStr">
        <is>
          <t>2027-03-15</t>
        </is>
      </c>
      <c r="AF737" s="25" t="inlineStr">
        <is>
          <t>Yes</t>
        </is>
      </c>
      <c r="AG737" s="28" t="inlineStr">
        <is>
          <t>https://polytech.grenoble-inp.fr/</t>
        </is>
      </c>
      <c r="AH737" s="26" t="inlineStr">
        <is>
          <t>Les informations qui suivent, concernent la candidature en cycle ingénieur (diplôme niveau Bac+5) du réseau Polytech. Les candidatures possibles - en 3ème année (1ère année cycle ingénieur) avec un niveau Bac+2/Bac+3 . -</t>
        </is>
      </c>
      <c r="AI737" s="28" t="inlineStr">
        <is>
          <t>Open in EEF</t>
        </is>
      </c>
    </row>
    <row r="738" ht="32.8" customHeight="1" s="19">
      <c r="A738" s="25" t="n">
        <v>737</v>
      </c>
      <c r="B738" s="25" t="inlineStr">
        <is>
          <t>★★★☆☆</t>
        </is>
      </c>
      <c r="C738" s="25" t="inlineStr">
        <is>
          <t>3 – Adjacent (AI/data/CS/cyber/energy)</t>
        </is>
      </c>
      <c r="D738" s="25" t="inlineStr">
        <is>
          <t>Computer science / Software</t>
        </is>
      </c>
      <c r="E738" s="26" t="inlineStr">
        <is>
          <t>diplôme d'ingénieur de l'Ecole polytechnique de l'université Grenoble Alpes spécialité technologies de l'information pour la santé</t>
        </is>
      </c>
      <c r="F738" s="26" t="inlineStr">
        <is>
          <t>Engineering diploma of School polytechnique of University Grenoble Alpes – specialisation: Technologies of Information for the Health</t>
        </is>
      </c>
      <c r="G738" s="25" t="inlineStr">
        <is>
          <t>Diplôme d'ingénieur</t>
        </is>
      </c>
      <c r="H738" s="25" t="inlineStr">
        <is>
          <t>Polytech Grenoble</t>
        </is>
      </c>
      <c r="I738" s="25" t="inlineStr">
        <is>
          <t>Groupement Polytech</t>
        </is>
      </c>
      <c r="J738" s="25" t="inlineStr">
        <is>
          <t>Site de Grenoble</t>
        </is>
      </c>
      <c r="K738" s="25" t="n"/>
      <c r="L738" s="25" t="inlineStr">
        <is>
          <t>Public school / institute</t>
        </is>
      </c>
      <c r="M738" s="25" t="inlineStr">
        <is>
          <t>French</t>
        </is>
      </c>
      <c r="N738" s="25" t="inlineStr">
        <is>
          <t>General</t>
        </is>
      </c>
      <c r="O738" s="25" t="inlineStr">
        <is>
          <t>Bac +3 / Bac +4</t>
        </is>
      </c>
      <c r="P738" s="26" t="inlineStr">
        <is>
          <t>Eligible on level (4-yr BS ≈ Bac+4)</t>
        </is>
      </c>
      <c r="Q738" s="25" t="inlineStr">
        <is>
          <t>3/4</t>
        </is>
      </c>
      <c r="R738" s="25" t="inlineStr">
        <is>
          <t>12</t>
        </is>
      </c>
      <c r="S738" s="27" t="n">
        <v>3950</v>
      </c>
      <c r="T738" s="27" t="n"/>
      <c r="U738" s="25" t="n">
        <v>2</v>
      </c>
      <c r="V738" s="27">
        <f>IF(S738="","",S738*U738)</f>
        <v/>
      </c>
      <c r="W738" s="26" t="inlineStr">
        <is>
          <t>Catalogue fee €3,950/yr (entered by institution).</t>
        </is>
      </c>
      <c r="X738" s="25" t="inlineStr">
        <is>
          <t>High</t>
        </is>
      </c>
      <c r="Y738" s="25" t="inlineStr">
        <is>
          <t>3950</t>
        </is>
      </c>
      <c r="Z738" s="26" t="n"/>
      <c r="AA738" s="26" t="inlineStr">
        <is>
          <t>UGA (incl. Grenoble INP masters): 2026-27 broad exemptions on request (pay national €254). From 2027-28 the decree caps apply; exemptions based on resources.</t>
        </is>
      </c>
      <c r="AB738" s="28" t="inlineStr">
        <is>
          <t>https://www.univ-grenoble-alpes.fr/actualites/a-la-une/actualites-universite/etudiants-internationaux-ce-que-change-le-nouveau-decret-sur-les-droits-d-inscription-a-l-uga-1775870.kjsp</t>
        </is>
      </c>
      <c r="AC738" s="25" t="inlineStr">
        <is>
          <t>Open</t>
        </is>
      </c>
      <c r="AD738" s="25" t="inlineStr">
        <is>
          <t>2026-10-01</t>
        </is>
      </c>
      <c r="AE738" s="25" t="inlineStr">
        <is>
          <t>2027-03-15</t>
        </is>
      </c>
      <c r="AF738" s="25" t="inlineStr">
        <is>
          <t>Yes</t>
        </is>
      </c>
      <c r="AG738" s="28" t="inlineStr">
        <is>
          <t>https://polytech.grenoble-inp.fr/</t>
        </is>
      </c>
      <c r="AH738" s="26" t="inlineStr">
        <is>
          <t>Les informations qui suivent, concernent la candidature en cycle ingénieur (diplôme niveau Bac+5) du réseau Polytech. Les candidatures possibles - en 3ème année (1ère année cycle ingénieur) avec un niveau Bac+2/Bac+3 . -</t>
        </is>
      </c>
      <c r="AI738" s="28" t="inlineStr">
        <is>
          <t>Open in EEF</t>
        </is>
      </c>
    </row>
    <row r="739" ht="32.8" customHeight="1" s="19">
      <c r="A739" s="25" t="n">
        <v>738</v>
      </c>
      <c r="B739" s="25" t="inlineStr">
        <is>
          <t>★★★☆☆</t>
        </is>
      </c>
      <c r="C739" s="25" t="inlineStr">
        <is>
          <t>3 – Adjacent (AI/data/CS/cyber/energy)</t>
        </is>
      </c>
      <c r="D739" s="25" t="inlineStr">
        <is>
          <t>Computer science / Software</t>
        </is>
      </c>
      <c r="E739" s="26" t="inlineStr">
        <is>
          <t>diplôme d'ingénieur de l'École polytechnique universitaire de l'Université Lyon I spécialité informatique</t>
        </is>
      </c>
      <c r="F739" s="26" t="inlineStr">
        <is>
          <t>Engineering diploma of the University Polytechnic School of University Lyon I – specialisation: Computer Science</t>
        </is>
      </c>
      <c r="G739" s="25" t="inlineStr">
        <is>
          <t>Diplôme d'ingénieur</t>
        </is>
      </c>
      <c r="H739" s="25" t="inlineStr">
        <is>
          <t>Polytech Lyon</t>
        </is>
      </c>
      <c r="I739" s="25" t="inlineStr">
        <is>
          <t>Groupement Polytech</t>
        </is>
      </c>
      <c r="J739" s="25" t="inlineStr">
        <is>
          <t>Site de Villeurbanne</t>
        </is>
      </c>
      <c r="K739" s="25" t="n"/>
      <c r="L739" s="25" t="inlineStr">
        <is>
          <t>Public school / institute</t>
        </is>
      </c>
      <c r="M739" s="25" t="inlineStr">
        <is>
          <t>French</t>
        </is>
      </c>
      <c r="N739" s="25" t="inlineStr">
        <is>
          <t>General</t>
        </is>
      </c>
      <c r="O739" s="25" t="inlineStr">
        <is>
          <t>Bac +3 / Bac +4</t>
        </is>
      </c>
      <c r="P739" s="26" t="inlineStr">
        <is>
          <t>Eligible on level (4-yr BS ≈ Bac+4)</t>
        </is>
      </c>
      <c r="Q739" s="25" t="inlineStr">
        <is>
          <t>3/4</t>
        </is>
      </c>
      <c r="R739" s="25" t="inlineStr">
        <is>
          <t>12</t>
        </is>
      </c>
      <c r="S739" s="27" t="n">
        <v>3950</v>
      </c>
      <c r="T739" s="27" t="n"/>
      <c r="U739" s="25" t="n">
        <v>2</v>
      </c>
      <c r="V739" s="27">
        <f>IF(S739="","",S739*U739)</f>
        <v/>
      </c>
      <c r="W739" s="26" t="inlineStr">
        <is>
          <t>Catalogue fee €3,950/yr (entered by institution).</t>
        </is>
      </c>
      <c r="X739" s="25" t="inlineStr">
        <is>
          <t>High</t>
        </is>
      </c>
      <c r="Y739" s="25" t="inlineStr">
        <is>
          <t>3950</t>
        </is>
      </c>
      <c r="Z739" s="26" t="n"/>
      <c r="AA739" s="26" t="n"/>
      <c r="AB739" s="25" t="n"/>
      <c r="AC739" s="25" t="inlineStr">
        <is>
          <t>Open</t>
        </is>
      </c>
      <c r="AD739" s="25" t="inlineStr">
        <is>
          <t>2026-10-01</t>
        </is>
      </c>
      <c r="AE739" s="25" t="inlineStr">
        <is>
          <t>2027-03-15</t>
        </is>
      </c>
      <c r="AF739" s="25" t="inlineStr">
        <is>
          <t>Yes</t>
        </is>
      </c>
      <c r="AG739" s="28" t="inlineStr">
        <is>
          <t>http://polytech.univ-lyon1.fr</t>
        </is>
      </c>
      <c r="AH739" s="26" t="inlineStr">
        <is>
          <t>Les informations qui suivent, concernent la candidature en cycle ingénieur (diplôme niveau Bac+5 ) du réseau Polytech. Les candidatures sont possibles : - en 3ème année (1ère année cycle ingénieur) avec un niveau Bac+2/B</t>
        </is>
      </c>
      <c r="AI739" s="28" t="inlineStr">
        <is>
          <t>Open in EEF</t>
        </is>
      </c>
    </row>
    <row r="740" ht="32.8" customHeight="1" s="19">
      <c r="A740" s="25" t="n">
        <v>739</v>
      </c>
      <c r="B740" s="25" t="inlineStr">
        <is>
          <t>★★★☆☆</t>
        </is>
      </c>
      <c r="C740" s="25" t="inlineStr">
        <is>
          <t>3 – Adjacent (AI/data/CS/cyber/energy)</t>
        </is>
      </c>
      <c r="D740" s="25" t="inlineStr">
        <is>
          <t>Other engineering / maths</t>
        </is>
      </c>
      <c r="E740" s="26" t="inlineStr">
        <is>
          <t>diplôme d'ingénieur de l'École polytechnique universitaire de l'Université Lyon I spécialité mathématiques appliquées et modélisation</t>
        </is>
      </c>
      <c r="F740" s="26" t="inlineStr">
        <is>
          <t>Engineering diploma of the University Polytechnic School of University Lyon I – specialisation: Applied Mathematics &amp; Modelling</t>
        </is>
      </c>
      <c r="G740" s="25" t="inlineStr">
        <is>
          <t>Diplôme d'ingénieur</t>
        </is>
      </c>
      <c r="H740" s="25" t="inlineStr">
        <is>
          <t>Polytech Lyon</t>
        </is>
      </c>
      <c r="I740" s="25" t="inlineStr">
        <is>
          <t>Groupement Polytech</t>
        </is>
      </c>
      <c r="J740" s="25" t="inlineStr">
        <is>
          <t>Site de Villeurbanne</t>
        </is>
      </c>
      <c r="K740" s="25" t="n"/>
      <c r="L740" s="25" t="inlineStr">
        <is>
          <t>Public school / institute</t>
        </is>
      </c>
      <c r="M740" s="25" t="inlineStr">
        <is>
          <t>French</t>
        </is>
      </c>
      <c r="N740" s="25" t="inlineStr">
        <is>
          <t>General</t>
        </is>
      </c>
      <c r="O740" s="25" t="inlineStr">
        <is>
          <t>Bac +3 / Bac +4</t>
        </is>
      </c>
      <c r="P740" s="26" t="inlineStr">
        <is>
          <t>Eligible on level (4-yr BS ≈ Bac+4)</t>
        </is>
      </c>
      <c r="Q740" s="25" t="inlineStr">
        <is>
          <t>3/4</t>
        </is>
      </c>
      <c r="R740" s="25" t="n"/>
      <c r="S740" s="27" t="n">
        <v>3950</v>
      </c>
      <c r="T740" s="27" t="n"/>
      <c r="U740" s="25" t="n">
        <v>2</v>
      </c>
      <c r="V740" s="27">
        <f>IF(S740="","",S740*U740)</f>
        <v/>
      </c>
      <c r="W740" s="26" t="inlineStr">
        <is>
          <t>Catalogue fee €3,950/yr (entered by institution).</t>
        </is>
      </c>
      <c r="X740" s="25" t="inlineStr">
        <is>
          <t>High</t>
        </is>
      </c>
      <c r="Y740" s="25" t="inlineStr">
        <is>
          <t>3950</t>
        </is>
      </c>
      <c r="Z740" s="26" t="n"/>
      <c r="AA740" s="26" t="n"/>
      <c r="AB740" s="25" t="n"/>
      <c r="AC740" s="25" t="inlineStr">
        <is>
          <t>Open</t>
        </is>
      </c>
      <c r="AD740" s="25" t="inlineStr">
        <is>
          <t>2026-10-01</t>
        </is>
      </c>
      <c r="AE740" s="25" t="inlineStr">
        <is>
          <t>2027-03-15</t>
        </is>
      </c>
      <c r="AF740" s="25" t="inlineStr">
        <is>
          <t>Yes</t>
        </is>
      </c>
      <c r="AG740" s="28" t="inlineStr">
        <is>
          <t>http://polytech.univ-lyon1.fr</t>
        </is>
      </c>
      <c r="AH740" s="26" t="inlineStr">
        <is>
          <t>Les informations qui suivent, concernent la candidature en cycle ingénieur (diplôme niveau Bac+5 ) du réseau Polytech. Les candidatures sont possibles : - en 3ème année (1ère année cycle ingénieur) avec un niveau Bac+2/B</t>
        </is>
      </c>
      <c r="AI740" s="28" t="inlineStr">
        <is>
          <t>Open in EEF</t>
        </is>
      </c>
    </row>
    <row r="741" ht="43.25" customHeight="1" s="19">
      <c r="A741" s="25" t="n">
        <v>740</v>
      </c>
      <c r="B741" s="25" t="inlineStr">
        <is>
          <t>★★★☆☆</t>
        </is>
      </c>
      <c r="C741" s="25" t="inlineStr">
        <is>
          <t>3 – Adjacent (AI/data/CS/cyber/energy)</t>
        </is>
      </c>
      <c r="D741" s="25" t="inlineStr">
        <is>
          <t>Computer science / Software</t>
        </is>
      </c>
      <c r="E741" s="26" t="inlineStr">
        <is>
          <t>diplôme d'ingénieur de l'université de technologie de Belfort-Montbéliard spécialité informatique</t>
        </is>
      </c>
      <c r="F741" s="26" t="inlineStr">
        <is>
          <t>Engineering diploma of University of Technology of Belfort-Montbéliard – specialisation: Computer Science</t>
        </is>
      </c>
      <c r="G741" s="25" t="inlineStr">
        <is>
          <t>Diplôme d'ingénieur</t>
        </is>
      </c>
      <c r="H741" s="25" t="inlineStr">
        <is>
          <t>Université de technologie de Belfort-Montbéliard</t>
        </is>
      </c>
      <c r="I741" s="25" t="n"/>
      <c r="J741" s="25" t="inlineStr">
        <is>
          <t>Site de Belfort</t>
        </is>
      </c>
      <c r="K741" s="25" t="n"/>
      <c r="L741" s="25" t="inlineStr">
        <is>
          <t>Public university</t>
        </is>
      </c>
      <c r="M741" s="25" t="inlineStr">
        <is>
          <t>French</t>
        </is>
      </c>
      <c r="N741" s="25" t="inlineStr">
        <is>
          <t>General</t>
        </is>
      </c>
      <c r="O741" s="25" t="inlineStr">
        <is>
          <t>Bac +3 / Bac +4</t>
        </is>
      </c>
      <c r="P741" s="26" t="inlineStr">
        <is>
          <t>Eligible on level (4-yr BS ≈ Bac+4)</t>
        </is>
      </c>
      <c r="Q741" s="25" t="inlineStr">
        <is>
          <t>3/4</t>
        </is>
      </c>
      <c r="R741" s="25" t="n"/>
      <c r="S741" s="27" t="n">
        <v>3950</v>
      </c>
      <c r="T741" s="27" t="n"/>
      <c r="U741" s="25" t="n">
        <v>2</v>
      </c>
      <c r="V741" s="27">
        <f>IF(S741="","",S741*U741)</f>
        <v/>
      </c>
      <c r="W741" s="26" t="inlineStr">
        <is>
          <t>Catalogue fee €3,950/yr (entered by institution).</t>
        </is>
      </c>
      <c r="X741" s="25" t="inlineStr">
        <is>
          <t>High</t>
        </is>
      </c>
      <c r="Y741" s="25" t="inlineStr">
        <is>
          <t>3950</t>
        </is>
      </c>
      <c r="Z741" s="26" t="inlineStr">
        <is>
          <t>n différenciés, pour une année , appliqués à un étudiant extracommunautaire sont de 3 950 € pour une entrée en cycle ingénieur (coût 2026/202 … scription pour les étudiants extracommunautaires en cycle ingénieur ont été</t>
        </is>
      </c>
      <c r="AA741" s="26" t="n"/>
      <c r="AB741" s="25" t="n"/>
      <c r="AC741" s="25" t="inlineStr">
        <is>
          <t>Open</t>
        </is>
      </c>
      <c r="AD741" s="25" t="inlineStr">
        <is>
          <t>2026-10-01</t>
        </is>
      </c>
      <c r="AE741" s="25" t="inlineStr">
        <is>
          <t>2027-03-15</t>
        </is>
      </c>
      <c r="AF741" s="25" t="inlineStr">
        <is>
          <t>Yes</t>
        </is>
      </c>
      <c r="AG741" s="28" t="inlineStr">
        <is>
          <t>https://www.utbm.fr/formations/ingenieur/informatique/</t>
        </is>
      </c>
      <c r="AH741" s="26" t="inlineStr">
        <is>
          <t>Sélection sur dossier et entretien en visio Pour connaître la procédure d'admission : S'inscrire en formation d'ingénieur à l'UTBM | Université de Technologie | UTBM En parallèle de votre inscription auprès de Campus Fra</t>
        </is>
      </c>
      <c r="AI741" s="28" t="inlineStr">
        <is>
          <t>Open in EEF</t>
        </is>
      </c>
    </row>
    <row r="742" ht="32.8" customHeight="1" s="19">
      <c r="A742" s="25" t="n">
        <v>741</v>
      </c>
      <c r="B742" s="25" t="inlineStr">
        <is>
          <t>★★★☆☆</t>
        </is>
      </c>
      <c r="C742" s="25" t="inlineStr">
        <is>
          <t>3 – Adjacent (AI/data/CS/cyber/energy)</t>
        </is>
      </c>
      <c r="D742" s="25" t="inlineStr">
        <is>
          <t>Computer science / Software</t>
        </is>
      </c>
      <c r="E742" s="26" t="inlineStr">
        <is>
          <t>diplôme d'ingénieur de l'Institut national des sciences appliquées de Rouen spécialité Informatique et Technologies de l'Information</t>
        </is>
      </c>
      <c r="F742" s="26" t="inlineStr">
        <is>
          <t>Engineering diploma of INSA of Rouen – specialisation: Computer Science &amp; Technologies of Information</t>
        </is>
      </c>
      <c r="G742" s="25" t="inlineStr">
        <is>
          <t>Diplôme d'ingénieur</t>
        </is>
      </c>
      <c r="H742" s="25" t="inlineStr">
        <is>
          <t>Institut national des sciences appliquées de Rouen</t>
        </is>
      </c>
      <c r="I742" s="25" t="n"/>
      <c r="J742" s="25" t="inlineStr">
        <is>
          <t>Site de Saint-Etienne-du-Rouvray</t>
        </is>
      </c>
      <c r="K742" s="25" t="n"/>
      <c r="L742" s="25" t="inlineStr">
        <is>
          <t>Public school / institute</t>
        </is>
      </c>
      <c r="M742" s="25" t="inlineStr">
        <is>
          <t>French</t>
        </is>
      </c>
      <c r="N742" s="25" t="inlineStr">
        <is>
          <t>General</t>
        </is>
      </c>
      <c r="O742" s="25" t="inlineStr">
        <is>
          <t>Bac +3 / Bac +4</t>
        </is>
      </c>
      <c r="P742" s="26" t="inlineStr">
        <is>
          <t>Eligible on level (4-yr BS ≈ Bac+4)</t>
        </is>
      </c>
      <c r="Q742" s="25" t="inlineStr">
        <is>
          <t>3/4</t>
        </is>
      </c>
      <c r="R742" s="25" t="n"/>
      <c r="S742" s="27" t="n">
        <v>3951</v>
      </c>
      <c r="T742" s="27" t="n"/>
      <c r="U742" s="25" t="n">
        <v>2</v>
      </c>
      <c r="V742" s="27">
        <f>IF(S742="","",S742*U742)</f>
        <v/>
      </c>
      <c r="W742" s="26" t="inlineStr">
        <is>
          <t>Catalogue fee €3,951/yr (entered by institution).</t>
        </is>
      </c>
      <c r="X742" s="25" t="inlineStr">
        <is>
          <t>High</t>
        </is>
      </c>
      <c r="Y742" s="25" t="inlineStr">
        <is>
          <t>3951</t>
        </is>
      </c>
      <c r="Z742" s="26" t="n"/>
      <c r="AA742" s="26" t="n"/>
      <c r="AB742" s="25" t="n"/>
      <c r="AC742" s="25" t="inlineStr">
        <is>
          <t>Open</t>
        </is>
      </c>
      <c r="AD742" s="25" t="inlineStr">
        <is>
          <t>2026-10-01</t>
        </is>
      </c>
      <c r="AE742" s="25" t="inlineStr">
        <is>
          <t>2027-03-15</t>
        </is>
      </c>
      <c r="AF742" s="25" t="inlineStr">
        <is>
          <t>Yes</t>
        </is>
      </c>
      <c r="AG742" s="28" t="inlineStr">
        <is>
          <t>http://www.insa-rouen.fr</t>
        </is>
      </c>
      <c r="AH742" s="26" t="inlineStr">
        <is>
          <t>Le choix de la spécialité se fait à partir de la 3ème année uniquement. Les documents déposés sur ce site ne constituent pas le dossier de candidature pour le groupe INSA : Obligation de faire une procédure parallèle pou</t>
        </is>
      </c>
      <c r="AI742" s="28" t="inlineStr">
        <is>
          <t>Open in EEF</t>
        </is>
      </c>
    </row>
    <row r="743" ht="22.35" customHeight="1" s="19">
      <c r="A743" s="25" t="n">
        <v>742</v>
      </c>
      <c r="B743" s="25" t="inlineStr">
        <is>
          <t>★★★☆☆</t>
        </is>
      </c>
      <c r="C743" s="25" t="inlineStr">
        <is>
          <t>3 – Adjacent (AI/data/CS/cyber/energy)</t>
        </is>
      </c>
      <c r="D743" s="25" t="inlineStr">
        <is>
          <t>AI / Data science</t>
        </is>
      </c>
      <c r="E743" s="26" t="inlineStr">
        <is>
          <t>Master Sciences, technologies, santé mention bioinformatique et biostatistiques</t>
        </is>
      </c>
      <c r="F743" s="26" t="inlineStr">
        <is>
          <t>Master Science, Technology, Health (STS) – major: Bioinformatics &amp; Biostatistics</t>
        </is>
      </c>
      <c r="G743" s="25" t="inlineStr">
        <is>
          <t>Master indifférencié (recherche et professionnel)</t>
        </is>
      </c>
      <c r="H743" s="25" t="inlineStr">
        <is>
          <t>Ecole polytechnique</t>
        </is>
      </c>
      <c r="I743" s="25" t="n"/>
      <c r="J743" s="25" t="inlineStr">
        <is>
          <t>Site de Palaiseau</t>
        </is>
      </c>
      <c r="K743" s="25" t="n"/>
      <c r="L743" s="25" t="inlineStr">
        <is>
          <t>Public school / institute</t>
        </is>
      </c>
      <c r="M743" s="25" t="inlineStr">
        <is>
          <t>French</t>
        </is>
      </c>
      <c r="N743" s="25" t="inlineStr">
        <is>
          <t>General</t>
        </is>
      </c>
      <c r="O743" s="25" t="inlineStr">
        <is>
          <t>Bac +4</t>
        </is>
      </c>
      <c r="P743" s="26" t="inlineStr">
        <is>
          <t>Eligible on level (4-yr BS ≈ Bac+4)</t>
        </is>
      </c>
      <c r="Q743" s="25" t="inlineStr">
        <is>
          <t>1</t>
        </is>
      </c>
      <c r="R743" s="25" t="n"/>
      <c r="S743" s="27" t="n">
        <v>4317</v>
      </c>
      <c r="T743" s="27" t="n"/>
      <c r="U743" s="25" t="n">
        <v>2</v>
      </c>
      <c r="V743" s="27">
        <f>IF(S743="","",S743*U743)</f>
        <v/>
      </c>
      <c r="W743" s="26" t="inlineStr">
        <is>
          <t>Not in catalogue. IP Paris 2026-27: national master €4,317 non-EU (international-track masters €7,148).</t>
        </is>
      </c>
      <c r="X743" s="25" t="inlineStr">
        <is>
          <t>High</t>
        </is>
      </c>
      <c r="Y743" s="25" t="n"/>
      <c r="Z743" s="26" t="n"/>
      <c r="AA743" s="26" t="n"/>
      <c r="AB743" s="25" t="n"/>
      <c r="AC743" s="25" t="inlineStr">
        <is>
          <t>Open</t>
        </is>
      </c>
      <c r="AD743" s="25" t="inlineStr">
        <is>
          <t>2026-10-01</t>
        </is>
      </c>
      <c r="AE743" s="25" t="inlineStr">
        <is>
          <t>2027-03-15</t>
        </is>
      </c>
      <c r="AF743" s="25" t="inlineStr">
        <is>
          <t>No</t>
        </is>
      </c>
      <c r="AG743" s="28" t="inlineStr">
        <is>
          <t>https://portail.polytechnique.edu/bachelor/fr</t>
        </is>
      </c>
      <c r="AH743" s="26" t="n"/>
      <c r="AI743" s="28" t="inlineStr">
        <is>
          <t>Open in EEF</t>
        </is>
      </c>
    </row>
    <row r="744" ht="22.35" customHeight="1" s="19">
      <c r="A744" s="25" t="n">
        <v>743</v>
      </c>
      <c r="B744" s="25" t="inlineStr">
        <is>
          <t>★★★☆☆</t>
        </is>
      </c>
      <c r="C744" s="25" t="inlineStr">
        <is>
          <t>3 – Adjacent (AI/data/CS/cyber/energy)</t>
        </is>
      </c>
      <c r="D744" s="25" t="inlineStr">
        <is>
          <t>Computer science / Software</t>
        </is>
      </c>
      <c r="E744" s="26" t="inlineStr">
        <is>
          <t>Master Sciences, technologies, santé mention informatique</t>
        </is>
      </c>
      <c r="F744" s="26" t="inlineStr">
        <is>
          <t>Master Science, Technology, Health (STS) – major: Computer Science</t>
        </is>
      </c>
      <c r="G744" s="25" t="inlineStr">
        <is>
          <t>Master indifférencié (recherche et professionnel)</t>
        </is>
      </c>
      <c r="H744" s="25" t="inlineStr">
        <is>
          <t>Ecole nationale supérieure de techniques avancées</t>
        </is>
      </c>
      <c r="I744" s="25" t="n"/>
      <c r="J744" s="25" t="inlineStr">
        <is>
          <t>Site de Palaiseau</t>
        </is>
      </c>
      <c r="K744" s="25" t="n"/>
      <c r="L744" s="25" t="inlineStr">
        <is>
          <t>Public school / institute</t>
        </is>
      </c>
      <c r="M744" s="25" t="inlineStr">
        <is>
          <t>French</t>
        </is>
      </c>
      <c r="N744" s="25" t="inlineStr">
        <is>
          <t>General</t>
        </is>
      </c>
      <c r="O744" s="25" t="inlineStr">
        <is>
          <t>Bac +4</t>
        </is>
      </c>
      <c r="P744" s="26" t="inlineStr">
        <is>
          <t>Eligible on level (4-yr BS ≈ Bac+4)</t>
        </is>
      </c>
      <c r="Q744" s="25" t="inlineStr">
        <is>
          <t>1</t>
        </is>
      </c>
      <c r="R744" s="25" t="n"/>
      <c r="S744" s="27" t="n">
        <v>4317</v>
      </c>
      <c r="T744" s="27" t="n"/>
      <c r="U744" s="25" t="n">
        <v>2</v>
      </c>
      <c r="V744" s="27">
        <f>IF(S744="","",S744*U744)</f>
        <v/>
      </c>
      <c r="W744" s="26" t="inlineStr">
        <is>
          <t>Not in catalogue. IP Paris 2026-27: national master €4,317 non-EU (international-track masters €7,148).</t>
        </is>
      </c>
      <c r="X744" s="25" t="inlineStr">
        <is>
          <t>High</t>
        </is>
      </c>
      <c r="Y744" s="25" t="n"/>
      <c r="Z744" s="26" t="n"/>
      <c r="AA744" s="26" t="n"/>
      <c r="AB744" s="25" t="n"/>
      <c r="AC744" s="25" t="inlineStr">
        <is>
          <t>Closed</t>
        </is>
      </c>
      <c r="AD744" s="25" t="n"/>
      <c r="AE744" s="25" t="n"/>
      <c r="AF744" s="25" t="inlineStr">
        <is>
          <t>No</t>
        </is>
      </c>
      <c r="AG744" s="28" t="inlineStr">
        <is>
          <t>http://www.ensta-paristech.fr</t>
        </is>
      </c>
      <c r="AH744" s="26" t="n"/>
      <c r="AI744" s="28" t="inlineStr">
        <is>
          <t>Open in EEF</t>
        </is>
      </c>
    </row>
    <row r="745" ht="22.35" customHeight="1" s="19">
      <c r="A745" s="25" t="n">
        <v>744</v>
      </c>
      <c r="B745" s="25" t="inlineStr">
        <is>
          <t>★★★☆☆</t>
        </is>
      </c>
      <c r="C745" s="25" t="inlineStr">
        <is>
          <t>3 – Adjacent (AI/data/CS/cyber/energy)</t>
        </is>
      </c>
      <c r="D745" s="25" t="inlineStr">
        <is>
          <t>Computer science / Software</t>
        </is>
      </c>
      <c r="E745" s="26" t="inlineStr">
        <is>
          <t>Master Sciences, technologies, santé mention informatique</t>
        </is>
      </c>
      <c r="F745" s="26" t="inlineStr">
        <is>
          <t>Master Science, Technology, Health (STS) – major: Computer Science</t>
        </is>
      </c>
      <c r="G745" s="25" t="inlineStr">
        <is>
          <t>Master indifférencié (recherche et professionnel)</t>
        </is>
      </c>
      <c r="H745" s="25" t="inlineStr">
        <is>
          <t>Ecole polytechnique</t>
        </is>
      </c>
      <c r="I745" s="25" t="n"/>
      <c r="J745" s="25" t="inlineStr">
        <is>
          <t>Site de Palaiseau</t>
        </is>
      </c>
      <c r="K745" s="25" t="n"/>
      <c r="L745" s="25" t="inlineStr">
        <is>
          <t>Public school / institute</t>
        </is>
      </c>
      <c r="M745" s="25" t="inlineStr">
        <is>
          <t>French</t>
        </is>
      </c>
      <c r="N745" s="25" t="inlineStr">
        <is>
          <t>General</t>
        </is>
      </c>
      <c r="O745" s="25" t="inlineStr">
        <is>
          <t>Bac +4</t>
        </is>
      </c>
      <c r="P745" s="26" t="inlineStr">
        <is>
          <t>Eligible on level (4-yr BS ≈ Bac+4)</t>
        </is>
      </c>
      <c r="Q745" s="25" t="inlineStr">
        <is>
          <t>1</t>
        </is>
      </c>
      <c r="R745" s="25" t="n"/>
      <c r="S745" s="27" t="n">
        <v>4317</v>
      </c>
      <c r="T745" s="27" t="n"/>
      <c r="U745" s="25" t="n">
        <v>2</v>
      </c>
      <c r="V745" s="27">
        <f>IF(S745="","",S745*U745)</f>
        <v/>
      </c>
      <c r="W745" s="26" t="inlineStr">
        <is>
          <t>Not in catalogue. IP Paris 2026-27: national master €4,317 non-EU (international-track masters €7,148).</t>
        </is>
      </c>
      <c r="X745" s="25" t="inlineStr">
        <is>
          <t>High</t>
        </is>
      </c>
      <c r="Y745" s="25" t="n"/>
      <c r="Z745" s="26" t="n"/>
      <c r="AA745" s="26" t="n"/>
      <c r="AB745" s="25" t="n"/>
      <c r="AC745" s="25" t="inlineStr">
        <is>
          <t>Open</t>
        </is>
      </c>
      <c r="AD745" s="25" t="inlineStr">
        <is>
          <t>2026-10-01</t>
        </is>
      </c>
      <c r="AE745" s="25" t="inlineStr">
        <is>
          <t>2027-03-15</t>
        </is>
      </c>
      <c r="AF745" s="25" t="inlineStr">
        <is>
          <t>No</t>
        </is>
      </c>
      <c r="AG745" s="25" t="n"/>
      <c r="AH745" s="26" t="n"/>
      <c r="AI745" s="28" t="inlineStr">
        <is>
          <t>Open in EEF</t>
        </is>
      </c>
    </row>
    <row r="746" ht="22.35" customHeight="1" s="19">
      <c r="A746" s="25" t="n">
        <v>745</v>
      </c>
      <c r="B746" s="25" t="inlineStr">
        <is>
          <t>★★★☆☆</t>
        </is>
      </c>
      <c r="C746" s="25" t="inlineStr">
        <is>
          <t>3 – Adjacent (AI/data/CS/cyber/energy)</t>
        </is>
      </c>
      <c r="D746" s="25" t="inlineStr">
        <is>
          <t>Computer science / Software</t>
        </is>
      </c>
      <c r="E746" s="26" t="inlineStr">
        <is>
          <t>Master rech. Sciences, technologies, santé mention information, systèmes et technologie</t>
        </is>
      </c>
      <c r="F746" s="26" t="inlineStr">
        <is>
          <t>Research Master Science, Technology, Health (STS) – major: Information, Systems &amp; Technology</t>
        </is>
      </c>
      <c r="G746" s="25" t="inlineStr">
        <is>
          <t>Master recherche</t>
        </is>
      </c>
      <c r="H746" s="25" t="inlineStr">
        <is>
          <t>Ecole nationale supérieure de techniques avancées</t>
        </is>
      </c>
      <c r="I746" s="25" t="n"/>
      <c r="J746" s="25" t="inlineStr">
        <is>
          <t>Site de Palaiseau</t>
        </is>
      </c>
      <c r="K746" s="25" t="n"/>
      <c r="L746" s="25" t="inlineStr">
        <is>
          <t>Public school / institute</t>
        </is>
      </c>
      <c r="M746" s="25" t="inlineStr">
        <is>
          <t>French</t>
        </is>
      </c>
      <c r="N746" s="25" t="inlineStr">
        <is>
          <t>General</t>
        </is>
      </c>
      <c r="O746" s="25" t="inlineStr">
        <is>
          <t>Bac +4</t>
        </is>
      </c>
      <c r="P746" s="26" t="inlineStr">
        <is>
          <t>Eligible on level (4-yr BS ≈ Bac+4)</t>
        </is>
      </c>
      <c r="Q746" s="25" t="inlineStr">
        <is>
          <t>1</t>
        </is>
      </c>
      <c r="R746" s="25" t="n"/>
      <c r="S746" s="27" t="n">
        <v>4317</v>
      </c>
      <c r="T746" s="27" t="n"/>
      <c r="U746" s="25" t="n">
        <v>2</v>
      </c>
      <c r="V746" s="27">
        <f>IF(S746="","",S746*U746)</f>
        <v/>
      </c>
      <c r="W746" s="26" t="inlineStr">
        <is>
          <t>Not in catalogue. IP Paris 2026-27: national master €4,317 non-EU (international-track masters €7,148).</t>
        </is>
      </c>
      <c r="X746" s="25" t="inlineStr">
        <is>
          <t>High</t>
        </is>
      </c>
      <c r="Y746" s="25" t="n"/>
      <c r="Z746" s="26" t="n"/>
      <c r="AA746" s="26" t="n"/>
      <c r="AB746" s="25" t="n"/>
      <c r="AC746" s="25" t="inlineStr">
        <is>
          <t>Closed</t>
        </is>
      </c>
      <c r="AD746" s="25" t="n"/>
      <c r="AE746" s="25" t="n"/>
      <c r="AF746" s="25" t="inlineStr">
        <is>
          <t>No</t>
        </is>
      </c>
      <c r="AG746" s="28" t="inlineStr">
        <is>
          <t>http://www.ensta-paristech.fr</t>
        </is>
      </c>
      <c r="AH746" s="26" t="n"/>
      <c r="AI746" s="28" t="inlineStr">
        <is>
          <t>Open in EEF</t>
        </is>
      </c>
    </row>
    <row r="747" ht="22.35" customHeight="1" s="19">
      <c r="A747" s="25" t="n">
        <v>746</v>
      </c>
      <c r="B747" s="25" t="inlineStr">
        <is>
          <t>★★★☆☆</t>
        </is>
      </c>
      <c r="C747" s="25" t="inlineStr">
        <is>
          <t>3 – Adjacent (AI/data/CS/cyber/energy)</t>
        </is>
      </c>
      <c r="D747" s="25" t="inlineStr">
        <is>
          <t>Cybersecurity</t>
        </is>
      </c>
      <c r="E747" s="26" t="inlineStr">
        <is>
          <t>Mastère spécialisé© Sécurité Informatique</t>
        </is>
      </c>
      <c r="F747" s="26" t="inlineStr">
        <is>
          <t>Specialised Master (MS)© Computer Security</t>
        </is>
      </c>
      <c r="G747" s="25" t="inlineStr">
        <is>
          <t>Mastère spécialisé</t>
        </is>
      </c>
      <c r="H747" s="25" t="inlineStr">
        <is>
          <t>École nationale supérieure d'électrotechnique, d'électronique, d'informatique, d'hydraulique et des télécommunications</t>
        </is>
      </c>
      <c r="I747" s="25" t="inlineStr">
        <is>
          <t>Institut national polytechnique de Toulouse</t>
        </is>
      </c>
      <c r="J747" s="25" t="inlineStr">
        <is>
          <t>Site de Toulouse</t>
        </is>
      </c>
      <c r="K747" s="25" t="inlineStr">
        <is>
          <t>31071 Toulouse Cedex</t>
        </is>
      </c>
      <c r="L747" s="25" t="inlineStr">
        <is>
          <t>Public school / institute</t>
        </is>
      </c>
      <c r="M747" s="25" t="inlineStr">
        <is>
          <t>French</t>
        </is>
      </c>
      <c r="N747" s="25" t="inlineStr">
        <is>
          <t>General</t>
        </is>
      </c>
      <c r="O747" s="25" t="inlineStr">
        <is>
          <t>Bac +5</t>
        </is>
      </c>
      <c r="P747" s="26" t="inlineStr">
        <is>
          <t>Possible – MS rules allow Bac+4 + ≥3 yrs work experience (you have 3)</t>
        </is>
      </c>
      <c r="Q747" s="25" t="inlineStr">
        <is>
          <t>1</t>
        </is>
      </c>
      <c r="R747" s="25" t="inlineStr">
        <is>
          <t>12</t>
        </is>
      </c>
      <c r="S747" s="27" t="n">
        <v>4500</v>
      </c>
      <c r="T747" s="27" t="n"/>
      <c r="U747" s="25" t="n">
        <v>1</v>
      </c>
      <c r="V747" s="27">
        <f>IF(S747="","",S747*U747)</f>
        <v/>
      </c>
      <c r="W747" s="26" t="inlineStr">
        <is>
          <t>Catalogue fee €4,500/yr (entered by institution).</t>
        </is>
      </c>
      <c r="X747" s="25" t="inlineStr">
        <is>
          <t>High</t>
        </is>
      </c>
      <c r="Y747" s="25" t="inlineStr">
        <is>
          <t>4500</t>
        </is>
      </c>
      <c r="Z747" s="26" t="n"/>
      <c r="AA747" s="26" t="n"/>
      <c r="AB747" s="25" t="n"/>
      <c r="AC747" s="25" t="inlineStr">
        <is>
          <t>Open</t>
        </is>
      </c>
      <c r="AD747" s="25" t="inlineStr">
        <is>
          <t>2026-10-01</t>
        </is>
      </c>
      <c r="AE747" s="25" t="inlineStr">
        <is>
          <t>2027-03-15</t>
        </is>
      </c>
      <c r="AF747" s="25" t="inlineStr">
        <is>
          <t>Yes</t>
        </is>
      </c>
      <c r="AG747" s="28" t="inlineStr">
        <is>
          <t>http://www.enseeiht.fr</t>
        </is>
      </c>
      <c r="AH747" s="26" t="inlineStr">
        <is>
          <t>Niveau M2 (par dérogation M1)</t>
        </is>
      </c>
      <c r="AI747" s="28" t="inlineStr">
        <is>
          <t>Open in EEF</t>
        </is>
      </c>
    </row>
    <row r="748" ht="32.8" customHeight="1" s="19">
      <c r="A748" s="25" t="n">
        <v>747</v>
      </c>
      <c r="B748" s="25" t="inlineStr">
        <is>
          <t>★★★☆☆</t>
        </is>
      </c>
      <c r="C748" s="25" t="inlineStr">
        <is>
          <t>3 – Adjacent (AI/data/CS/cyber/energy)</t>
        </is>
      </c>
      <c r="D748" s="25" t="inlineStr">
        <is>
          <t>AI / Data science</t>
        </is>
      </c>
      <c r="E748" s="26" t="inlineStr">
        <is>
          <t>Master of Science (MSc) Data Science &amp; Artificial Intelligence</t>
        </is>
      </c>
      <c r="F748" s="26" t="inlineStr">
        <is>
          <t>Master of Science (MSc) Data Science &amp; Artificial Intelligence</t>
        </is>
      </c>
      <c r="G748" s="25" t="inlineStr">
        <is>
          <t>Master of Science (MSc)</t>
        </is>
      </c>
      <c r="H748" s="25" t="inlineStr">
        <is>
          <t>MSc</t>
        </is>
      </c>
      <c r="I748" s="25" t="inlineStr">
        <is>
          <t>Université Côte d'Azur</t>
        </is>
      </c>
      <c r="J748" s="25" t="inlineStr">
        <is>
          <t>UniCA</t>
        </is>
      </c>
      <c r="K748" s="25" t="inlineStr">
        <is>
          <t>06100 Nice cedex</t>
        </is>
      </c>
      <c r="L748" s="25" t="inlineStr">
        <is>
          <t>Public university</t>
        </is>
      </c>
      <c r="M748" s="25" t="inlineStr">
        <is>
          <t>English</t>
        </is>
      </c>
      <c r="N748" s="25" t="inlineStr">
        <is>
          <t>Taught in English</t>
        </is>
      </c>
      <c r="O748" s="25" t="inlineStr">
        <is>
          <t>Bac +3 / Bac +4</t>
        </is>
      </c>
      <c r="P748" s="26" t="inlineStr">
        <is>
          <t>Eligible on level (4-yr BS ≈ Bac+4)</t>
        </is>
      </c>
      <c r="Q748" s="25" t="inlineStr">
        <is>
          <t>1/2</t>
        </is>
      </c>
      <c r="R748" s="25" t="inlineStr">
        <is>
          <t>12</t>
        </is>
      </c>
      <c r="S748" s="27" t="n">
        <v>5500</v>
      </c>
      <c r="T748" s="27" t="n"/>
      <c r="U748" s="25" t="n">
        <v>1</v>
      </c>
      <c r="V748" s="27">
        <f>IF(S748="","",S748*U748)</f>
        <v/>
      </c>
      <c r="W748" s="26" t="inlineStr">
        <is>
          <t>Catalogue fee €5,500/yr (entered by institution).</t>
        </is>
      </c>
      <c r="X748" s="25" t="inlineStr">
        <is>
          <t>High</t>
        </is>
      </c>
      <c r="Y748" s="25" t="inlineStr">
        <is>
          <t>5500</t>
        </is>
      </c>
      <c r="Z748" s="26" t="inlineStr">
        <is>
          <t>fr Fees: €5,500 per year for international students for the … fr Fees: €5,500 per year for international students for the</t>
        </is>
      </c>
      <c r="AA748" s="26" t="n"/>
      <c r="AB748" s="25" t="n"/>
      <c r="AC748" s="25" t="inlineStr">
        <is>
          <t>Open</t>
        </is>
      </c>
      <c r="AD748" s="25" t="inlineStr">
        <is>
          <t>2026-10-01</t>
        </is>
      </c>
      <c r="AE748" s="25" t="inlineStr">
        <is>
          <t>2027-03-15</t>
        </is>
      </c>
      <c r="AF748" s="25" t="inlineStr">
        <is>
          <t>Yes</t>
        </is>
      </c>
      <c r="AG748" s="28" t="inlineStr">
        <is>
          <t>https://univ-cotedazur.eu/msc/msc-data-science-and-artificial-intelligence</t>
        </is>
      </c>
      <c r="AH748" s="26" t="inlineStr">
        <is>
          <t>Admission will be done based on application files Applications for year 1 : Bachelor (Licence) in Mathematics, Computer Science or equivalent required. applications for year 2 : Master in Mathematics, Computer Science or</t>
        </is>
      </c>
      <c r="AI748" s="28" t="inlineStr">
        <is>
          <t>Open in EEF</t>
        </is>
      </c>
    </row>
    <row r="749" ht="32.8" customHeight="1" s="19">
      <c r="A749" s="25" t="n">
        <v>748</v>
      </c>
      <c r="B749" s="25" t="inlineStr">
        <is>
          <t>★★★☆☆</t>
        </is>
      </c>
      <c r="C749" s="25" t="inlineStr">
        <is>
          <t>3 – Adjacent (AI/data/CS/cyber/energy)</t>
        </is>
      </c>
      <c r="D749" s="25" t="inlineStr">
        <is>
          <t>Computer science / Software</t>
        </is>
      </c>
      <c r="E749" s="26" t="inlineStr">
        <is>
          <t>diplôme d'ingénieur de l'Institut d'ingénierie informatique de Limoges</t>
        </is>
      </c>
      <c r="F749" s="26" t="inlineStr">
        <is>
          <t>Engineering diploma of Institute of Engineering Computer Science of Limoges</t>
        </is>
      </c>
      <c r="G749" s="25" t="inlineStr">
        <is>
          <t>Diplôme d'ingénieur</t>
        </is>
      </c>
      <c r="H749" s="25" t="inlineStr">
        <is>
          <t>Groupe 3iL</t>
        </is>
      </c>
      <c r="I749" s="25" t="n"/>
      <c r="J749" s="25" t="inlineStr">
        <is>
          <t>Site de Limoges</t>
        </is>
      </c>
      <c r="K749" s="25" t="n"/>
      <c r="L749" s="25" t="inlineStr">
        <is>
          <t>Private / EESPIG</t>
        </is>
      </c>
      <c r="M749" s="25" t="inlineStr">
        <is>
          <t>French</t>
        </is>
      </c>
      <c r="N749" s="25" t="inlineStr">
        <is>
          <t>General</t>
        </is>
      </c>
      <c r="O749" s="25" t="inlineStr">
        <is>
          <t>Bac +1 / Bac +3 / Bac +4</t>
        </is>
      </c>
      <c r="P749" s="26" t="inlineStr">
        <is>
          <t>Eligible on level (4-yr BS ≈ Bac+4)</t>
        </is>
      </c>
      <c r="Q749" s="25" t="inlineStr">
        <is>
          <t>1/3/4</t>
        </is>
      </c>
      <c r="R749" s="25" t="n"/>
      <c r="S749" s="27" t="n">
        <v>5750</v>
      </c>
      <c r="T749" s="27" t="n"/>
      <c r="U749" s="25" t="n">
        <v>2</v>
      </c>
      <c r="V749" s="27">
        <f>IF(S749="","",S749*U749)</f>
        <v/>
      </c>
      <c r="W749" s="26" t="inlineStr">
        <is>
          <t>Catalogue fee €5,750/yr (entered by institution).</t>
        </is>
      </c>
      <c r="X749" s="25" t="inlineStr">
        <is>
          <t>High</t>
        </is>
      </c>
      <c r="Y749" s="25" t="inlineStr">
        <is>
          <t>5750/7750</t>
        </is>
      </c>
      <c r="Z749" s="26" t="n"/>
      <c r="AA749" s="26" t="n"/>
      <c r="AB749" s="25" t="n"/>
      <c r="AC749" s="25" t="inlineStr">
        <is>
          <t>Open</t>
        </is>
      </c>
      <c r="AD749" s="25" t="inlineStr">
        <is>
          <t>2026-10-01</t>
        </is>
      </c>
      <c r="AE749" s="25" t="inlineStr">
        <is>
          <t>2027-03-15</t>
        </is>
      </c>
      <c r="AF749" s="25" t="inlineStr">
        <is>
          <t>No</t>
        </is>
      </c>
      <c r="AG749" s="28" t="inlineStr">
        <is>
          <t>https://www.3il-ingenieurs.fr/</t>
        </is>
      </c>
      <c r="AH749" s="26" t="inlineStr">
        <is>
          <t>Pour intégrer le Cycle Préparatoire (après le Baccalauréat) : Baccalauréat général à dominante scientifique avec un bon niveau en sciences. Aucune compétence préalable en programmation n'est requise : seules une réelle c</t>
        </is>
      </c>
      <c r="AI749" s="28" t="inlineStr">
        <is>
          <t>Open in EEF</t>
        </is>
      </c>
    </row>
    <row r="750" ht="32.8" customHeight="1" s="19">
      <c r="A750" s="25" t="n">
        <v>749</v>
      </c>
      <c r="B750" s="25" t="inlineStr">
        <is>
          <t>★★★☆☆</t>
        </is>
      </c>
      <c r="C750" s="25" t="inlineStr">
        <is>
          <t>3 – Adjacent (AI/data/CS/cyber/energy)</t>
        </is>
      </c>
      <c r="D750" s="25" t="inlineStr">
        <is>
          <t>Cybersecurity</t>
        </is>
      </c>
      <c r="E750" s="26" t="inlineStr">
        <is>
          <t>Master of Science in Information Technology (IT), track in Cybersecurity</t>
        </is>
      </c>
      <c r="F750" s="26" t="inlineStr">
        <is>
          <t>Master of Science in Information Technology (IT), track in Cybersecurity</t>
        </is>
      </c>
      <c r="G750" s="25" t="inlineStr">
        <is>
          <t>Master indifférencié (recherche et professionnel)</t>
        </is>
      </c>
      <c r="H750" s="25" t="inlineStr">
        <is>
          <t>IMT Atlantique</t>
        </is>
      </c>
      <c r="I750" s="25" t="inlineStr">
        <is>
          <t>IMT Atlantique</t>
        </is>
      </c>
      <c r="J750" s="25" t="inlineStr">
        <is>
          <t>Campus de Rennes</t>
        </is>
      </c>
      <c r="K750" s="25" t="n"/>
      <c r="L750" s="25" t="inlineStr">
        <is>
          <t>Public school / institute</t>
        </is>
      </c>
      <c r="M750" s="25" t="inlineStr">
        <is>
          <t>English</t>
        </is>
      </c>
      <c r="N750" s="25" t="inlineStr">
        <is>
          <t>Taught in English</t>
        </is>
      </c>
      <c r="O750" s="25" t="inlineStr">
        <is>
          <t>Bac +4 / Bac +5</t>
        </is>
      </c>
      <c r="P750" s="26" t="inlineStr">
        <is>
          <t>Eligible on level (4-yr BS ≈ Bac+4)</t>
        </is>
      </c>
      <c r="Q750" s="25" t="inlineStr">
        <is>
          <t>1/2</t>
        </is>
      </c>
      <c r="R750" s="25" t="n"/>
      <c r="S750" s="27" t="n">
        <v>6500</v>
      </c>
      <c r="T750" s="27" t="n"/>
      <c r="U750" s="25" t="n">
        <v>2</v>
      </c>
      <c r="V750" s="27">
        <f>IF(S750="","",S750*U750)</f>
        <v/>
      </c>
      <c r="W750" s="26" t="inlineStr">
        <is>
          <t>Catalogue fee €6,500/yr (entered by institution).</t>
        </is>
      </c>
      <c r="X750" s="25" t="inlineStr">
        <is>
          <t>High</t>
        </is>
      </c>
      <c r="Y750" s="25" t="inlineStr">
        <is>
          <t>6500</t>
        </is>
      </c>
      <c r="Z750" s="26" t="n"/>
      <c r="AA750" s="26" t="n"/>
      <c r="AB750" s="25" t="n"/>
      <c r="AC750" s="25" t="inlineStr">
        <is>
          <t>Open</t>
        </is>
      </c>
      <c r="AD750" s="25" t="inlineStr">
        <is>
          <t>2026-10-01</t>
        </is>
      </c>
      <c r="AE750" s="25" t="inlineStr">
        <is>
          <t>2027-03-15</t>
        </is>
      </c>
      <c r="AF750" s="25" t="inlineStr">
        <is>
          <t>Yes</t>
        </is>
      </c>
      <c r="AG750" s="28" t="inlineStr">
        <is>
          <t>https://www.imt-atlantique.fr/en/study/masters/msc/it-cybersecurity</t>
        </is>
      </c>
      <c r="AH750" s="26" t="inlineStr">
        <is>
          <t>100% taught in English Admission The entry requirements include a first-class Bachelor's degree or a four-year degree in one of the academic topics offered by the Master's course. Candidates have to show an outstanding a</t>
        </is>
      </c>
      <c r="AI750" s="28" t="inlineStr">
        <is>
          <t>Open in EEF</t>
        </is>
      </c>
    </row>
    <row r="751" ht="32.8" customHeight="1" s="19">
      <c r="A751" s="25" t="n">
        <v>750</v>
      </c>
      <c r="B751" s="25" t="inlineStr">
        <is>
          <t>★★★☆☆</t>
        </is>
      </c>
      <c r="C751" s="25" t="inlineStr">
        <is>
          <t>3 – Adjacent (AI/data/CS/cyber/energy)</t>
        </is>
      </c>
      <c r="D751" s="25" t="inlineStr">
        <is>
          <t>AI / Data science</t>
        </is>
      </c>
      <c r="E751" s="26" t="inlineStr">
        <is>
          <t>Master of Science in Information Technology (IT), track in Data Science (DS)</t>
        </is>
      </c>
      <c r="F751" s="26" t="inlineStr">
        <is>
          <t>Master of Science in Information Technology (IT), track in Data Science (DS)</t>
        </is>
      </c>
      <c r="G751" s="25" t="inlineStr">
        <is>
          <t>Master indifférencié (recherche et professionnel)</t>
        </is>
      </c>
      <c r="H751" s="25" t="inlineStr">
        <is>
          <t>IMT Atlantique</t>
        </is>
      </c>
      <c r="I751" s="25" t="inlineStr">
        <is>
          <t>IMT Atlantique</t>
        </is>
      </c>
      <c r="J751" s="25" t="inlineStr">
        <is>
          <t>Campus de Brest</t>
        </is>
      </c>
      <c r="K751" s="25" t="inlineStr">
        <is>
          <t>83818</t>
        </is>
      </c>
      <c r="L751" s="25" t="inlineStr">
        <is>
          <t>Public school / institute</t>
        </is>
      </c>
      <c r="M751" s="25" t="inlineStr">
        <is>
          <t>English</t>
        </is>
      </c>
      <c r="N751" s="25" t="inlineStr">
        <is>
          <t>Taught in English</t>
        </is>
      </c>
      <c r="O751" s="25" t="inlineStr">
        <is>
          <t>Bac +4 / Bac +5</t>
        </is>
      </c>
      <c r="P751" s="26" t="inlineStr">
        <is>
          <t>Eligible on level (4-yr BS ≈ Bac+4)</t>
        </is>
      </c>
      <c r="Q751" s="25" t="inlineStr">
        <is>
          <t>1/2</t>
        </is>
      </c>
      <c r="R751" s="25" t="n"/>
      <c r="S751" s="27" t="n">
        <v>6500</v>
      </c>
      <c r="T751" s="27" t="n"/>
      <c r="U751" s="25" t="n">
        <v>2</v>
      </c>
      <c r="V751" s="27">
        <f>IF(S751="","",S751*U751)</f>
        <v/>
      </c>
      <c r="W751" s="26" t="inlineStr">
        <is>
          <t>Catalogue fee €6,500/yr (entered by institution).</t>
        </is>
      </c>
      <c r="X751" s="25" t="inlineStr">
        <is>
          <t>High</t>
        </is>
      </c>
      <c r="Y751" s="25" t="inlineStr">
        <is>
          <t>6500</t>
        </is>
      </c>
      <c r="Z751" s="26" t="n"/>
      <c r="AA751" s="26" t="n"/>
      <c r="AB751" s="25" t="n"/>
      <c r="AC751" s="25" t="inlineStr">
        <is>
          <t>Open</t>
        </is>
      </c>
      <c r="AD751" s="25" t="inlineStr">
        <is>
          <t>2026-10-01</t>
        </is>
      </c>
      <c r="AE751" s="25" t="inlineStr">
        <is>
          <t>2027-03-15</t>
        </is>
      </c>
      <c r="AF751" s="25" t="inlineStr">
        <is>
          <t>Yes</t>
        </is>
      </c>
      <c r="AG751" s="28" t="inlineStr">
        <is>
          <t>https://www.imt-atlantique.fr/en/study/msc/it-ds</t>
        </is>
      </c>
      <c r="AH751" s="26" t="inlineStr">
        <is>
          <t>100% taught in English Admission This program is aimed at graduates with a Bachelor of Science or equivalent degree obtained after 4 years' higher education in fields such as Computer Science, Mathematics, etc. A good ba</t>
        </is>
      </c>
      <c r="AI751" s="28" t="inlineStr">
        <is>
          <t>Open in EEF</t>
        </is>
      </c>
    </row>
    <row r="752" ht="32.8" customHeight="1" s="19">
      <c r="A752" s="25" t="n">
        <v>751</v>
      </c>
      <c r="B752" s="25" t="inlineStr">
        <is>
          <t>★★★☆☆</t>
        </is>
      </c>
      <c r="C752" s="25" t="inlineStr">
        <is>
          <t>3 – Adjacent (AI/data/CS/cyber/energy)</t>
        </is>
      </c>
      <c r="D752" s="25" t="inlineStr">
        <is>
          <t>IoT / Telecom / Networks</t>
        </is>
      </c>
      <c r="E752" s="26" t="inlineStr">
        <is>
          <t>diplôme d'ingénieur de l'Ecole supérieure angevine d'informatique et de productique spécialité informatique et réseaux</t>
        </is>
      </c>
      <c r="F752" s="26" t="inlineStr">
        <is>
          <t>Engineering diploma of School Higher angevine of Computer Science &amp; of Production Engineering – specialisation: Computer Science &amp; Networks</t>
        </is>
      </c>
      <c r="G752" s="25" t="inlineStr">
        <is>
          <t>Diplôme d'ingénieur</t>
        </is>
      </c>
      <c r="H752" s="25" t="inlineStr">
        <is>
          <t>ESAIP Ecole d’Ingénieurs</t>
        </is>
      </c>
      <c r="I752" s="25" t="n"/>
      <c r="J752" s="25" t="inlineStr">
        <is>
          <t>ESAIP Campus Ouest</t>
        </is>
      </c>
      <c r="K752" s="25" t="inlineStr">
        <is>
          <t>49124 Saint Barthélemy d'Anjou</t>
        </is>
      </c>
      <c r="L752" s="25" t="inlineStr">
        <is>
          <t>Private / EESPIG</t>
        </is>
      </c>
      <c r="M752" s="25" t="inlineStr">
        <is>
          <t>French</t>
        </is>
      </c>
      <c r="N752" s="25" t="inlineStr">
        <is>
          <t>General</t>
        </is>
      </c>
      <c r="O752" s="25" t="inlineStr">
        <is>
          <t>Bac +1 / Bac +2 / Bac +3</t>
        </is>
      </c>
      <c r="P752" s="26" t="inlineStr">
        <is>
          <t>Eligible on level (4-yr BS ≈ Bac+4)</t>
        </is>
      </c>
      <c r="Q752" s="25" t="inlineStr">
        <is>
          <t>1/2/3</t>
        </is>
      </c>
      <c r="R752" s="25" t="inlineStr">
        <is>
          <t>10</t>
        </is>
      </c>
      <c r="S752" s="27" t="n">
        <v>6500</v>
      </c>
      <c r="T752" s="27" t="n"/>
      <c r="U752" s="25" t="n">
        <v>2</v>
      </c>
      <c r="V752" s="27">
        <f>IF(S752="","",S752*U752)</f>
        <v/>
      </c>
      <c r="W752" s="26" t="inlineStr">
        <is>
          <t>Catalogue fee €6,500/yr (entered by institution).</t>
        </is>
      </c>
      <c r="X752" s="25" t="inlineStr">
        <is>
          <t>High</t>
        </is>
      </c>
      <c r="Y752" s="25" t="inlineStr">
        <is>
          <t>6500/8800</t>
        </is>
      </c>
      <c r="Z752" s="26" t="n"/>
      <c r="AA752" s="26" t="n"/>
      <c r="AB752" s="25" t="n"/>
      <c r="AC752" s="25" t="inlineStr">
        <is>
          <t>Open</t>
        </is>
      </c>
      <c r="AD752" s="25" t="inlineStr">
        <is>
          <t>2026-10-01</t>
        </is>
      </c>
      <c r="AE752" s="25" t="inlineStr">
        <is>
          <t>2027-03-15</t>
        </is>
      </c>
      <c r="AF752" s="25" t="inlineStr">
        <is>
          <t>Yes</t>
        </is>
      </c>
      <c r="AG752" s="28" t="inlineStr">
        <is>
          <t>http://www.esaip.org</t>
        </is>
      </c>
      <c r="AH752" s="26" t="n"/>
      <c r="AI752" s="28" t="inlineStr">
        <is>
          <t>Open in EEF</t>
        </is>
      </c>
    </row>
    <row r="753" ht="22.35" customHeight="1" s="19">
      <c r="A753" s="25" t="n">
        <v>752</v>
      </c>
      <c r="B753" s="25" t="inlineStr">
        <is>
          <t>★★★☆☆</t>
        </is>
      </c>
      <c r="C753" s="25" t="inlineStr">
        <is>
          <t>3 – Adjacent (AI/data/CS/cyber/energy)</t>
        </is>
      </c>
      <c r="D753" s="25" t="inlineStr">
        <is>
          <t>Cybersecurity</t>
        </is>
      </c>
      <c r="E753" s="26" t="inlineStr">
        <is>
          <t>diplôme d'ingénieur de l'Ecole supérieure angevine d'informatique et de productique spécialité sécurité et prévention des risques</t>
        </is>
      </c>
      <c r="F753" s="26" t="inlineStr">
        <is>
          <t>Engineering diploma of School Higher angevine of Computer Science &amp; of Production Engineering – specialisation: Security &amp; Prevention of Risks</t>
        </is>
      </c>
      <c r="G753" s="25" t="inlineStr">
        <is>
          <t>Diplôme d'ingénieur</t>
        </is>
      </c>
      <c r="H753" s="25" t="inlineStr">
        <is>
          <t>ESAIP Ecole d’Ingénieurs</t>
        </is>
      </c>
      <c r="I753" s="25" t="n"/>
      <c r="J753" s="25" t="inlineStr">
        <is>
          <t>ESAIP Campus Ouest</t>
        </is>
      </c>
      <c r="K753" s="25" t="inlineStr">
        <is>
          <t>49124 Saint Barthélemy d'Anjou</t>
        </is>
      </c>
      <c r="L753" s="25" t="inlineStr">
        <is>
          <t>Private / EESPIG</t>
        </is>
      </c>
      <c r="M753" s="25" t="inlineStr">
        <is>
          <t>French</t>
        </is>
      </c>
      <c r="N753" s="25" t="inlineStr">
        <is>
          <t>General</t>
        </is>
      </c>
      <c r="O753" s="25" t="inlineStr">
        <is>
          <t>Bac +1 / Bac +2 / Bac +3</t>
        </is>
      </c>
      <c r="P753" s="26" t="inlineStr">
        <is>
          <t>Eligible on level (4-yr BS ≈ Bac+4)</t>
        </is>
      </c>
      <c r="Q753" s="25" t="inlineStr">
        <is>
          <t>1/2/3</t>
        </is>
      </c>
      <c r="R753" s="25" t="inlineStr">
        <is>
          <t>10</t>
        </is>
      </c>
      <c r="S753" s="27" t="n">
        <v>6500</v>
      </c>
      <c r="T753" s="27" t="n"/>
      <c r="U753" s="25" t="n">
        <v>2</v>
      </c>
      <c r="V753" s="27">
        <f>IF(S753="","",S753*U753)</f>
        <v/>
      </c>
      <c r="W753" s="26" t="inlineStr">
        <is>
          <t>Catalogue fee €6,500/yr (entered by institution).</t>
        </is>
      </c>
      <c r="X753" s="25" t="inlineStr">
        <is>
          <t>High</t>
        </is>
      </c>
      <c r="Y753" s="25" t="inlineStr">
        <is>
          <t>6500/8800</t>
        </is>
      </c>
      <c r="Z753" s="26" t="n"/>
      <c r="AA753" s="26" t="n"/>
      <c r="AB753" s="25" t="n"/>
      <c r="AC753" s="25" t="inlineStr">
        <is>
          <t>Open</t>
        </is>
      </c>
      <c r="AD753" s="25" t="inlineStr">
        <is>
          <t>2026-10-01</t>
        </is>
      </c>
      <c r="AE753" s="25" t="inlineStr">
        <is>
          <t>2027-03-15</t>
        </is>
      </c>
      <c r="AF753" s="25" t="inlineStr">
        <is>
          <t>Yes</t>
        </is>
      </c>
      <c r="AG753" s="28" t="inlineStr">
        <is>
          <t>http://www.esaip.org</t>
        </is>
      </c>
      <c r="AH753" s="26" t="n"/>
      <c r="AI753" s="28" t="inlineStr">
        <is>
          <t>Open in EEF</t>
        </is>
      </c>
    </row>
    <row r="754" ht="32.8" customHeight="1" s="19">
      <c r="A754" s="25" t="n">
        <v>753</v>
      </c>
      <c r="B754" s="25" t="inlineStr">
        <is>
          <t>★★★☆☆</t>
        </is>
      </c>
      <c r="C754" s="25" t="inlineStr">
        <is>
          <t>3 – Adjacent (AI/data/CS/cyber/energy)</t>
        </is>
      </c>
      <c r="D754" s="25" t="inlineStr">
        <is>
          <t>IoT / Telecom / Networks</t>
        </is>
      </c>
      <c r="E754" s="26" t="inlineStr">
        <is>
          <t>diplôme d'ingénieur de l'Ecole supérieure angevine d'informatique et de productique spécialité informatique et réseaux</t>
        </is>
      </c>
      <c r="F754" s="26" t="inlineStr">
        <is>
          <t>Engineering diploma of School Higher angevine of Computer Science &amp; of Production Engineering – specialisation: Computer Science &amp; Networks</t>
        </is>
      </c>
      <c r="G754" s="25" t="inlineStr">
        <is>
          <t>Diplôme d'ingénieur</t>
        </is>
      </c>
      <c r="H754" s="25" t="inlineStr">
        <is>
          <t>ESAIP Ecole d’Ingénieurs</t>
        </is>
      </c>
      <c r="I754" s="25" t="n"/>
      <c r="J754" s="25" t="inlineStr">
        <is>
          <t>ESAIP Campus Méditerranée</t>
        </is>
      </c>
      <c r="K754" s="25" t="inlineStr">
        <is>
          <t>13090 Aix-en-Provence</t>
        </is>
      </c>
      <c r="L754" s="25" t="inlineStr">
        <is>
          <t>Private / EESPIG</t>
        </is>
      </c>
      <c r="M754" s="25" t="inlineStr">
        <is>
          <t>French</t>
        </is>
      </c>
      <c r="N754" s="25" t="inlineStr">
        <is>
          <t>General</t>
        </is>
      </c>
      <c r="O754" s="25" t="inlineStr">
        <is>
          <t>Bac +1 / Bac +2 / Bac +3</t>
        </is>
      </c>
      <c r="P754" s="26" t="inlineStr">
        <is>
          <t>Eligible on level (4-yr BS ≈ Bac+4)</t>
        </is>
      </c>
      <c r="Q754" s="25" t="inlineStr">
        <is>
          <t>1/2/3</t>
        </is>
      </c>
      <c r="R754" s="25" t="inlineStr">
        <is>
          <t>10</t>
        </is>
      </c>
      <c r="S754" s="27" t="n">
        <v>6590</v>
      </c>
      <c r="T754" s="27" t="n"/>
      <c r="U754" s="25" t="n">
        <v>2</v>
      </c>
      <c r="V754" s="27">
        <f>IF(S754="","",S754*U754)</f>
        <v/>
      </c>
      <c r="W754" s="26" t="inlineStr">
        <is>
          <t>Catalogue fee €6,590/yr (entered by institution).</t>
        </is>
      </c>
      <c r="X754" s="25" t="inlineStr">
        <is>
          <t>High</t>
        </is>
      </c>
      <c r="Y754" s="25" t="inlineStr">
        <is>
          <t>6590/9090</t>
        </is>
      </c>
      <c r="Z754" s="26" t="n"/>
      <c r="AA754" s="26" t="n"/>
      <c r="AB754" s="25" t="n"/>
      <c r="AC754" s="25" t="inlineStr">
        <is>
          <t>Open</t>
        </is>
      </c>
      <c r="AD754" s="25" t="inlineStr">
        <is>
          <t>2026-10-01</t>
        </is>
      </c>
      <c r="AE754" s="25" t="inlineStr">
        <is>
          <t>2027-03-15</t>
        </is>
      </c>
      <c r="AF754" s="25" t="inlineStr">
        <is>
          <t>Yes</t>
        </is>
      </c>
      <c r="AG754" s="28" t="inlineStr">
        <is>
          <t>https://www.esaip.org/formation/</t>
        </is>
      </c>
      <c r="AH754" s="26" t="n"/>
      <c r="AI754" s="28" t="inlineStr">
        <is>
          <t>Open in EEF</t>
        </is>
      </c>
    </row>
    <row r="755" ht="22.35" customHeight="1" s="19">
      <c r="A755" s="25" t="n">
        <v>754</v>
      </c>
      <c r="B755" s="25" t="inlineStr">
        <is>
          <t>★★★☆☆</t>
        </is>
      </c>
      <c r="C755" s="25" t="inlineStr">
        <is>
          <t>3 – Adjacent (AI/data/CS/cyber/energy)</t>
        </is>
      </c>
      <c r="D755" s="25" t="inlineStr">
        <is>
          <t>Cybersecurity</t>
        </is>
      </c>
      <c r="E755" s="26" t="inlineStr">
        <is>
          <t>diplôme d'ingénieur de l'Ecole supérieure angevine d'informatique et de productique spécialité sécurité et prévention des risques</t>
        </is>
      </c>
      <c r="F755" s="26" t="inlineStr">
        <is>
          <t>Engineering diploma of School Higher angevine of Computer Science &amp; of Production Engineering – specialisation: Security &amp; Prevention of Risks</t>
        </is>
      </c>
      <c r="G755" s="25" t="inlineStr">
        <is>
          <t>Diplôme d'ingénieur</t>
        </is>
      </c>
      <c r="H755" s="25" t="inlineStr">
        <is>
          <t>ESAIP Ecole d’Ingénieurs</t>
        </is>
      </c>
      <c r="I755" s="25" t="n"/>
      <c r="J755" s="25" t="inlineStr">
        <is>
          <t>ESAIP Campus Méditerranée</t>
        </is>
      </c>
      <c r="K755" s="25" t="inlineStr">
        <is>
          <t>13090 Aix-en-Provence</t>
        </is>
      </c>
      <c r="L755" s="25" t="inlineStr">
        <is>
          <t>Private / EESPIG</t>
        </is>
      </c>
      <c r="M755" s="25" t="inlineStr">
        <is>
          <t>French</t>
        </is>
      </c>
      <c r="N755" s="25" t="inlineStr">
        <is>
          <t>General</t>
        </is>
      </c>
      <c r="O755" s="25" t="inlineStr">
        <is>
          <t>Bac +1 / Bac +2 / Bac +3</t>
        </is>
      </c>
      <c r="P755" s="26" t="inlineStr">
        <is>
          <t>Eligible on level (4-yr BS ≈ Bac+4)</t>
        </is>
      </c>
      <c r="Q755" s="25" t="inlineStr">
        <is>
          <t>1/2/3</t>
        </is>
      </c>
      <c r="R755" s="25" t="inlineStr">
        <is>
          <t>10</t>
        </is>
      </c>
      <c r="S755" s="27" t="n">
        <v>6590</v>
      </c>
      <c r="T755" s="27" t="n"/>
      <c r="U755" s="25" t="n">
        <v>2</v>
      </c>
      <c r="V755" s="27">
        <f>IF(S755="","",S755*U755)</f>
        <v/>
      </c>
      <c r="W755" s="26" t="inlineStr">
        <is>
          <t>Catalogue fee €6,590/yr (entered by institution).</t>
        </is>
      </c>
      <c r="X755" s="25" t="inlineStr">
        <is>
          <t>High</t>
        </is>
      </c>
      <c r="Y755" s="25" t="inlineStr">
        <is>
          <t>6590/9090</t>
        </is>
      </c>
      <c r="Z755" s="26" t="n"/>
      <c r="AA755" s="26" t="n"/>
      <c r="AB755" s="25" t="n"/>
      <c r="AC755" s="25" t="inlineStr">
        <is>
          <t>Open</t>
        </is>
      </c>
      <c r="AD755" s="25" t="inlineStr">
        <is>
          <t>2026-10-01</t>
        </is>
      </c>
      <c r="AE755" s="25" t="inlineStr">
        <is>
          <t>2027-03-15</t>
        </is>
      </c>
      <c r="AF755" s="25" t="inlineStr">
        <is>
          <t>Yes</t>
        </is>
      </c>
      <c r="AG755" s="28" t="inlineStr">
        <is>
          <t>https://www.esaip.org/formation/</t>
        </is>
      </c>
      <c r="AH755" s="26" t="n"/>
      <c r="AI755" s="28" t="inlineStr">
        <is>
          <t>Open in EEF</t>
        </is>
      </c>
    </row>
    <row r="756" ht="43.25" customHeight="1" s="19">
      <c r="A756" s="25" t="n">
        <v>755</v>
      </c>
      <c r="B756" s="25" t="inlineStr">
        <is>
          <t>★★★☆☆</t>
        </is>
      </c>
      <c r="C756" s="25" t="inlineStr">
        <is>
          <t>3 – Adjacent (AI/data/CS/cyber/energy)</t>
        </is>
      </c>
      <c r="D756" s="25" t="inlineStr">
        <is>
          <t>AI / Data science</t>
        </is>
      </c>
      <c r="E756" s="26" t="inlineStr">
        <is>
          <t>Mastère Spécialisé "Cybersécurité des Infrastructures et des Données"</t>
        </is>
      </c>
      <c r="F756" s="26" t="inlineStr">
        <is>
          <t>Specialised Master (MS) "Cybersecurity of Infrastructures &amp; of Data"</t>
        </is>
      </c>
      <c r="G756" s="25" t="inlineStr">
        <is>
          <t>Mastère spécialisé</t>
        </is>
      </c>
      <c r="H756" s="25" t="inlineStr">
        <is>
          <t>Télécom SudParis</t>
        </is>
      </c>
      <c r="I756" s="25" t="n"/>
      <c r="J756" s="25" t="inlineStr">
        <is>
          <t>Site de Palaiseau</t>
        </is>
      </c>
      <c r="K756" s="25" t="n"/>
      <c r="L756" s="25" t="inlineStr">
        <is>
          <t>Public school / institute</t>
        </is>
      </c>
      <c r="M756" s="25" t="inlineStr">
        <is>
          <t>French &amp; English</t>
        </is>
      </c>
      <c r="N756" s="25" t="inlineStr">
        <is>
          <t>General</t>
        </is>
      </c>
      <c r="O756" s="25" t="inlineStr">
        <is>
          <t>Bac +6</t>
        </is>
      </c>
      <c r="P756" s="26" t="inlineStr">
        <is>
          <t>Possible – MS rules allow Bac+4 + ≥3 yrs work experience (you have 3)</t>
        </is>
      </c>
      <c r="Q756" s="25" t="inlineStr">
        <is>
          <t>1</t>
        </is>
      </c>
      <c r="R756" s="25" t="inlineStr">
        <is>
          <t>13</t>
        </is>
      </c>
      <c r="S756" s="27" t="n">
        <v>8000</v>
      </c>
      <c r="T756" s="27" t="n"/>
      <c r="U756" s="25" t="n">
        <v>1</v>
      </c>
      <c r="V756" s="27">
        <f>IF(S756="","",S756*U756)</f>
        <v/>
      </c>
      <c r="W756" s="26" t="inlineStr">
        <is>
          <t>Catalogue fee €8,000/yr (entered by institution).</t>
        </is>
      </c>
      <c r="X756" s="25" t="inlineStr">
        <is>
          <t>High</t>
        </is>
      </c>
      <c r="Y756" s="25" t="inlineStr">
        <is>
          <t>8000</t>
        </is>
      </c>
      <c r="Z756" s="26" t="inlineStr">
        <is>
          <t>000 € - salariés (avec un financement de leur employeur … 000 € - alternants (financement par l'entreprise d'accu</t>
        </is>
      </c>
      <c r="AA756" s="26" t="n"/>
      <c r="AB756" s="25" t="n"/>
      <c r="AC756" s="25" t="inlineStr">
        <is>
          <t>Open</t>
        </is>
      </c>
      <c r="AD756" s="25" t="inlineStr">
        <is>
          <t>2026-10-01</t>
        </is>
      </c>
      <c r="AE756" s="25" t="inlineStr">
        <is>
          <t>2027-03-15</t>
        </is>
      </c>
      <c r="AF756" s="25" t="inlineStr">
        <is>
          <t>Yes</t>
        </is>
      </c>
      <c r="AG756" s="28" t="inlineStr">
        <is>
          <t>https://www.telecom-sudparis.eu/formation/mastere-specialise-cybersecurite/</t>
        </is>
      </c>
      <c r="AH756" s="26" t="inlineStr">
        <is>
          <t>« Cybersécurité des Infrastructures et des Données » TEMPS PARTIEL Titre RNCP36855 de niveau 7 : « Expe rt en Gouvernance de la Sécurité des Réseaux et des Systèmes (MS) » Les personnes concernées : professionnels de l’i</t>
        </is>
      </c>
      <c r="AI756" s="28" t="inlineStr">
        <is>
          <t>Open in EEF</t>
        </is>
      </c>
    </row>
    <row r="757" ht="43.25" customHeight="1" s="19">
      <c r="A757" s="25" t="n">
        <v>756</v>
      </c>
      <c r="B757" s="25" t="inlineStr">
        <is>
          <t>★★★☆☆</t>
        </is>
      </c>
      <c r="C757" s="25" t="inlineStr">
        <is>
          <t>3 – Adjacent (AI/data/CS/cyber/energy)</t>
        </is>
      </c>
      <c r="D757" s="25" t="inlineStr">
        <is>
          <t>IoT / Telecom / Networks</t>
        </is>
      </c>
      <c r="E757" s="26" t="inlineStr">
        <is>
          <t>Mastère Spécialisé "Réseaux et Services"</t>
        </is>
      </c>
      <c r="F757" s="26" t="inlineStr">
        <is>
          <t>Specialised Master (MS) "Networks &amp; Services"</t>
        </is>
      </c>
      <c r="G757" s="25" t="inlineStr">
        <is>
          <t>Mastère spécialisé</t>
        </is>
      </c>
      <c r="H757" s="25" t="inlineStr">
        <is>
          <t>Télécom SudParis</t>
        </is>
      </c>
      <c r="I757" s="25" t="n"/>
      <c r="J757" s="25" t="inlineStr">
        <is>
          <t>Site de Evry</t>
        </is>
      </c>
      <c r="K757" s="25" t="n"/>
      <c r="L757" s="25" t="inlineStr">
        <is>
          <t>Public school / institute</t>
        </is>
      </c>
      <c r="M757" s="25" t="inlineStr">
        <is>
          <t>French &amp; English</t>
        </is>
      </c>
      <c r="N757" s="25" t="inlineStr">
        <is>
          <t>General</t>
        </is>
      </c>
      <c r="O757" s="25" t="inlineStr">
        <is>
          <t>Bac +6</t>
        </is>
      </c>
      <c r="P757" s="26" t="inlineStr">
        <is>
          <t>Possible – MS rules allow Bac+4 + ≥3 yrs work experience (you have 3)</t>
        </is>
      </c>
      <c r="Q757" s="25" t="inlineStr">
        <is>
          <t>1</t>
        </is>
      </c>
      <c r="R757" s="25" t="inlineStr">
        <is>
          <t>13</t>
        </is>
      </c>
      <c r="S757" s="27" t="n">
        <v>8000</v>
      </c>
      <c r="T757" s="27" t="n"/>
      <c r="U757" s="25" t="n">
        <v>1</v>
      </c>
      <c r="V757" s="27">
        <f>IF(S757="","",S757*U757)</f>
        <v/>
      </c>
      <c r="W757" s="26" t="inlineStr">
        <is>
          <t>Catalogue fee €8,000/yr (entered by institution).</t>
        </is>
      </c>
      <c r="X757" s="25" t="inlineStr">
        <is>
          <t>High</t>
        </is>
      </c>
      <c r="Y757" s="25" t="inlineStr">
        <is>
          <t>8000</t>
        </is>
      </c>
      <c r="Z757" s="26" t="inlineStr">
        <is>
          <t>000 € - salariés (avec un financement de leur employeur … 500 € - alternants (financement par l'entreprise d'accu</t>
        </is>
      </c>
      <c r="AA757" s="26" t="n"/>
      <c r="AB757" s="25" t="n"/>
      <c r="AC757" s="25" t="inlineStr">
        <is>
          <t>Open</t>
        </is>
      </c>
      <c r="AD757" s="25" t="inlineStr">
        <is>
          <t>2026-10-01</t>
        </is>
      </c>
      <c r="AE757" s="25" t="inlineStr">
        <is>
          <t>2027-03-15</t>
        </is>
      </c>
      <c r="AF757" s="25" t="inlineStr">
        <is>
          <t>Yes</t>
        </is>
      </c>
      <c r="AG757" s="28" t="inlineStr">
        <is>
          <t>https://www.telecom-sudparis.eu/formation/mastere-specialise-reseaux-services/</t>
        </is>
      </c>
      <c r="AH757" s="26" t="inlineStr">
        <is>
          <t>Mastère Spécialisé® : Réseaux et Services - TEMPS PARTIEL Titre RNCP36854 de niveau 7 : « Expert en Infrastructures de Réseaux et en Services Associés » Les personnes concernées : professionnels de l’informatique, désire</t>
        </is>
      </c>
      <c r="AI757" s="28" t="inlineStr">
        <is>
          <t>Open in EEF</t>
        </is>
      </c>
    </row>
    <row r="758" ht="32.8" customHeight="1" s="19">
      <c r="A758" s="25" t="n">
        <v>757</v>
      </c>
      <c r="B758" s="25" t="inlineStr">
        <is>
          <t>★★★☆☆</t>
        </is>
      </c>
      <c r="C758" s="25" t="inlineStr">
        <is>
          <t>3 – Adjacent (AI/data/CS/cyber/energy)</t>
        </is>
      </c>
      <c r="D758" s="25" t="inlineStr">
        <is>
          <t>Computer science / Software</t>
        </is>
      </c>
      <c r="E758" s="26" t="inlineStr">
        <is>
          <t>MASTÈRE SPÉCIALISÉ SILAT (Systèmes d'Informations Localisées pour l'Aménagement des Territoires) - Manager de Projets Géomatiques</t>
        </is>
      </c>
      <c r="F758" s="26" t="inlineStr">
        <is>
          <t>Specialised Master (MS) SILAT (Information Systemss Localisées for l'Aménagement of Territories) - Manager of Projects Géomatiques</t>
        </is>
      </c>
      <c r="G758" s="25" t="inlineStr">
        <is>
          <t>Mastère spécialisé</t>
        </is>
      </c>
      <c r="H758" s="25" t="inlineStr">
        <is>
          <t>AgroParisTech - Institut des sciences et industries du vivant et de l'environnement</t>
        </is>
      </c>
      <c r="I758" s="25" t="n"/>
      <c r="J758" s="25" t="inlineStr">
        <is>
          <t>Campus de Montpellier</t>
        </is>
      </c>
      <c r="K758" s="25" t="inlineStr">
        <is>
          <t>44494</t>
        </is>
      </c>
      <c r="L758" s="25" t="inlineStr">
        <is>
          <t>Public school / institute</t>
        </is>
      </c>
      <c r="M758" s="25" t="inlineStr">
        <is>
          <t>French</t>
        </is>
      </c>
      <c r="N758" s="25" t="inlineStr">
        <is>
          <t>General</t>
        </is>
      </c>
      <c r="O758" s="25" t="inlineStr">
        <is>
          <t>Bac +6</t>
        </is>
      </c>
      <c r="P758" s="26" t="inlineStr">
        <is>
          <t>Possible – MS rules allow Bac+4 + ≥3 yrs work experience (you have 3)</t>
        </is>
      </c>
      <c r="Q758" s="25" t="inlineStr">
        <is>
          <t>1</t>
        </is>
      </c>
      <c r="R758" s="25" t="inlineStr">
        <is>
          <t>13</t>
        </is>
      </c>
      <c r="S758" s="27" t="n">
        <v>8300</v>
      </c>
      <c r="T758" s="27" t="n"/>
      <c r="U758" s="25" t="n">
        <v>1</v>
      </c>
      <c r="V758" s="27">
        <f>IF(S758="","",S758*U758)</f>
        <v/>
      </c>
      <c r="W758" s="26" t="inlineStr">
        <is>
          <t>Catalogue fee €8,300/yr (entered by institution).</t>
        </is>
      </c>
      <c r="X758" s="25" t="inlineStr">
        <is>
          <t>High</t>
        </is>
      </c>
      <c r="Y758" s="25" t="inlineStr">
        <is>
          <t>8300</t>
        </is>
      </c>
      <c r="Z758" s="26" t="n"/>
      <c r="AA758" s="26" t="n"/>
      <c r="AB758" s="25" t="n"/>
      <c r="AC758" s="25" t="inlineStr">
        <is>
          <t>Open</t>
        </is>
      </c>
      <c r="AD758" s="25" t="inlineStr">
        <is>
          <t>2026-10-01</t>
        </is>
      </c>
      <c r="AE758" s="25" t="inlineStr">
        <is>
          <t>2027-03-15</t>
        </is>
      </c>
      <c r="AF758" s="25" t="inlineStr">
        <is>
          <t>Yes</t>
        </is>
      </c>
      <c r="AG758" s="28" t="inlineStr">
        <is>
          <t>https://formation-continue.agroparistech.fr/catalogue-de-formation/ms-silat-systemes-dinformations-localisees-pour-lamenagement-territoires</t>
        </is>
      </c>
      <c r="AH758" s="26" t="inlineStr">
        <is>
          <t>Les candidats doivent être titulaires : - d’un diplôme de niveau Master : master 2, diplôme d’ingénieur ou diplôme bac+5 équivalent ; - éventuellement d’un M1 (ou bac+4) s’ils justifient d’au moins 3 années d’expérience</t>
        </is>
      </c>
      <c r="AI758" s="28" t="inlineStr">
        <is>
          <t>Open in EEF</t>
        </is>
      </c>
    </row>
    <row r="759" ht="22.35" customHeight="1" s="19">
      <c r="A759" s="25" t="n">
        <v>758</v>
      </c>
      <c r="B759" s="25" t="inlineStr">
        <is>
          <t>★★★☆☆</t>
        </is>
      </c>
      <c r="C759" s="25" t="inlineStr">
        <is>
          <t>3 – Adjacent (AI/data/CS/cyber/energy)</t>
        </is>
      </c>
      <c r="D759" s="25" t="inlineStr">
        <is>
          <t>Other engineering / maths</t>
        </is>
      </c>
      <c r="E759" s="26" t="inlineStr">
        <is>
          <t>Master Sciences, technologies, santé mention Master Ingénierie des systèmes complexes</t>
        </is>
      </c>
      <c r="F759" s="26" t="inlineStr">
        <is>
          <t>Master Science, Technology, Health (STS) – major: Master Complex Systems Engineering</t>
        </is>
      </c>
      <c r="G759" s="25" t="inlineStr">
        <is>
          <t>Master indifférencié (recherche et professionnel)</t>
        </is>
      </c>
      <c r="H759" s="25" t="inlineStr">
        <is>
          <t>Faculté des sciences - UCO</t>
        </is>
      </c>
      <c r="I759" s="25" t="inlineStr">
        <is>
          <t>Université catholique de l'Ouest</t>
        </is>
      </c>
      <c r="J759" s="25" t="inlineStr">
        <is>
          <t>Site de Guingamp</t>
        </is>
      </c>
      <c r="K759" s="25" t="n"/>
      <c r="L759" s="25" t="inlineStr">
        <is>
          <t>Private / EESPIG</t>
        </is>
      </c>
      <c r="M759" s="25" t="inlineStr">
        <is>
          <t>French</t>
        </is>
      </c>
      <c r="N759" s="25" t="inlineStr">
        <is>
          <t>General</t>
        </is>
      </c>
      <c r="O759" s="25" t="inlineStr">
        <is>
          <t>Bac +4 / Bac +5</t>
        </is>
      </c>
      <c r="P759" s="26" t="inlineStr">
        <is>
          <t>Eligible on level (4-yr BS ≈ Bac+4)</t>
        </is>
      </c>
      <c r="Q759" s="25" t="inlineStr">
        <is>
          <t>1/2</t>
        </is>
      </c>
      <c r="R759" s="25" t="n"/>
      <c r="S759" s="27" t="n">
        <v>8400</v>
      </c>
      <c r="T759" s="27" t="n"/>
      <c r="U759" s="25" t="n">
        <v>2</v>
      </c>
      <c r="V759" s="27">
        <f>IF(S759="","",S759*U759)</f>
        <v/>
      </c>
      <c r="W759" s="26" t="inlineStr">
        <is>
          <t>Catalogue fee €8,400/yr (entered by institution).</t>
        </is>
      </c>
      <c r="X759" s="25" t="inlineStr">
        <is>
          <t>High</t>
        </is>
      </c>
      <c r="Y759" s="25" t="inlineStr">
        <is>
          <t>8400</t>
        </is>
      </c>
      <c r="Z759" s="26" t="n"/>
      <c r="AA759" s="26" t="n"/>
      <c r="AB759" s="25" t="n"/>
      <c r="AC759" s="25" t="inlineStr">
        <is>
          <t>Open</t>
        </is>
      </c>
      <c r="AD759" s="25" t="inlineStr">
        <is>
          <t>2026-10-01</t>
        </is>
      </c>
      <c r="AE759" s="25" t="inlineStr">
        <is>
          <t>2027-03-15</t>
        </is>
      </c>
      <c r="AF759" s="25" t="inlineStr">
        <is>
          <t>Yes</t>
        </is>
      </c>
      <c r="AG759" s="28" t="inlineStr">
        <is>
          <t>https://guingamp.uco.fr/fr/formations/sciences/master-ingenierie-des-systemes-complexes?destination=/fr/fr/formations-guingamp</t>
        </is>
      </c>
      <c r="AH759" s="26" t="n"/>
      <c r="AI759" s="28" t="inlineStr">
        <is>
          <t>Open in EEF</t>
        </is>
      </c>
    </row>
    <row r="760" ht="22.35" customHeight="1" s="19">
      <c r="A760" s="25" t="n">
        <v>759</v>
      </c>
      <c r="B760" s="25" t="inlineStr">
        <is>
          <t>★★★☆☆</t>
        </is>
      </c>
      <c r="C760" s="25" t="inlineStr">
        <is>
          <t>3 – Adjacent (AI/data/CS/cyber/energy)</t>
        </is>
      </c>
      <c r="D760" s="25" t="inlineStr">
        <is>
          <t>Other engineering / maths</t>
        </is>
      </c>
      <c r="E760" s="26" t="inlineStr">
        <is>
          <t>Master Sciences, technologies, santé mention Master Ingénierie des systèmes complexes</t>
        </is>
      </c>
      <c r="F760" s="26" t="inlineStr">
        <is>
          <t>Master Science, Technology, Health (STS) – major: Master Complex Systems Engineering</t>
        </is>
      </c>
      <c r="G760" s="25" t="inlineStr">
        <is>
          <t>Master indifférencié (recherche et professionnel)</t>
        </is>
      </c>
      <c r="H760" s="25" t="inlineStr">
        <is>
          <t>Université Catholique de l'Ouest Bretagne nord</t>
        </is>
      </c>
      <c r="I760" s="25" t="inlineStr">
        <is>
          <t>Université catholique de l'Ouest</t>
        </is>
      </c>
      <c r="J760" s="25" t="inlineStr">
        <is>
          <t>Site de Guingamp</t>
        </is>
      </c>
      <c r="K760" s="25" t="n"/>
      <c r="L760" s="25" t="inlineStr">
        <is>
          <t>Private / EESPIG</t>
        </is>
      </c>
      <c r="M760" s="25" t="inlineStr">
        <is>
          <t>French</t>
        </is>
      </c>
      <c r="N760" s="25" t="inlineStr">
        <is>
          <t>General</t>
        </is>
      </c>
      <c r="O760" s="25" t="inlineStr">
        <is>
          <t>Bac +4 / Bac +5</t>
        </is>
      </c>
      <c r="P760" s="26" t="inlineStr">
        <is>
          <t>Eligible on level (4-yr BS ≈ Bac+4)</t>
        </is>
      </c>
      <c r="Q760" s="25" t="inlineStr">
        <is>
          <t>1/2</t>
        </is>
      </c>
      <c r="R760" s="25" t="n"/>
      <c r="S760" s="27" t="n">
        <v>8490</v>
      </c>
      <c r="T760" s="27" t="n"/>
      <c r="U760" s="25" t="n">
        <v>2</v>
      </c>
      <c r="V760" s="27">
        <f>IF(S760="","",S760*U760)</f>
        <v/>
      </c>
      <c r="W760" s="26" t="inlineStr">
        <is>
          <t>Catalogue fee €8,490/yr (entered by institution).</t>
        </is>
      </c>
      <c r="X760" s="25" t="inlineStr">
        <is>
          <t>High</t>
        </is>
      </c>
      <c r="Y760" s="25" t="inlineStr">
        <is>
          <t>8490</t>
        </is>
      </c>
      <c r="Z760" s="26" t="n"/>
      <c r="AA760" s="26" t="n"/>
      <c r="AB760" s="25" t="n"/>
      <c r="AC760" s="25" t="inlineStr">
        <is>
          <t>Open</t>
        </is>
      </c>
      <c r="AD760" s="25" t="inlineStr">
        <is>
          <t>2026-10-01</t>
        </is>
      </c>
      <c r="AE760" s="25" t="inlineStr">
        <is>
          <t>2027-03-15</t>
        </is>
      </c>
      <c r="AF760" s="25" t="inlineStr">
        <is>
          <t>Yes</t>
        </is>
      </c>
      <c r="AG760" s="28" t="inlineStr">
        <is>
          <t>https://guingamp.uco.fr/fr/formations/sciences/master-ingenierie-des-systemes-complexes?destination=/fr/fr/formations-guingamp</t>
        </is>
      </c>
      <c r="AH760" s="26" t="n"/>
      <c r="AI760" s="28" t="inlineStr">
        <is>
          <t>Open in EEF</t>
        </is>
      </c>
    </row>
    <row r="761" ht="32.8" customHeight="1" s="19">
      <c r="A761" s="25" t="n">
        <v>760</v>
      </c>
      <c r="B761" s="25" t="inlineStr">
        <is>
          <t>★★★☆☆</t>
        </is>
      </c>
      <c r="C761" s="25" t="inlineStr">
        <is>
          <t>3 – Adjacent (AI/data/CS/cyber/energy)</t>
        </is>
      </c>
      <c r="D761" s="25" t="inlineStr">
        <is>
          <t>Computer science / Software</t>
        </is>
      </c>
      <c r="E761" s="26" t="inlineStr">
        <is>
          <t>Master's degree in Computer Science</t>
        </is>
      </c>
      <c r="F761" s="26" t="inlineStr">
        <is>
          <t>Master's degree in Computer Science</t>
        </is>
      </c>
      <c r="G761" s="25" t="inlineStr">
        <is>
          <t>Diplôme d'ingénieur</t>
        </is>
      </c>
      <c r="H761" s="25" t="inlineStr">
        <is>
          <t>CESI Ecole d'Ingénieurs</t>
        </is>
      </c>
      <c r="I761" s="25" t="inlineStr">
        <is>
          <t>CESI</t>
        </is>
      </c>
      <c r="J761" s="25" t="inlineStr">
        <is>
          <t>Campus d'Aix-en-Provence</t>
        </is>
      </c>
      <c r="K761" s="25" t="inlineStr">
        <is>
          <t>13290 Aix-en-Provence</t>
        </is>
      </c>
      <c r="L761" s="25" t="inlineStr">
        <is>
          <t>Private / EESPIG</t>
        </is>
      </c>
      <c r="M761" s="25" t="inlineStr">
        <is>
          <t>English</t>
        </is>
      </c>
      <c r="N761" s="25" t="inlineStr">
        <is>
          <t>Taught in English</t>
        </is>
      </c>
      <c r="O761" s="25" t="inlineStr">
        <is>
          <t>Bac +4</t>
        </is>
      </c>
      <c r="P761" s="26" t="inlineStr">
        <is>
          <t>Eligible on level (4-yr BS ≈ Bac+4)</t>
        </is>
      </c>
      <c r="Q761" s="25" t="inlineStr">
        <is>
          <t>1</t>
        </is>
      </c>
      <c r="R761" s="25" t="inlineStr">
        <is>
          <t>12</t>
        </is>
      </c>
      <c r="S761" s="27" t="n">
        <v>8500</v>
      </c>
      <c r="T761" s="27" t="n"/>
      <c r="U761" s="25" t="n">
        <v>2</v>
      </c>
      <c r="V761" s="27">
        <f>IF(S761="","",S761*U761)</f>
        <v/>
      </c>
      <c r="W761" s="26" t="inlineStr">
        <is>
          <t>Catalogue fee €8,500/yr (entered by institution).</t>
        </is>
      </c>
      <c r="X761" s="25" t="inlineStr">
        <is>
          <t>High</t>
        </is>
      </c>
      <c r="Y761" s="25" t="inlineStr">
        <is>
          <t>8500</t>
        </is>
      </c>
      <c r="Z761" s="26" t="n"/>
      <c r="AA761" s="26" t="n"/>
      <c r="AB761" s="25" t="n"/>
      <c r="AC761" s="25" t="inlineStr">
        <is>
          <t>Open</t>
        </is>
      </c>
      <c r="AD761" s="25" t="inlineStr">
        <is>
          <t>2026-10-01</t>
        </is>
      </c>
      <c r="AE761" s="25" t="inlineStr">
        <is>
          <t>2027-03-15</t>
        </is>
      </c>
      <c r="AF761" s="25" t="inlineStr">
        <is>
          <t>Yes</t>
        </is>
      </c>
      <c r="AG761" s="28" t="inlineStr">
        <is>
          <t>https://www.cesi.fr/en/trainings/master-degree-in-computer-science/</t>
        </is>
      </c>
      <c r="AH761" s="26" t="inlineStr">
        <is>
          <t>Admission to 1st year of master: Hold a diploma equivalent to a first-year university Master's degree, attesting to four years of higher education after the end of secondary school, in a scientific or technical field. At</t>
        </is>
      </c>
      <c r="AI761" s="28" t="inlineStr">
        <is>
          <t>Open in EEF</t>
        </is>
      </c>
    </row>
    <row r="762" ht="32.8" customHeight="1" s="19">
      <c r="A762" s="25" t="n">
        <v>761</v>
      </c>
      <c r="B762" s="25" t="inlineStr">
        <is>
          <t>★★★☆☆</t>
        </is>
      </c>
      <c r="C762" s="25" t="inlineStr">
        <is>
          <t>3 – Adjacent (AI/data/CS/cyber/energy)</t>
        </is>
      </c>
      <c r="D762" s="25" t="inlineStr">
        <is>
          <t>Computer science / Software</t>
        </is>
      </c>
      <c r="E762" s="26" t="inlineStr">
        <is>
          <t>Master's degree in Computer Science</t>
        </is>
      </c>
      <c r="F762" s="26" t="inlineStr">
        <is>
          <t>Master's degree in Computer Science</t>
        </is>
      </c>
      <c r="G762" s="25" t="inlineStr">
        <is>
          <t>Diplôme d'ingénieur</t>
        </is>
      </c>
      <c r="H762" s="25" t="inlineStr">
        <is>
          <t>CESI Ecole d'Ingénieurs</t>
        </is>
      </c>
      <c r="I762" s="25" t="inlineStr">
        <is>
          <t>CESI</t>
        </is>
      </c>
      <c r="J762" s="25" t="inlineStr">
        <is>
          <t>Campus de Lyon</t>
        </is>
      </c>
      <c r="K762" s="25" t="inlineStr">
        <is>
          <t>69100 VILLEURBANNE</t>
        </is>
      </c>
      <c r="L762" s="25" t="inlineStr">
        <is>
          <t>Private / EESPIG</t>
        </is>
      </c>
      <c r="M762" s="25" t="inlineStr">
        <is>
          <t>English</t>
        </is>
      </c>
      <c r="N762" s="25" t="inlineStr">
        <is>
          <t>Taught in English</t>
        </is>
      </c>
      <c r="O762" s="25" t="inlineStr">
        <is>
          <t>Bac +4</t>
        </is>
      </c>
      <c r="P762" s="26" t="inlineStr">
        <is>
          <t>Eligible on level (4-yr BS ≈ Bac+4)</t>
        </is>
      </c>
      <c r="Q762" s="25" t="inlineStr">
        <is>
          <t>1</t>
        </is>
      </c>
      <c r="R762" s="25" t="inlineStr">
        <is>
          <t>12</t>
        </is>
      </c>
      <c r="S762" s="27" t="n">
        <v>8500</v>
      </c>
      <c r="T762" s="27" t="n"/>
      <c r="U762" s="25" t="n">
        <v>2</v>
      </c>
      <c r="V762" s="27">
        <f>IF(S762="","",S762*U762)</f>
        <v/>
      </c>
      <c r="W762" s="26" t="inlineStr">
        <is>
          <t>Catalogue fee €8,500/yr (entered by institution).</t>
        </is>
      </c>
      <c r="X762" s="25" t="inlineStr">
        <is>
          <t>High</t>
        </is>
      </c>
      <c r="Y762" s="25" t="inlineStr">
        <is>
          <t>8500</t>
        </is>
      </c>
      <c r="Z762" s="26" t="n"/>
      <c r="AA762" s="26" t="n"/>
      <c r="AB762" s="25" t="n"/>
      <c r="AC762" s="25" t="inlineStr">
        <is>
          <t>Open</t>
        </is>
      </c>
      <c r="AD762" s="25" t="inlineStr">
        <is>
          <t>2026-10-01</t>
        </is>
      </c>
      <c r="AE762" s="25" t="inlineStr">
        <is>
          <t>2027-03-15</t>
        </is>
      </c>
      <c r="AF762" s="25" t="inlineStr">
        <is>
          <t>Yes</t>
        </is>
      </c>
      <c r="AG762" s="28" t="inlineStr">
        <is>
          <t>https://www.cesi.fr/en/trainings/master-degree-in-computer-science/</t>
        </is>
      </c>
      <c r="AH762" s="26" t="inlineStr">
        <is>
          <t>Admission to 1st year of master: Hold a diploma equivalent to a first-year university Master's degree, attesting to four years of higher education after the end of secondary school, in a scientific or technical field. At</t>
        </is>
      </c>
      <c r="AI762" s="28" t="inlineStr">
        <is>
          <t>Open in EEF</t>
        </is>
      </c>
    </row>
    <row r="763" ht="32.8" customHeight="1" s="19">
      <c r="A763" s="25" t="n">
        <v>762</v>
      </c>
      <c r="B763" s="25" t="inlineStr">
        <is>
          <t>★★★☆☆</t>
        </is>
      </c>
      <c r="C763" s="25" t="inlineStr">
        <is>
          <t>3 – Adjacent (AI/data/CS/cyber/energy)</t>
        </is>
      </c>
      <c r="D763" s="25" t="inlineStr">
        <is>
          <t>Computer science / Software</t>
        </is>
      </c>
      <c r="E763" s="26" t="inlineStr">
        <is>
          <t>Master's degree in Computer Science</t>
        </is>
      </c>
      <c r="F763" s="26" t="inlineStr">
        <is>
          <t>Master's degree in Computer Science</t>
        </is>
      </c>
      <c r="G763" s="25" t="inlineStr">
        <is>
          <t>Diplôme d'ingénieur</t>
        </is>
      </c>
      <c r="H763" s="25" t="inlineStr">
        <is>
          <t>CESI Ecole d'Ingénieurs</t>
        </is>
      </c>
      <c r="I763" s="25" t="inlineStr">
        <is>
          <t>CESI</t>
        </is>
      </c>
      <c r="J763" s="25" t="inlineStr">
        <is>
          <t>Campus de Paris</t>
        </is>
      </c>
      <c r="K763" s="25" t="inlineStr">
        <is>
          <t>92000 Nanterre</t>
        </is>
      </c>
      <c r="L763" s="25" t="inlineStr">
        <is>
          <t>Private / EESPIG</t>
        </is>
      </c>
      <c r="M763" s="25" t="inlineStr">
        <is>
          <t>English</t>
        </is>
      </c>
      <c r="N763" s="25" t="inlineStr">
        <is>
          <t>Taught in English</t>
        </is>
      </c>
      <c r="O763" s="25" t="inlineStr">
        <is>
          <t>Bac +4</t>
        </is>
      </c>
      <c r="P763" s="26" t="inlineStr">
        <is>
          <t>Eligible on level (4-yr BS ≈ Bac+4)</t>
        </is>
      </c>
      <c r="Q763" s="25" t="inlineStr">
        <is>
          <t>1</t>
        </is>
      </c>
      <c r="R763" s="25" t="inlineStr">
        <is>
          <t>12</t>
        </is>
      </c>
      <c r="S763" s="27" t="n">
        <v>8500</v>
      </c>
      <c r="T763" s="27" t="n"/>
      <c r="U763" s="25" t="n">
        <v>2</v>
      </c>
      <c r="V763" s="27">
        <f>IF(S763="","",S763*U763)</f>
        <v/>
      </c>
      <c r="W763" s="26" t="inlineStr">
        <is>
          <t>Catalogue fee €8,500/yr (entered by institution).</t>
        </is>
      </c>
      <c r="X763" s="25" t="inlineStr">
        <is>
          <t>High</t>
        </is>
      </c>
      <c r="Y763" s="25" t="inlineStr">
        <is>
          <t>8500</t>
        </is>
      </c>
      <c r="Z763" s="26" t="n"/>
      <c r="AA763" s="26" t="n"/>
      <c r="AB763" s="25" t="n"/>
      <c r="AC763" s="25" t="inlineStr">
        <is>
          <t>Open</t>
        </is>
      </c>
      <c r="AD763" s="25" t="inlineStr">
        <is>
          <t>2026-10-01</t>
        </is>
      </c>
      <c r="AE763" s="25" t="inlineStr">
        <is>
          <t>2027-03-15</t>
        </is>
      </c>
      <c r="AF763" s="25" t="inlineStr">
        <is>
          <t>Yes</t>
        </is>
      </c>
      <c r="AG763" s="28" t="inlineStr">
        <is>
          <t>https://www.cesi.fr/en/trainings/master-degree-in-computer-science/</t>
        </is>
      </c>
      <c r="AH763" s="26" t="inlineStr">
        <is>
          <t>Admission to 1st year of master: Hold a diploma equivalent to a first-year university Master's degree, attesting to four years of higher education after the end of secondary school, in a scientific or technical field. At</t>
        </is>
      </c>
      <c r="AI763" s="28" t="inlineStr">
        <is>
          <t>Open in EEF</t>
        </is>
      </c>
    </row>
    <row r="764" ht="32.8" customHeight="1" s="19">
      <c r="A764" s="25" t="n">
        <v>763</v>
      </c>
      <c r="B764" s="25" t="inlineStr">
        <is>
          <t>★★★☆☆</t>
        </is>
      </c>
      <c r="C764" s="25" t="inlineStr">
        <is>
          <t>3 – Adjacent (AI/data/CS/cyber/energy)</t>
        </is>
      </c>
      <c r="D764" s="25" t="inlineStr">
        <is>
          <t>Computer science / Software</t>
        </is>
      </c>
      <c r="E764" s="26" t="inlineStr">
        <is>
          <t>Master's degree in Computer Science</t>
        </is>
      </c>
      <c r="F764" s="26" t="inlineStr">
        <is>
          <t>Master's degree in Computer Science</t>
        </is>
      </c>
      <c r="G764" s="25" t="inlineStr">
        <is>
          <t>Diplôme d'ingénieur</t>
        </is>
      </c>
      <c r="H764" s="25" t="inlineStr">
        <is>
          <t>CESI Ecole d'Ingénieurs</t>
        </is>
      </c>
      <c r="I764" s="25" t="inlineStr">
        <is>
          <t>CESI</t>
        </is>
      </c>
      <c r="J764" s="25" t="inlineStr">
        <is>
          <t>Campus de Rouen</t>
        </is>
      </c>
      <c r="K764" s="25" t="inlineStr">
        <is>
          <t>76808 Saint Etienne du Rouvray</t>
        </is>
      </c>
      <c r="L764" s="25" t="inlineStr">
        <is>
          <t>Private / EESPIG</t>
        </is>
      </c>
      <c r="M764" s="25" t="inlineStr">
        <is>
          <t>English</t>
        </is>
      </c>
      <c r="N764" s="25" t="inlineStr">
        <is>
          <t>Taught in English</t>
        </is>
      </c>
      <c r="O764" s="25" t="inlineStr">
        <is>
          <t>Bac +4</t>
        </is>
      </c>
      <c r="P764" s="26" t="inlineStr">
        <is>
          <t>Eligible on level (4-yr BS ≈ Bac+4)</t>
        </is>
      </c>
      <c r="Q764" s="25" t="inlineStr">
        <is>
          <t>1</t>
        </is>
      </c>
      <c r="R764" s="25" t="inlineStr">
        <is>
          <t>12</t>
        </is>
      </c>
      <c r="S764" s="27" t="n">
        <v>8500</v>
      </c>
      <c r="T764" s="27" t="n"/>
      <c r="U764" s="25" t="n">
        <v>2</v>
      </c>
      <c r="V764" s="27">
        <f>IF(S764="","",S764*U764)</f>
        <v/>
      </c>
      <c r="W764" s="26" t="inlineStr">
        <is>
          <t>Catalogue fee €8,500/yr (entered by institution).</t>
        </is>
      </c>
      <c r="X764" s="25" t="inlineStr">
        <is>
          <t>High</t>
        </is>
      </c>
      <c r="Y764" s="25" t="inlineStr">
        <is>
          <t>8500</t>
        </is>
      </c>
      <c r="Z764" s="26" t="n"/>
      <c r="AA764" s="26" t="n"/>
      <c r="AB764" s="25" t="n"/>
      <c r="AC764" s="25" t="inlineStr">
        <is>
          <t>Open</t>
        </is>
      </c>
      <c r="AD764" s="25" t="inlineStr">
        <is>
          <t>2026-10-01</t>
        </is>
      </c>
      <c r="AE764" s="25" t="inlineStr">
        <is>
          <t>2027-03-15</t>
        </is>
      </c>
      <c r="AF764" s="25" t="inlineStr">
        <is>
          <t>Yes</t>
        </is>
      </c>
      <c r="AG764" s="28" t="inlineStr">
        <is>
          <t>https://www.cesi.fr/en/trainings/master-degree-in-computer-science/</t>
        </is>
      </c>
      <c r="AH764" s="26" t="inlineStr">
        <is>
          <t>Admission to 1st year of master: Hold a diploma equivalent to a first-year university Master's degree, attesting to four years of higher education after the end of secondary school, in a scientific or technical field. At</t>
        </is>
      </c>
      <c r="AI764" s="28" t="inlineStr">
        <is>
          <t>Open in EEF</t>
        </is>
      </c>
    </row>
    <row r="765" ht="32.8" customHeight="1" s="19">
      <c r="A765" s="25" t="n">
        <v>764</v>
      </c>
      <c r="B765" s="25" t="inlineStr">
        <is>
          <t>★★★☆☆</t>
        </is>
      </c>
      <c r="C765" s="25" t="inlineStr">
        <is>
          <t>3 – Adjacent (AI/data/CS/cyber/energy)</t>
        </is>
      </c>
      <c r="D765" s="25" t="inlineStr">
        <is>
          <t>Computer science / Software</t>
        </is>
      </c>
      <c r="E765" s="26" t="inlineStr">
        <is>
          <t>Master's degree in Computer Science</t>
        </is>
      </c>
      <c r="F765" s="26" t="inlineStr">
        <is>
          <t>Master's degree in Computer Science</t>
        </is>
      </c>
      <c r="G765" s="25" t="inlineStr">
        <is>
          <t>Diplôme d'ingénieur</t>
        </is>
      </c>
      <c r="H765" s="25" t="inlineStr">
        <is>
          <t>CESI Ecole d'Ingénieurs</t>
        </is>
      </c>
      <c r="I765" s="25" t="inlineStr">
        <is>
          <t>CESI</t>
        </is>
      </c>
      <c r="J765" s="25" t="inlineStr">
        <is>
          <t>Campus de Strasbourg</t>
        </is>
      </c>
      <c r="K765" s="25" t="inlineStr">
        <is>
          <t>67380 Lingolsheim</t>
        </is>
      </c>
      <c r="L765" s="25" t="inlineStr">
        <is>
          <t>Private / EESPIG</t>
        </is>
      </c>
      <c r="M765" s="25" t="inlineStr">
        <is>
          <t>English</t>
        </is>
      </c>
      <c r="N765" s="25" t="inlineStr">
        <is>
          <t>Taught in English</t>
        </is>
      </c>
      <c r="O765" s="25" t="inlineStr">
        <is>
          <t>Bac +4</t>
        </is>
      </c>
      <c r="P765" s="26" t="inlineStr">
        <is>
          <t>Eligible on level (4-yr BS ≈ Bac+4)</t>
        </is>
      </c>
      <c r="Q765" s="25" t="inlineStr">
        <is>
          <t>1</t>
        </is>
      </c>
      <c r="R765" s="25" t="inlineStr">
        <is>
          <t>12</t>
        </is>
      </c>
      <c r="S765" s="27" t="n">
        <v>8500</v>
      </c>
      <c r="T765" s="27" t="n"/>
      <c r="U765" s="25" t="n">
        <v>2</v>
      </c>
      <c r="V765" s="27">
        <f>IF(S765="","",S765*U765)</f>
        <v/>
      </c>
      <c r="W765" s="26" t="inlineStr">
        <is>
          <t>Catalogue fee €8,500/yr (entered by institution).</t>
        </is>
      </c>
      <c r="X765" s="25" t="inlineStr">
        <is>
          <t>High</t>
        </is>
      </c>
      <c r="Y765" s="25" t="inlineStr">
        <is>
          <t>8500</t>
        </is>
      </c>
      <c r="Z765" s="26" t="n"/>
      <c r="AA765" s="26" t="n"/>
      <c r="AB765" s="25" t="n"/>
      <c r="AC765" s="25" t="inlineStr">
        <is>
          <t>Open</t>
        </is>
      </c>
      <c r="AD765" s="25" t="inlineStr">
        <is>
          <t>2026-10-01</t>
        </is>
      </c>
      <c r="AE765" s="25" t="inlineStr">
        <is>
          <t>2027-03-15</t>
        </is>
      </c>
      <c r="AF765" s="25" t="inlineStr">
        <is>
          <t>Yes</t>
        </is>
      </c>
      <c r="AG765" s="28" t="inlineStr">
        <is>
          <t>https://www.cesi.fr/en/trainings/master-degree-in-computer-science/</t>
        </is>
      </c>
      <c r="AH765" s="26" t="inlineStr">
        <is>
          <t>Admission to 1st year of master: Hold a diploma equivalent to a first-year university Master's degree, attesting to four years of higher education after the end of secondary school, in a scientific or technical field. At</t>
        </is>
      </c>
      <c r="AI765" s="28" t="inlineStr">
        <is>
          <t>Open in EEF</t>
        </is>
      </c>
    </row>
    <row r="766" ht="32.8" customHeight="1" s="19">
      <c r="A766" s="25" t="n">
        <v>765</v>
      </c>
      <c r="B766" s="25" t="inlineStr">
        <is>
          <t>★★★☆☆</t>
        </is>
      </c>
      <c r="C766" s="25" t="inlineStr">
        <is>
          <t>3 – Adjacent (AI/data/CS/cyber/energy)</t>
        </is>
      </c>
      <c r="D766" s="25" t="inlineStr">
        <is>
          <t>Computer science / Software</t>
        </is>
      </c>
      <c r="E766" s="26" t="inlineStr">
        <is>
          <t>Master's degree in Computer Science</t>
        </is>
      </c>
      <c r="F766" s="26" t="inlineStr">
        <is>
          <t>Master's degree in Computer Science</t>
        </is>
      </c>
      <c r="G766" s="25" t="inlineStr">
        <is>
          <t>Diplôme d'ingénieur</t>
        </is>
      </c>
      <c r="H766" s="25" t="inlineStr">
        <is>
          <t>CESI Ecole d'Ingénieurs</t>
        </is>
      </c>
      <c r="I766" s="25" t="inlineStr">
        <is>
          <t>CESI</t>
        </is>
      </c>
      <c r="J766" s="25" t="inlineStr">
        <is>
          <t>Campus de Toulouse</t>
        </is>
      </c>
      <c r="K766" s="25" t="inlineStr">
        <is>
          <t>31670 Labège</t>
        </is>
      </c>
      <c r="L766" s="25" t="inlineStr">
        <is>
          <t>Private / EESPIG</t>
        </is>
      </c>
      <c r="M766" s="25" t="inlineStr">
        <is>
          <t>English</t>
        </is>
      </c>
      <c r="N766" s="25" t="inlineStr">
        <is>
          <t>Taught in English</t>
        </is>
      </c>
      <c r="O766" s="25" t="inlineStr">
        <is>
          <t>Bac +4</t>
        </is>
      </c>
      <c r="P766" s="26" t="inlineStr">
        <is>
          <t>Eligible on level (4-yr BS ≈ Bac+4)</t>
        </is>
      </c>
      <c r="Q766" s="25" t="inlineStr">
        <is>
          <t>1</t>
        </is>
      </c>
      <c r="R766" s="25" t="inlineStr">
        <is>
          <t>12</t>
        </is>
      </c>
      <c r="S766" s="27" t="n">
        <v>8500</v>
      </c>
      <c r="T766" s="27" t="n"/>
      <c r="U766" s="25" t="n">
        <v>2</v>
      </c>
      <c r="V766" s="27">
        <f>IF(S766="","",S766*U766)</f>
        <v/>
      </c>
      <c r="W766" s="26" t="inlineStr">
        <is>
          <t>Catalogue fee €8,500/yr (entered by institution).</t>
        </is>
      </c>
      <c r="X766" s="25" t="inlineStr">
        <is>
          <t>High</t>
        </is>
      </c>
      <c r="Y766" s="25" t="inlineStr">
        <is>
          <t>8500</t>
        </is>
      </c>
      <c r="Z766" s="26" t="n"/>
      <c r="AA766" s="26" t="n"/>
      <c r="AB766" s="25" t="n"/>
      <c r="AC766" s="25" t="inlineStr">
        <is>
          <t>Open</t>
        </is>
      </c>
      <c r="AD766" s="25" t="inlineStr">
        <is>
          <t>2026-10-01</t>
        </is>
      </c>
      <c r="AE766" s="25" t="inlineStr">
        <is>
          <t>2027-03-15</t>
        </is>
      </c>
      <c r="AF766" s="25" t="inlineStr">
        <is>
          <t>Yes</t>
        </is>
      </c>
      <c r="AG766" s="28" t="inlineStr">
        <is>
          <t>https://www.cesi.fr/en/trainings/master-degree-in-computer-science/</t>
        </is>
      </c>
      <c r="AH766" s="26" t="inlineStr">
        <is>
          <t>Admission to 1st year of master: Hold a diploma equivalent to a first-year university Master's degree, attesting to four years of higher education after the end of secondary school, in a scientific or technical field. At</t>
        </is>
      </c>
      <c r="AI766" s="28" t="inlineStr">
        <is>
          <t>Open in EEF</t>
        </is>
      </c>
    </row>
    <row r="767" ht="32.8" customHeight="1" s="19">
      <c r="A767" s="25" t="n">
        <v>766</v>
      </c>
      <c r="B767" s="25" t="inlineStr">
        <is>
          <t>★★★☆☆</t>
        </is>
      </c>
      <c r="C767" s="25" t="inlineStr">
        <is>
          <t>3 – Adjacent (AI/data/CS/cyber/energy)</t>
        </is>
      </c>
      <c r="D767" s="25" t="inlineStr">
        <is>
          <t>Computer science / Software</t>
        </is>
      </c>
      <c r="E767" s="26" t="inlineStr">
        <is>
          <t>Diplôme d'ingénieur Ingénieur CESI - Ingénieur en informatique et sciences du numérique</t>
        </is>
      </c>
      <c r="F767" s="26" t="inlineStr">
        <is>
          <t>Engineering diploma Engineer CESI - Engineer in Computer Science &amp; Sciences of Digital</t>
        </is>
      </c>
      <c r="G767" s="25" t="inlineStr">
        <is>
          <t>Diplôme d'ingénieur</t>
        </is>
      </c>
      <c r="H767" s="25" t="inlineStr">
        <is>
          <t>CESI Ecole d'Ingénieurs</t>
        </is>
      </c>
      <c r="I767" s="25" t="inlineStr">
        <is>
          <t>CESI</t>
        </is>
      </c>
      <c r="J767" s="25" t="inlineStr">
        <is>
          <t>Campus de Dijon</t>
        </is>
      </c>
      <c r="K767" s="25" t="inlineStr">
        <is>
          <t>21800 QUETIGNY - France</t>
        </is>
      </c>
      <c r="L767" s="25" t="inlineStr">
        <is>
          <t>Private / EESPIG</t>
        </is>
      </c>
      <c r="M767" s="25" t="inlineStr">
        <is>
          <t>French &amp; English</t>
        </is>
      </c>
      <c r="N767" s="25" t="inlineStr">
        <is>
          <t>General</t>
        </is>
      </c>
      <c r="O767" s="25" t="inlineStr">
        <is>
          <t>Bac +1 / Bac +2 / Bac +3 / Bac +4 / Bac +5</t>
        </is>
      </c>
      <c r="P767" s="26" t="inlineStr">
        <is>
          <t>Eligible on level (4-yr BS ≈ Bac+4)</t>
        </is>
      </c>
      <c r="Q767" s="25" t="inlineStr">
        <is>
          <t>1/2/3/4/5</t>
        </is>
      </c>
      <c r="R767" s="25" t="inlineStr">
        <is>
          <t>10</t>
        </is>
      </c>
      <c r="S767" s="27" t="n">
        <v>8500</v>
      </c>
      <c r="T767" s="27" t="n"/>
      <c r="U767" s="25" t="n">
        <v>2</v>
      </c>
      <c r="V767" s="27">
        <f>IF(S767="","",S767*U767)</f>
        <v/>
      </c>
      <c r="W767" s="26" t="inlineStr">
        <is>
          <t>Catalogue fee €8,500/yr (entered by institution).</t>
        </is>
      </c>
      <c r="X767" s="25" t="inlineStr">
        <is>
          <t>High</t>
        </is>
      </c>
      <c r="Y767" s="25" t="inlineStr">
        <is>
          <t>8500</t>
        </is>
      </c>
      <c r="Z767" s="26" t="n"/>
      <c r="AA767" s="26" t="n"/>
      <c r="AB767" s="25" t="n"/>
      <c r="AC767" s="25" t="inlineStr">
        <is>
          <t>Open</t>
        </is>
      </c>
      <c r="AD767" s="25" t="inlineStr">
        <is>
          <t>2026-10-01</t>
        </is>
      </c>
      <c r="AE767" s="25" t="inlineStr">
        <is>
          <t>2027-03-15</t>
        </is>
      </c>
      <c r="AF767" s="25" t="inlineStr">
        <is>
          <t>Yes</t>
        </is>
      </c>
      <c r="AG767" s="28" t="inlineStr">
        <is>
          <t>https://www.cesi.fr/formation/ingenieur-e-specialite-informatique-sous-statut-etudiant-2019208/</t>
        </is>
      </c>
      <c r="AH767" s="26" t="inlineStr">
        <is>
          <t>La formation d’ingénieur CESI, spécialité informatique et sciences du numérique, dure 5 ans : 2 ans en cycle préparatoire et 3 ans en cycle ingénieur. Selon votre niveau de formation actuel, vous pouvez entrer en cycle p</t>
        </is>
      </c>
      <c r="AI767" s="28" t="inlineStr">
        <is>
          <t>Open in EEF</t>
        </is>
      </c>
    </row>
    <row r="768" ht="32.8" customHeight="1" s="19">
      <c r="A768" s="25" t="n">
        <v>767</v>
      </c>
      <c r="B768" s="25" t="inlineStr">
        <is>
          <t>★★★☆☆</t>
        </is>
      </c>
      <c r="C768" s="25" t="inlineStr">
        <is>
          <t>3 – Adjacent (AI/data/CS/cyber/energy)</t>
        </is>
      </c>
      <c r="D768" s="25" t="inlineStr">
        <is>
          <t>Computer science / Software</t>
        </is>
      </c>
      <c r="E768" s="26" t="inlineStr">
        <is>
          <t>Diplôme d'ingénieur Ingénieur CESI - Ingénieur en informatique et sciences du numérique</t>
        </is>
      </c>
      <c r="F768" s="26" t="inlineStr">
        <is>
          <t>Engineering diploma Engineer CESI - Engineer in Computer Science &amp; Sciences of Digital</t>
        </is>
      </c>
      <c r="G768" s="25" t="inlineStr">
        <is>
          <t>Diplôme d'ingénieur</t>
        </is>
      </c>
      <c r="H768" s="25" t="inlineStr">
        <is>
          <t>CESI Ecole d'Ingénieurs</t>
        </is>
      </c>
      <c r="I768" s="25" t="inlineStr">
        <is>
          <t>CESI</t>
        </is>
      </c>
      <c r="J768" s="25" t="inlineStr">
        <is>
          <t>Campus d'Angoulême</t>
        </is>
      </c>
      <c r="K768" s="25" t="inlineStr">
        <is>
          <t>16400 La Couronne</t>
        </is>
      </c>
      <c r="L768" s="25" t="inlineStr">
        <is>
          <t>Private / EESPIG</t>
        </is>
      </c>
      <c r="M768" s="25" t="inlineStr">
        <is>
          <t>French</t>
        </is>
      </c>
      <c r="N768" s="25" t="inlineStr">
        <is>
          <t>General</t>
        </is>
      </c>
      <c r="O768" s="25" t="inlineStr">
        <is>
          <t>Bac +1 / Bac +2 / Bac +3 / Bac +4 / Bac +5</t>
        </is>
      </c>
      <c r="P768" s="26" t="inlineStr">
        <is>
          <t>Eligible on level (4-yr BS ≈ Bac+4)</t>
        </is>
      </c>
      <c r="Q768" s="25" t="inlineStr">
        <is>
          <t>1/2/3/4/5</t>
        </is>
      </c>
      <c r="R768" s="25" t="inlineStr">
        <is>
          <t>10</t>
        </is>
      </c>
      <c r="S768" s="27" t="n">
        <v>8500</v>
      </c>
      <c r="T768" s="27" t="n"/>
      <c r="U768" s="25" t="n">
        <v>2</v>
      </c>
      <c r="V768" s="27">
        <f>IF(S768="","",S768*U768)</f>
        <v/>
      </c>
      <c r="W768" s="26" t="inlineStr">
        <is>
          <t>Catalogue fee €8,500/yr (entered by institution).</t>
        </is>
      </c>
      <c r="X768" s="25" t="inlineStr">
        <is>
          <t>High</t>
        </is>
      </c>
      <c r="Y768" s="25" t="inlineStr">
        <is>
          <t>8500/10500</t>
        </is>
      </c>
      <c r="Z768" s="26" t="n"/>
      <c r="AA768" s="26" t="n"/>
      <c r="AB768" s="25" t="n"/>
      <c r="AC768" s="25" t="inlineStr">
        <is>
          <t>Open</t>
        </is>
      </c>
      <c r="AD768" s="25" t="inlineStr">
        <is>
          <t>2026-10-01</t>
        </is>
      </c>
      <c r="AE768" s="25" t="inlineStr">
        <is>
          <t>2027-03-15</t>
        </is>
      </c>
      <c r="AF768" s="25" t="inlineStr">
        <is>
          <t>Yes</t>
        </is>
      </c>
      <c r="AG768" s="28" t="inlineStr">
        <is>
          <t>https://www.cesi.fr/formation/ingenieur-e-specialite-informatique-sous-statut-etudiant-2019208/</t>
        </is>
      </c>
      <c r="AH768" s="26" t="inlineStr">
        <is>
          <t>La formation d’ingénieur CESI, spécialité informatique et sciences du numérique, dure 5 ans : 2 ans en cycle préparatoire et 3 ans en cycle ingénieur. Selon votre niveau de formation actuel, vous pouvez entrer en cycle p</t>
        </is>
      </c>
      <c r="AI768" s="28" t="inlineStr">
        <is>
          <t>Open in EEF</t>
        </is>
      </c>
    </row>
    <row r="769" ht="32.8" customHeight="1" s="19">
      <c r="A769" s="25" t="n">
        <v>768</v>
      </c>
      <c r="B769" s="25" t="inlineStr">
        <is>
          <t>★★★☆☆</t>
        </is>
      </c>
      <c r="C769" s="25" t="inlineStr">
        <is>
          <t>3 – Adjacent (AI/data/CS/cyber/energy)</t>
        </is>
      </c>
      <c r="D769" s="25" t="inlineStr">
        <is>
          <t>Computer science / Software</t>
        </is>
      </c>
      <c r="E769" s="26" t="inlineStr">
        <is>
          <t>Diplôme d'ingénieur Ingénieur CESI - Ingénieur en informatique et sciences du numérique</t>
        </is>
      </c>
      <c r="F769" s="26" t="inlineStr">
        <is>
          <t>Engineering diploma Engineer CESI - Engineer in Computer Science &amp; Sciences of Digital</t>
        </is>
      </c>
      <c r="G769" s="25" t="inlineStr">
        <is>
          <t>Diplôme d'ingénieur</t>
        </is>
      </c>
      <c r="H769" s="25" t="inlineStr">
        <is>
          <t>CESI Ecole d'Ingénieurs</t>
        </is>
      </c>
      <c r="I769" s="25" t="inlineStr">
        <is>
          <t>CESI</t>
        </is>
      </c>
      <c r="J769" s="25" t="inlineStr">
        <is>
          <t>Campus de Bordeaux</t>
        </is>
      </c>
      <c r="K769" s="25" t="inlineStr">
        <is>
          <t>33300 Bordeaux</t>
        </is>
      </c>
      <c r="L769" s="25" t="inlineStr">
        <is>
          <t>Private / EESPIG</t>
        </is>
      </c>
      <c r="M769" s="25" t="inlineStr">
        <is>
          <t>French</t>
        </is>
      </c>
      <c r="N769" s="25" t="inlineStr">
        <is>
          <t>General</t>
        </is>
      </c>
      <c r="O769" s="25" t="inlineStr">
        <is>
          <t>Bac +1 / Bac +2 / Bac +3 / Bac +4 / Bac +5</t>
        </is>
      </c>
      <c r="P769" s="26" t="inlineStr">
        <is>
          <t>Eligible on level (4-yr BS ≈ Bac+4)</t>
        </is>
      </c>
      <c r="Q769" s="25" t="inlineStr">
        <is>
          <t>1/2/3/4/5</t>
        </is>
      </c>
      <c r="R769" s="25" t="inlineStr">
        <is>
          <t>10</t>
        </is>
      </c>
      <c r="S769" s="27" t="n">
        <v>8500</v>
      </c>
      <c r="T769" s="27" t="n"/>
      <c r="U769" s="25" t="n">
        <v>2</v>
      </c>
      <c r="V769" s="27">
        <f>IF(S769="","",S769*U769)</f>
        <v/>
      </c>
      <c r="W769" s="26" t="inlineStr">
        <is>
          <t>Catalogue fee €8,500/yr (entered by institution).</t>
        </is>
      </c>
      <c r="X769" s="25" t="inlineStr">
        <is>
          <t>High</t>
        </is>
      </c>
      <c r="Y769" s="25" t="inlineStr">
        <is>
          <t>8500/10500</t>
        </is>
      </c>
      <c r="Z769" s="26" t="n"/>
      <c r="AA769" s="26" t="n"/>
      <c r="AB769" s="25" t="n"/>
      <c r="AC769" s="25" t="inlineStr">
        <is>
          <t>Open</t>
        </is>
      </c>
      <c r="AD769" s="25" t="inlineStr">
        <is>
          <t>2026-10-01</t>
        </is>
      </c>
      <c r="AE769" s="25" t="inlineStr">
        <is>
          <t>2027-03-15</t>
        </is>
      </c>
      <c r="AF769" s="25" t="inlineStr">
        <is>
          <t>Yes</t>
        </is>
      </c>
      <c r="AG769" s="28" t="inlineStr">
        <is>
          <t>https://www.cesi.fr/formation/ingenieur-e-specialite-informatique-sous-statut-etudiant-2019208/</t>
        </is>
      </c>
      <c r="AH769" s="26" t="inlineStr">
        <is>
          <t>La formation d’ingénieur CESI, spécialité informatique et sciences du numérique, dure 5 ans : 2 ans en cycle préparatoire et 3 ans en cycle ingénieur. Selon votre niveau de formation actuel, vous pouvez entrer en cycle p</t>
        </is>
      </c>
      <c r="AI769" s="28" t="inlineStr">
        <is>
          <t>Open in EEF</t>
        </is>
      </c>
    </row>
    <row r="770" ht="32.8" customHeight="1" s="19">
      <c r="A770" s="25" t="n">
        <v>769</v>
      </c>
      <c r="B770" s="25" t="inlineStr">
        <is>
          <t>★★★☆☆</t>
        </is>
      </c>
      <c r="C770" s="25" t="inlineStr">
        <is>
          <t>3 – Adjacent (AI/data/CS/cyber/energy)</t>
        </is>
      </c>
      <c r="D770" s="25" t="inlineStr">
        <is>
          <t>Computer science / Software</t>
        </is>
      </c>
      <c r="E770" s="26" t="inlineStr">
        <is>
          <t>Diplôme d'ingénieur Ingénieur CESI - Ingénieur en informatique et sciences du numérique</t>
        </is>
      </c>
      <c r="F770" s="26" t="inlineStr">
        <is>
          <t>Engineering diploma Engineer CESI - Engineer in Computer Science &amp; Sciences of Digital</t>
        </is>
      </c>
      <c r="G770" s="25" t="inlineStr">
        <is>
          <t>Diplôme d'ingénieur</t>
        </is>
      </c>
      <c r="H770" s="25" t="inlineStr">
        <is>
          <t>CESI Ecole d'Ingénieurs</t>
        </is>
      </c>
      <c r="I770" s="25" t="inlineStr">
        <is>
          <t>CESI</t>
        </is>
      </c>
      <c r="J770" s="25" t="inlineStr">
        <is>
          <t>Campus d'Arras</t>
        </is>
      </c>
      <c r="K770" s="25" t="inlineStr">
        <is>
          <t>62000 Arras</t>
        </is>
      </c>
      <c r="L770" s="25" t="inlineStr">
        <is>
          <t>Private / EESPIG</t>
        </is>
      </c>
      <c r="M770" s="25" t="inlineStr">
        <is>
          <t>French</t>
        </is>
      </c>
      <c r="N770" s="25" t="inlineStr">
        <is>
          <t>General</t>
        </is>
      </c>
      <c r="O770" s="25" t="inlineStr">
        <is>
          <t>Bac +1 / Bac +2 / Bac +3 / Bac +4 / Bac +5</t>
        </is>
      </c>
      <c r="P770" s="26" t="inlineStr">
        <is>
          <t>Eligible on level (4-yr BS ≈ Bac+4)</t>
        </is>
      </c>
      <c r="Q770" s="25" t="inlineStr">
        <is>
          <t>1/2/3/4/5</t>
        </is>
      </c>
      <c r="R770" s="25" t="inlineStr">
        <is>
          <t>10</t>
        </is>
      </c>
      <c r="S770" s="27" t="n">
        <v>8500</v>
      </c>
      <c r="T770" s="27" t="n"/>
      <c r="U770" s="25" t="n">
        <v>2</v>
      </c>
      <c r="V770" s="27">
        <f>IF(S770="","",S770*U770)</f>
        <v/>
      </c>
      <c r="W770" s="26" t="inlineStr">
        <is>
          <t>Catalogue fee €8,500/yr (entered by institution).</t>
        </is>
      </c>
      <c r="X770" s="25" t="inlineStr">
        <is>
          <t>High</t>
        </is>
      </c>
      <c r="Y770" s="25" t="inlineStr">
        <is>
          <t>8500</t>
        </is>
      </c>
      <c r="Z770" s="26" t="n"/>
      <c r="AA770" s="26" t="n"/>
      <c r="AB770" s="25" t="n"/>
      <c r="AC770" s="25" t="inlineStr">
        <is>
          <t>Open</t>
        </is>
      </c>
      <c r="AD770" s="25" t="inlineStr">
        <is>
          <t>2026-10-01</t>
        </is>
      </c>
      <c r="AE770" s="25" t="inlineStr">
        <is>
          <t>2027-03-15</t>
        </is>
      </c>
      <c r="AF770" s="25" t="inlineStr">
        <is>
          <t>Yes</t>
        </is>
      </c>
      <c r="AG770" s="28" t="inlineStr">
        <is>
          <t>https://www.cesi.fr/formation/ingenieur-e-specialite-informatique-sous-statut-etudiant-2019208/</t>
        </is>
      </c>
      <c r="AH770" s="26" t="inlineStr">
        <is>
          <t>La formation d’ingénieur CESI, spécialité informatique et sciences du numérique, dure 5 ans : 2 ans en cycle préparatoire et 3 ans en cycle ingénieur. Selon votre niveau de formation actuel, vous pouvez entrer en cycle p</t>
        </is>
      </c>
      <c r="AI770" s="28" t="inlineStr">
        <is>
          <t>Open in EEF</t>
        </is>
      </c>
    </row>
    <row r="771" ht="32.8" customHeight="1" s="19">
      <c r="A771" s="25" t="n">
        <v>770</v>
      </c>
      <c r="B771" s="25" t="inlineStr">
        <is>
          <t>★★★☆☆</t>
        </is>
      </c>
      <c r="C771" s="25" t="inlineStr">
        <is>
          <t>3 – Adjacent (AI/data/CS/cyber/energy)</t>
        </is>
      </c>
      <c r="D771" s="25" t="inlineStr">
        <is>
          <t>Computer science / Software</t>
        </is>
      </c>
      <c r="E771" s="26" t="inlineStr">
        <is>
          <t>Diplôme d'ingénieur Ingénieur CESI - Ingénieur en informatique et sciences du numérique</t>
        </is>
      </c>
      <c r="F771" s="26" t="inlineStr">
        <is>
          <t>Engineering diploma Engineer CESI - Engineer in Computer Science &amp; Sciences of Digital</t>
        </is>
      </c>
      <c r="G771" s="25" t="inlineStr">
        <is>
          <t>Diplôme d'ingénieur</t>
        </is>
      </c>
      <c r="H771" s="25" t="inlineStr">
        <is>
          <t>CESI Ecole d'Ingénieurs</t>
        </is>
      </c>
      <c r="I771" s="25" t="inlineStr">
        <is>
          <t>CESI</t>
        </is>
      </c>
      <c r="J771" s="25" t="inlineStr">
        <is>
          <t>Campus d'Aix-en-Provence</t>
        </is>
      </c>
      <c r="K771" s="25" t="inlineStr">
        <is>
          <t>13290 Aix-en-Provence</t>
        </is>
      </c>
      <c r="L771" s="25" t="inlineStr">
        <is>
          <t>Private / EESPIG</t>
        </is>
      </c>
      <c r="M771" s="25" t="inlineStr">
        <is>
          <t>French</t>
        </is>
      </c>
      <c r="N771" s="25" t="inlineStr">
        <is>
          <t>General</t>
        </is>
      </c>
      <c r="O771" s="25" t="inlineStr">
        <is>
          <t>Bac +1 / Bac +2 / Bac +3 / Bac +4 / Bac +5</t>
        </is>
      </c>
      <c r="P771" s="26" t="inlineStr">
        <is>
          <t>Eligible on level (4-yr BS ≈ Bac+4)</t>
        </is>
      </c>
      <c r="Q771" s="25" t="inlineStr">
        <is>
          <t>1/2/3/4/5</t>
        </is>
      </c>
      <c r="R771" s="25" t="inlineStr">
        <is>
          <t>10</t>
        </is>
      </c>
      <c r="S771" s="27" t="n">
        <v>8500</v>
      </c>
      <c r="T771" s="27" t="n"/>
      <c r="U771" s="25" t="n">
        <v>2</v>
      </c>
      <c r="V771" s="27">
        <f>IF(S771="","",S771*U771)</f>
        <v/>
      </c>
      <c r="W771" s="26" t="inlineStr">
        <is>
          <t>Catalogue fee €8,500/yr (entered by institution).</t>
        </is>
      </c>
      <c r="X771" s="25" t="inlineStr">
        <is>
          <t>High</t>
        </is>
      </c>
      <c r="Y771" s="25" t="inlineStr">
        <is>
          <t>8500/10500</t>
        </is>
      </c>
      <c r="Z771" s="26" t="n"/>
      <c r="AA771" s="26" t="n"/>
      <c r="AB771" s="25" t="n"/>
      <c r="AC771" s="25" t="inlineStr">
        <is>
          <t>Open</t>
        </is>
      </c>
      <c r="AD771" s="25" t="inlineStr">
        <is>
          <t>2026-10-01</t>
        </is>
      </c>
      <c r="AE771" s="25" t="inlineStr">
        <is>
          <t>2027-03-15</t>
        </is>
      </c>
      <c r="AF771" s="25" t="inlineStr">
        <is>
          <t>Yes</t>
        </is>
      </c>
      <c r="AG771" s="28" t="inlineStr">
        <is>
          <t>https://www.cesi.fr/formation/ingenieur-e-specialite-informatique-sous-statut-etudiant-2019208/</t>
        </is>
      </c>
      <c r="AH771" s="26" t="inlineStr">
        <is>
          <t>La formation d’ingénieur CESI, spécialité informatique et sciences du numérique, dure 5 ans : 2 ans en cycle préparatoire et 3 ans en cycle ingénieur. Selon votre niveau de formation actuel, vous pouvez entrer en cycle p</t>
        </is>
      </c>
      <c r="AI771" s="28" t="inlineStr">
        <is>
          <t>Open in EEF</t>
        </is>
      </c>
    </row>
    <row r="772" ht="32.8" customHeight="1" s="19">
      <c r="A772" s="25" t="n">
        <v>771</v>
      </c>
      <c r="B772" s="25" t="inlineStr">
        <is>
          <t>★★★☆☆</t>
        </is>
      </c>
      <c r="C772" s="25" t="inlineStr">
        <is>
          <t>3 – Adjacent (AI/data/CS/cyber/energy)</t>
        </is>
      </c>
      <c r="D772" s="25" t="inlineStr">
        <is>
          <t>Computer science / Software</t>
        </is>
      </c>
      <c r="E772" s="26" t="inlineStr">
        <is>
          <t>Diplôme d'ingénieur Ingénieur CESI - Ingénieur en informatique et sciences du numérique</t>
        </is>
      </c>
      <c r="F772" s="26" t="inlineStr">
        <is>
          <t>Engineering diploma Engineer CESI - Engineer in Computer Science &amp; Sciences of Digital</t>
        </is>
      </c>
      <c r="G772" s="25" t="inlineStr">
        <is>
          <t>Diplôme d'ingénieur</t>
        </is>
      </c>
      <c r="H772" s="25" t="inlineStr">
        <is>
          <t>CESI Ecole d'Ingénieurs</t>
        </is>
      </c>
      <c r="I772" s="25" t="inlineStr">
        <is>
          <t>CESI</t>
        </is>
      </c>
      <c r="J772" s="25" t="inlineStr">
        <is>
          <t>Campus de La Rochelle</t>
        </is>
      </c>
      <c r="K772" s="25" t="inlineStr">
        <is>
          <t>17140 Lagord</t>
        </is>
      </c>
      <c r="L772" s="25" t="inlineStr">
        <is>
          <t>Private / EESPIG</t>
        </is>
      </c>
      <c r="M772" s="25" t="inlineStr">
        <is>
          <t>French</t>
        </is>
      </c>
      <c r="N772" s="25" t="inlineStr">
        <is>
          <t>General</t>
        </is>
      </c>
      <c r="O772" s="25" t="inlineStr">
        <is>
          <t>Bac +1 / Bac +2 / Bac +3 / Bac +4 / Bac +5</t>
        </is>
      </c>
      <c r="P772" s="26" t="inlineStr">
        <is>
          <t>Eligible on level (4-yr BS ≈ Bac+4)</t>
        </is>
      </c>
      <c r="Q772" s="25" t="inlineStr">
        <is>
          <t>1/2/3/4/5</t>
        </is>
      </c>
      <c r="R772" s="25" t="inlineStr">
        <is>
          <t>10</t>
        </is>
      </c>
      <c r="S772" s="27" t="n">
        <v>8500</v>
      </c>
      <c r="T772" s="27" t="n"/>
      <c r="U772" s="25" t="n">
        <v>2</v>
      </c>
      <c r="V772" s="27">
        <f>IF(S772="","",S772*U772)</f>
        <v/>
      </c>
      <c r="W772" s="26" t="inlineStr">
        <is>
          <t>Catalogue fee €8,500/yr (entered by institution).</t>
        </is>
      </c>
      <c r="X772" s="25" t="inlineStr">
        <is>
          <t>High</t>
        </is>
      </c>
      <c r="Y772" s="25" t="inlineStr">
        <is>
          <t>8500/10500</t>
        </is>
      </c>
      <c r="Z772" s="26" t="n"/>
      <c r="AA772" s="26" t="n"/>
      <c r="AB772" s="25" t="n"/>
      <c r="AC772" s="25" t="inlineStr">
        <is>
          <t>Open</t>
        </is>
      </c>
      <c r="AD772" s="25" t="inlineStr">
        <is>
          <t>2026-10-01</t>
        </is>
      </c>
      <c r="AE772" s="25" t="inlineStr">
        <is>
          <t>2027-03-15</t>
        </is>
      </c>
      <c r="AF772" s="25" t="inlineStr">
        <is>
          <t>Yes</t>
        </is>
      </c>
      <c r="AG772" s="28" t="inlineStr">
        <is>
          <t>https://www.cesi.fr/formation/ingenieur-e-specialite-informatique-sous-statut-etudiant-2019208/</t>
        </is>
      </c>
      <c r="AH772" s="26" t="inlineStr">
        <is>
          <t>La formation d’ingénieur CESI, spécialité informatique et sciences du numérique, dure 5 ans : 2 ans en cycle préparatoire et 3 ans en cycle ingénieur. Selon votre niveau de formation actuel, vous pouvez entrer en cycle p</t>
        </is>
      </c>
      <c r="AI772" s="28" t="inlineStr">
        <is>
          <t>Open in EEF</t>
        </is>
      </c>
    </row>
    <row r="773" ht="32.8" customHeight="1" s="19">
      <c r="A773" s="25" t="n">
        <v>772</v>
      </c>
      <c r="B773" s="25" t="inlineStr">
        <is>
          <t>★★★☆☆</t>
        </is>
      </c>
      <c r="C773" s="25" t="inlineStr">
        <is>
          <t>3 – Adjacent (AI/data/CS/cyber/energy)</t>
        </is>
      </c>
      <c r="D773" s="25" t="inlineStr">
        <is>
          <t>Computer science / Software</t>
        </is>
      </c>
      <c r="E773" s="26" t="inlineStr">
        <is>
          <t>Diplôme d'ingénieur Ingénieur CESI - Ingénieur en informatique et sciences du numérique</t>
        </is>
      </c>
      <c r="F773" s="26" t="inlineStr">
        <is>
          <t>Engineering diploma Engineer CESI - Engineer in Computer Science &amp; Sciences of Digital</t>
        </is>
      </c>
      <c r="G773" s="25" t="inlineStr">
        <is>
          <t>Diplôme d'ingénieur</t>
        </is>
      </c>
      <c r="H773" s="25" t="inlineStr">
        <is>
          <t>CESI Ecole d'Ingénieurs</t>
        </is>
      </c>
      <c r="I773" s="25" t="inlineStr">
        <is>
          <t>CESI</t>
        </is>
      </c>
      <c r="J773" s="25" t="inlineStr">
        <is>
          <t>Campus de Lyon</t>
        </is>
      </c>
      <c r="K773" s="25" t="inlineStr">
        <is>
          <t>69100 VILLEURBANNE</t>
        </is>
      </c>
      <c r="L773" s="25" t="inlineStr">
        <is>
          <t>Private / EESPIG</t>
        </is>
      </c>
      <c r="M773" s="25" t="inlineStr">
        <is>
          <t>French</t>
        </is>
      </c>
      <c r="N773" s="25" t="inlineStr">
        <is>
          <t>General</t>
        </is>
      </c>
      <c r="O773" s="25" t="inlineStr">
        <is>
          <t>Bac +1 / Bac +2 / Bac +3 / Bac +4 / Bac +5</t>
        </is>
      </c>
      <c r="P773" s="26" t="inlineStr">
        <is>
          <t>Eligible on level (4-yr BS ≈ Bac+4)</t>
        </is>
      </c>
      <c r="Q773" s="25" t="inlineStr">
        <is>
          <t>1/2/3/4/5</t>
        </is>
      </c>
      <c r="R773" s="25" t="inlineStr">
        <is>
          <t>10</t>
        </is>
      </c>
      <c r="S773" s="27" t="n">
        <v>8500</v>
      </c>
      <c r="T773" s="27" t="n"/>
      <c r="U773" s="25" t="n">
        <v>2</v>
      </c>
      <c r="V773" s="27">
        <f>IF(S773="","",S773*U773)</f>
        <v/>
      </c>
      <c r="W773" s="26" t="inlineStr">
        <is>
          <t>Catalogue fee €8,500/yr (entered by institution).</t>
        </is>
      </c>
      <c r="X773" s="25" t="inlineStr">
        <is>
          <t>High</t>
        </is>
      </c>
      <c r="Y773" s="25" t="inlineStr">
        <is>
          <t>8500/10500</t>
        </is>
      </c>
      <c r="Z773" s="26" t="n"/>
      <c r="AA773" s="26" t="n"/>
      <c r="AB773" s="25" t="n"/>
      <c r="AC773" s="25" t="inlineStr">
        <is>
          <t>Open</t>
        </is>
      </c>
      <c r="AD773" s="25" t="inlineStr">
        <is>
          <t>2026-10-01</t>
        </is>
      </c>
      <c r="AE773" s="25" t="inlineStr">
        <is>
          <t>2027-03-15</t>
        </is>
      </c>
      <c r="AF773" s="25" t="inlineStr">
        <is>
          <t>Yes</t>
        </is>
      </c>
      <c r="AG773" s="28" t="inlineStr">
        <is>
          <t>https://www.cesi.fr/formation/ingenieur-e-specialite-informatique-sous-statut-etudiant-2019208/</t>
        </is>
      </c>
      <c r="AH773" s="26" t="inlineStr">
        <is>
          <t>La formation d’ingénieur CESI, spécialité informatique et sciences du numérique, dure 5 ans : 2 ans en cycle préparatoire et 3 ans en cycle ingénieur. Selon votre niveau de formation actuel, vous pouvez entrer en cycle p</t>
        </is>
      </c>
      <c r="AI773" s="28" t="inlineStr">
        <is>
          <t>Open in EEF</t>
        </is>
      </c>
    </row>
    <row r="774" ht="32.8" customHeight="1" s="19">
      <c r="A774" s="25" t="n">
        <v>773</v>
      </c>
      <c r="B774" s="25" t="inlineStr">
        <is>
          <t>★★★☆☆</t>
        </is>
      </c>
      <c r="C774" s="25" t="inlineStr">
        <is>
          <t>3 – Adjacent (AI/data/CS/cyber/energy)</t>
        </is>
      </c>
      <c r="D774" s="25" t="inlineStr">
        <is>
          <t>Computer science / Software</t>
        </is>
      </c>
      <c r="E774" s="26" t="inlineStr">
        <is>
          <t>Diplôme d'ingénieur Ingénieur CESI - Ingénieur en informatique et sciences du numérique</t>
        </is>
      </c>
      <c r="F774" s="26" t="inlineStr">
        <is>
          <t>Engineering diploma Engineer CESI - Engineer in Computer Science &amp; Sciences of Digital</t>
        </is>
      </c>
      <c r="G774" s="25" t="inlineStr">
        <is>
          <t>Diplôme d'ingénieur</t>
        </is>
      </c>
      <c r="H774" s="25" t="inlineStr">
        <is>
          <t>CESI Ecole d'Ingénieurs</t>
        </is>
      </c>
      <c r="I774" s="25" t="inlineStr">
        <is>
          <t>CESI</t>
        </is>
      </c>
      <c r="J774" s="25" t="inlineStr">
        <is>
          <t>Campus de Montpellier</t>
        </is>
      </c>
      <c r="K774" s="25" t="n"/>
      <c r="L774" s="25" t="inlineStr">
        <is>
          <t>Private / EESPIG</t>
        </is>
      </c>
      <c r="M774" s="25" t="inlineStr">
        <is>
          <t>French</t>
        </is>
      </c>
      <c r="N774" s="25" t="inlineStr">
        <is>
          <t>General</t>
        </is>
      </c>
      <c r="O774" s="25" t="inlineStr">
        <is>
          <t>Bac +1 / Bac +2 / Bac +3 / Bac +4 / Bac +5</t>
        </is>
      </c>
      <c r="P774" s="26" t="inlineStr">
        <is>
          <t>Eligible on level (4-yr BS ≈ Bac+4)</t>
        </is>
      </c>
      <c r="Q774" s="25" t="inlineStr">
        <is>
          <t>1/2/3/4/5</t>
        </is>
      </c>
      <c r="R774" s="25" t="inlineStr">
        <is>
          <t>10</t>
        </is>
      </c>
      <c r="S774" s="27" t="n">
        <v>8500</v>
      </c>
      <c r="T774" s="27" t="n"/>
      <c r="U774" s="25" t="n">
        <v>2</v>
      </c>
      <c r="V774" s="27">
        <f>IF(S774="","",S774*U774)</f>
        <v/>
      </c>
      <c r="W774" s="26" t="inlineStr">
        <is>
          <t>Catalogue fee €8,500/yr (entered by institution).</t>
        </is>
      </c>
      <c r="X774" s="25" t="inlineStr">
        <is>
          <t>High</t>
        </is>
      </c>
      <c r="Y774" s="25" t="inlineStr">
        <is>
          <t>8500/10500</t>
        </is>
      </c>
      <c r="Z774" s="26" t="n"/>
      <c r="AA774" s="26" t="n"/>
      <c r="AB774" s="25" t="n"/>
      <c r="AC774" s="25" t="inlineStr">
        <is>
          <t>Open</t>
        </is>
      </c>
      <c r="AD774" s="25" t="inlineStr">
        <is>
          <t>2026-10-01</t>
        </is>
      </c>
      <c r="AE774" s="25" t="inlineStr">
        <is>
          <t>2027-03-15</t>
        </is>
      </c>
      <c r="AF774" s="25" t="inlineStr">
        <is>
          <t>Yes</t>
        </is>
      </c>
      <c r="AG774" s="28" t="inlineStr">
        <is>
          <t>https://www.cesi.fr/formation/ingenieur-e-specialite-informatique-sous-statut-etudiant-2019208/</t>
        </is>
      </c>
      <c r="AH774" s="26" t="inlineStr">
        <is>
          <t>La formation d’ingénieur CESI, spécialité informatique et sciences du numérique, dure 5 ans : 2 ans en cycle préparatoire et 3 ans en cycle ingénieur. Selon votre niveau de formation actuel, vous pouvez entrer en cycle p</t>
        </is>
      </c>
      <c r="AI774" s="28" t="inlineStr">
        <is>
          <t>Open in EEF</t>
        </is>
      </c>
    </row>
    <row r="775" ht="32.8" customHeight="1" s="19">
      <c r="A775" s="25" t="n">
        <v>774</v>
      </c>
      <c r="B775" s="25" t="inlineStr">
        <is>
          <t>★★★☆☆</t>
        </is>
      </c>
      <c r="C775" s="25" t="inlineStr">
        <is>
          <t>3 – Adjacent (AI/data/CS/cyber/energy)</t>
        </is>
      </c>
      <c r="D775" s="25" t="inlineStr">
        <is>
          <t>Computer science / Software</t>
        </is>
      </c>
      <c r="E775" s="26" t="inlineStr">
        <is>
          <t>Diplôme d'ingénieur Ingénieur CESI - Ingénieur en informatique et sciences du numérique</t>
        </is>
      </c>
      <c r="F775" s="26" t="inlineStr">
        <is>
          <t>Engineering diploma Engineer CESI - Engineer in Computer Science &amp; Sciences of Digital</t>
        </is>
      </c>
      <c r="G775" s="25" t="inlineStr">
        <is>
          <t>Diplôme d'ingénieur</t>
        </is>
      </c>
      <c r="H775" s="25" t="inlineStr">
        <is>
          <t>CESI Ecole d'Ingénieurs</t>
        </is>
      </c>
      <c r="I775" s="25" t="inlineStr">
        <is>
          <t>CESI</t>
        </is>
      </c>
      <c r="J775" s="25" t="inlineStr">
        <is>
          <t>Campus de Nancy</t>
        </is>
      </c>
      <c r="K775" s="25" t="inlineStr">
        <is>
          <t>54500 Vandoeuvre-lès-Nancy</t>
        </is>
      </c>
      <c r="L775" s="25" t="inlineStr">
        <is>
          <t>Private / EESPIG</t>
        </is>
      </c>
      <c r="M775" s="25" t="inlineStr">
        <is>
          <t>French</t>
        </is>
      </c>
      <c r="N775" s="25" t="inlineStr">
        <is>
          <t>General</t>
        </is>
      </c>
      <c r="O775" s="25" t="inlineStr">
        <is>
          <t>Bac +1 / Bac +2 / Bac +3 / Bac +4 / Bac +5</t>
        </is>
      </c>
      <c r="P775" s="26" t="inlineStr">
        <is>
          <t>Eligible on level (4-yr BS ≈ Bac+4)</t>
        </is>
      </c>
      <c r="Q775" s="25" t="inlineStr">
        <is>
          <t>1/2/3/4/5</t>
        </is>
      </c>
      <c r="R775" s="25" t="inlineStr">
        <is>
          <t>10</t>
        </is>
      </c>
      <c r="S775" s="27" t="n">
        <v>8500</v>
      </c>
      <c r="T775" s="27" t="n"/>
      <c r="U775" s="25" t="n">
        <v>2</v>
      </c>
      <c r="V775" s="27">
        <f>IF(S775="","",S775*U775)</f>
        <v/>
      </c>
      <c r="W775" s="26" t="inlineStr">
        <is>
          <t>Catalogue fee €8,500/yr (entered by institution).</t>
        </is>
      </c>
      <c r="X775" s="25" t="inlineStr">
        <is>
          <t>High</t>
        </is>
      </c>
      <c r="Y775" s="25" t="inlineStr">
        <is>
          <t>8500/10500</t>
        </is>
      </c>
      <c r="Z775" s="26" t="n"/>
      <c r="AA775" s="26" t="n"/>
      <c r="AB775" s="25" t="n"/>
      <c r="AC775" s="25" t="inlineStr">
        <is>
          <t>Open</t>
        </is>
      </c>
      <c r="AD775" s="25" t="inlineStr">
        <is>
          <t>2026-10-01</t>
        </is>
      </c>
      <c r="AE775" s="25" t="inlineStr">
        <is>
          <t>2027-03-15</t>
        </is>
      </c>
      <c r="AF775" s="25" t="inlineStr">
        <is>
          <t>Yes</t>
        </is>
      </c>
      <c r="AG775" s="28" t="inlineStr">
        <is>
          <t>https://www.cesi.fr/formation/ingenieur-e-specialite-informatique-sous-statut-etudiant-2019208/</t>
        </is>
      </c>
      <c r="AH775" s="26" t="inlineStr">
        <is>
          <t>La formation d’ingénieur CESI, spécialité informatique et sciences du numérique, dure 5 ans : 2 ans en cycle préparatoire et 3 ans en cycle ingénieur. Selon votre niveau de formation actuel, vous pouvez entrer en cycle p</t>
        </is>
      </c>
      <c r="AI775" s="28" t="inlineStr">
        <is>
          <t>Open in EEF</t>
        </is>
      </c>
    </row>
    <row r="776" ht="32.8" customHeight="1" s="19">
      <c r="A776" s="25" t="n">
        <v>775</v>
      </c>
      <c r="B776" s="25" t="inlineStr">
        <is>
          <t>★★★☆☆</t>
        </is>
      </c>
      <c r="C776" s="25" t="inlineStr">
        <is>
          <t>3 – Adjacent (AI/data/CS/cyber/energy)</t>
        </is>
      </c>
      <c r="D776" s="25" t="inlineStr">
        <is>
          <t>Computer science / Software</t>
        </is>
      </c>
      <c r="E776" s="26" t="inlineStr">
        <is>
          <t>Diplôme d'ingénieur Ingénieur CESI - Ingénieur en informatique et sciences du numérique</t>
        </is>
      </c>
      <c r="F776" s="26" t="inlineStr">
        <is>
          <t>Engineering diploma Engineer CESI - Engineer in Computer Science &amp; Sciences of Digital</t>
        </is>
      </c>
      <c r="G776" s="25" t="inlineStr">
        <is>
          <t>Diplôme d'ingénieur</t>
        </is>
      </c>
      <c r="H776" s="25" t="inlineStr">
        <is>
          <t>CESI Ecole d'Ingénieurs</t>
        </is>
      </c>
      <c r="I776" s="25" t="inlineStr">
        <is>
          <t>CESI</t>
        </is>
      </c>
      <c r="J776" s="25" t="inlineStr">
        <is>
          <t>Campus de Reims</t>
        </is>
      </c>
      <c r="K776" s="25" t="inlineStr">
        <is>
          <t>51100 Reims</t>
        </is>
      </c>
      <c r="L776" s="25" t="inlineStr">
        <is>
          <t>Private / EESPIG</t>
        </is>
      </c>
      <c r="M776" s="25" t="inlineStr">
        <is>
          <t>French</t>
        </is>
      </c>
      <c r="N776" s="25" t="inlineStr">
        <is>
          <t>General</t>
        </is>
      </c>
      <c r="O776" s="25" t="inlineStr">
        <is>
          <t>Bac +1 / Bac +2 / Bac +3 / Bac +4 / Bac +5</t>
        </is>
      </c>
      <c r="P776" s="26" t="inlineStr">
        <is>
          <t>Eligible on level (4-yr BS ≈ Bac+4)</t>
        </is>
      </c>
      <c r="Q776" s="25" t="inlineStr">
        <is>
          <t>1/2/3/4/5</t>
        </is>
      </c>
      <c r="R776" s="25" t="inlineStr">
        <is>
          <t>10</t>
        </is>
      </c>
      <c r="S776" s="27" t="n">
        <v>8500</v>
      </c>
      <c r="T776" s="27" t="n"/>
      <c r="U776" s="25" t="n">
        <v>2</v>
      </c>
      <c r="V776" s="27">
        <f>IF(S776="","",S776*U776)</f>
        <v/>
      </c>
      <c r="W776" s="26" t="inlineStr">
        <is>
          <t>Catalogue fee €8,500/yr (entered by institution).</t>
        </is>
      </c>
      <c r="X776" s="25" t="inlineStr">
        <is>
          <t>High</t>
        </is>
      </c>
      <c r="Y776" s="25" t="inlineStr">
        <is>
          <t>8500/10500</t>
        </is>
      </c>
      <c r="Z776" s="26" t="n"/>
      <c r="AA776" s="26" t="n"/>
      <c r="AB776" s="25" t="n"/>
      <c r="AC776" s="25" t="inlineStr">
        <is>
          <t>Open</t>
        </is>
      </c>
      <c r="AD776" s="25" t="inlineStr">
        <is>
          <t>2026-10-01</t>
        </is>
      </c>
      <c r="AE776" s="25" t="inlineStr">
        <is>
          <t>2027-03-15</t>
        </is>
      </c>
      <c r="AF776" s="25" t="inlineStr">
        <is>
          <t>Yes</t>
        </is>
      </c>
      <c r="AG776" s="28" t="inlineStr">
        <is>
          <t>https://www.cesi.fr/formation/ingenieur-e-specialite-informatique-sous-statut-etudiant-2019208/</t>
        </is>
      </c>
      <c r="AH776" s="26" t="inlineStr">
        <is>
          <t>La formation d’ingénieur CESI, spécialité informatique et sciences du numérique, dure 5 ans : 2 ans en cycle préparatoire et 3 ans en cycle ingénieur. Selon votre niveau de formation actuel, vous pouvez entrer en cycle p</t>
        </is>
      </c>
      <c r="AI776" s="28" t="inlineStr">
        <is>
          <t>Open in EEF</t>
        </is>
      </c>
    </row>
    <row r="777" ht="32.8" customHeight="1" s="19">
      <c r="A777" s="25" t="n">
        <v>776</v>
      </c>
      <c r="B777" s="25" t="inlineStr">
        <is>
          <t>★★★☆☆</t>
        </is>
      </c>
      <c r="C777" s="25" t="inlineStr">
        <is>
          <t>3 – Adjacent (AI/data/CS/cyber/energy)</t>
        </is>
      </c>
      <c r="D777" s="25" t="inlineStr">
        <is>
          <t>Computer science / Software</t>
        </is>
      </c>
      <c r="E777" s="26" t="inlineStr">
        <is>
          <t>Diplôme d'ingénieur Ingénieur CESI - Ingénieur en informatique et sciences du numérique</t>
        </is>
      </c>
      <c r="F777" s="26" t="inlineStr">
        <is>
          <t>Engineering diploma Engineer CESI - Engineer in Computer Science &amp; Sciences of Digital</t>
        </is>
      </c>
      <c r="G777" s="25" t="inlineStr">
        <is>
          <t>Diplôme d'ingénieur</t>
        </is>
      </c>
      <c r="H777" s="25" t="inlineStr">
        <is>
          <t>CESI Ecole d'Ingénieurs</t>
        </is>
      </c>
      <c r="I777" s="25" t="inlineStr">
        <is>
          <t>CESI</t>
        </is>
      </c>
      <c r="J777" s="25" t="inlineStr">
        <is>
          <t>Campus de Rouen</t>
        </is>
      </c>
      <c r="K777" s="25" t="inlineStr">
        <is>
          <t>76808 Saint Etienne du Rouvray</t>
        </is>
      </c>
      <c r="L777" s="25" t="inlineStr">
        <is>
          <t>Private / EESPIG</t>
        </is>
      </c>
      <c r="M777" s="25" t="inlineStr">
        <is>
          <t>French</t>
        </is>
      </c>
      <c r="N777" s="25" t="inlineStr">
        <is>
          <t>General</t>
        </is>
      </c>
      <c r="O777" s="25" t="inlineStr">
        <is>
          <t>Bac +1 / Bac +2 / Bac +3 / Bac +4 / Bac +5</t>
        </is>
      </c>
      <c r="P777" s="26" t="inlineStr">
        <is>
          <t>Eligible on level (4-yr BS ≈ Bac+4)</t>
        </is>
      </c>
      <c r="Q777" s="25" t="inlineStr">
        <is>
          <t>1/2/3/4/5</t>
        </is>
      </c>
      <c r="R777" s="25" t="inlineStr">
        <is>
          <t>10</t>
        </is>
      </c>
      <c r="S777" s="27" t="n">
        <v>8500</v>
      </c>
      <c r="T777" s="27" t="n"/>
      <c r="U777" s="25" t="n">
        <v>2</v>
      </c>
      <c r="V777" s="27">
        <f>IF(S777="","",S777*U777)</f>
        <v/>
      </c>
      <c r="W777" s="26" t="inlineStr">
        <is>
          <t>Catalogue fee €8,500/yr (entered by institution).</t>
        </is>
      </c>
      <c r="X777" s="25" t="inlineStr">
        <is>
          <t>High</t>
        </is>
      </c>
      <c r="Y777" s="25" t="inlineStr">
        <is>
          <t>8500/10500</t>
        </is>
      </c>
      <c r="Z777" s="26" t="n"/>
      <c r="AA777" s="26" t="n"/>
      <c r="AB777" s="25" t="n"/>
      <c r="AC777" s="25" t="inlineStr">
        <is>
          <t>Open</t>
        </is>
      </c>
      <c r="AD777" s="25" t="inlineStr">
        <is>
          <t>2026-10-01</t>
        </is>
      </c>
      <c r="AE777" s="25" t="inlineStr">
        <is>
          <t>2027-03-15</t>
        </is>
      </c>
      <c r="AF777" s="25" t="inlineStr">
        <is>
          <t>Yes</t>
        </is>
      </c>
      <c r="AG777" s="28" t="inlineStr">
        <is>
          <t>https://www.cesi.fr/formation/ingenieur-e-specialite-informatique-sous-statut-etudiant-2019208/</t>
        </is>
      </c>
      <c r="AH777" s="26" t="inlineStr">
        <is>
          <t>La formation d’ingénieur CESI, spécialité informatique et sciences du numérique, dure 5 ans : 2 ans en cycle préparatoire et 3 ans en cycle ingénieur. Selon votre niveau de formation actuel, vous pouvez entrer en cycle p</t>
        </is>
      </c>
      <c r="AI777" s="28" t="inlineStr">
        <is>
          <t>Open in EEF</t>
        </is>
      </c>
    </row>
    <row r="778" ht="32.8" customHeight="1" s="19">
      <c r="A778" s="25" t="n">
        <v>777</v>
      </c>
      <c r="B778" s="25" t="inlineStr">
        <is>
          <t>★★★☆☆</t>
        </is>
      </c>
      <c r="C778" s="25" t="inlineStr">
        <is>
          <t>3 – Adjacent (AI/data/CS/cyber/energy)</t>
        </is>
      </c>
      <c r="D778" s="25" t="inlineStr">
        <is>
          <t>Computer science / Software</t>
        </is>
      </c>
      <c r="E778" s="26" t="inlineStr">
        <is>
          <t>Diplôme d'ingénieur Ingénieur CESI - Ingénieur en informatique et sciences du numérique</t>
        </is>
      </c>
      <c r="F778" s="26" t="inlineStr">
        <is>
          <t>Engineering diploma Engineer CESI - Engineer in Computer Science &amp; Sciences of Digital</t>
        </is>
      </c>
      <c r="G778" s="25" t="inlineStr">
        <is>
          <t>Diplôme d'ingénieur</t>
        </is>
      </c>
      <c r="H778" s="25" t="inlineStr">
        <is>
          <t>CESI Ecole d'Ingénieurs</t>
        </is>
      </c>
      <c r="I778" s="25" t="inlineStr">
        <is>
          <t>CESI</t>
        </is>
      </c>
      <c r="J778" s="25" t="inlineStr">
        <is>
          <t>Campus de Saint-Nazaire</t>
        </is>
      </c>
      <c r="K778" s="25" t="inlineStr">
        <is>
          <t>44600 Saint-Nazaire</t>
        </is>
      </c>
      <c r="L778" s="25" t="inlineStr">
        <is>
          <t>Private / EESPIG</t>
        </is>
      </c>
      <c r="M778" s="25" t="inlineStr">
        <is>
          <t>French</t>
        </is>
      </c>
      <c r="N778" s="25" t="inlineStr">
        <is>
          <t>General</t>
        </is>
      </c>
      <c r="O778" s="25" t="inlineStr">
        <is>
          <t>Bac +1 / Bac +2 / Bac +3 / Bac +4 / Bac +5</t>
        </is>
      </c>
      <c r="P778" s="26" t="inlineStr">
        <is>
          <t>Eligible on level (4-yr BS ≈ Bac+4)</t>
        </is>
      </c>
      <c r="Q778" s="25" t="inlineStr">
        <is>
          <t>1/2/3/4/5</t>
        </is>
      </c>
      <c r="R778" s="25" t="inlineStr">
        <is>
          <t>10</t>
        </is>
      </c>
      <c r="S778" s="27" t="n">
        <v>8500</v>
      </c>
      <c r="T778" s="27" t="n"/>
      <c r="U778" s="25" t="n">
        <v>2</v>
      </c>
      <c r="V778" s="27">
        <f>IF(S778="","",S778*U778)</f>
        <v/>
      </c>
      <c r="W778" s="26" t="inlineStr">
        <is>
          <t>Catalogue fee €8,500/yr (entered by institution).</t>
        </is>
      </c>
      <c r="X778" s="25" t="inlineStr">
        <is>
          <t>High</t>
        </is>
      </c>
      <c r="Y778" s="25" t="inlineStr">
        <is>
          <t>8500/10500</t>
        </is>
      </c>
      <c r="Z778" s="26" t="n"/>
      <c r="AA778" s="26" t="n"/>
      <c r="AB778" s="25" t="n"/>
      <c r="AC778" s="25" t="inlineStr">
        <is>
          <t>Open</t>
        </is>
      </c>
      <c r="AD778" s="25" t="inlineStr">
        <is>
          <t>2026-10-01</t>
        </is>
      </c>
      <c r="AE778" s="25" t="inlineStr">
        <is>
          <t>2027-03-15</t>
        </is>
      </c>
      <c r="AF778" s="25" t="inlineStr">
        <is>
          <t>Yes</t>
        </is>
      </c>
      <c r="AG778" s="28" t="inlineStr">
        <is>
          <t>https://www.cesi.fr/formation/ingenieur-e-specialite-informatique-sous-statut-etudiant-2019208/</t>
        </is>
      </c>
      <c r="AH778" s="26" t="inlineStr">
        <is>
          <t>La formation d’ingénieur CESI, spécialité informatique et sciences du numérique, dure 5 ans : 2 ans en cycle préparatoire et 3 ans en cycle ingénieur. Selon votre niveau de formation actuel, vous pouvez entrer en cycle p</t>
        </is>
      </c>
      <c r="AI778" s="28" t="inlineStr">
        <is>
          <t>Open in EEF</t>
        </is>
      </c>
    </row>
    <row r="779" ht="32.8" customHeight="1" s="19">
      <c r="A779" s="25" t="n">
        <v>778</v>
      </c>
      <c r="B779" s="25" t="inlineStr">
        <is>
          <t>★★★☆☆</t>
        </is>
      </c>
      <c r="C779" s="25" t="inlineStr">
        <is>
          <t>3 – Adjacent (AI/data/CS/cyber/energy)</t>
        </is>
      </c>
      <c r="D779" s="25" t="inlineStr">
        <is>
          <t>Computer science / Software</t>
        </is>
      </c>
      <c r="E779" s="26" t="inlineStr">
        <is>
          <t>Diplôme d'ingénieur Ingénieur CESI - Ingénieur en informatique et sciences du numérique</t>
        </is>
      </c>
      <c r="F779" s="26" t="inlineStr">
        <is>
          <t>Engineering diploma Engineer CESI - Engineer in Computer Science &amp; Sciences of Digital</t>
        </is>
      </c>
      <c r="G779" s="25" t="inlineStr">
        <is>
          <t>Diplôme d'ingénieur</t>
        </is>
      </c>
      <c r="H779" s="25" t="inlineStr">
        <is>
          <t>CESI Ecole d'Ingénieurs</t>
        </is>
      </c>
      <c r="I779" s="25" t="inlineStr">
        <is>
          <t>CESI</t>
        </is>
      </c>
      <c r="J779" s="25" t="inlineStr">
        <is>
          <t>Campus de Paris</t>
        </is>
      </c>
      <c r="K779" s="25" t="inlineStr">
        <is>
          <t>92000 Nanterre</t>
        </is>
      </c>
      <c r="L779" s="25" t="inlineStr">
        <is>
          <t>Private / EESPIG</t>
        </is>
      </c>
      <c r="M779" s="25" t="inlineStr">
        <is>
          <t>French</t>
        </is>
      </c>
      <c r="N779" s="25" t="inlineStr">
        <is>
          <t>General</t>
        </is>
      </c>
      <c r="O779" s="25" t="inlineStr">
        <is>
          <t>Bac +1 / Bac +2 / Bac +3 / Bac +4 / Bac +5</t>
        </is>
      </c>
      <c r="P779" s="26" t="inlineStr">
        <is>
          <t>Eligible on level (4-yr BS ≈ Bac+4)</t>
        </is>
      </c>
      <c r="Q779" s="25" t="inlineStr">
        <is>
          <t>1/2/3/4/5</t>
        </is>
      </c>
      <c r="R779" s="25" t="inlineStr">
        <is>
          <t>10</t>
        </is>
      </c>
      <c r="S779" s="27" t="n">
        <v>8500</v>
      </c>
      <c r="T779" s="27" t="n"/>
      <c r="U779" s="25" t="n">
        <v>2</v>
      </c>
      <c r="V779" s="27">
        <f>IF(S779="","",S779*U779)</f>
        <v/>
      </c>
      <c r="W779" s="26" t="inlineStr">
        <is>
          <t>Catalogue fee €8,500/yr (entered by institution).</t>
        </is>
      </c>
      <c r="X779" s="25" t="inlineStr">
        <is>
          <t>High</t>
        </is>
      </c>
      <c r="Y779" s="25" t="inlineStr">
        <is>
          <t>8500/10500</t>
        </is>
      </c>
      <c r="Z779" s="26" t="n"/>
      <c r="AA779" s="26" t="n"/>
      <c r="AB779" s="25" t="n"/>
      <c r="AC779" s="25" t="inlineStr">
        <is>
          <t>Open</t>
        </is>
      </c>
      <c r="AD779" s="25" t="inlineStr">
        <is>
          <t>2026-10-01</t>
        </is>
      </c>
      <c r="AE779" s="25" t="inlineStr">
        <is>
          <t>2027-03-15</t>
        </is>
      </c>
      <c r="AF779" s="25" t="inlineStr">
        <is>
          <t>Yes</t>
        </is>
      </c>
      <c r="AG779" s="28" t="inlineStr">
        <is>
          <t>https://www.cesi.fr/formation/ingenieur-e-specialite-informatique-sous-statut-etudiant-2019208/</t>
        </is>
      </c>
      <c r="AH779" s="26" t="inlineStr">
        <is>
          <t>La formation d’ingénieur CESI, spécialité informatique et sciences du numérique, dure 5 ans : 2 ans en cycle préparatoire et 3 ans en cycle ingénieur. Selon votre niveau de formation actuel, vous pouvez entrer en cycle p</t>
        </is>
      </c>
      <c r="AI779" s="28" t="inlineStr">
        <is>
          <t>Open in EEF</t>
        </is>
      </c>
    </row>
    <row r="780" ht="32.8" customHeight="1" s="19">
      <c r="A780" s="25" t="n">
        <v>779</v>
      </c>
      <c r="B780" s="25" t="inlineStr">
        <is>
          <t>★★★☆☆</t>
        </is>
      </c>
      <c r="C780" s="25" t="inlineStr">
        <is>
          <t>3 – Adjacent (AI/data/CS/cyber/energy)</t>
        </is>
      </c>
      <c r="D780" s="25" t="inlineStr">
        <is>
          <t>Computer science / Software</t>
        </is>
      </c>
      <c r="E780" s="26" t="inlineStr">
        <is>
          <t>Diplôme d'ingénieur Ingénieur CESI - Ingénieur en informatique et sciences du numérique</t>
        </is>
      </c>
      <c r="F780" s="26" t="inlineStr">
        <is>
          <t>Engineering diploma Engineer CESI - Engineer in Computer Science &amp; Sciences of Digital</t>
        </is>
      </c>
      <c r="G780" s="25" t="inlineStr">
        <is>
          <t>Diplôme d'ingénieur</t>
        </is>
      </c>
      <c r="H780" s="25" t="inlineStr">
        <is>
          <t>CESI Ecole d'Ingénieurs</t>
        </is>
      </c>
      <c r="I780" s="25" t="inlineStr">
        <is>
          <t>CESI</t>
        </is>
      </c>
      <c r="J780" s="25" t="inlineStr">
        <is>
          <t>Campus de Strasbourg</t>
        </is>
      </c>
      <c r="K780" s="25" t="inlineStr">
        <is>
          <t>67380 Lingolsheim</t>
        </is>
      </c>
      <c r="L780" s="25" t="inlineStr">
        <is>
          <t>Private / EESPIG</t>
        </is>
      </c>
      <c r="M780" s="25" t="inlineStr">
        <is>
          <t>French</t>
        </is>
      </c>
      <c r="N780" s="25" t="inlineStr">
        <is>
          <t>General</t>
        </is>
      </c>
      <c r="O780" s="25" t="inlineStr">
        <is>
          <t>Bac +1 / Bac +2 / Bac +3 / Bac +4 / Bac +5</t>
        </is>
      </c>
      <c r="P780" s="26" t="inlineStr">
        <is>
          <t>Eligible on level (4-yr BS ≈ Bac+4)</t>
        </is>
      </c>
      <c r="Q780" s="25" t="inlineStr">
        <is>
          <t>1/2/3/4/5</t>
        </is>
      </c>
      <c r="R780" s="25" t="inlineStr">
        <is>
          <t>10</t>
        </is>
      </c>
      <c r="S780" s="27" t="n">
        <v>8500</v>
      </c>
      <c r="T780" s="27" t="n"/>
      <c r="U780" s="25" t="n">
        <v>2</v>
      </c>
      <c r="V780" s="27">
        <f>IF(S780="","",S780*U780)</f>
        <v/>
      </c>
      <c r="W780" s="26" t="inlineStr">
        <is>
          <t>Catalogue fee €8,500/yr (entered by institution).</t>
        </is>
      </c>
      <c r="X780" s="25" t="inlineStr">
        <is>
          <t>High</t>
        </is>
      </c>
      <c r="Y780" s="25" t="inlineStr">
        <is>
          <t>8500/10500</t>
        </is>
      </c>
      <c r="Z780" s="26" t="n"/>
      <c r="AA780" s="26" t="n"/>
      <c r="AB780" s="25" t="n"/>
      <c r="AC780" s="25" t="inlineStr">
        <is>
          <t>Open</t>
        </is>
      </c>
      <c r="AD780" s="25" t="inlineStr">
        <is>
          <t>2026-10-01</t>
        </is>
      </c>
      <c r="AE780" s="25" t="inlineStr">
        <is>
          <t>2027-03-15</t>
        </is>
      </c>
      <c r="AF780" s="25" t="inlineStr">
        <is>
          <t>Yes</t>
        </is>
      </c>
      <c r="AG780" s="28" t="inlineStr">
        <is>
          <t>https://www.cesi.fr/formation/ingenieur-e-specialite-informatique-sous-statut-etudiant-2019208/</t>
        </is>
      </c>
      <c r="AH780" s="26" t="inlineStr">
        <is>
          <t>La formation d’ingénieur CESI, spécialité informatique et sciences du numérique, dure 5 ans : 2 ans en cycle préparatoire et 3 ans en cycle ingénieur. Selon votre niveau de formation actuel, vous pouvez entrer en cycle p</t>
        </is>
      </c>
      <c r="AI780" s="28" t="inlineStr">
        <is>
          <t>Open in EEF</t>
        </is>
      </c>
    </row>
    <row r="781" ht="32.8" customHeight="1" s="19">
      <c r="A781" s="25" t="n">
        <v>780</v>
      </c>
      <c r="B781" s="25" t="inlineStr">
        <is>
          <t>★★★☆☆</t>
        </is>
      </c>
      <c r="C781" s="25" t="inlineStr">
        <is>
          <t>3 – Adjacent (AI/data/CS/cyber/energy)</t>
        </is>
      </c>
      <c r="D781" s="25" t="inlineStr">
        <is>
          <t>Computer science / Software</t>
        </is>
      </c>
      <c r="E781" s="26" t="inlineStr">
        <is>
          <t>Diplôme d'ingénieur Ingénieur CESI - Ingénieur en informatique et sciences du numérique</t>
        </is>
      </c>
      <c r="F781" s="26" t="inlineStr">
        <is>
          <t>Engineering diploma Engineer CESI - Engineer in Computer Science &amp; Sciences of Digital</t>
        </is>
      </c>
      <c r="G781" s="25" t="inlineStr">
        <is>
          <t>Diplôme d'ingénieur</t>
        </is>
      </c>
      <c r="H781" s="25" t="inlineStr">
        <is>
          <t>CESI Ecole d'Ingénieurs</t>
        </is>
      </c>
      <c r="I781" s="25" t="inlineStr">
        <is>
          <t>CESI</t>
        </is>
      </c>
      <c r="J781" s="25" t="inlineStr">
        <is>
          <t>Campus de Lille</t>
        </is>
      </c>
      <c r="K781" s="25" t="inlineStr">
        <is>
          <t>59650 VILLENEUVE-D'ASCQ</t>
        </is>
      </c>
      <c r="L781" s="25" t="inlineStr">
        <is>
          <t>Private / EESPIG</t>
        </is>
      </c>
      <c r="M781" s="25" t="inlineStr">
        <is>
          <t>French</t>
        </is>
      </c>
      <c r="N781" s="25" t="inlineStr">
        <is>
          <t>General</t>
        </is>
      </c>
      <c r="O781" s="25" t="inlineStr">
        <is>
          <t>Bac +1 / Bac +2 / Bac +3 / Bac +4 / Bac +5</t>
        </is>
      </c>
      <c r="P781" s="26" t="inlineStr">
        <is>
          <t>Eligible on level (4-yr BS ≈ Bac+4)</t>
        </is>
      </c>
      <c r="Q781" s="25" t="inlineStr">
        <is>
          <t>1/2/3/4/5</t>
        </is>
      </c>
      <c r="R781" s="25" t="inlineStr">
        <is>
          <t>10</t>
        </is>
      </c>
      <c r="S781" s="27" t="n">
        <v>8500</v>
      </c>
      <c r="T781" s="27" t="n"/>
      <c r="U781" s="25" t="n">
        <v>2</v>
      </c>
      <c r="V781" s="27">
        <f>IF(S781="","",S781*U781)</f>
        <v/>
      </c>
      <c r="W781" s="26" t="inlineStr">
        <is>
          <t>Catalogue fee €8,500/yr (entered by institution).</t>
        </is>
      </c>
      <c r="X781" s="25" t="inlineStr">
        <is>
          <t>High</t>
        </is>
      </c>
      <c r="Y781" s="25" t="inlineStr">
        <is>
          <t>8500/10500</t>
        </is>
      </c>
      <c r="Z781" s="26" t="n"/>
      <c r="AA781" s="26" t="n"/>
      <c r="AB781" s="25" t="n"/>
      <c r="AC781" s="25" t="inlineStr">
        <is>
          <t>Open</t>
        </is>
      </c>
      <c r="AD781" s="25" t="inlineStr">
        <is>
          <t>2026-10-01</t>
        </is>
      </c>
      <c r="AE781" s="25" t="inlineStr">
        <is>
          <t>2027-03-15</t>
        </is>
      </c>
      <c r="AF781" s="25" t="inlineStr">
        <is>
          <t>Yes</t>
        </is>
      </c>
      <c r="AG781" s="28" t="inlineStr">
        <is>
          <t>https://www.cesi.fr/formation/ingenieur-e-specialite-informatique-sous-statut-etudiant-2019208/</t>
        </is>
      </c>
      <c r="AH781" s="26" t="inlineStr">
        <is>
          <t>La formation d’ingénieur CESI, spécialité informatique et sciences du numérique, dure 5 ans : 2 ans en cycle préparatoire et 3 ans en cycle ingénieur. Selon votre niveau de formation actuel, vous pouvez entrer en cycle p</t>
        </is>
      </c>
      <c r="AI781" s="28" t="inlineStr">
        <is>
          <t>Open in EEF</t>
        </is>
      </c>
    </row>
    <row r="782" ht="32.8" customHeight="1" s="19">
      <c r="A782" s="25" t="n">
        <v>781</v>
      </c>
      <c r="B782" s="25" t="inlineStr">
        <is>
          <t>★★★☆☆</t>
        </is>
      </c>
      <c r="C782" s="25" t="inlineStr">
        <is>
          <t>3 – Adjacent (AI/data/CS/cyber/energy)</t>
        </is>
      </c>
      <c r="D782" s="25" t="inlineStr">
        <is>
          <t>Computer science / Software</t>
        </is>
      </c>
      <c r="E782" s="26" t="inlineStr">
        <is>
          <t>Diplôme d'ingénieur Ingénieur CESI - Ingénieur en informatique et sciences du numérique</t>
        </is>
      </c>
      <c r="F782" s="26" t="inlineStr">
        <is>
          <t>Engineering diploma Engineer CESI - Engineer in Computer Science &amp; Sciences of Digital</t>
        </is>
      </c>
      <c r="G782" s="25" t="inlineStr">
        <is>
          <t>Diplôme d'ingénieur</t>
        </is>
      </c>
      <c r="H782" s="25" t="inlineStr">
        <is>
          <t>CESI Ecole d'Ingénieurs</t>
        </is>
      </c>
      <c r="I782" s="25" t="inlineStr">
        <is>
          <t>CESI</t>
        </is>
      </c>
      <c r="J782" s="25" t="inlineStr">
        <is>
          <t>Campus de Caen</t>
        </is>
      </c>
      <c r="K782" s="25" t="inlineStr">
        <is>
          <t>14200 Hérouville-Saint-Clair</t>
        </is>
      </c>
      <c r="L782" s="25" t="inlineStr">
        <is>
          <t>Private / EESPIG</t>
        </is>
      </c>
      <c r="M782" s="25" t="inlineStr">
        <is>
          <t>French</t>
        </is>
      </c>
      <c r="N782" s="25" t="inlineStr">
        <is>
          <t>General</t>
        </is>
      </c>
      <c r="O782" s="25" t="inlineStr">
        <is>
          <t>Bac +1 / Bac +2 / Bac +3 / Bac +4 / Bac +5</t>
        </is>
      </c>
      <c r="P782" s="26" t="inlineStr">
        <is>
          <t>Eligible on level (4-yr BS ≈ Bac+4)</t>
        </is>
      </c>
      <c r="Q782" s="25" t="inlineStr">
        <is>
          <t>1/2/3/4/5</t>
        </is>
      </c>
      <c r="R782" s="25" t="inlineStr">
        <is>
          <t>10</t>
        </is>
      </c>
      <c r="S782" s="27" t="n">
        <v>8500</v>
      </c>
      <c r="T782" s="27" t="n"/>
      <c r="U782" s="25" t="n">
        <v>2</v>
      </c>
      <c r="V782" s="27">
        <f>IF(S782="","",S782*U782)</f>
        <v/>
      </c>
      <c r="W782" s="26" t="inlineStr">
        <is>
          <t>Catalogue fee €8,500/yr (entered by institution).</t>
        </is>
      </c>
      <c r="X782" s="25" t="inlineStr">
        <is>
          <t>High</t>
        </is>
      </c>
      <c r="Y782" s="25" t="inlineStr">
        <is>
          <t>8500/10500</t>
        </is>
      </c>
      <c r="Z782" s="26" t="n"/>
      <c r="AA782" s="26" t="n"/>
      <c r="AB782" s="25" t="n"/>
      <c r="AC782" s="25" t="inlineStr">
        <is>
          <t>Open</t>
        </is>
      </c>
      <c r="AD782" s="25" t="inlineStr">
        <is>
          <t>2026-10-01</t>
        </is>
      </c>
      <c r="AE782" s="25" t="inlineStr">
        <is>
          <t>2027-03-15</t>
        </is>
      </c>
      <c r="AF782" s="25" t="inlineStr">
        <is>
          <t>Yes</t>
        </is>
      </c>
      <c r="AG782" s="28" t="inlineStr">
        <is>
          <t>https://www.cesi.fr/formation/ingenieur-e-specialite-informatique-sous-statut-etudiant-2019208/</t>
        </is>
      </c>
      <c r="AH782" s="26" t="inlineStr">
        <is>
          <t>La formation d’ingénieur CESI, spécialité informatique et sciences du numérique, dure 5 ans : 2 ans en cycle préparatoire et 3 ans en cycle ingénieur. Selon votre niveau de formation actuel, vous pouvez entrer en cycle p</t>
        </is>
      </c>
      <c r="AI782" s="28" t="inlineStr">
        <is>
          <t>Open in EEF</t>
        </is>
      </c>
    </row>
    <row r="783" ht="32.8" customHeight="1" s="19">
      <c r="A783" s="25" t="n">
        <v>782</v>
      </c>
      <c r="B783" s="25" t="inlineStr">
        <is>
          <t>★★★☆☆</t>
        </is>
      </c>
      <c r="C783" s="25" t="inlineStr">
        <is>
          <t>3 – Adjacent (AI/data/CS/cyber/energy)</t>
        </is>
      </c>
      <c r="D783" s="25" t="inlineStr">
        <is>
          <t>Computer science / Software</t>
        </is>
      </c>
      <c r="E783" s="26" t="inlineStr">
        <is>
          <t>Diplôme d'ingénieur Ingénieur CESI - Ingénieur en informatique et sciences du numérique</t>
        </is>
      </c>
      <c r="F783" s="26" t="inlineStr">
        <is>
          <t>Engineering diploma Engineer CESI - Engineer in Computer Science &amp; Sciences of Digital</t>
        </is>
      </c>
      <c r="G783" s="25" t="inlineStr">
        <is>
          <t>Diplôme d'ingénieur</t>
        </is>
      </c>
      <c r="H783" s="25" t="inlineStr">
        <is>
          <t>CESI Ecole d'Ingénieurs</t>
        </is>
      </c>
      <c r="I783" s="25" t="inlineStr">
        <is>
          <t>CESI</t>
        </is>
      </c>
      <c r="J783" s="25" t="inlineStr">
        <is>
          <t>Campus de Toulouse</t>
        </is>
      </c>
      <c r="K783" s="25" t="inlineStr">
        <is>
          <t>31670 Labège</t>
        </is>
      </c>
      <c r="L783" s="25" t="inlineStr">
        <is>
          <t>Private / EESPIG</t>
        </is>
      </c>
      <c r="M783" s="25" t="inlineStr">
        <is>
          <t>French</t>
        </is>
      </c>
      <c r="N783" s="25" t="inlineStr">
        <is>
          <t>General</t>
        </is>
      </c>
      <c r="O783" s="25" t="inlineStr">
        <is>
          <t>Bac +1 / Bac +2 / Bac +3 / Bac +4 / Bac +5</t>
        </is>
      </c>
      <c r="P783" s="26" t="inlineStr">
        <is>
          <t>Eligible on level (4-yr BS ≈ Bac+4)</t>
        </is>
      </c>
      <c r="Q783" s="25" t="inlineStr">
        <is>
          <t>1/2/3/4/5</t>
        </is>
      </c>
      <c r="R783" s="25" t="inlineStr">
        <is>
          <t>10</t>
        </is>
      </c>
      <c r="S783" s="27" t="n">
        <v>8500</v>
      </c>
      <c r="T783" s="27" t="n"/>
      <c r="U783" s="25" t="n">
        <v>2</v>
      </c>
      <c r="V783" s="27">
        <f>IF(S783="","",S783*U783)</f>
        <v/>
      </c>
      <c r="W783" s="26" t="inlineStr">
        <is>
          <t>Catalogue fee €8,500/yr (entered by institution).</t>
        </is>
      </c>
      <c r="X783" s="25" t="inlineStr">
        <is>
          <t>High</t>
        </is>
      </c>
      <c r="Y783" s="25" t="inlineStr">
        <is>
          <t>8500/10500</t>
        </is>
      </c>
      <c r="Z783" s="26" t="n"/>
      <c r="AA783" s="26" t="n"/>
      <c r="AB783" s="25" t="n"/>
      <c r="AC783" s="25" t="inlineStr">
        <is>
          <t>Open</t>
        </is>
      </c>
      <c r="AD783" s="25" t="inlineStr">
        <is>
          <t>2026-10-01</t>
        </is>
      </c>
      <c r="AE783" s="25" t="inlineStr">
        <is>
          <t>2027-03-15</t>
        </is>
      </c>
      <c r="AF783" s="25" t="inlineStr">
        <is>
          <t>Yes</t>
        </is>
      </c>
      <c r="AG783" s="28" t="inlineStr">
        <is>
          <t>https://www.cesi.fr/formation/ingenieur-e-specialite-informatique-sous-statut-etudiant-2019208/</t>
        </is>
      </c>
      <c r="AH783" s="26" t="inlineStr">
        <is>
          <t>La formation d’ingénieur CESI, spécialité informatique et sciences du numérique, dure 5 ans : 2 ans en cycle préparatoire et 3 ans en cycle ingénieur. Selon votre niveau de formation actuel, vous pouvez entrer en cycle p</t>
        </is>
      </c>
      <c r="AI783" s="28" t="inlineStr">
        <is>
          <t>Open in EEF</t>
        </is>
      </c>
    </row>
    <row r="784" ht="32.8" customHeight="1" s="19">
      <c r="A784" s="25" t="n">
        <v>783</v>
      </c>
      <c r="B784" s="25" t="inlineStr">
        <is>
          <t>★★★☆☆</t>
        </is>
      </c>
      <c r="C784" s="25" t="inlineStr">
        <is>
          <t>3 – Adjacent (AI/data/CS/cyber/energy)</t>
        </is>
      </c>
      <c r="D784" s="25" t="inlineStr">
        <is>
          <t>Computer science / Software</t>
        </is>
      </c>
      <c r="E784" s="26" t="inlineStr">
        <is>
          <t>Diplôme d'ingénieur Ingénieur CESI - Ingénieur en informatique et sciences du numérique</t>
        </is>
      </c>
      <c r="F784" s="26" t="inlineStr">
        <is>
          <t>Engineering diploma Engineer CESI - Engineer in Computer Science &amp; Sciences of Digital</t>
        </is>
      </c>
      <c r="G784" s="25" t="inlineStr">
        <is>
          <t>Diplôme d'ingénieur</t>
        </is>
      </c>
      <c r="H784" s="25" t="inlineStr">
        <is>
          <t>CESI Ecole d'Ingénieurs</t>
        </is>
      </c>
      <c r="I784" s="25" t="inlineStr">
        <is>
          <t>CESI</t>
        </is>
      </c>
      <c r="J784" s="25" t="inlineStr">
        <is>
          <t>Campus d'Orléans</t>
        </is>
      </c>
      <c r="K784" s="25" t="inlineStr">
        <is>
          <t>45100 Orléans</t>
        </is>
      </c>
      <c r="L784" s="25" t="inlineStr">
        <is>
          <t>Private / EESPIG</t>
        </is>
      </c>
      <c r="M784" s="25" t="inlineStr">
        <is>
          <t>French</t>
        </is>
      </c>
      <c r="N784" s="25" t="inlineStr">
        <is>
          <t>General</t>
        </is>
      </c>
      <c r="O784" s="25" t="inlineStr">
        <is>
          <t>Bac +1 / Bac +2 / Bac +3 / Bac +4 / Bac +5</t>
        </is>
      </c>
      <c r="P784" s="26" t="inlineStr">
        <is>
          <t>Eligible on level (4-yr BS ≈ Bac+4)</t>
        </is>
      </c>
      <c r="Q784" s="25" t="inlineStr">
        <is>
          <t>1/2/3/4/5</t>
        </is>
      </c>
      <c r="R784" s="25" t="inlineStr">
        <is>
          <t>10</t>
        </is>
      </c>
      <c r="S784" s="27" t="n">
        <v>8500</v>
      </c>
      <c r="T784" s="27" t="n"/>
      <c r="U784" s="25" t="n">
        <v>2</v>
      </c>
      <c r="V784" s="27">
        <f>IF(S784="","",S784*U784)</f>
        <v/>
      </c>
      <c r="W784" s="26" t="inlineStr">
        <is>
          <t>Catalogue fee €8,500/yr (entered by institution).</t>
        </is>
      </c>
      <c r="X784" s="25" t="inlineStr">
        <is>
          <t>High</t>
        </is>
      </c>
      <c r="Y784" s="25" t="inlineStr">
        <is>
          <t>8500/10500</t>
        </is>
      </c>
      <c r="Z784" s="26" t="n"/>
      <c r="AA784" s="26" t="n"/>
      <c r="AB784" s="25" t="n"/>
      <c r="AC784" s="25" t="inlineStr">
        <is>
          <t>Open</t>
        </is>
      </c>
      <c r="AD784" s="25" t="inlineStr">
        <is>
          <t>2026-10-01</t>
        </is>
      </c>
      <c r="AE784" s="25" t="inlineStr">
        <is>
          <t>2027-03-15</t>
        </is>
      </c>
      <c r="AF784" s="25" t="inlineStr">
        <is>
          <t>Yes</t>
        </is>
      </c>
      <c r="AG784" s="28" t="inlineStr">
        <is>
          <t>https://www.cesi.fr/formation/ingenieur-e-specialite-informatique-sous-statut-etudiant-2019208/</t>
        </is>
      </c>
      <c r="AH784" s="26" t="inlineStr">
        <is>
          <t>La formation d’ingénieur CESI, spécialité informatique et sciences du numérique, dure 5 ans : 2 ans en cycle préparatoire et 3 ans en cycle ingénieur. Selon votre niveau de formation actuel, vous pouvez entrer en cycle p</t>
        </is>
      </c>
      <c r="AI784" s="28" t="inlineStr">
        <is>
          <t>Open in EEF</t>
        </is>
      </c>
    </row>
    <row r="785" ht="32.8" customHeight="1" s="19">
      <c r="A785" s="25" t="n">
        <v>784</v>
      </c>
      <c r="B785" s="25" t="inlineStr">
        <is>
          <t>★★★☆☆</t>
        </is>
      </c>
      <c r="C785" s="25" t="inlineStr">
        <is>
          <t>3 – Adjacent (AI/data/CS/cyber/energy)</t>
        </is>
      </c>
      <c r="D785" s="25" t="inlineStr">
        <is>
          <t>AI / Data science</t>
        </is>
      </c>
      <c r="E785" s="26" t="inlineStr">
        <is>
          <t>Master in Artificial Intelligence and Cybersecurity</t>
        </is>
      </c>
      <c r="F785" s="26" t="inlineStr">
        <is>
          <t>Master in Artificial Intelligence and Cybersecurity</t>
        </is>
      </c>
      <c r="G785" s="25" t="inlineStr">
        <is>
          <t>Master indifférencié (recherche et professionnel)</t>
        </is>
      </c>
      <c r="H785" s="25" t="inlineStr">
        <is>
          <t>ESIEE - Paris</t>
        </is>
      </c>
      <c r="I785" s="25" t="inlineStr">
        <is>
          <t>ESIEE - École Supérieure d'Ingénieurs en Électronique et Électrotechnique</t>
        </is>
      </c>
      <c r="J785" s="25" t="inlineStr">
        <is>
          <t>Site de Noisy-le-Grand</t>
        </is>
      </c>
      <c r="K785" s="25" t="n"/>
      <c r="L785" s="25" t="inlineStr">
        <is>
          <t>Private / EESPIG</t>
        </is>
      </c>
      <c r="M785" s="25" t="inlineStr">
        <is>
          <t>English</t>
        </is>
      </c>
      <c r="N785" s="25" t="inlineStr">
        <is>
          <t>Taught in English</t>
        </is>
      </c>
      <c r="O785" s="25" t="inlineStr">
        <is>
          <t>Bac +4</t>
        </is>
      </c>
      <c r="P785" s="26" t="inlineStr">
        <is>
          <t>Eligible on level (4-yr BS ≈ Bac+4)</t>
        </is>
      </c>
      <c r="Q785" s="25" t="inlineStr">
        <is>
          <t>1</t>
        </is>
      </c>
      <c r="R785" s="25" t="inlineStr">
        <is>
          <t>12</t>
        </is>
      </c>
      <c r="S785" s="27" t="n">
        <v>8680</v>
      </c>
      <c r="T785" s="27" t="n"/>
      <c r="U785" s="25" t="n">
        <v>2</v>
      </c>
      <c r="V785" s="27">
        <f>IF(S785="","",S785*U785)</f>
        <v/>
      </c>
      <c r="W785" s="26" t="inlineStr">
        <is>
          <t>Catalogue fee €8,680/yr (entered by institution).</t>
        </is>
      </c>
      <c r="X785" s="25" t="inlineStr">
        <is>
          <t>High</t>
        </is>
      </c>
      <c r="Y785" s="25" t="inlineStr">
        <is>
          <t>8680</t>
        </is>
      </c>
      <c r="Z785" s="26" t="n"/>
      <c r="AA785" s="26" t="n"/>
      <c r="AB785" s="25" t="n"/>
      <c r="AC785" s="25" t="inlineStr">
        <is>
          <t>Open</t>
        </is>
      </c>
      <c r="AD785" s="25" t="inlineStr">
        <is>
          <t>2026-10-01</t>
        </is>
      </c>
      <c r="AE785" s="25" t="inlineStr">
        <is>
          <t>2027-03-15</t>
        </is>
      </c>
      <c r="AF785" s="25" t="inlineStr">
        <is>
          <t>Yes</t>
        </is>
      </c>
      <c r="AG785" s="28" t="inlineStr">
        <is>
          <t>https://www.esiee.fr/en/programmes/international-programmes/artificial-intelligence-and-cybersecurity</t>
        </is>
      </c>
      <c r="AH785" s="26" t="inlineStr">
        <is>
          <t>The admission requirements for this programme are as follows: -Non-European students: A Bachelor's degree or equivalent in related fields of study. -European students: A Licence 3 or a Master 1 or equivalent in related f</t>
        </is>
      </c>
      <c r="AI785" s="28" t="inlineStr">
        <is>
          <t>Open in EEF</t>
        </is>
      </c>
    </row>
    <row r="786" ht="32.8" customHeight="1" s="19">
      <c r="A786" s="25" t="n">
        <v>785</v>
      </c>
      <c r="B786" s="25" t="inlineStr">
        <is>
          <t>★★★☆☆</t>
        </is>
      </c>
      <c r="C786" s="25" t="inlineStr">
        <is>
          <t>3 – Adjacent (AI/data/CS/cyber/energy)</t>
        </is>
      </c>
      <c r="D786" s="25" t="inlineStr">
        <is>
          <t>Cybersecurity</t>
        </is>
      </c>
      <c r="E786" s="26" t="inlineStr">
        <is>
          <t>mastère spécialisé. Cybersécurité du numérique</t>
        </is>
      </c>
      <c r="F786" s="26" t="inlineStr">
        <is>
          <t>Specialised Master (MS). Cybersecurity of Digital</t>
        </is>
      </c>
      <c r="G786" s="25" t="inlineStr">
        <is>
          <t>Mastère spécialisé</t>
        </is>
      </c>
      <c r="H786" s="25" t="inlineStr">
        <is>
          <t>Institut national des sciences appliquées de Lyon</t>
        </is>
      </c>
      <c r="I786" s="25" t="n"/>
      <c r="J786" s="25" t="inlineStr">
        <is>
          <t>Site de Villeurbanne</t>
        </is>
      </c>
      <c r="K786" s="25" t="n"/>
      <c r="L786" s="25" t="inlineStr">
        <is>
          <t>Public school / institute</t>
        </is>
      </c>
      <c r="M786" s="25" t="inlineStr">
        <is>
          <t>French</t>
        </is>
      </c>
      <c r="N786" s="25" t="inlineStr">
        <is>
          <t>General</t>
        </is>
      </c>
      <c r="O786" s="25" t="inlineStr">
        <is>
          <t>Bac +5</t>
        </is>
      </c>
      <c r="P786" s="26" t="inlineStr">
        <is>
          <t>Possible – MS rules allow Bac+4 + ≥3 yrs work experience (you have 3)</t>
        </is>
      </c>
      <c r="Q786" s="25" t="inlineStr">
        <is>
          <t>1</t>
        </is>
      </c>
      <c r="R786" s="25" t="inlineStr">
        <is>
          <t>12</t>
        </is>
      </c>
      <c r="S786" s="27" t="n">
        <v>8900</v>
      </c>
      <c r="T786" s="27" t="n"/>
      <c r="U786" s="25" t="n">
        <v>1</v>
      </c>
      <c r="V786" s="27">
        <f>IF(S786="","",S786*U786)</f>
        <v/>
      </c>
      <c r="W786" s="26" t="inlineStr">
        <is>
          <t>Catalogue fee €8,900/yr (entered by institution).</t>
        </is>
      </c>
      <c r="X786" s="25" t="inlineStr">
        <is>
          <t>High</t>
        </is>
      </c>
      <c r="Y786" s="25" t="inlineStr">
        <is>
          <t>8900</t>
        </is>
      </c>
      <c r="Z786" s="26" t="inlineStr">
        <is>
          <t>Les frais de candidatures sont de 126 euros</t>
        </is>
      </c>
      <c r="AA786" s="26" t="n"/>
      <c r="AB786" s="25" t="n"/>
      <c r="AC786" s="25" t="inlineStr">
        <is>
          <t>Open</t>
        </is>
      </c>
      <c r="AD786" s="25" t="inlineStr">
        <is>
          <t>2026-10-01</t>
        </is>
      </c>
      <c r="AE786" s="25" t="inlineStr">
        <is>
          <t>2027-03-15</t>
        </is>
      </c>
      <c r="AF786" s="25" t="inlineStr">
        <is>
          <t>Yes</t>
        </is>
      </c>
      <c r="AG786" s="28" t="inlineStr">
        <is>
          <t>https://www.insa-lyon.fr/fr/mastere-cybersecurite-numerique</t>
        </is>
      </c>
      <c r="AH786" s="26" t="inlineStr">
        <is>
          <t>Les professionnels et étudiants intéressés peuvent sans condition d’âge, postuler aux épreuves de sélection. Les candidats doivent avoir soit validé un diplôme de niveau II (BAC +4) avec au moins 3 ans d’expérience profe</t>
        </is>
      </c>
      <c r="AI786" s="28" t="inlineStr">
        <is>
          <t>Open in EEF</t>
        </is>
      </c>
    </row>
    <row r="787" ht="32.8" customHeight="1" s="19">
      <c r="A787" s="25" t="n">
        <v>786</v>
      </c>
      <c r="B787" s="25" t="inlineStr">
        <is>
          <t>★★★☆☆</t>
        </is>
      </c>
      <c r="C787" s="25" t="inlineStr">
        <is>
          <t>3 – Adjacent (AI/data/CS/cyber/energy)</t>
        </is>
      </c>
      <c r="D787" s="25" t="inlineStr">
        <is>
          <t>IoT / Telecom / Networks</t>
        </is>
      </c>
      <c r="E787" s="26" t="inlineStr">
        <is>
          <t>Mastère spécialisé Informatique, systèmes d’information et réseaux</t>
        </is>
      </c>
      <c r="F787" s="26" t="inlineStr">
        <is>
          <t>Specialised Master (MS) Computer Science, Systems Information &amp; Networks</t>
        </is>
      </c>
      <c r="G787" s="25" t="inlineStr">
        <is>
          <t>Mastère spécialisé</t>
        </is>
      </c>
      <c r="H787" s="25" t="inlineStr">
        <is>
          <t>Institut national des sciences appliquées de Lyon</t>
        </is>
      </c>
      <c r="I787" s="25" t="n"/>
      <c r="J787" s="25" t="inlineStr">
        <is>
          <t>Site de Villeurbanne</t>
        </is>
      </c>
      <c r="K787" s="25" t="n"/>
      <c r="L787" s="25" t="inlineStr">
        <is>
          <t>Public school / institute</t>
        </is>
      </c>
      <c r="M787" s="25" t="inlineStr">
        <is>
          <t>French</t>
        </is>
      </c>
      <c r="N787" s="25" t="inlineStr">
        <is>
          <t>General</t>
        </is>
      </c>
      <c r="O787" s="25" t="inlineStr">
        <is>
          <t>Bac +5</t>
        </is>
      </c>
      <c r="P787" s="26" t="inlineStr">
        <is>
          <t>Possible – MS rules allow Bac+4 + ≥3 yrs work experience (you have 3)</t>
        </is>
      </c>
      <c r="Q787" s="25" t="inlineStr">
        <is>
          <t>1</t>
        </is>
      </c>
      <c r="R787" s="25" t="inlineStr">
        <is>
          <t>14</t>
        </is>
      </c>
      <c r="S787" s="27" t="n">
        <v>8900</v>
      </c>
      <c r="T787" s="27" t="n"/>
      <c r="U787" s="25" t="n">
        <v>1</v>
      </c>
      <c r="V787" s="27">
        <f>IF(S787="","",S787*U787)</f>
        <v/>
      </c>
      <c r="W787" s="26" t="inlineStr">
        <is>
          <t>Catalogue fee €8,900/yr (entered by institution).</t>
        </is>
      </c>
      <c r="X787" s="25" t="inlineStr">
        <is>
          <t>High</t>
        </is>
      </c>
      <c r="Y787" s="25" t="inlineStr">
        <is>
          <t>8900</t>
        </is>
      </c>
      <c r="Z787" s="26" t="inlineStr">
        <is>
          <t>Les frais de candidatures sont de 126 euros</t>
        </is>
      </c>
      <c r="AA787" s="26" t="n"/>
      <c r="AB787" s="25" t="n"/>
      <c r="AC787" s="25" t="inlineStr">
        <is>
          <t>Open</t>
        </is>
      </c>
      <c r="AD787" s="25" t="inlineStr">
        <is>
          <t>2026-10-01</t>
        </is>
      </c>
      <c r="AE787" s="25" t="inlineStr">
        <is>
          <t>2027-03-15</t>
        </is>
      </c>
      <c r="AF787" s="25" t="inlineStr">
        <is>
          <t>Yes</t>
        </is>
      </c>
      <c r="AG787" s="28" t="inlineStr">
        <is>
          <t>https://www.insa-lyon.fr/fr/mastere-informatique</t>
        </is>
      </c>
      <c r="AH787" s="26" t="inlineStr">
        <is>
          <t>Les professionnels et étudiants intéressés peuvent sans condition d’âge, postuler aux épreuves de sélection. Les candidats doivent avoir soit validé un diplôme de niveau II (BAC +4) avec au moins 3 ans d’expérience profe</t>
        </is>
      </c>
      <c r="AI787" s="28" t="inlineStr">
        <is>
          <t>Open in EEF</t>
        </is>
      </c>
    </row>
    <row r="788" ht="32.8" customHeight="1" s="19">
      <c r="A788" s="25" t="n">
        <v>787</v>
      </c>
      <c r="B788" s="25" t="inlineStr">
        <is>
          <t>★★★☆☆</t>
        </is>
      </c>
      <c r="C788" s="25" t="inlineStr">
        <is>
          <t>3 – Adjacent (AI/data/CS/cyber/energy)</t>
        </is>
      </c>
      <c r="D788" s="25" t="inlineStr">
        <is>
          <t>Cybersecurity</t>
        </is>
      </c>
      <c r="E788" s="26" t="inlineStr">
        <is>
          <t>Mastère spécialisé Ingénierie de la cybersécurité</t>
        </is>
      </c>
      <c r="F788" s="26" t="inlineStr">
        <is>
          <t>Specialised Master (MS) Engineering of the Cybersecurity</t>
        </is>
      </c>
      <c r="G788" s="25" t="inlineStr">
        <is>
          <t>Mastère spécialisé</t>
        </is>
      </c>
      <c r="H788" s="25" t="inlineStr">
        <is>
          <t>IMT Nord Europe</t>
        </is>
      </c>
      <c r="I788" s="25" t="inlineStr">
        <is>
          <t>IMT Lille Douai</t>
        </is>
      </c>
      <c r="J788" s="25" t="inlineStr">
        <is>
          <t>IMT Nord Europe - Villeneuve d'Ascq Campus</t>
        </is>
      </c>
      <c r="K788" s="25" t="n"/>
      <c r="L788" s="25" t="inlineStr">
        <is>
          <t>Public school / institute</t>
        </is>
      </c>
      <c r="M788" s="25" t="inlineStr">
        <is>
          <t>French</t>
        </is>
      </c>
      <c r="N788" s="25" t="inlineStr">
        <is>
          <t>General</t>
        </is>
      </c>
      <c r="O788" s="25" t="inlineStr">
        <is>
          <t>Bac +5</t>
        </is>
      </c>
      <c r="P788" s="26" t="inlineStr">
        <is>
          <t>Possible – MS rules allow Bac+4 + ≥3 yrs work experience (you have 3)</t>
        </is>
      </c>
      <c r="Q788" s="25" t="inlineStr">
        <is>
          <t>6</t>
        </is>
      </c>
      <c r="R788" s="25" t="inlineStr">
        <is>
          <t>13</t>
        </is>
      </c>
      <c r="S788" s="27" t="n">
        <v>9000</v>
      </c>
      <c r="T788" s="27" t="n"/>
      <c r="U788" s="25" t="n">
        <v>1</v>
      </c>
      <c r="V788" s="27">
        <f>IF(S788="","",S788*U788)</f>
        <v/>
      </c>
      <c r="W788" s="26" t="inlineStr">
        <is>
          <t>Catalogue fee €9,000/yr (entered by institution).</t>
        </is>
      </c>
      <c r="X788" s="25" t="inlineStr">
        <is>
          <t>High</t>
        </is>
      </c>
      <c r="Y788" s="25" t="inlineStr">
        <is>
          <t>9000</t>
        </is>
      </c>
      <c r="Z788" s="26" t="n"/>
      <c r="AA788" s="26" t="n"/>
      <c r="AB788" s="25" t="n"/>
      <c r="AC788" s="25" t="inlineStr">
        <is>
          <t>Open</t>
        </is>
      </c>
      <c r="AD788" s="25" t="inlineStr">
        <is>
          <t>2026-10-01</t>
        </is>
      </c>
      <c r="AE788" s="25" t="inlineStr">
        <is>
          <t>2027-03-15</t>
        </is>
      </c>
      <c r="AF788" s="25" t="inlineStr">
        <is>
          <t>Yes</t>
        </is>
      </c>
      <c r="AG788" s="28" t="inlineStr">
        <is>
          <t>https://imt-nord-europe.fr/annuaire-formations/cybersecurite/</t>
        </is>
      </c>
      <c r="AH788" s="26" t="inlineStr">
        <is>
          <t>Pour intégrer la formation, vous devez être titulaire d’un : Diplôme d’ingénieur habilité par la CTI (Bac+5) Diplômes universitaires de niveau Master M2 (Bac+5) Diplômes universitaires de niveau M1 ou Maîtrise (Bac+4) et</t>
        </is>
      </c>
      <c r="AI788" s="28" t="inlineStr">
        <is>
          <t>Open in EEF</t>
        </is>
      </c>
    </row>
    <row r="789" ht="32.8" customHeight="1" s="19">
      <c r="A789" s="25" t="n">
        <v>788</v>
      </c>
      <c r="B789" s="25" t="inlineStr">
        <is>
          <t>★★★☆☆</t>
        </is>
      </c>
      <c r="C789" s="25" t="inlineStr">
        <is>
          <t>3 – Adjacent (AI/data/CS/cyber/energy)</t>
        </is>
      </c>
      <c r="D789" s="25" t="inlineStr">
        <is>
          <t>AI / Data science</t>
        </is>
      </c>
      <c r="E789" s="26" t="inlineStr">
        <is>
          <t>Master of Science (MSc) Cyber Security and Data Science</t>
        </is>
      </c>
      <c r="F789" s="26" t="inlineStr">
        <is>
          <t>Master of Science (MSc) Cyber Security and Data Science</t>
        </is>
      </c>
      <c r="G789" s="25" t="inlineStr">
        <is>
          <t>Master of Science (MSc)</t>
        </is>
      </c>
      <c r="H789" s="25" t="inlineStr">
        <is>
          <t>ESAIP Ecole d’Ingénieurs</t>
        </is>
      </c>
      <c r="I789" s="25" t="n"/>
      <c r="J789" s="25" t="inlineStr">
        <is>
          <t>ESAIP Campus Ouest</t>
        </is>
      </c>
      <c r="K789" s="25" t="inlineStr">
        <is>
          <t>49124 Saint Barthélemy d'Anjou</t>
        </is>
      </c>
      <c r="L789" s="25" t="inlineStr">
        <is>
          <t>Private / EESPIG</t>
        </is>
      </c>
      <c r="M789" s="25" t="inlineStr">
        <is>
          <t>English</t>
        </is>
      </c>
      <c r="N789" s="25" t="inlineStr">
        <is>
          <t>Taught in English</t>
        </is>
      </c>
      <c r="O789" s="25" t="inlineStr">
        <is>
          <t>Bac +3</t>
        </is>
      </c>
      <c r="P789" s="26" t="inlineStr">
        <is>
          <t>Eligible on level (4-yr BS ≈ Bac+4)</t>
        </is>
      </c>
      <c r="Q789" s="25" t="inlineStr">
        <is>
          <t>1</t>
        </is>
      </c>
      <c r="R789" s="25" t="inlineStr">
        <is>
          <t>10</t>
        </is>
      </c>
      <c r="S789" s="27" t="n">
        <v>9500</v>
      </c>
      <c r="T789" s="27" t="n"/>
      <c r="U789" s="25" t="n">
        <v>2</v>
      </c>
      <c r="V789" s="27">
        <f>IF(S789="","",S789*U789)</f>
        <v/>
      </c>
      <c r="W789" s="26" t="inlineStr">
        <is>
          <t>Catalogue fee €9,500/yr (entered by institution).</t>
        </is>
      </c>
      <c r="X789" s="25" t="inlineStr">
        <is>
          <t>High</t>
        </is>
      </c>
      <c r="Y789" s="25" t="inlineStr">
        <is>
          <t>9500</t>
        </is>
      </c>
      <c r="Z789" s="26" t="n"/>
      <c r="AA789" s="26" t="n"/>
      <c r="AB789" s="25" t="n"/>
      <c r="AC789" s="25" t="inlineStr">
        <is>
          <t>Open</t>
        </is>
      </c>
      <c r="AD789" s="25" t="inlineStr">
        <is>
          <t>2026-10-01</t>
        </is>
      </c>
      <c r="AE789" s="25" t="inlineStr">
        <is>
          <t>2027-03-15</t>
        </is>
      </c>
      <c r="AF789" s="25" t="inlineStr">
        <is>
          <t>Yes</t>
        </is>
      </c>
      <c r="AG789" s="28" t="inlineStr">
        <is>
          <t>https://en.esaip.org/</t>
        </is>
      </c>
      <c r="AH789" s="26" t="inlineStr">
        <is>
          <t>Post Graduate degree. French National Qualification - Level 1. European Qualification Framework - Level 7. MSc program offers 30 ECTS per semester The MSc in Cybersecurity and Data Science is a two-year, career oriented</t>
        </is>
      </c>
      <c r="AI789" s="28" t="inlineStr">
        <is>
          <t>Open in EEF</t>
        </is>
      </c>
    </row>
    <row r="790" ht="32.8" customHeight="1" s="19">
      <c r="A790" s="25" t="n">
        <v>789</v>
      </c>
      <c r="B790" s="25" t="inlineStr">
        <is>
          <t>★★★☆☆</t>
        </is>
      </c>
      <c r="C790" s="25" t="inlineStr">
        <is>
          <t>3 – Adjacent (AI/data/CS/cyber/energy)</t>
        </is>
      </c>
      <c r="D790" s="25" t="inlineStr">
        <is>
          <t>Computer science / Software</t>
        </is>
      </c>
      <c r="E790" s="26" t="inlineStr">
        <is>
          <t>Computer Science Engineering Degree</t>
        </is>
      </c>
      <c r="F790" s="26" t="inlineStr">
        <is>
          <t>Computer Science Engineering Degree</t>
        </is>
      </c>
      <c r="G790" s="25" t="inlineStr">
        <is>
          <t>Diplôme d'ingénieur</t>
        </is>
      </c>
      <c r="H790" s="25" t="inlineStr">
        <is>
          <t>CESI Ecole d'Ingénieurs</t>
        </is>
      </c>
      <c r="I790" s="25" t="inlineStr">
        <is>
          <t>CESI</t>
        </is>
      </c>
      <c r="J790" s="25" t="inlineStr">
        <is>
          <t>Campus de Paris</t>
        </is>
      </c>
      <c r="K790" s="25" t="inlineStr">
        <is>
          <t>92000 Nanterre</t>
        </is>
      </c>
      <c r="L790" s="25" t="inlineStr">
        <is>
          <t>Private / EESPIG</t>
        </is>
      </c>
      <c r="M790" s="25" t="inlineStr">
        <is>
          <t>English</t>
        </is>
      </c>
      <c r="N790" s="25" t="inlineStr">
        <is>
          <t>Taught in English</t>
        </is>
      </c>
      <c r="O790" s="25" t="inlineStr">
        <is>
          <t>Bac +3 / Bac +4</t>
        </is>
      </c>
      <c r="P790" s="26" t="inlineStr">
        <is>
          <t>Eligible on level (4-yr BS ≈ Bac+4)</t>
        </is>
      </c>
      <c r="Q790" s="25" t="inlineStr">
        <is>
          <t>1/2</t>
        </is>
      </c>
      <c r="R790" s="25" t="inlineStr">
        <is>
          <t>10</t>
        </is>
      </c>
      <c r="S790" s="27" t="n">
        <v>9500</v>
      </c>
      <c r="T790" s="27" t="n"/>
      <c r="U790" s="25" t="n">
        <v>2</v>
      </c>
      <c r="V790" s="27">
        <f>IF(S790="","",S790*U790)</f>
        <v/>
      </c>
      <c r="W790" s="26" t="inlineStr">
        <is>
          <t>Catalogue fee €9,500/yr (entered by institution).</t>
        </is>
      </c>
      <c r="X790" s="25" t="inlineStr">
        <is>
          <t>High</t>
        </is>
      </c>
      <c r="Y790" s="25" t="inlineStr">
        <is>
          <t>10500/9500</t>
        </is>
      </c>
      <c r="Z790" s="26" t="inlineStr">
        <is>
          <t>2850 euros … The balance of 6650 euros must be paid before the start of the course</t>
        </is>
      </c>
      <c r="AA790" s="26" t="n"/>
      <c r="AB790" s="25" t="n"/>
      <c r="AC790" s="25" t="inlineStr">
        <is>
          <t>Open</t>
        </is>
      </c>
      <c r="AD790" s="25" t="inlineStr">
        <is>
          <t>2026-10-01</t>
        </is>
      </c>
      <c r="AE790" s="25" t="inlineStr">
        <is>
          <t>2027-03-15</t>
        </is>
      </c>
      <c r="AF790" s="25" t="inlineStr">
        <is>
          <t>Yes</t>
        </is>
      </c>
      <c r="AG790" s="28" t="inlineStr">
        <is>
          <t>https://www.cesi.fr/programmes/cursus-ingenieur-3-ans/</t>
        </is>
      </c>
      <c r="AH790" s="26" t="inlineStr">
        <is>
          <t>Admission to 1st year of engineering studies: Hold a diploma equivalent to a university bachelor's degree, attesting to three years of higher education after the end of secondary school, in a scientific or technical fiel</t>
        </is>
      </c>
      <c r="AI790" s="28" t="inlineStr">
        <is>
          <t>Open in EEF</t>
        </is>
      </c>
    </row>
    <row r="791" ht="32.8" customHeight="1" s="19">
      <c r="A791" s="25" t="n">
        <v>790</v>
      </c>
      <c r="B791" s="25" t="inlineStr">
        <is>
          <t>★★★☆☆</t>
        </is>
      </c>
      <c r="C791" s="25" t="inlineStr">
        <is>
          <t>3 – Adjacent (AI/data/CS/cyber/energy)</t>
        </is>
      </c>
      <c r="D791" s="25" t="inlineStr">
        <is>
          <t>Computer science / Software</t>
        </is>
      </c>
      <c r="E791" s="26" t="inlineStr">
        <is>
          <t>Computer Science Engineering Degree</t>
        </is>
      </c>
      <c r="F791" s="26" t="inlineStr">
        <is>
          <t>Computer Science Engineering Degree</t>
        </is>
      </c>
      <c r="G791" s="25" t="inlineStr">
        <is>
          <t>Diplôme d'ingénieur</t>
        </is>
      </c>
      <c r="H791" s="25" t="inlineStr">
        <is>
          <t>CESI Ecole d'Ingénieurs</t>
        </is>
      </c>
      <c r="I791" s="25" t="inlineStr">
        <is>
          <t>CESI</t>
        </is>
      </c>
      <c r="J791" s="25" t="inlineStr">
        <is>
          <t>Campus de Lyon</t>
        </is>
      </c>
      <c r="K791" s="25" t="inlineStr">
        <is>
          <t>69100 VILLEURBANNE</t>
        </is>
      </c>
      <c r="L791" s="25" t="inlineStr">
        <is>
          <t>Private / EESPIG</t>
        </is>
      </c>
      <c r="M791" s="25" t="inlineStr">
        <is>
          <t>English</t>
        </is>
      </c>
      <c r="N791" s="25" t="inlineStr">
        <is>
          <t>Taught in English</t>
        </is>
      </c>
      <c r="O791" s="25" t="inlineStr">
        <is>
          <t>Bac +3 / Bac +4</t>
        </is>
      </c>
      <c r="P791" s="26" t="inlineStr">
        <is>
          <t>Eligible on level (4-yr BS ≈ Bac+4)</t>
        </is>
      </c>
      <c r="Q791" s="25" t="inlineStr">
        <is>
          <t>1/2</t>
        </is>
      </c>
      <c r="R791" s="25" t="inlineStr">
        <is>
          <t>10</t>
        </is>
      </c>
      <c r="S791" s="27" t="n">
        <v>9500</v>
      </c>
      <c r="T791" s="27" t="n"/>
      <c r="U791" s="25" t="n">
        <v>2</v>
      </c>
      <c r="V791" s="27">
        <f>IF(S791="","",S791*U791)</f>
        <v/>
      </c>
      <c r="W791" s="26" t="inlineStr">
        <is>
          <t>Catalogue fee €9,500/yr (entered by institution).</t>
        </is>
      </c>
      <c r="X791" s="25" t="inlineStr">
        <is>
          <t>High</t>
        </is>
      </c>
      <c r="Y791" s="25" t="inlineStr">
        <is>
          <t>10500/9500</t>
        </is>
      </c>
      <c r="Z791" s="26" t="n"/>
      <c r="AA791" s="26" t="n"/>
      <c r="AB791" s="25" t="n"/>
      <c r="AC791" s="25" t="inlineStr">
        <is>
          <t>Open</t>
        </is>
      </c>
      <c r="AD791" s="25" t="inlineStr">
        <is>
          <t>2026-10-01</t>
        </is>
      </c>
      <c r="AE791" s="25" t="inlineStr">
        <is>
          <t>2027-03-15</t>
        </is>
      </c>
      <c r="AF791" s="25" t="inlineStr">
        <is>
          <t>Yes</t>
        </is>
      </c>
      <c r="AG791" s="28" t="inlineStr">
        <is>
          <t>https://www.cesi.fr/en/trainings/master-degree-in-computer-science/</t>
        </is>
      </c>
      <c r="AH791" s="26" t="inlineStr">
        <is>
          <t>Admission to 1st year of curriculum: Hold a diploma equivalent to a university bachelor's degree, attesting to three years of higher education after the end of secondary school, in a scientific or technical field. Docume</t>
        </is>
      </c>
      <c r="AI791" s="28" t="inlineStr">
        <is>
          <t>Open in EEF</t>
        </is>
      </c>
    </row>
    <row r="792" ht="32.8" customHeight="1" s="19">
      <c r="A792" s="25" t="n">
        <v>791</v>
      </c>
      <c r="B792" s="25" t="inlineStr">
        <is>
          <t>★★★☆☆</t>
        </is>
      </c>
      <c r="C792" s="25" t="inlineStr">
        <is>
          <t>3 – Adjacent (AI/data/CS/cyber/energy)</t>
        </is>
      </c>
      <c r="D792" s="25" t="inlineStr">
        <is>
          <t>Computer science / Software</t>
        </is>
      </c>
      <c r="E792" s="26" t="inlineStr">
        <is>
          <t>Computer Science Engineering Degree</t>
        </is>
      </c>
      <c r="F792" s="26" t="inlineStr">
        <is>
          <t>Computer Science Engineering Degree</t>
        </is>
      </c>
      <c r="G792" s="25" t="inlineStr">
        <is>
          <t>Diplôme d'ingénieur</t>
        </is>
      </c>
      <c r="H792" s="25" t="inlineStr">
        <is>
          <t>CESI Ecole d'Ingénieurs</t>
        </is>
      </c>
      <c r="I792" s="25" t="inlineStr">
        <is>
          <t>CESI</t>
        </is>
      </c>
      <c r="J792" s="25" t="inlineStr">
        <is>
          <t>Campus de Toulouse</t>
        </is>
      </c>
      <c r="K792" s="25" t="inlineStr">
        <is>
          <t>31670 Labège</t>
        </is>
      </c>
      <c r="L792" s="25" t="inlineStr">
        <is>
          <t>Private / EESPIG</t>
        </is>
      </c>
      <c r="M792" s="25" t="inlineStr">
        <is>
          <t>English</t>
        </is>
      </c>
      <c r="N792" s="25" t="inlineStr">
        <is>
          <t>Taught in English</t>
        </is>
      </c>
      <c r="O792" s="25" t="inlineStr">
        <is>
          <t>Bac +3 / Bac +4</t>
        </is>
      </c>
      <c r="P792" s="26" t="inlineStr">
        <is>
          <t>Eligible on level (4-yr BS ≈ Bac+4)</t>
        </is>
      </c>
      <c r="Q792" s="25" t="inlineStr">
        <is>
          <t>1/2</t>
        </is>
      </c>
      <c r="R792" s="25" t="inlineStr">
        <is>
          <t>10</t>
        </is>
      </c>
      <c r="S792" s="27" t="n">
        <v>9500</v>
      </c>
      <c r="T792" s="27" t="n"/>
      <c r="U792" s="25" t="n">
        <v>2</v>
      </c>
      <c r="V792" s="27">
        <f>IF(S792="","",S792*U792)</f>
        <v/>
      </c>
      <c r="W792" s="26" t="inlineStr">
        <is>
          <t>Catalogue fee €9,500/yr (entered by institution).</t>
        </is>
      </c>
      <c r="X792" s="25" t="inlineStr">
        <is>
          <t>High</t>
        </is>
      </c>
      <c r="Y792" s="25" t="inlineStr">
        <is>
          <t>10500/9500</t>
        </is>
      </c>
      <c r="Z792" s="26" t="n"/>
      <c r="AA792" s="26" t="n"/>
      <c r="AB792" s="25" t="n"/>
      <c r="AC792" s="25" t="inlineStr">
        <is>
          <t>Open</t>
        </is>
      </c>
      <c r="AD792" s="25" t="inlineStr">
        <is>
          <t>2026-10-01</t>
        </is>
      </c>
      <c r="AE792" s="25" t="inlineStr">
        <is>
          <t>2027-03-15</t>
        </is>
      </c>
      <c r="AF792" s="25" t="inlineStr">
        <is>
          <t>Yes</t>
        </is>
      </c>
      <c r="AG792" s="28" t="inlineStr">
        <is>
          <t>https://www.cesi.fr/programmes/cursus-ingenieur-3-ans/</t>
        </is>
      </c>
      <c r="AH792" s="26" t="inlineStr">
        <is>
          <t>Admission to 1st year of curriculum: Hold a diploma equivalent to a university bachelor's degree, attesting to three years of higher education after the end of secondary school, in a scientific or technical field. Docume</t>
        </is>
      </c>
      <c r="AI792" s="28" t="inlineStr">
        <is>
          <t>Open in EEF</t>
        </is>
      </c>
    </row>
    <row r="793" ht="32.8" customHeight="1" s="19">
      <c r="A793" s="25" t="n">
        <v>792</v>
      </c>
      <c r="B793" s="25" t="inlineStr">
        <is>
          <t>★★★☆☆</t>
        </is>
      </c>
      <c r="C793" s="25" t="inlineStr">
        <is>
          <t>3 – Adjacent (AI/data/CS/cyber/energy)</t>
        </is>
      </c>
      <c r="D793" s="25" t="inlineStr">
        <is>
          <t>AI / Data science</t>
        </is>
      </c>
      <c r="E793" s="26" t="inlineStr">
        <is>
          <t>Diplôme d'ingénieur Master of Science and Engineering ISEN – Data and Artificial Intelligence</t>
        </is>
      </c>
      <c r="F793" s="26" t="inlineStr">
        <is>
          <t>Engineering diploma Master of Science and Engineering ISEN – Data and Artificial Intelligence</t>
        </is>
      </c>
      <c r="G793" s="25" t="inlineStr">
        <is>
          <t>Diplôme d'ingénieur</t>
        </is>
      </c>
      <c r="H793" s="25" t="inlineStr">
        <is>
          <t>JUNIA</t>
        </is>
      </c>
      <c r="I793" s="25" t="inlineStr">
        <is>
          <t>Université catholique de Lille</t>
        </is>
      </c>
      <c r="J793" s="25" t="inlineStr">
        <is>
          <t>Lille</t>
        </is>
      </c>
      <c r="K793" s="25" t="n"/>
      <c r="L793" s="25" t="inlineStr">
        <is>
          <t>Private / EESPIG</t>
        </is>
      </c>
      <c r="M793" s="25" t="inlineStr">
        <is>
          <t>English</t>
        </is>
      </c>
      <c r="N793" s="25" t="inlineStr">
        <is>
          <t>Taught in English</t>
        </is>
      </c>
      <c r="O793" s="25" t="inlineStr">
        <is>
          <t>Bac +4</t>
        </is>
      </c>
      <c r="P793" s="26" t="inlineStr">
        <is>
          <t>Eligible on level (4-yr BS ≈ Bac+4)</t>
        </is>
      </c>
      <c r="Q793" s="25" t="inlineStr">
        <is>
          <t>1</t>
        </is>
      </c>
      <c r="R793" s="25" t="inlineStr">
        <is>
          <t>12</t>
        </is>
      </c>
      <c r="S793" s="27" t="n">
        <v>9527</v>
      </c>
      <c r="T793" s="27" t="n"/>
      <c r="U793" s="25" t="n">
        <v>2</v>
      </c>
      <c r="V793" s="27">
        <f>IF(S793="","",S793*U793)</f>
        <v/>
      </c>
      <c r="W793" s="26" t="inlineStr">
        <is>
          <t>Catalogue fee €9,527/yr (entered by institution).</t>
        </is>
      </c>
      <c r="X793" s="25" t="inlineStr">
        <is>
          <t>High</t>
        </is>
      </c>
      <c r="Y793" s="25" t="inlineStr">
        <is>
          <t>9527</t>
        </is>
      </c>
      <c r="Z793" s="26" t="n"/>
      <c r="AA793" s="26" t="n"/>
      <c r="AB793" s="25" t="n"/>
      <c r="AC793" s="25" t="inlineStr">
        <is>
          <t>Open</t>
        </is>
      </c>
      <c r="AD793" s="25" t="inlineStr">
        <is>
          <t>2026-10-01</t>
        </is>
      </c>
      <c r="AE793" s="25" t="inlineStr">
        <is>
          <t>2027-03-15</t>
        </is>
      </c>
      <c r="AF793" s="25" t="inlineStr">
        <is>
          <t>Yes</t>
        </is>
      </c>
      <c r="AG793" s="28" t="inlineStr">
        <is>
          <t>https://www.junia.com/en/academics/master-of-science-and-engineering-in-data-and-artificial-intelligence/</t>
        </is>
      </c>
      <c r="AH793" s="26" t="inlineStr">
        <is>
          <t>Minimum Bachelor degree in Digital and Information technology, IT Engineering or any related fields. B2 level in English certified by an official test score (TOEFL, TOEIC, IELTS or equivalent) except for students from co</t>
        </is>
      </c>
      <c r="AI793" s="28" t="inlineStr">
        <is>
          <t>Open in EEF</t>
        </is>
      </c>
    </row>
    <row r="794" ht="32.8" customHeight="1" s="19">
      <c r="A794" s="25" t="n">
        <v>793</v>
      </c>
      <c r="B794" s="25" t="inlineStr">
        <is>
          <t>★★★☆☆</t>
        </is>
      </c>
      <c r="C794" s="25" t="inlineStr">
        <is>
          <t>3 – Adjacent (AI/data/CS/cyber/energy)</t>
        </is>
      </c>
      <c r="D794" s="25" t="inlineStr">
        <is>
          <t>Computer science / Software</t>
        </is>
      </c>
      <c r="E794" s="26" t="inlineStr">
        <is>
          <t>Diplôme d'ingénieur Master of Science and Engineering ISEN – Information systems and Software engineering</t>
        </is>
      </c>
      <c r="F794" s="26" t="inlineStr">
        <is>
          <t>Engineering diploma Master of Science and Engineering ISEN – Information systems and Software engineering</t>
        </is>
      </c>
      <c r="G794" s="25" t="inlineStr">
        <is>
          <t>Diplôme d'ingénieur</t>
        </is>
      </c>
      <c r="H794" s="25" t="inlineStr">
        <is>
          <t>JUNIA</t>
        </is>
      </c>
      <c r="I794" s="25" t="inlineStr">
        <is>
          <t>Université catholique de Lille</t>
        </is>
      </c>
      <c r="J794" s="25" t="inlineStr">
        <is>
          <t>Lille</t>
        </is>
      </c>
      <c r="K794" s="25" t="n"/>
      <c r="L794" s="25" t="inlineStr">
        <is>
          <t>Private / EESPIG</t>
        </is>
      </c>
      <c r="M794" s="25" t="inlineStr">
        <is>
          <t>English</t>
        </is>
      </c>
      <c r="N794" s="25" t="inlineStr">
        <is>
          <t>Taught in English</t>
        </is>
      </c>
      <c r="O794" s="25" t="inlineStr">
        <is>
          <t>Bac +4</t>
        </is>
      </c>
      <c r="P794" s="26" t="inlineStr">
        <is>
          <t>Eligible on level (4-yr BS ≈ Bac+4)</t>
        </is>
      </c>
      <c r="Q794" s="25" t="inlineStr">
        <is>
          <t>1</t>
        </is>
      </c>
      <c r="R794" s="25" t="inlineStr">
        <is>
          <t>12</t>
        </is>
      </c>
      <c r="S794" s="27" t="n">
        <v>9527</v>
      </c>
      <c r="T794" s="27" t="n"/>
      <c r="U794" s="25" t="n">
        <v>2</v>
      </c>
      <c r="V794" s="27">
        <f>IF(S794="","",S794*U794)</f>
        <v/>
      </c>
      <c r="W794" s="26" t="inlineStr">
        <is>
          <t>Catalogue fee €9,527/yr (entered by institution).</t>
        </is>
      </c>
      <c r="X794" s="25" t="inlineStr">
        <is>
          <t>High</t>
        </is>
      </c>
      <c r="Y794" s="25" t="inlineStr">
        <is>
          <t>9527</t>
        </is>
      </c>
      <c r="Z794" s="26" t="n"/>
      <c r="AA794" s="26" t="n"/>
      <c r="AB794" s="25" t="n"/>
      <c r="AC794" s="25" t="inlineStr">
        <is>
          <t>Open</t>
        </is>
      </c>
      <c r="AD794" s="25" t="inlineStr">
        <is>
          <t>2026-10-01</t>
        </is>
      </c>
      <c r="AE794" s="25" t="inlineStr">
        <is>
          <t>2027-03-15</t>
        </is>
      </c>
      <c r="AF794" s="25" t="inlineStr">
        <is>
          <t>Yes</t>
        </is>
      </c>
      <c r="AG794" s="28" t="inlineStr">
        <is>
          <t>https://www.junia.com/en/academics/master-of-science-and-engineering-in-information-systems-and-software-engineering/</t>
        </is>
      </c>
      <c r="AH794" s="26" t="inlineStr">
        <is>
          <t>Minimum Bachelor degree in Digital and Information technology, IT Engineering or any related fields B2 level in English certified by an official test score (TOEFL, TOEIC, IELTS or equivalent) except for students from cou</t>
        </is>
      </c>
      <c r="AI794" s="28" t="inlineStr">
        <is>
          <t>Open in EEF</t>
        </is>
      </c>
    </row>
    <row r="795" ht="32.8" customHeight="1" s="19">
      <c r="A795" s="25" t="n">
        <v>794</v>
      </c>
      <c r="B795" s="25" t="inlineStr">
        <is>
          <t>★★★☆☆</t>
        </is>
      </c>
      <c r="C795" s="25" t="inlineStr">
        <is>
          <t>3 – Adjacent (AI/data/CS/cyber/energy)</t>
        </is>
      </c>
      <c r="D795" s="25" t="inlineStr">
        <is>
          <t>Cybersecurity</t>
        </is>
      </c>
      <c r="E795" s="26" t="inlineStr">
        <is>
          <t>Mastère Spécialisé® Cybersécurité des Systèmes Complexes pour l’Industrie et la Défense</t>
        </is>
      </c>
      <c r="F795" s="26" t="inlineStr">
        <is>
          <t>Specialised Master (MS)® Cybersecurity of Systems Complex for Industry &amp; the Défense</t>
        </is>
      </c>
      <c r="G795" s="25" t="inlineStr">
        <is>
          <t>Mastère spécialisé</t>
        </is>
      </c>
      <c r="H795" s="25" t="inlineStr">
        <is>
          <t>Ecole centrale de Marseille</t>
        </is>
      </c>
      <c r="I795" s="25" t="n"/>
      <c r="J795" s="25" t="inlineStr">
        <is>
          <t>Ecole Centrale de Marseille</t>
        </is>
      </c>
      <c r="K795" s="25" t="inlineStr">
        <is>
          <t>13013 MARSEILLE</t>
        </is>
      </c>
      <c r="L795" s="25" t="inlineStr">
        <is>
          <t>Public school / institute</t>
        </is>
      </c>
      <c r="M795" s="25" t="inlineStr">
        <is>
          <t>French</t>
        </is>
      </c>
      <c r="N795" s="25" t="inlineStr">
        <is>
          <t>General</t>
        </is>
      </c>
      <c r="O795" s="25" t="inlineStr">
        <is>
          <t>Bac +6</t>
        </is>
      </c>
      <c r="P795" s="26" t="inlineStr">
        <is>
          <t>Possible – MS rules allow Bac+4 + ≥3 yrs work experience (you have 3)</t>
        </is>
      </c>
      <c r="Q795" s="25" t="inlineStr">
        <is>
          <t>1</t>
        </is>
      </c>
      <c r="R795" s="25" t="n"/>
      <c r="S795" s="27" t="n">
        <v>10000</v>
      </c>
      <c r="T795" s="27" t="n"/>
      <c r="U795" s="25" t="n">
        <v>1</v>
      </c>
      <c r="V795" s="27">
        <f>IF(S795="","",S795*U795)</f>
        <v/>
      </c>
      <c r="W795" s="26" t="inlineStr">
        <is>
          <t>Catalogue fee €10,000/yr (entered by institution).</t>
        </is>
      </c>
      <c r="X795" s="25" t="inlineStr">
        <is>
          <t>High</t>
        </is>
      </c>
      <c r="Y795" s="25" t="inlineStr">
        <is>
          <t>10000</t>
        </is>
      </c>
      <c r="Z795" s="26" t="n"/>
      <c r="AA795" s="26" t="n"/>
      <c r="AB795" s="25" t="n"/>
      <c r="AC795" s="25" t="inlineStr">
        <is>
          <t>Open</t>
        </is>
      </c>
      <c r="AD795" s="25" t="inlineStr">
        <is>
          <t>2026-10-01</t>
        </is>
      </c>
      <c r="AE795" s="25" t="inlineStr">
        <is>
          <t>2027-03-15</t>
        </is>
      </c>
      <c r="AF795" s="25" t="inlineStr">
        <is>
          <t>Yes</t>
        </is>
      </c>
      <c r="AG795" s="28" t="inlineStr">
        <is>
          <t>https://formation.centrale-marseille.fr/fr/ms-cybersecurite-systemes-complexes-lindustrie-defense</t>
        </is>
      </c>
      <c r="AH795" s="26" t="inlineStr">
        <is>
          <t>Le recrutement est ouvert aux titulaires : + d’un diplôme de niveau bac + 5 (ingénieur, master ou équivalent) en informatique, automatisme &amp; informatique industrielle ou généraliste + d’un diplôme de niveau bachelor dans</t>
        </is>
      </c>
      <c r="AI795" s="28" t="inlineStr">
        <is>
          <t>Open in EEF</t>
        </is>
      </c>
    </row>
    <row r="796" ht="32.8" customHeight="1" s="19">
      <c r="A796" s="25" t="n">
        <v>795</v>
      </c>
      <c r="B796" s="25" t="inlineStr">
        <is>
          <t>★★★☆☆</t>
        </is>
      </c>
      <c r="C796" s="25" t="inlineStr">
        <is>
          <t>3 – Adjacent (AI/data/CS/cyber/energy)</t>
        </is>
      </c>
      <c r="D796" s="25" t="inlineStr">
        <is>
          <t>Other engineering / maths</t>
        </is>
      </c>
      <c r="E796" s="26" t="inlineStr">
        <is>
          <t>Master indifférencié (recherche et professionnel) mention Master of Science and Technology: Complex Systems Engineering (CSE)</t>
        </is>
      </c>
      <c r="F796" s="26" t="inlineStr">
        <is>
          <t>major: Master of Science and Technology: Complex Systems Engineering (CSE)</t>
        </is>
      </c>
      <c r="G796" s="25" t="inlineStr">
        <is>
          <t>Master indifférencié (recherche et professionnel)</t>
        </is>
      </c>
      <c r="H796" s="25" t="inlineStr">
        <is>
          <t>Ecole centrale de Marseille</t>
        </is>
      </c>
      <c r="I796" s="25" t="n"/>
      <c r="J796" s="25" t="inlineStr">
        <is>
          <t>Ecole Centrale de Marseille</t>
        </is>
      </c>
      <c r="K796" s="25" t="inlineStr">
        <is>
          <t>13013 MARSEILLE</t>
        </is>
      </c>
      <c r="L796" s="25" t="inlineStr">
        <is>
          <t>Public school / institute</t>
        </is>
      </c>
      <c r="M796" s="25" t="inlineStr">
        <is>
          <t>English</t>
        </is>
      </c>
      <c r="N796" s="25" t="inlineStr">
        <is>
          <t>Taught in English</t>
        </is>
      </c>
      <c r="O796" s="25" t="inlineStr">
        <is>
          <t>Bac +4</t>
        </is>
      </c>
      <c r="P796" s="26" t="inlineStr">
        <is>
          <t>Eligible on level (4-yr BS ≈ Bac+4)</t>
        </is>
      </c>
      <c r="Q796" s="25" t="inlineStr">
        <is>
          <t>1</t>
        </is>
      </c>
      <c r="R796" s="25" t="inlineStr">
        <is>
          <t>24</t>
        </is>
      </c>
      <c r="S796" s="27" t="n">
        <v>10270</v>
      </c>
      <c r="T796" s="27" t="n"/>
      <c r="U796" s="25" t="n">
        <v>2</v>
      </c>
      <c r="V796" s="27">
        <f>IF(S796="","",S796*U796)</f>
        <v/>
      </c>
      <c r="W796" s="26" t="inlineStr">
        <is>
          <t>Catalogue fee €10,270/yr (entered by institution).</t>
        </is>
      </c>
      <c r="X796" s="25" t="inlineStr">
        <is>
          <t>High</t>
        </is>
      </c>
      <c r="Y796" s="25" t="inlineStr">
        <is>
          <t>10270</t>
        </is>
      </c>
      <c r="Z796" s="26" t="inlineStr">
        <is>
          <t>you about our decision Deadline for applications: June 1st, 2026 Fees European Students: €6 750 / year* Non-European Students: €10 270 € / y</t>
        </is>
      </c>
      <c r="AA796" s="26" t="n"/>
      <c r="AB796" s="25" t="n"/>
      <c r="AC796" s="25" t="inlineStr">
        <is>
          <t>Open</t>
        </is>
      </c>
      <c r="AD796" s="25" t="inlineStr">
        <is>
          <t>2026-10-01</t>
        </is>
      </c>
      <c r="AE796" s="25" t="inlineStr">
        <is>
          <t>2027-03-15</t>
        </is>
      </c>
      <c r="AF796" s="25" t="inlineStr">
        <is>
          <t>Yes</t>
        </is>
      </c>
      <c r="AG796" s="28" t="inlineStr">
        <is>
          <t>https://www.centrale-mediterranee.fr/fr/formation/masters/master-science-and-technology-complex-systems-engineering-msct-cse</t>
        </is>
      </c>
      <c r="AH796" s="26" t="inlineStr">
        <is>
          <t>The Master of Science and Technology in Complex Systems Engineering is an international program open to students and young professionals from all over the world. Diversity of cultural background and gender are valued. Th</t>
        </is>
      </c>
      <c r="AI796" s="28" t="inlineStr">
        <is>
          <t>Open in EEF</t>
        </is>
      </c>
    </row>
    <row r="797" ht="32.8" customHeight="1" s="19">
      <c r="A797" s="25" t="n">
        <v>796</v>
      </c>
      <c r="B797" s="25" t="inlineStr">
        <is>
          <t>★★★☆☆</t>
        </is>
      </c>
      <c r="C797" s="25" t="inlineStr">
        <is>
          <t>3 – Adjacent (AI/data/CS/cyber/energy)</t>
        </is>
      </c>
      <c r="D797" s="25" t="inlineStr">
        <is>
          <t>Computer science / Software</t>
        </is>
      </c>
      <c r="E797" s="26" t="inlineStr">
        <is>
          <t>Computer Science Engineering Degree</t>
        </is>
      </c>
      <c r="F797" s="26" t="inlineStr">
        <is>
          <t>Computer Science Engineering Degree</t>
        </is>
      </c>
      <c r="G797" s="25" t="inlineStr">
        <is>
          <t>Diplôme d'ingénieur</t>
        </is>
      </c>
      <c r="H797" s="25" t="inlineStr">
        <is>
          <t>CESI Ecole d'Ingénieurs</t>
        </is>
      </c>
      <c r="I797" s="25" t="inlineStr">
        <is>
          <t>CESI</t>
        </is>
      </c>
      <c r="J797" s="25" t="inlineStr">
        <is>
          <t>Campus de Nice</t>
        </is>
      </c>
      <c r="K797" s="25" t="inlineStr">
        <is>
          <t>06200 Nice</t>
        </is>
      </c>
      <c r="L797" s="25" t="inlineStr">
        <is>
          <t>Private / EESPIG</t>
        </is>
      </c>
      <c r="M797" s="25" t="inlineStr">
        <is>
          <t>English</t>
        </is>
      </c>
      <c r="N797" s="25" t="inlineStr">
        <is>
          <t>Taught in English</t>
        </is>
      </c>
      <c r="O797" s="25" t="inlineStr">
        <is>
          <t>Bac +3 / Bac +4 / Bac +5</t>
        </is>
      </c>
      <c r="P797" s="26" t="inlineStr">
        <is>
          <t>Eligible on level (4-yr BS ≈ Bac+4)</t>
        </is>
      </c>
      <c r="Q797" s="25" t="inlineStr">
        <is>
          <t>1/2/3</t>
        </is>
      </c>
      <c r="R797" s="25" t="inlineStr">
        <is>
          <t>10</t>
        </is>
      </c>
      <c r="S797" s="27" t="n">
        <v>10500</v>
      </c>
      <c r="T797" s="27" t="n"/>
      <c r="U797" s="25" t="n">
        <v>2</v>
      </c>
      <c r="V797" s="27">
        <f>IF(S797="","",S797*U797)</f>
        <v/>
      </c>
      <c r="W797" s="26" t="inlineStr">
        <is>
          <t>Catalogue fee €10,500/yr (entered by institution).</t>
        </is>
      </c>
      <c r="X797" s="25" t="inlineStr">
        <is>
          <t>High</t>
        </is>
      </c>
      <c r="Y797" s="25" t="inlineStr">
        <is>
          <t>10500</t>
        </is>
      </c>
      <c r="Z797" s="26" t="inlineStr">
        <is>
          <t>2850 euros … The balance of 6650 euros must be paid before the start of the course</t>
        </is>
      </c>
      <c r="AA797" s="26" t="n"/>
      <c r="AB797" s="25" t="n"/>
      <c r="AC797" s="25" t="inlineStr">
        <is>
          <t>Open</t>
        </is>
      </c>
      <c r="AD797" s="25" t="inlineStr">
        <is>
          <t>2026-10-01</t>
        </is>
      </c>
      <c r="AE797" s="25" t="inlineStr">
        <is>
          <t>2027-03-15</t>
        </is>
      </c>
      <c r="AF797" s="25" t="inlineStr">
        <is>
          <t>Yes</t>
        </is>
      </c>
      <c r="AG797" s="28" t="inlineStr">
        <is>
          <t>https://www.cesi.fr/programmes/cursus-ingenieur-3-ans/</t>
        </is>
      </c>
      <c r="AH797" s="26" t="inlineStr">
        <is>
          <t>Admission to 1st year of engineering studies: Hold a diploma equivalent to a university bachelor's degree, attesting to three years of higher education after the end of secondary school, in a scientific or technical fiel</t>
        </is>
      </c>
      <c r="AI797" s="28" t="inlineStr">
        <is>
          <t>Open in EEF</t>
        </is>
      </c>
    </row>
    <row r="798" ht="32.8" customHeight="1" s="19">
      <c r="A798" s="25" t="n">
        <v>797</v>
      </c>
      <c r="B798" s="25" t="inlineStr">
        <is>
          <t>★★★☆☆</t>
        </is>
      </c>
      <c r="C798" s="25" t="inlineStr">
        <is>
          <t>3 – Adjacent (AI/data/CS/cyber/energy)</t>
        </is>
      </c>
      <c r="D798" s="25" t="inlineStr">
        <is>
          <t>Computer science / Software</t>
        </is>
      </c>
      <c r="E798" s="26" t="inlineStr">
        <is>
          <t>Computer Science Engineering Degree</t>
        </is>
      </c>
      <c r="F798" s="26" t="inlineStr">
        <is>
          <t>Computer Science Engineering Degree</t>
        </is>
      </c>
      <c r="G798" s="25" t="inlineStr">
        <is>
          <t>Diplôme d'ingénieur</t>
        </is>
      </c>
      <c r="H798" s="25" t="inlineStr">
        <is>
          <t>CESI Ecole d'Ingénieurs</t>
        </is>
      </c>
      <c r="I798" s="25" t="inlineStr">
        <is>
          <t>CESI</t>
        </is>
      </c>
      <c r="J798" s="25" t="inlineStr">
        <is>
          <t>Campus de Rouen</t>
        </is>
      </c>
      <c r="K798" s="25" t="inlineStr">
        <is>
          <t>76808 Saint Etienne du Rouvray</t>
        </is>
      </c>
      <c r="L798" s="25" t="inlineStr">
        <is>
          <t>Private / EESPIG</t>
        </is>
      </c>
      <c r="M798" s="25" t="inlineStr">
        <is>
          <t>English</t>
        </is>
      </c>
      <c r="N798" s="25" t="inlineStr">
        <is>
          <t>Taught in English</t>
        </is>
      </c>
      <c r="O798" s="25" t="inlineStr">
        <is>
          <t>Bac +3</t>
        </is>
      </c>
      <c r="P798" s="26" t="inlineStr">
        <is>
          <t>Eligible on level (4-yr BS ≈ Bac+4)</t>
        </is>
      </c>
      <c r="Q798" s="25" t="inlineStr">
        <is>
          <t>1</t>
        </is>
      </c>
      <c r="R798" s="25" t="inlineStr">
        <is>
          <t>10</t>
        </is>
      </c>
      <c r="S798" s="27" t="n">
        <v>10500</v>
      </c>
      <c r="T798" s="27" t="n"/>
      <c r="U798" s="25" t="n">
        <v>2</v>
      </c>
      <c r="V798" s="27">
        <f>IF(S798="","",S798*U798)</f>
        <v/>
      </c>
      <c r="W798" s="26" t="inlineStr">
        <is>
          <t>Catalogue fee €10,500/yr (entered by institution).</t>
        </is>
      </c>
      <c r="X798" s="25" t="inlineStr">
        <is>
          <t>High</t>
        </is>
      </c>
      <c r="Y798" s="25" t="inlineStr">
        <is>
          <t>10500</t>
        </is>
      </c>
      <c r="Z798" s="26" t="n"/>
      <c r="AA798" s="26" t="n"/>
      <c r="AB798" s="25" t="n"/>
      <c r="AC798" s="25" t="inlineStr">
        <is>
          <t>Open</t>
        </is>
      </c>
      <c r="AD798" s="25" t="inlineStr">
        <is>
          <t>2026-10-01</t>
        </is>
      </c>
      <c r="AE798" s="25" t="inlineStr">
        <is>
          <t>2027-03-15</t>
        </is>
      </c>
      <c r="AF798" s="25" t="inlineStr">
        <is>
          <t>Yes</t>
        </is>
      </c>
      <c r="AG798" s="28" t="inlineStr">
        <is>
          <t>https://www.cesi.fr/programmes/cursus-ingenieur-3-ans/</t>
        </is>
      </c>
      <c r="AH798" s="26" t="inlineStr">
        <is>
          <t>Admission to 1st year of curriculum: Hold a diploma equivalent to a university bachelor's degree, attesting to three years of higher education after the end of secondary school, in a scientific or technical field. Docume</t>
        </is>
      </c>
      <c r="AI798" s="28" t="inlineStr">
        <is>
          <t>Open in EEF</t>
        </is>
      </c>
    </row>
    <row r="799" ht="32.8" customHeight="1" s="19">
      <c r="A799" s="25" t="n">
        <v>798</v>
      </c>
      <c r="B799" s="25" t="inlineStr">
        <is>
          <t>★★★☆☆</t>
        </is>
      </c>
      <c r="C799" s="25" t="inlineStr">
        <is>
          <t>3 – Adjacent (AI/data/CS/cyber/energy)</t>
        </is>
      </c>
      <c r="D799" s="25" t="inlineStr">
        <is>
          <t>Computer science / Software</t>
        </is>
      </c>
      <c r="E799" s="26" t="inlineStr">
        <is>
          <t>Computer Science Engineering Degree</t>
        </is>
      </c>
      <c r="F799" s="26" t="inlineStr">
        <is>
          <t>Computer Science Engineering Degree</t>
        </is>
      </c>
      <c r="G799" s="25" t="inlineStr">
        <is>
          <t>Diplôme d'ingénieur</t>
        </is>
      </c>
      <c r="H799" s="25" t="inlineStr">
        <is>
          <t>CESI Ecole d'Ingénieurs</t>
        </is>
      </c>
      <c r="I799" s="25" t="inlineStr">
        <is>
          <t>CESI</t>
        </is>
      </c>
      <c r="J799" s="25" t="inlineStr">
        <is>
          <t>Campus de Strasbourg</t>
        </is>
      </c>
      <c r="K799" s="25" t="inlineStr">
        <is>
          <t>67380 Lingolsheim</t>
        </is>
      </c>
      <c r="L799" s="25" t="inlineStr">
        <is>
          <t>Private / EESPIG</t>
        </is>
      </c>
      <c r="M799" s="25" t="inlineStr">
        <is>
          <t>English</t>
        </is>
      </c>
      <c r="N799" s="25" t="inlineStr">
        <is>
          <t>Taught in English</t>
        </is>
      </c>
      <c r="O799" s="25" t="inlineStr">
        <is>
          <t>Bac +3</t>
        </is>
      </c>
      <c r="P799" s="26" t="inlineStr">
        <is>
          <t>Eligible on level (4-yr BS ≈ Bac+4)</t>
        </is>
      </c>
      <c r="Q799" s="25" t="inlineStr">
        <is>
          <t>1</t>
        </is>
      </c>
      <c r="R799" s="25" t="inlineStr">
        <is>
          <t>10</t>
        </is>
      </c>
      <c r="S799" s="27" t="n">
        <v>10500</v>
      </c>
      <c r="T799" s="27" t="n"/>
      <c r="U799" s="25" t="n">
        <v>2</v>
      </c>
      <c r="V799" s="27">
        <f>IF(S799="","",S799*U799)</f>
        <v/>
      </c>
      <c r="W799" s="26" t="inlineStr">
        <is>
          <t>Catalogue fee €10,500/yr (entered by institution).</t>
        </is>
      </c>
      <c r="X799" s="25" t="inlineStr">
        <is>
          <t>High</t>
        </is>
      </c>
      <c r="Y799" s="25" t="inlineStr">
        <is>
          <t>10500</t>
        </is>
      </c>
      <c r="Z799" s="26" t="n"/>
      <c r="AA799" s="26" t="n"/>
      <c r="AB799" s="25" t="n"/>
      <c r="AC799" s="25" t="inlineStr">
        <is>
          <t>Open</t>
        </is>
      </c>
      <c r="AD799" s="25" t="inlineStr">
        <is>
          <t>2026-10-01</t>
        </is>
      </c>
      <c r="AE799" s="25" t="inlineStr">
        <is>
          <t>2027-03-15</t>
        </is>
      </c>
      <c r="AF799" s="25" t="inlineStr">
        <is>
          <t>Yes</t>
        </is>
      </c>
      <c r="AG799" s="28" t="inlineStr">
        <is>
          <t>https://www.cesi.fr/programmes/cursus-ingenieur-3-ans/</t>
        </is>
      </c>
      <c r="AH799" s="26" t="inlineStr">
        <is>
          <t>Admission to 1st year of curriculum: Hold a diploma equivalent to a university bachelor's degree, attesting to three years of higher education after the end of secondary school, in a scientific or technical field. Docume</t>
        </is>
      </c>
      <c r="AI799" s="28" t="inlineStr">
        <is>
          <t>Open in EEF</t>
        </is>
      </c>
    </row>
    <row r="800" ht="32.8" customHeight="1" s="19">
      <c r="A800" s="25" t="n">
        <v>799</v>
      </c>
      <c r="B800" s="25" t="inlineStr">
        <is>
          <t>★★★☆☆</t>
        </is>
      </c>
      <c r="C800" s="25" t="inlineStr">
        <is>
          <t>3 – Adjacent (AI/data/CS/cyber/energy)</t>
        </is>
      </c>
      <c r="D800" s="25" t="inlineStr">
        <is>
          <t>Computer science / Software</t>
        </is>
      </c>
      <c r="E800" s="26" t="inlineStr">
        <is>
          <t>Computer Science Engineering Degree</t>
        </is>
      </c>
      <c r="F800" s="26" t="inlineStr">
        <is>
          <t>Computer Science Engineering Degree</t>
        </is>
      </c>
      <c r="G800" s="25" t="inlineStr">
        <is>
          <t>Diplôme d'ingénieur</t>
        </is>
      </c>
      <c r="H800" s="25" t="inlineStr">
        <is>
          <t>CESI Ecole d'Ingénieurs</t>
        </is>
      </c>
      <c r="I800" s="25" t="inlineStr">
        <is>
          <t>CESI</t>
        </is>
      </c>
      <c r="J800" s="25" t="inlineStr">
        <is>
          <t>Campus d'Aix-en-Provence</t>
        </is>
      </c>
      <c r="K800" s="25" t="inlineStr">
        <is>
          <t>13290 Aix-en-Provence</t>
        </is>
      </c>
      <c r="L800" s="25" t="inlineStr">
        <is>
          <t>Private / EESPIG</t>
        </is>
      </c>
      <c r="M800" s="25" t="inlineStr">
        <is>
          <t>English</t>
        </is>
      </c>
      <c r="N800" s="25" t="inlineStr">
        <is>
          <t>Taught in English</t>
        </is>
      </c>
      <c r="O800" s="25" t="inlineStr">
        <is>
          <t>Bac +3</t>
        </is>
      </c>
      <c r="P800" s="26" t="inlineStr">
        <is>
          <t>Eligible on level (4-yr BS ≈ Bac+4)</t>
        </is>
      </c>
      <c r="Q800" s="25" t="inlineStr">
        <is>
          <t>1</t>
        </is>
      </c>
      <c r="R800" s="25" t="inlineStr">
        <is>
          <t>10</t>
        </is>
      </c>
      <c r="S800" s="27" t="n">
        <v>10500</v>
      </c>
      <c r="T800" s="27" t="n"/>
      <c r="U800" s="25" t="n">
        <v>2</v>
      </c>
      <c r="V800" s="27">
        <f>IF(S800="","",S800*U800)</f>
        <v/>
      </c>
      <c r="W800" s="26" t="inlineStr">
        <is>
          <t>Catalogue fee €10,500/yr (entered by institution).</t>
        </is>
      </c>
      <c r="X800" s="25" t="inlineStr">
        <is>
          <t>High</t>
        </is>
      </c>
      <c r="Y800" s="25" t="inlineStr">
        <is>
          <t>10500</t>
        </is>
      </c>
      <c r="Z800" s="26" t="n"/>
      <c r="AA800" s="26" t="n"/>
      <c r="AB800" s="25" t="n"/>
      <c r="AC800" s="25" t="inlineStr">
        <is>
          <t>Open</t>
        </is>
      </c>
      <c r="AD800" s="25" t="inlineStr">
        <is>
          <t>2026-10-01</t>
        </is>
      </c>
      <c r="AE800" s="25" t="inlineStr">
        <is>
          <t>2027-03-15</t>
        </is>
      </c>
      <c r="AF800" s="25" t="inlineStr">
        <is>
          <t>Yes</t>
        </is>
      </c>
      <c r="AG800" s="25" t="n"/>
      <c r="AH800" s="26" t="inlineStr">
        <is>
          <t>Admission to 1st year of curriculum: Hold a diploma equivalent to a university bachelor's degree, attesting to three years of higher education after the end of secondary school, in a scientific or technical field. Docume</t>
        </is>
      </c>
      <c r="AI800" s="28" t="inlineStr">
        <is>
          <t>Open in EEF</t>
        </is>
      </c>
    </row>
    <row r="801" ht="43.25" customHeight="1" s="19">
      <c r="A801" s="25" t="n">
        <v>800</v>
      </c>
      <c r="B801" s="25" t="inlineStr">
        <is>
          <t>★★★☆☆</t>
        </is>
      </c>
      <c r="C801" s="25" t="inlineStr">
        <is>
          <t>3 – Adjacent (AI/data/CS/cyber/energy)</t>
        </is>
      </c>
      <c r="D801" s="25" t="inlineStr">
        <is>
          <t>Computer science / Software</t>
        </is>
      </c>
      <c r="E801" s="26" t="inlineStr">
        <is>
          <t>Mastère Product Owner &amp; Pilotage des Systèmes d'information</t>
        </is>
      </c>
      <c r="F801" s="26" t="inlineStr">
        <is>
          <t>Mastère Product Owner &amp; Control of Information Systems</t>
        </is>
      </c>
      <c r="G801" s="25" t="inlineStr">
        <is>
          <t>Master indifférencié (recherche et professionnel)</t>
        </is>
      </c>
      <c r="H801" s="25" t="inlineStr">
        <is>
          <t>Ecole d'ingénieurs du numérique</t>
        </is>
      </c>
      <c r="I801" s="25" t="inlineStr">
        <is>
          <t>Efrei Paris Panthéon-Assas Université</t>
        </is>
      </c>
      <c r="J801" s="25" t="inlineStr">
        <is>
          <t>Villejuif</t>
        </is>
      </c>
      <c r="K801" s="25" t="inlineStr">
        <is>
          <t>94800 Villejuif</t>
        </is>
      </c>
      <c r="L801" s="25" t="inlineStr">
        <is>
          <t>Private / EESPIG</t>
        </is>
      </c>
      <c r="M801" s="25" t="inlineStr">
        <is>
          <t>French</t>
        </is>
      </c>
      <c r="N801" s="25" t="inlineStr">
        <is>
          <t>General</t>
        </is>
      </c>
      <c r="O801" s="25" t="inlineStr">
        <is>
          <t>Bac +4</t>
        </is>
      </c>
      <c r="P801" s="26" t="inlineStr">
        <is>
          <t>Eligible on level (4-yr BS ≈ Bac+4)</t>
        </is>
      </c>
      <c r="Q801" s="25" t="inlineStr">
        <is>
          <t>1</t>
        </is>
      </c>
      <c r="R801" s="25" t="inlineStr">
        <is>
          <t>24</t>
        </is>
      </c>
      <c r="S801" s="27" t="n">
        <v>10750</v>
      </c>
      <c r="T801" s="27" t="n"/>
      <c r="U801" s="25" t="n">
        <v>2</v>
      </c>
      <c r="V801" s="27">
        <f>IF(S801="","",S801*U801)</f>
        <v/>
      </c>
      <c r="W801" s="26" t="inlineStr">
        <is>
          <t>Catalogue fee €10,750/yr (entered by institution).</t>
        </is>
      </c>
      <c r="X801" s="25" t="inlineStr">
        <is>
          <t>High</t>
        </is>
      </c>
      <c r="Y801" s="25" t="inlineStr">
        <is>
          <t>10750</t>
        </is>
      </c>
      <c r="Z801" s="26" t="inlineStr">
        <is>
          <t>Frais pour la 1ère année : 11 000€* * L’école se réserve le droit de modifier les fr … olarité - Télécharger votre photo d'identité - Verser 60% des frais annuels, soit : 6 600 €, Après cela, nous vous enverrons votre a</t>
        </is>
      </c>
      <c r="AA801" s="26" t="n"/>
      <c r="AB801" s="25" t="n"/>
      <c r="AC801" s="25" t="inlineStr">
        <is>
          <t>Open</t>
        </is>
      </c>
      <c r="AD801" s="25" t="inlineStr">
        <is>
          <t>2026-10-01</t>
        </is>
      </c>
      <c r="AE801" s="25" t="inlineStr">
        <is>
          <t>2027-03-15</t>
        </is>
      </c>
      <c r="AF801" s="25" t="inlineStr">
        <is>
          <t>No</t>
        </is>
      </c>
      <c r="AG801" s="25" t="n"/>
      <c r="AH801" s="26" t="inlineStr">
        <is>
          <t>Le Mastère Product Owner et pilotage des SI offre une triple expertise : conception de produits numériques, pilotage agile et exploitation de la data. Il forme des Product Owners capables de concevoir, piloter et faire é</t>
        </is>
      </c>
      <c r="AI801" s="28" t="inlineStr">
        <is>
          <t>Open in EEF</t>
        </is>
      </c>
    </row>
    <row r="802" ht="32.8" customHeight="1" s="19">
      <c r="A802" s="25" t="n">
        <v>801</v>
      </c>
      <c r="B802" s="25" t="inlineStr">
        <is>
          <t>★★★☆☆</t>
        </is>
      </c>
      <c r="C802" s="25" t="inlineStr">
        <is>
          <t>3 – Adjacent (AI/data/CS/cyber/energy)</t>
        </is>
      </c>
      <c r="D802" s="25" t="inlineStr">
        <is>
          <t>AI / Data science</t>
        </is>
      </c>
      <c r="E802" s="26" t="inlineStr">
        <is>
          <t>Cycle d'ingénieur généraliste ESEO - SYSTÈMES D’INFORMATION - LOGICIELS &amp; DONNÉES</t>
        </is>
      </c>
      <c r="F802" s="26" t="inlineStr">
        <is>
          <t>cycle of Engineer General ESEO - Systems Information - Software &amp; Data</t>
        </is>
      </c>
      <c r="G802" s="25" t="inlineStr">
        <is>
          <t>Diplôme d'ingénieur</t>
        </is>
      </c>
      <c r="H802" s="25" t="inlineStr">
        <is>
          <t>ESEO</t>
        </is>
      </c>
      <c r="I802" s="25" t="n"/>
      <c r="J802" s="25" t="inlineStr">
        <is>
          <t>ESEO site d'Angers</t>
        </is>
      </c>
      <c r="K802" s="25" t="inlineStr">
        <is>
          <t>49100 Angers</t>
        </is>
      </c>
      <c r="L802" s="25" t="inlineStr">
        <is>
          <t>Private / EESPIG</t>
        </is>
      </c>
      <c r="M802" s="25" t="inlineStr">
        <is>
          <t>French</t>
        </is>
      </c>
      <c r="N802" s="25" t="inlineStr">
        <is>
          <t>General</t>
        </is>
      </c>
      <c r="O802" s="25" t="inlineStr">
        <is>
          <t>Bac +4</t>
        </is>
      </c>
      <c r="P802" s="26" t="inlineStr">
        <is>
          <t>Eligible on level (4-yr BS ≈ Bac+4)</t>
        </is>
      </c>
      <c r="Q802" s="25" t="inlineStr">
        <is>
          <t>4</t>
        </is>
      </c>
      <c r="R802" s="25" t="inlineStr">
        <is>
          <t>12</t>
        </is>
      </c>
      <c r="S802" s="27" t="n">
        <v>10890</v>
      </c>
      <c r="T802" s="27" t="n"/>
      <c r="U802" s="25" t="n">
        <v>2</v>
      </c>
      <c r="V802" s="27">
        <f>IF(S802="","",S802*U802)</f>
        <v/>
      </c>
      <c r="W802" s="26" t="inlineStr">
        <is>
          <t>Catalogue fee €10,890/yr (entered by institution).</t>
        </is>
      </c>
      <c r="X802" s="25" t="inlineStr">
        <is>
          <t>High</t>
        </is>
      </c>
      <c r="Y802" s="25" t="inlineStr">
        <is>
          <t>10890</t>
        </is>
      </c>
      <c r="Z802" s="26" t="n"/>
      <c r="AA802" s="26" t="n"/>
      <c r="AB802" s="25" t="n"/>
      <c r="AC802" s="25" t="inlineStr">
        <is>
          <t>Open</t>
        </is>
      </c>
      <c r="AD802" s="25" t="inlineStr">
        <is>
          <t>2026-10-01</t>
        </is>
      </c>
      <c r="AE802" s="25" t="inlineStr">
        <is>
          <t>2027-03-15</t>
        </is>
      </c>
      <c r="AF802" s="25" t="inlineStr">
        <is>
          <t>No</t>
        </is>
      </c>
      <c r="AG802" s="25" t="n"/>
      <c r="AH802" s="26" t="inlineStr">
        <is>
          <t>Option Systèmes d’information – Logiciels et Données Cette option forme des ingénieurs capables de concevoir et développer des solutions logicielles adaptées aux besoins des entreprises et aux contraintes de leur environ</t>
        </is>
      </c>
      <c r="AI802" s="28" t="inlineStr">
        <is>
          <t>Open in EEF</t>
        </is>
      </c>
    </row>
    <row r="803" ht="32.8" customHeight="1" s="19">
      <c r="A803" s="25" t="n">
        <v>802</v>
      </c>
      <c r="B803" s="25" t="inlineStr">
        <is>
          <t>★★★☆☆</t>
        </is>
      </c>
      <c r="C803" s="25" t="inlineStr">
        <is>
          <t>3 – Adjacent (AI/data/CS/cyber/energy)</t>
        </is>
      </c>
      <c r="D803" s="25" t="inlineStr">
        <is>
          <t>Cybersecurity</t>
        </is>
      </c>
      <c r="E803" s="26" t="inlineStr">
        <is>
          <t>Cycle d'ingénieur généraliste ESEO - SYSTÈMES INFORMATION - CYBERSÉCURITÉ &amp; SYSTÈMES</t>
        </is>
      </c>
      <c r="F803" s="26" t="inlineStr">
        <is>
          <t>cycle of Engineer General ESEO - Systems Information - Cybersecurity &amp; Systems</t>
        </is>
      </c>
      <c r="G803" s="25" t="inlineStr">
        <is>
          <t>Diplôme d'ingénieur</t>
        </is>
      </c>
      <c r="H803" s="25" t="inlineStr">
        <is>
          <t>ESEO</t>
        </is>
      </c>
      <c r="I803" s="25" t="n"/>
      <c r="J803" s="25" t="inlineStr">
        <is>
          <t>ESEO site d'Angers</t>
        </is>
      </c>
      <c r="K803" s="25" t="inlineStr">
        <is>
          <t>49100 Angers</t>
        </is>
      </c>
      <c r="L803" s="25" t="inlineStr">
        <is>
          <t>Private / EESPIG</t>
        </is>
      </c>
      <c r="M803" s="25" t="inlineStr">
        <is>
          <t>French</t>
        </is>
      </c>
      <c r="N803" s="25" t="inlineStr">
        <is>
          <t>General</t>
        </is>
      </c>
      <c r="O803" s="25" t="inlineStr">
        <is>
          <t>Bac +4</t>
        </is>
      </c>
      <c r="P803" s="26" t="inlineStr">
        <is>
          <t>Eligible on level (4-yr BS ≈ Bac+4)</t>
        </is>
      </c>
      <c r="Q803" s="25" t="inlineStr">
        <is>
          <t>4</t>
        </is>
      </c>
      <c r="R803" s="25" t="inlineStr">
        <is>
          <t>12</t>
        </is>
      </c>
      <c r="S803" s="27" t="n">
        <v>10890</v>
      </c>
      <c r="T803" s="27" t="n"/>
      <c r="U803" s="25" t="n">
        <v>2</v>
      </c>
      <c r="V803" s="27">
        <f>IF(S803="","",S803*U803)</f>
        <v/>
      </c>
      <c r="W803" s="26" t="inlineStr">
        <is>
          <t>Catalogue fee €10,890/yr (entered by institution).</t>
        </is>
      </c>
      <c r="X803" s="25" t="inlineStr">
        <is>
          <t>High</t>
        </is>
      </c>
      <c r="Y803" s="25" t="inlineStr">
        <is>
          <t>10890</t>
        </is>
      </c>
      <c r="Z803" s="26" t="n"/>
      <c r="AA803" s="26" t="n"/>
      <c r="AB803" s="25" t="n"/>
      <c r="AC803" s="25" t="inlineStr">
        <is>
          <t>Open</t>
        </is>
      </c>
      <c r="AD803" s="25" t="inlineStr">
        <is>
          <t>2026-10-01</t>
        </is>
      </c>
      <c r="AE803" s="25" t="inlineStr">
        <is>
          <t>2027-03-15</t>
        </is>
      </c>
      <c r="AF803" s="25" t="inlineStr">
        <is>
          <t>No</t>
        </is>
      </c>
      <c r="AG803" s="25" t="n"/>
      <c r="AH803" s="26" t="inlineStr">
        <is>
          <t>Cette option forme des ingénieurs capables d’accompagner les entreprises dans leur transformation numérique , notamment à travers le développement et la gestion de systèmes d’information et de solutions dans le cloud. El</t>
        </is>
      </c>
      <c r="AI803" s="28" t="inlineStr">
        <is>
          <t>Open in EEF</t>
        </is>
      </c>
    </row>
    <row r="804" ht="43.25" customHeight="1" s="19">
      <c r="A804" s="25" t="n">
        <v>803</v>
      </c>
      <c r="B804" s="25" t="inlineStr">
        <is>
          <t>★★★☆☆</t>
        </is>
      </c>
      <c r="C804" s="25" t="inlineStr">
        <is>
          <t>3 – Adjacent (AI/data/CS/cyber/energy)</t>
        </is>
      </c>
      <c r="D804" s="25" t="inlineStr">
        <is>
          <t>Cybersecurity</t>
        </is>
      </c>
      <c r="E804" s="26" t="inlineStr">
        <is>
          <t>Master of Science (MSc) parcours Cybersecurity Manager</t>
        </is>
      </c>
      <c r="F804" s="26" t="inlineStr">
        <is>
          <t>Master of Science (MSc) parcours Cybersecurity Manager</t>
        </is>
      </c>
      <c r="G804" s="25" t="inlineStr">
        <is>
          <t>Master of Science (MSc)</t>
        </is>
      </c>
      <c r="H804" s="25" t="inlineStr">
        <is>
          <t>Ecole centrale d'électronique - groupe ECE</t>
        </is>
      </c>
      <c r="I804" s="25" t="inlineStr">
        <is>
          <t>OMNES Education</t>
        </is>
      </c>
      <c r="J804" s="25" t="inlineStr">
        <is>
          <t>Campus de Paris</t>
        </is>
      </c>
      <c r="K804" s="25" t="inlineStr">
        <is>
          <t>75015 PARIS</t>
        </is>
      </c>
      <c r="L804" s="25" t="inlineStr">
        <is>
          <t>Private / EESPIG</t>
        </is>
      </c>
      <c r="M804" s="25" t="inlineStr">
        <is>
          <t>English</t>
        </is>
      </c>
      <c r="N804" s="25" t="inlineStr">
        <is>
          <t>Taught in English</t>
        </is>
      </c>
      <c r="O804" s="25" t="inlineStr">
        <is>
          <t>Bac +4 / Bac +5</t>
        </is>
      </c>
      <c r="P804" s="26" t="inlineStr">
        <is>
          <t>Eligible on level (4-yr BS ≈ Bac+4)</t>
        </is>
      </c>
      <c r="Q804" s="25" t="inlineStr">
        <is>
          <t>1/2</t>
        </is>
      </c>
      <c r="R804" s="25" t="inlineStr">
        <is>
          <t>10</t>
        </is>
      </c>
      <c r="S804" s="27" t="n">
        <v>10900</v>
      </c>
      <c r="T804" s="27" t="n"/>
      <c r="U804" s="25" t="n">
        <v>2</v>
      </c>
      <c r="V804" s="27">
        <f>IF(S804="","",S804*U804)</f>
        <v/>
      </c>
      <c r="W804" s="26" t="inlineStr">
        <is>
          <t>Catalogue fee €10,900/yr (entered by institution).</t>
        </is>
      </c>
      <c r="X804" s="25" t="inlineStr">
        <is>
          <t>High</t>
        </is>
      </c>
      <c r="Y804" s="25" t="inlineStr">
        <is>
          <t>10900</t>
        </is>
      </c>
      <c r="Z804" s="26" t="inlineStr">
        <is>
          <t>the academic year in September, starting from the deposit of an advance payment of 3 500 € The selection is based on: - File study - French … the academic year in September, starting from the deposit of an advance pay</t>
        </is>
      </c>
      <c r="AA804" s="26" t="n"/>
      <c r="AB804" s="25" t="n"/>
      <c r="AC804" s="25" t="inlineStr">
        <is>
          <t>Closed</t>
        </is>
      </c>
      <c r="AD804" s="25" t="n"/>
      <c r="AE804" s="25" t="n"/>
      <c r="AF804" s="25" t="inlineStr">
        <is>
          <t>No</t>
        </is>
      </c>
      <c r="AG804" s="28" t="inlineStr">
        <is>
          <t>https://www.ece.fr/en/programs/the-msc-program/</t>
        </is>
      </c>
      <c r="AH804" s="26" t="inlineStr">
        <is>
          <t>You can substantiate a B2 level in English. The candidates need to be able to prove their proficiency in English with a language degree - TOEFL - TOEIC - or by successfully taking a language test in English. First year e</t>
        </is>
      </c>
      <c r="AI804" s="28" t="inlineStr">
        <is>
          <t>Open in EEF</t>
        </is>
      </c>
    </row>
    <row r="805" ht="32.8" customHeight="1" s="19">
      <c r="A805" s="25" t="n">
        <v>804</v>
      </c>
      <c r="B805" s="25" t="inlineStr">
        <is>
          <t>★★★☆☆</t>
        </is>
      </c>
      <c r="C805" s="25" t="inlineStr">
        <is>
          <t>3 – Adjacent (AI/data/CS/cyber/energy)</t>
        </is>
      </c>
      <c r="D805" s="25" t="inlineStr">
        <is>
          <t>Cybersecurity</t>
        </is>
      </c>
      <c r="E805" s="26" t="inlineStr">
        <is>
          <t>Master of Science (MSc) spécialité Manager de la Cybersécurité</t>
        </is>
      </c>
      <c r="F805" s="26" t="inlineStr">
        <is>
          <t>Master of Science (MSc) spécialité Manager de la Cybersécurité</t>
        </is>
      </c>
      <c r="G805" s="25" t="inlineStr">
        <is>
          <t>Master of Science (MSc)</t>
        </is>
      </c>
      <c r="H805" s="25" t="inlineStr">
        <is>
          <t>Ecole centrale d'électronique - groupe ECE</t>
        </is>
      </c>
      <c r="I805" s="25" t="inlineStr">
        <is>
          <t>OMNES Education</t>
        </is>
      </c>
      <c r="J805" s="25" t="inlineStr">
        <is>
          <t>Campus de Paris</t>
        </is>
      </c>
      <c r="K805" s="25" t="inlineStr">
        <is>
          <t>75015 PARIS</t>
        </is>
      </c>
      <c r="L805" s="25" t="inlineStr">
        <is>
          <t>Private / EESPIG</t>
        </is>
      </c>
      <c r="M805" s="25" t="inlineStr">
        <is>
          <t>French</t>
        </is>
      </c>
      <c r="N805" s="25" t="inlineStr">
        <is>
          <t>General</t>
        </is>
      </c>
      <c r="O805" s="25" t="inlineStr">
        <is>
          <t>Bac +4 / Bac +5</t>
        </is>
      </c>
      <c r="P805" s="26" t="inlineStr">
        <is>
          <t>Eligible on level (4-yr BS ≈ Bac+4)</t>
        </is>
      </c>
      <c r="Q805" s="25" t="inlineStr">
        <is>
          <t>1/2</t>
        </is>
      </c>
      <c r="R805" s="25" t="inlineStr">
        <is>
          <t>10</t>
        </is>
      </c>
      <c r="S805" s="27" t="n">
        <v>10900</v>
      </c>
      <c r="T805" s="27" t="n"/>
      <c r="U805" s="25" t="n">
        <v>2</v>
      </c>
      <c r="V805" s="27">
        <f>IF(S805="","",S805*U805)</f>
        <v/>
      </c>
      <c r="W805" s="26" t="inlineStr">
        <is>
          <t>Catalogue fee €10,900/yr (entered by institution).</t>
        </is>
      </c>
      <c r="X805" s="25" t="inlineStr">
        <is>
          <t>High</t>
        </is>
      </c>
      <c r="Y805" s="25" t="inlineStr">
        <is>
          <t>10900</t>
        </is>
      </c>
      <c r="Z805" s="26" t="inlineStr">
        <is>
          <t>candidat pour la rentrée scolaire de septembre, à compter du dépôt d'un acompte de 3 500 euros de la formation proposée</t>
        </is>
      </c>
      <c r="AA805" s="26" t="n"/>
      <c r="AB805" s="25" t="n"/>
      <c r="AC805" s="25" t="inlineStr">
        <is>
          <t>Closed</t>
        </is>
      </c>
      <c r="AD805" s="25" t="n"/>
      <c r="AE805" s="25" t="n"/>
      <c r="AF805" s="25" t="inlineStr">
        <is>
          <t>No</t>
        </is>
      </c>
      <c r="AG805" s="28" t="inlineStr">
        <is>
          <t>https://www.ece.fr/programmes/programme-msc/</t>
        </is>
      </c>
      <c r="AH805" s="26" t="inlineStr">
        <is>
          <t>Vous devez pouvoir justifier : - la maîtrise de la langue française par un diplôme de langue pour attester de votre niveau : - DALF : C1 - DELF : B2 - TCF : B2 Pour une entrée en 1 ère année : - Vous êtes titulaire d’un</t>
        </is>
      </c>
      <c r="AI805" s="28" t="inlineStr">
        <is>
          <t>Open in EEF</t>
        </is>
      </c>
    </row>
    <row r="806" ht="43.25" customHeight="1" s="19">
      <c r="A806" s="25" t="n">
        <v>805</v>
      </c>
      <c r="B806" s="25" t="inlineStr">
        <is>
          <t>★★★☆☆</t>
        </is>
      </c>
      <c r="C806" s="25" t="inlineStr">
        <is>
          <t>3 – Adjacent (AI/data/CS/cyber/energy)</t>
        </is>
      </c>
      <c r="D806" s="25" t="inlineStr">
        <is>
          <t>Cybersecurity</t>
        </is>
      </c>
      <c r="E806" s="26" t="inlineStr">
        <is>
          <t>Mastère Cybersécurité</t>
        </is>
      </c>
      <c r="F806" s="26" t="inlineStr">
        <is>
          <t>Mastère Cybersecurity</t>
        </is>
      </c>
      <c r="G806" s="25" t="inlineStr">
        <is>
          <t>Master indifférencié (recherche et professionnel)</t>
        </is>
      </c>
      <c r="H806" s="25" t="inlineStr">
        <is>
          <t>Ecole d'ingénieurs du numérique</t>
        </is>
      </c>
      <c r="I806" s="25" t="inlineStr">
        <is>
          <t>Efrei Paris Panthéon-Assas Université</t>
        </is>
      </c>
      <c r="J806" s="25" t="inlineStr">
        <is>
          <t>Bordeaux</t>
        </is>
      </c>
      <c r="K806" s="25" t="inlineStr">
        <is>
          <t>33000 Bordeaux</t>
        </is>
      </c>
      <c r="L806" s="25" t="inlineStr">
        <is>
          <t>Private / EESPIG</t>
        </is>
      </c>
      <c r="M806" s="25" t="inlineStr">
        <is>
          <t>French</t>
        </is>
      </c>
      <c r="N806" s="25" t="inlineStr">
        <is>
          <t>General</t>
        </is>
      </c>
      <c r="O806" s="25" t="inlineStr">
        <is>
          <t>Bac +4</t>
        </is>
      </c>
      <c r="P806" s="26" t="inlineStr">
        <is>
          <t>Eligible on level (4-yr BS ≈ Bac+4)</t>
        </is>
      </c>
      <c r="Q806" s="25" t="inlineStr">
        <is>
          <t>1</t>
        </is>
      </c>
      <c r="R806" s="25" t="inlineStr">
        <is>
          <t>10</t>
        </is>
      </c>
      <c r="S806" s="27" t="n">
        <v>11000</v>
      </c>
      <c r="T806" s="27" t="n"/>
      <c r="U806" s="25" t="n">
        <v>2</v>
      </c>
      <c r="V806" s="27">
        <f>IF(S806="","",S806*U806)</f>
        <v/>
      </c>
      <c r="W806" s="26" t="inlineStr">
        <is>
          <t>Catalogue fee €11,000/yr (entered by institution).</t>
        </is>
      </c>
      <c r="X806" s="25" t="inlineStr">
        <is>
          <t>High</t>
        </is>
      </c>
      <c r="Y806" s="25" t="inlineStr">
        <is>
          <t>11000</t>
        </is>
      </c>
      <c r="Z806" s="26" t="inlineStr">
        <is>
          <t>Frais pour l'année : 11 000€* * L’école se réserve le droit de modifier les fr … olarité - Télécharger votre photo d'identité - Verser 60% des frais annuels, soit : 6 600 €, Après cela, nous vous enverrons votre attesta</t>
        </is>
      </c>
      <c r="AA806" s="26" t="n"/>
      <c r="AB806" s="25" t="n"/>
      <c r="AC806" s="25" t="inlineStr">
        <is>
          <t>Open</t>
        </is>
      </c>
      <c r="AD806" s="25" t="inlineStr">
        <is>
          <t>2026-10-01</t>
        </is>
      </c>
      <c r="AE806" s="25" t="inlineStr">
        <is>
          <t>2027-03-15</t>
        </is>
      </c>
      <c r="AF806" s="25" t="inlineStr">
        <is>
          <t>No</t>
        </is>
      </c>
      <c r="AG806" s="28" t="inlineStr">
        <is>
          <t>https://www.efrei.fr/mastere-cybersecurite/</t>
        </is>
      </c>
      <c r="AH806" s="26" t="inlineStr">
        <is>
          <t>Ce mastère forme des experts capables de relever les défis complexes en matière de sécurité informatique dans un contexte où les surfaces d'exposition des systèmes aux cyberattaques sont de plus en plus nombreuses. Après</t>
        </is>
      </c>
      <c r="AI806" s="28" t="inlineStr">
        <is>
          <t>Open in EEF</t>
        </is>
      </c>
    </row>
    <row r="807" ht="43.25" customHeight="1" s="19">
      <c r="A807" s="25" t="n">
        <v>806</v>
      </c>
      <c r="B807" s="25" t="inlineStr">
        <is>
          <t>★★★☆☆</t>
        </is>
      </c>
      <c r="C807" s="25" t="inlineStr">
        <is>
          <t>3 – Adjacent (AI/data/CS/cyber/energy)</t>
        </is>
      </c>
      <c r="D807" s="25" t="inlineStr">
        <is>
          <t>Cybersecurity</t>
        </is>
      </c>
      <c r="E807" s="26" t="inlineStr">
        <is>
          <t>Mastère Cybersécurité</t>
        </is>
      </c>
      <c r="F807" s="26" t="inlineStr">
        <is>
          <t>Mastère Cybersecurity</t>
        </is>
      </c>
      <c r="G807" s="25" t="inlineStr">
        <is>
          <t>Master indifférencié (recherche et professionnel)</t>
        </is>
      </c>
      <c r="H807" s="25" t="inlineStr">
        <is>
          <t>Ecole d'ingénieurs du numérique</t>
        </is>
      </c>
      <c r="I807" s="25" t="inlineStr">
        <is>
          <t>Efrei Paris Panthéon-Assas Université</t>
        </is>
      </c>
      <c r="J807" s="25" t="inlineStr">
        <is>
          <t>Villejuif</t>
        </is>
      </c>
      <c r="K807" s="25" t="inlineStr">
        <is>
          <t>94800 Villejuif</t>
        </is>
      </c>
      <c r="L807" s="25" t="inlineStr">
        <is>
          <t>Private / EESPIG</t>
        </is>
      </c>
      <c r="M807" s="25" t="inlineStr">
        <is>
          <t>French</t>
        </is>
      </c>
      <c r="N807" s="25" t="inlineStr">
        <is>
          <t>General</t>
        </is>
      </c>
      <c r="O807" s="25" t="inlineStr">
        <is>
          <t>Bac +4</t>
        </is>
      </c>
      <c r="P807" s="26" t="inlineStr">
        <is>
          <t>Eligible on level (4-yr BS ≈ Bac+4)</t>
        </is>
      </c>
      <c r="Q807" s="25" t="inlineStr">
        <is>
          <t>1</t>
        </is>
      </c>
      <c r="R807" s="25" t="inlineStr">
        <is>
          <t>10</t>
        </is>
      </c>
      <c r="S807" s="27" t="n">
        <v>11000</v>
      </c>
      <c r="T807" s="27" t="n"/>
      <c r="U807" s="25" t="n">
        <v>2</v>
      </c>
      <c r="V807" s="27">
        <f>IF(S807="","",S807*U807)</f>
        <v/>
      </c>
      <c r="W807" s="26" t="inlineStr">
        <is>
          <t>Catalogue fee €11,000/yr (entered by institution).</t>
        </is>
      </c>
      <c r="X807" s="25" t="inlineStr">
        <is>
          <t>High</t>
        </is>
      </c>
      <c r="Y807" s="25" t="inlineStr">
        <is>
          <t>11000</t>
        </is>
      </c>
      <c r="Z807" s="26" t="inlineStr">
        <is>
          <t>Frais pour la 1ère année : 11 000€* * L’école se réserve le droit de modifier les fr … olarité - Télécharger votre photo d'identité - Verser 60% des frais annuels, soit : 6 600 €, Après cela, nous vous enverrons votre a</t>
        </is>
      </c>
      <c r="AA807" s="26" t="n"/>
      <c r="AB807" s="25" t="n"/>
      <c r="AC807" s="25" t="inlineStr">
        <is>
          <t>Open</t>
        </is>
      </c>
      <c r="AD807" s="25" t="inlineStr">
        <is>
          <t>2026-10-01</t>
        </is>
      </c>
      <c r="AE807" s="25" t="inlineStr">
        <is>
          <t>2027-03-15</t>
        </is>
      </c>
      <c r="AF807" s="25" t="inlineStr">
        <is>
          <t>No</t>
        </is>
      </c>
      <c r="AG807" s="28" t="inlineStr">
        <is>
          <t>https://www.efrei.fr/mastere-cybersecurite/</t>
        </is>
      </c>
      <c r="AH807" s="26" t="inlineStr">
        <is>
          <t>Ce mastère forme des experts capables de relever les défis complexes en matière de sécurité informatique dans un contexte où les surfaces d'exposition des systèmes aux cyberattaques sont de plus en plus nombreuses. Après</t>
        </is>
      </c>
      <c r="AI807" s="28" t="inlineStr">
        <is>
          <t>Open in EEF</t>
        </is>
      </c>
    </row>
    <row r="808" ht="43.25" customHeight="1" s="19">
      <c r="A808" s="25" t="n">
        <v>807</v>
      </c>
      <c r="B808" s="25" t="inlineStr">
        <is>
          <t>★★★☆☆</t>
        </is>
      </c>
      <c r="C808" s="25" t="inlineStr">
        <is>
          <t>3 – Adjacent (AI/data/CS/cyber/energy)</t>
        </is>
      </c>
      <c r="D808" s="25" t="inlineStr">
        <is>
          <t>AI / Data science</t>
        </is>
      </c>
      <c r="E808" s="26" t="inlineStr">
        <is>
          <t>Mastère Data engineering &amp; intelligence artificielle</t>
        </is>
      </c>
      <c r="F808" s="26" t="inlineStr">
        <is>
          <t>Mastère Data engineering &amp; Artificial Intelligence</t>
        </is>
      </c>
      <c r="G808" s="25" t="inlineStr">
        <is>
          <t>Master indifférencié (recherche et professionnel)</t>
        </is>
      </c>
      <c r="H808" s="25" t="inlineStr">
        <is>
          <t>Ecole d'ingénieurs du numérique</t>
        </is>
      </c>
      <c r="I808" s="25" t="inlineStr">
        <is>
          <t>Efrei Paris Panthéon-Assas Université</t>
        </is>
      </c>
      <c r="J808" s="25" t="inlineStr">
        <is>
          <t>Bordeaux</t>
        </is>
      </c>
      <c r="K808" s="25" t="inlineStr">
        <is>
          <t>33000 Bordeaux</t>
        </is>
      </c>
      <c r="L808" s="25" t="inlineStr">
        <is>
          <t>Private / EESPIG</t>
        </is>
      </c>
      <c r="M808" s="25" t="inlineStr">
        <is>
          <t>French</t>
        </is>
      </c>
      <c r="N808" s="25" t="inlineStr">
        <is>
          <t>General</t>
        </is>
      </c>
      <c r="O808" s="25" t="inlineStr">
        <is>
          <t>Bac +4</t>
        </is>
      </c>
      <c r="P808" s="26" t="inlineStr">
        <is>
          <t>Eligible on level (4-yr BS ≈ Bac+4)</t>
        </is>
      </c>
      <c r="Q808" s="25" t="inlineStr">
        <is>
          <t>1</t>
        </is>
      </c>
      <c r="R808" s="25" t="inlineStr">
        <is>
          <t>10</t>
        </is>
      </c>
      <c r="S808" s="27" t="n">
        <v>11000</v>
      </c>
      <c r="T808" s="27" t="n"/>
      <c r="U808" s="25" t="n">
        <v>2</v>
      </c>
      <c r="V808" s="27">
        <f>IF(S808="","",S808*U808)</f>
        <v/>
      </c>
      <c r="W808" s="26" t="inlineStr">
        <is>
          <t>Catalogue fee €11,000/yr (entered by institution).</t>
        </is>
      </c>
      <c r="X808" s="25" t="inlineStr">
        <is>
          <t>High</t>
        </is>
      </c>
      <c r="Y808" s="25" t="inlineStr">
        <is>
          <t>11000</t>
        </is>
      </c>
      <c r="Z808" s="26" t="inlineStr">
        <is>
          <t>Frais pour l'année : 11 000€* * L’école se réserve le droit de modifier les fr … olarité - Télécharger votre photo d'identité - Verser 60% des frais annuels, soit : 6 600 €, Après cela, nous vous enverrons votre attesta</t>
        </is>
      </c>
      <c r="AA808" s="26" t="n"/>
      <c r="AB808" s="25" t="n"/>
      <c r="AC808" s="25" t="inlineStr">
        <is>
          <t>Open</t>
        </is>
      </c>
      <c r="AD808" s="25" t="inlineStr">
        <is>
          <t>2026-10-01</t>
        </is>
      </c>
      <c r="AE808" s="25" t="inlineStr">
        <is>
          <t>2027-03-15</t>
        </is>
      </c>
      <c r="AF808" s="25" t="inlineStr">
        <is>
          <t>No</t>
        </is>
      </c>
      <c r="AG808" s="28" t="inlineStr">
        <is>
          <t>https://www.efrei.fr/programmes-experts/mastere-data-engineering</t>
        </is>
      </c>
      <c r="AH808" s="26" t="inlineStr">
        <is>
          <t>Les data et l’IA sont vos terrains de jeu et vous souhaitez devenir un expert de ces domaines ? Le Mastère Data Engineering &amp; IA est fait pour vous. Grâce à ce cursus vous maîtriserez les technologies associées aux métad</t>
        </is>
      </c>
      <c r="AI808" s="28" t="inlineStr">
        <is>
          <t>Open in EEF</t>
        </is>
      </c>
    </row>
    <row r="809" ht="43.25" customHeight="1" s="19">
      <c r="A809" s="25" t="n">
        <v>808</v>
      </c>
      <c r="B809" s="25" t="inlineStr">
        <is>
          <t>★★★☆☆</t>
        </is>
      </c>
      <c r="C809" s="25" t="inlineStr">
        <is>
          <t>3 – Adjacent (AI/data/CS/cyber/energy)</t>
        </is>
      </c>
      <c r="D809" s="25" t="inlineStr">
        <is>
          <t>AI / Data science</t>
        </is>
      </c>
      <c r="E809" s="26" t="inlineStr">
        <is>
          <t>Mastère Data engineering &amp; intelligence artificielle</t>
        </is>
      </c>
      <c r="F809" s="26" t="inlineStr">
        <is>
          <t>Mastère Data engineering &amp; Artificial Intelligence</t>
        </is>
      </c>
      <c r="G809" s="25" t="inlineStr">
        <is>
          <t>Master indifférencié (recherche et professionnel)</t>
        </is>
      </c>
      <c r="H809" s="25" t="inlineStr">
        <is>
          <t>Ecole d'ingénieurs du numérique</t>
        </is>
      </c>
      <c r="I809" s="25" t="inlineStr">
        <is>
          <t>Efrei Paris Panthéon-Assas Université</t>
        </is>
      </c>
      <c r="J809" s="25" t="inlineStr">
        <is>
          <t>Villejuif</t>
        </is>
      </c>
      <c r="K809" s="25" t="inlineStr">
        <is>
          <t>94800 Villejuif</t>
        </is>
      </c>
      <c r="L809" s="25" t="inlineStr">
        <is>
          <t>Private / EESPIG</t>
        </is>
      </c>
      <c r="M809" s="25" t="inlineStr">
        <is>
          <t>French</t>
        </is>
      </c>
      <c r="N809" s="25" t="inlineStr">
        <is>
          <t>General</t>
        </is>
      </c>
      <c r="O809" s="25" t="inlineStr">
        <is>
          <t>Bac +4</t>
        </is>
      </c>
      <c r="P809" s="26" t="inlineStr">
        <is>
          <t>Eligible on level (4-yr BS ≈ Bac+4)</t>
        </is>
      </c>
      <c r="Q809" s="25" t="inlineStr">
        <is>
          <t>1</t>
        </is>
      </c>
      <c r="R809" s="25" t="inlineStr">
        <is>
          <t>10</t>
        </is>
      </c>
      <c r="S809" s="27" t="n">
        <v>11000</v>
      </c>
      <c r="T809" s="27" t="n"/>
      <c r="U809" s="25" t="n">
        <v>2</v>
      </c>
      <c r="V809" s="27">
        <f>IF(S809="","",S809*U809)</f>
        <v/>
      </c>
      <c r="W809" s="26" t="inlineStr">
        <is>
          <t>Catalogue fee €11,000/yr (entered by institution).</t>
        </is>
      </c>
      <c r="X809" s="25" t="inlineStr">
        <is>
          <t>High</t>
        </is>
      </c>
      <c r="Y809" s="25" t="inlineStr">
        <is>
          <t>11000</t>
        </is>
      </c>
      <c r="Z809" s="26" t="inlineStr">
        <is>
          <t>Frais pour la 1ère année : 11 000€* * L’école se réserve le droit de modifier les fr … olarité - Télécharger votre photo d'identité - Verser 60% des frais annuels, soit : 6 600 €, Après cela, nous vous enverrons votre a</t>
        </is>
      </c>
      <c r="AA809" s="26" t="n"/>
      <c r="AB809" s="25" t="n"/>
      <c r="AC809" s="25" t="inlineStr">
        <is>
          <t>Open</t>
        </is>
      </c>
      <c r="AD809" s="25" t="inlineStr">
        <is>
          <t>2026-10-01</t>
        </is>
      </c>
      <c r="AE809" s="25" t="inlineStr">
        <is>
          <t>2027-03-15</t>
        </is>
      </c>
      <c r="AF809" s="25" t="inlineStr">
        <is>
          <t>No</t>
        </is>
      </c>
      <c r="AG809" s="28" t="inlineStr">
        <is>
          <t>https://www.efrei.fr/programmes-experts/mastere-data-engineering</t>
        </is>
      </c>
      <c r="AH809" s="26" t="inlineStr">
        <is>
          <t>Les data et l’IA sont vos terrains de jeu et vous souhaitez devenir un expert de ces domaines ? Le Mastère Data Engineering &amp; IA est fait pour vous. Grâce à ce cursus vous maîtriserez les technologies associées aux métad</t>
        </is>
      </c>
      <c r="AI809" s="28" t="inlineStr">
        <is>
          <t>Open in EEF</t>
        </is>
      </c>
    </row>
    <row r="810" ht="22.35" customHeight="1" s="19">
      <c r="A810" s="25" t="n">
        <v>809</v>
      </c>
      <c r="B810" s="25" t="inlineStr">
        <is>
          <t>★★★☆☆</t>
        </is>
      </c>
      <c r="C810" s="25" t="inlineStr">
        <is>
          <t>3 – Adjacent (AI/data/CS/cyber/energy)</t>
        </is>
      </c>
      <c r="D810" s="25" t="inlineStr">
        <is>
          <t>IoT / Telecom / Networks</t>
        </is>
      </c>
      <c r="E810" s="26" t="inlineStr">
        <is>
          <t>Mastère spécialisé Expert en IA et réseaux du futur</t>
        </is>
      </c>
      <c r="F810" s="26" t="inlineStr">
        <is>
          <t>Specialised Master (MS) Expert in IA &amp; Networks of futur</t>
        </is>
      </c>
      <c r="G810" s="25" t="inlineStr">
        <is>
          <t>Mastère spécialisé</t>
        </is>
      </c>
      <c r="H810" s="25" t="inlineStr">
        <is>
          <t>IMT Nord Europe</t>
        </is>
      </c>
      <c r="I810" s="25" t="inlineStr">
        <is>
          <t>IMT Lille Douai</t>
        </is>
      </c>
      <c r="J810" s="25" t="inlineStr">
        <is>
          <t>IMT Nord Europe - Villeneuve d'Ascq Campus</t>
        </is>
      </c>
      <c r="K810" s="25" t="n"/>
      <c r="L810" s="25" t="inlineStr">
        <is>
          <t>Public school / institute</t>
        </is>
      </c>
      <c r="M810" s="25" t="inlineStr">
        <is>
          <t>French</t>
        </is>
      </c>
      <c r="N810" s="25" t="inlineStr">
        <is>
          <t>General</t>
        </is>
      </c>
      <c r="O810" s="25" t="inlineStr">
        <is>
          <t>Bac +5</t>
        </is>
      </c>
      <c r="P810" s="26" t="inlineStr">
        <is>
          <t>Possible – MS rules allow Bac+4 + ≥3 yrs work experience (you have 3)</t>
        </is>
      </c>
      <c r="Q810" s="25" t="inlineStr">
        <is>
          <t>6</t>
        </is>
      </c>
      <c r="R810" s="25" t="inlineStr">
        <is>
          <t>13</t>
        </is>
      </c>
      <c r="S810" s="27" t="n">
        <v>11000</v>
      </c>
      <c r="T810" s="27" t="n"/>
      <c r="U810" s="25" t="n">
        <v>1</v>
      </c>
      <c r="V810" s="27">
        <f>IF(S810="","",S810*U810)</f>
        <v/>
      </c>
      <c r="W810" s="26" t="inlineStr">
        <is>
          <t>Catalogue fee €11,000/yr (entered by institution).</t>
        </is>
      </c>
      <c r="X810" s="25" t="inlineStr">
        <is>
          <t>High</t>
        </is>
      </c>
      <c r="Y810" s="25" t="inlineStr">
        <is>
          <t>11000</t>
        </is>
      </c>
      <c r="Z810" s="26" t="n"/>
      <c r="AA810" s="26" t="n"/>
      <c r="AB810" s="25" t="n"/>
      <c r="AC810" s="25" t="inlineStr">
        <is>
          <t>Open</t>
        </is>
      </c>
      <c r="AD810" s="25" t="inlineStr">
        <is>
          <t>2026-10-01</t>
        </is>
      </c>
      <c r="AE810" s="25" t="inlineStr">
        <is>
          <t>2027-03-15</t>
        </is>
      </c>
      <c r="AF810" s="25" t="inlineStr">
        <is>
          <t>Yes</t>
        </is>
      </c>
      <c r="AG810" s="25" t="n"/>
      <c r="AH810" s="26" t="n"/>
      <c r="AI810" s="28" t="inlineStr">
        <is>
          <t>Open in EEF</t>
        </is>
      </c>
    </row>
    <row r="811" ht="43.25" customHeight="1" s="19">
      <c r="A811" s="25" t="n">
        <v>810</v>
      </c>
      <c r="B811" s="25" t="inlineStr">
        <is>
          <t>★★★☆☆</t>
        </is>
      </c>
      <c r="C811" s="25" t="inlineStr">
        <is>
          <t>3 – Adjacent (AI/data/CS/cyber/energy)</t>
        </is>
      </c>
      <c r="D811" s="25" t="inlineStr">
        <is>
          <t>Computer science / Software</t>
        </is>
      </c>
      <c r="E811" s="26" t="inlineStr">
        <is>
          <t>Master of Science (MSc) parcours Systèmes d'information ERP SAP pour les entreprises</t>
        </is>
      </c>
      <c r="F811" s="26" t="inlineStr">
        <is>
          <t>Master of Science (MSc) parcours Systèmes d'information ERP SAP pour les entreprises</t>
        </is>
      </c>
      <c r="G811" s="25" t="inlineStr">
        <is>
          <t>Master of Science (MSc)</t>
        </is>
      </c>
      <c r="H811" s="25" t="inlineStr">
        <is>
          <t>Ecole centrale d'électronique - groupe ECE</t>
        </is>
      </c>
      <c r="I811" s="25" t="inlineStr">
        <is>
          <t>OMNES Education</t>
        </is>
      </c>
      <c r="J811" s="25" t="inlineStr">
        <is>
          <t>Campus de Paris</t>
        </is>
      </c>
      <c r="K811" s="25" t="inlineStr">
        <is>
          <t>75015 PARIS</t>
        </is>
      </c>
      <c r="L811" s="25" t="inlineStr">
        <is>
          <t>Private / EESPIG</t>
        </is>
      </c>
      <c r="M811" s="25" t="inlineStr">
        <is>
          <t>French</t>
        </is>
      </c>
      <c r="N811" s="25" t="inlineStr">
        <is>
          <t>General</t>
        </is>
      </c>
      <c r="O811" s="25" t="inlineStr">
        <is>
          <t>Bac +4 / Bac +5</t>
        </is>
      </c>
      <c r="P811" s="26" t="inlineStr">
        <is>
          <t>Eligible on level (4-yr BS ≈ Bac+4)</t>
        </is>
      </c>
      <c r="Q811" s="25" t="inlineStr">
        <is>
          <t>1/2</t>
        </is>
      </c>
      <c r="R811" s="25" t="inlineStr">
        <is>
          <t>10</t>
        </is>
      </c>
      <c r="S811" s="27" t="n">
        <v>11190</v>
      </c>
      <c r="T811" s="27" t="n"/>
      <c r="U811" s="25" t="n">
        <v>2</v>
      </c>
      <c r="V811" s="27">
        <f>IF(S811="","",S811*U811)</f>
        <v/>
      </c>
      <c r="W811" s="26" t="inlineStr">
        <is>
          <t>Catalogue fee €11,190/yr (entered by institution).</t>
        </is>
      </c>
      <c r="X811" s="25" t="inlineStr">
        <is>
          <t>High</t>
        </is>
      </c>
      <c r="Y811" s="25" t="inlineStr">
        <is>
          <t>11190</t>
        </is>
      </c>
      <c r="Z811" s="26" t="inlineStr">
        <is>
          <t>candidat pour la rentrée scolaire de septembre, à compter du dépôt d'un acompte de 3 500 euros de la formation proposée … candidat pour la rentrée scolaire de septembre, à compter du dépôt d'un acompte de 3 500 euros d</t>
        </is>
      </c>
      <c r="AA811" s="26" t="n"/>
      <c r="AB811" s="25" t="n"/>
      <c r="AC811" s="25" t="inlineStr">
        <is>
          <t>Closed</t>
        </is>
      </c>
      <c r="AD811" s="25" t="n"/>
      <c r="AE811" s="25" t="n"/>
      <c r="AF811" s="25" t="inlineStr">
        <is>
          <t>No</t>
        </is>
      </c>
      <c r="AG811" s="28" t="inlineStr">
        <is>
          <t>https://www.ece.fr/programmes/programme-msc/</t>
        </is>
      </c>
      <c r="AH811" s="26" t="inlineStr">
        <is>
          <t>Vous devez pouvoir justifier : - la maîtrise de la langue française par un diplôme de langue pour attester de votre niveau : - DALF : C1 - DELF : B2 - TCF : B2 Pour une entrée en 1 ère année : - Vous suivez actuellement</t>
        </is>
      </c>
      <c r="AI811" s="28" t="inlineStr">
        <is>
          <t>Open in EEF</t>
        </is>
      </c>
    </row>
    <row r="812" ht="32.8" customHeight="1" s="19">
      <c r="A812" s="25" t="n">
        <v>811</v>
      </c>
      <c r="B812" s="25" t="inlineStr">
        <is>
          <t>★★★☆☆</t>
        </is>
      </c>
      <c r="C812" s="25" t="inlineStr">
        <is>
          <t>3 – Adjacent (AI/data/CS/cyber/energy)</t>
        </is>
      </c>
      <c r="D812" s="25" t="inlineStr">
        <is>
          <t>Cybersecurity</t>
        </is>
      </c>
      <c r="E812" s="26" t="inlineStr">
        <is>
          <t>Master pro Sciences, technologies, santé, mention Informatique parcours CYBER</t>
        </is>
      </c>
      <c r="F812" s="26" t="inlineStr">
        <is>
          <t>Master pro Science, Technology, Health (STS), – major: Computer Science – track: CYBER</t>
        </is>
      </c>
      <c r="G812" s="25" t="inlineStr">
        <is>
          <t>Master professionnel</t>
        </is>
      </c>
      <c r="H812" s="25" t="inlineStr">
        <is>
          <t>Candidatures FGES</t>
        </is>
      </c>
      <c r="I812" s="25" t="inlineStr">
        <is>
          <t>Université catholique de Lille</t>
        </is>
      </c>
      <c r="J812" s="25" t="inlineStr">
        <is>
          <t>Site de Lille (Vauban)</t>
        </is>
      </c>
      <c r="K812" s="25" t="n"/>
      <c r="L812" s="25" t="inlineStr">
        <is>
          <t>Private / EESPIG</t>
        </is>
      </c>
      <c r="M812" s="25" t="inlineStr">
        <is>
          <t>French &amp; English</t>
        </is>
      </c>
      <c r="N812" s="25" t="inlineStr">
        <is>
          <t>General</t>
        </is>
      </c>
      <c r="O812" s="25" t="inlineStr">
        <is>
          <t>Bac +4 / Bac +5</t>
        </is>
      </c>
      <c r="P812" s="26" t="inlineStr">
        <is>
          <t>Eligible on level (4-yr BS ≈ Bac+4)</t>
        </is>
      </c>
      <c r="Q812" s="25" t="inlineStr">
        <is>
          <t>1/2</t>
        </is>
      </c>
      <c r="R812" s="25" t="inlineStr">
        <is>
          <t>12</t>
        </is>
      </c>
      <c r="S812" s="27" t="n">
        <v>11997</v>
      </c>
      <c r="T812" s="27" t="n"/>
      <c r="U812" s="25" t="n">
        <v>1</v>
      </c>
      <c r="V812" s="27">
        <f>IF(S812="","",S812*U812)</f>
        <v/>
      </c>
      <c r="W812" s="26" t="inlineStr">
        <is>
          <t>Catalogue fee €11,997/yr (entered by institution).</t>
        </is>
      </c>
      <c r="X812" s="25" t="inlineStr">
        <is>
          <t>High</t>
        </is>
      </c>
      <c r="Y812" s="25" t="inlineStr">
        <is>
          <t>11997</t>
        </is>
      </c>
      <c r="Z812" s="26" t="inlineStr">
        <is>
          <t>00€ et 11 997 … 00€ (en fonction des revenus des parents)</t>
        </is>
      </c>
      <c r="AA812" s="26" t="n"/>
      <c r="AB812" s="25" t="n"/>
      <c r="AC812" s="25" t="inlineStr">
        <is>
          <t>Open</t>
        </is>
      </c>
      <c r="AD812" s="25" t="inlineStr">
        <is>
          <t>2026-10-01</t>
        </is>
      </c>
      <c r="AE812" s="25" t="inlineStr">
        <is>
          <t>2027-03-15</t>
        </is>
      </c>
      <c r="AF812" s="25" t="inlineStr">
        <is>
          <t>Yes</t>
        </is>
      </c>
      <c r="AG812" s="28" t="inlineStr">
        <is>
          <t>https://www.fges.fr/formations/master-cyber/</t>
        </is>
      </c>
      <c r="AH812" s="26" t="inlineStr">
        <is>
          <t>Le Master CYBER est un Master d'expertise en informatique focalisant sur la cybersécurité et le développement sûr de logiciel. Il exige, en prérequis, un diplôme en informatique de niveau Licence (Bac+3) minimum. Ce mast</t>
        </is>
      </c>
      <c r="AI812" s="28" t="inlineStr">
        <is>
          <t>Open in EEF</t>
        </is>
      </c>
    </row>
    <row r="813" ht="32.8" customHeight="1" s="19">
      <c r="A813" s="25" t="n">
        <v>812</v>
      </c>
      <c r="B813" s="25" t="inlineStr">
        <is>
          <t>★★★☆☆</t>
        </is>
      </c>
      <c r="C813" s="25" t="inlineStr">
        <is>
          <t>3 – Adjacent (AI/data/CS/cyber/energy)</t>
        </is>
      </c>
      <c r="D813" s="25" t="inlineStr">
        <is>
          <t>AI / Data science</t>
        </is>
      </c>
      <c r="E813" s="26" t="inlineStr">
        <is>
          <t>Master pro Sciences, technologies, santé, mention Informatique parcours Data et Intelligence Artificielle DATA&amp;IA</t>
        </is>
      </c>
      <c r="F813" s="26" t="inlineStr">
        <is>
          <t>Master pro Science, Technology, Health (STS), – major: Computer Science – track: Data &amp; Artificial Intelligence DATA&amp;IA</t>
        </is>
      </c>
      <c r="G813" s="25" t="inlineStr">
        <is>
          <t>Master professionnel</t>
        </is>
      </c>
      <c r="H813" s="25" t="inlineStr">
        <is>
          <t>Candidatures FGES</t>
        </is>
      </c>
      <c r="I813" s="25" t="inlineStr">
        <is>
          <t>Université catholique de Lille</t>
        </is>
      </c>
      <c r="J813" s="25" t="inlineStr">
        <is>
          <t>Site de Lille (Vauban)</t>
        </is>
      </c>
      <c r="K813" s="25" t="n"/>
      <c r="L813" s="25" t="inlineStr">
        <is>
          <t>Private / EESPIG</t>
        </is>
      </c>
      <c r="M813" s="25" t="inlineStr">
        <is>
          <t>French &amp; English</t>
        </is>
      </c>
      <c r="N813" s="25" t="inlineStr">
        <is>
          <t>General</t>
        </is>
      </c>
      <c r="O813" s="25" t="inlineStr">
        <is>
          <t>Bac +4 / Bac +5</t>
        </is>
      </c>
      <c r="P813" s="26" t="inlineStr">
        <is>
          <t>Eligible on level (4-yr BS ≈ Bac+4)</t>
        </is>
      </c>
      <c r="Q813" s="25" t="inlineStr">
        <is>
          <t>1/2</t>
        </is>
      </c>
      <c r="R813" s="25" t="inlineStr">
        <is>
          <t>12</t>
        </is>
      </c>
      <c r="S813" s="27" t="n">
        <v>11997</v>
      </c>
      <c r="T813" s="27" t="n"/>
      <c r="U813" s="25" t="n">
        <v>1</v>
      </c>
      <c r="V813" s="27">
        <f>IF(S813="","",S813*U813)</f>
        <v/>
      </c>
      <c r="W813" s="26" t="inlineStr">
        <is>
          <t>Catalogue fee €11,997/yr (entered by institution).</t>
        </is>
      </c>
      <c r="X813" s="25" t="inlineStr">
        <is>
          <t>High</t>
        </is>
      </c>
      <c r="Y813" s="25" t="inlineStr">
        <is>
          <t>11997</t>
        </is>
      </c>
      <c r="Z813" s="26" t="inlineStr">
        <is>
          <t>00€ et 11 997 … 00€ (en fonction des revenus des parents)</t>
        </is>
      </c>
      <c r="AA813" s="26" t="n"/>
      <c r="AB813" s="25" t="n"/>
      <c r="AC813" s="25" t="inlineStr">
        <is>
          <t>Open</t>
        </is>
      </c>
      <c r="AD813" s="25" t="inlineStr">
        <is>
          <t>2026-10-01</t>
        </is>
      </c>
      <c r="AE813" s="25" t="inlineStr">
        <is>
          <t>2027-03-15</t>
        </is>
      </c>
      <c r="AF813" s="25" t="inlineStr">
        <is>
          <t>Yes</t>
        </is>
      </c>
      <c r="AG813" s="28" t="inlineStr">
        <is>
          <t>https://www.fges.fr/formations/master-data-intelligence-artificielle/</t>
        </is>
      </c>
      <c r="AH813" s="26" t="inlineStr">
        <is>
          <t>Le Master Data &amp; IA prépare aux métiers de la data et de l’IA, avec un objectif de transformer les données en solutions innovantes et en valeur ajoutée pour la prise de décision. Il exige, en prérequis, un diplôme de niv</t>
        </is>
      </c>
      <c r="AI813" s="28" t="inlineStr">
        <is>
          <t>Open in EEF</t>
        </is>
      </c>
    </row>
    <row r="814" ht="32.8" customHeight="1" s="19">
      <c r="A814" s="25" t="n">
        <v>813</v>
      </c>
      <c r="B814" s="25" t="inlineStr">
        <is>
          <t>★★★☆☆</t>
        </is>
      </c>
      <c r="C814" s="25" t="inlineStr">
        <is>
          <t>3 – Adjacent (AI/data/CS/cyber/energy)</t>
        </is>
      </c>
      <c r="D814" s="25" t="inlineStr">
        <is>
          <t>Computer science / Software</t>
        </is>
      </c>
      <c r="E814" s="26" t="inlineStr">
        <is>
          <t>Master pro Sciences, technologies, santé mention informatique Master Sciences Informatique Appliquée et Systèmes Intelligents IASI</t>
        </is>
      </c>
      <c r="F814" s="26" t="inlineStr">
        <is>
          <t>Master pro Science, Technology, Health (STS) – major: Computer Science Master Sciences Computer Science Applied &amp; Systems Intelligent IASI</t>
        </is>
      </c>
      <c r="G814" s="25" t="inlineStr">
        <is>
          <t>Master professionnel</t>
        </is>
      </c>
      <c r="H814" s="25" t="inlineStr">
        <is>
          <t>Candidatures FGES</t>
        </is>
      </c>
      <c r="I814" s="25" t="inlineStr">
        <is>
          <t>Université catholique de Lille</t>
        </is>
      </c>
      <c r="J814" s="25" t="inlineStr">
        <is>
          <t>Site de Lille (Vauban)</t>
        </is>
      </c>
      <c r="K814" s="25" t="n"/>
      <c r="L814" s="25" t="inlineStr">
        <is>
          <t>Private / EESPIG</t>
        </is>
      </c>
      <c r="M814" s="25" t="inlineStr">
        <is>
          <t>French</t>
        </is>
      </c>
      <c r="N814" s="25" t="inlineStr">
        <is>
          <t>General</t>
        </is>
      </c>
      <c r="O814" s="25" t="inlineStr">
        <is>
          <t>Bac +4 / Bac +5</t>
        </is>
      </c>
      <c r="P814" s="26" t="inlineStr">
        <is>
          <t>Eligible on level (4-yr BS ≈ Bac+4)</t>
        </is>
      </c>
      <c r="Q814" s="25" t="inlineStr">
        <is>
          <t>1/2</t>
        </is>
      </c>
      <c r="R814" s="25" t="inlineStr">
        <is>
          <t>12</t>
        </is>
      </c>
      <c r="S814" s="27" t="n">
        <v>11997</v>
      </c>
      <c r="T814" s="27" t="n"/>
      <c r="U814" s="25" t="n">
        <v>1</v>
      </c>
      <c r="V814" s="27">
        <f>IF(S814="","",S814*U814)</f>
        <v/>
      </c>
      <c r="W814" s="26" t="inlineStr">
        <is>
          <t>Catalogue fee €11,997/yr (entered by institution).</t>
        </is>
      </c>
      <c r="X814" s="25" t="inlineStr">
        <is>
          <t>High</t>
        </is>
      </c>
      <c r="Y814" s="25" t="inlineStr">
        <is>
          <t>11997</t>
        </is>
      </c>
      <c r="Z814" s="26" t="n"/>
      <c r="AA814" s="26" t="n"/>
      <c r="AB814" s="25" t="n"/>
      <c r="AC814" s="25" t="inlineStr">
        <is>
          <t>Open</t>
        </is>
      </c>
      <c r="AD814" s="25" t="inlineStr">
        <is>
          <t>2026-10-01</t>
        </is>
      </c>
      <c r="AE814" s="25" t="inlineStr">
        <is>
          <t>2027-03-15</t>
        </is>
      </c>
      <c r="AF814" s="25" t="inlineStr">
        <is>
          <t>Yes</t>
        </is>
      </c>
      <c r="AG814" s="28" t="inlineStr">
        <is>
          <t>https://www.fges.fr/formations/master-informatique-appliquee-et-systemes-intelligents/</t>
        </is>
      </c>
      <c r="AH814" s="26" t="inlineStr">
        <is>
          <t>Le Master Informatique Appliquée et Systèmes Intelligents forme des experts en développement logiciel, data engineering, cloud computing, intelligence artificielle, et systèmes intelligents. Les apprenants acquièrent une</t>
        </is>
      </c>
      <c r="AI814" s="28" t="inlineStr">
        <is>
          <t>Open in EEF</t>
        </is>
      </c>
    </row>
    <row r="815" ht="43.25" customHeight="1" s="19">
      <c r="A815" s="25" t="n">
        <v>814</v>
      </c>
      <c r="B815" s="25" t="inlineStr">
        <is>
          <t>★★★☆☆</t>
        </is>
      </c>
      <c r="C815" s="25" t="inlineStr">
        <is>
          <t>3 – Adjacent (AI/data/CS/cyber/energy)</t>
        </is>
      </c>
      <c r="D815" s="25" t="inlineStr">
        <is>
          <t>Computer science / Software</t>
        </is>
      </c>
      <c r="E815" s="26" t="inlineStr">
        <is>
          <t>Master pro Sciences, technologies, santé mention informatique spécialité informatique JN</t>
        </is>
      </c>
      <c r="F815" s="26" t="inlineStr">
        <is>
          <t>Master pro Science, Technology, Health (STS) – major: Computer Science – specialisation: Computer Science JN</t>
        </is>
      </c>
      <c r="G815" s="25" t="inlineStr">
        <is>
          <t>Master professionnel</t>
        </is>
      </c>
      <c r="H815" s="25" t="inlineStr">
        <is>
          <t>Candidatures FGES</t>
        </is>
      </c>
      <c r="I815" s="25" t="inlineStr">
        <is>
          <t>Université catholique de Lille</t>
        </is>
      </c>
      <c r="J815" s="25" t="inlineStr">
        <is>
          <t>Site de Lille (Vauban)</t>
        </is>
      </c>
      <c r="K815" s="25" t="n"/>
      <c r="L815" s="25" t="inlineStr">
        <is>
          <t>Private / EESPIG</t>
        </is>
      </c>
      <c r="M815" s="25" t="inlineStr">
        <is>
          <t>French</t>
        </is>
      </c>
      <c r="N815" s="25" t="inlineStr">
        <is>
          <t>General</t>
        </is>
      </c>
      <c r="O815" s="25" t="inlineStr">
        <is>
          <t>Bac +4 / Bac +5</t>
        </is>
      </c>
      <c r="P815" s="26" t="inlineStr">
        <is>
          <t>Eligible on level (4-yr BS ≈ Bac+4)</t>
        </is>
      </c>
      <c r="Q815" s="25" t="inlineStr">
        <is>
          <t>1/2</t>
        </is>
      </c>
      <c r="R815" s="25" t="inlineStr">
        <is>
          <t>12</t>
        </is>
      </c>
      <c r="S815" s="27" t="n">
        <v>11997</v>
      </c>
      <c r="T815" s="27" t="n"/>
      <c r="U815" s="25" t="n">
        <v>1</v>
      </c>
      <c r="V815" s="27">
        <f>IF(S815="","",S815*U815)</f>
        <v/>
      </c>
      <c r="W815" s="26" t="inlineStr">
        <is>
          <t>Catalogue fee €11,997/yr (entered by institution).</t>
        </is>
      </c>
      <c r="X815" s="25" t="inlineStr">
        <is>
          <t>High</t>
        </is>
      </c>
      <c r="Y815" s="25" t="inlineStr">
        <is>
          <t>11997</t>
        </is>
      </c>
      <c r="Z815" s="26" t="inlineStr">
        <is>
          <t>00€ et 11 997 … 00€ (en fonction des revenus d</t>
        </is>
      </c>
      <c r="AA815" s="26" t="n"/>
      <c r="AB815" s="25" t="n"/>
      <c r="AC815" s="25" t="inlineStr">
        <is>
          <t>Open</t>
        </is>
      </c>
      <c r="AD815" s="25" t="inlineStr">
        <is>
          <t>2026-10-01</t>
        </is>
      </c>
      <c r="AE815" s="25" t="inlineStr">
        <is>
          <t>2027-03-15</t>
        </is>
      </c>
      <c r="AF815" s="25" t="inlineStr">
        <is>
          <t>Yes</t>
        </is>
      </c>
      <c r="AG815" s="28" t="inlineStr">
        <is>
          <t>https://www.fges.fr/formations/master-jumeaux-numeriques/</t>
        </is>
      </c>
      <c r="AH815" s="26" t="inlineStr">
        <is>
          <t>Le Master Jumeaux Numériques est une formation en informatique (en alternance qui vise à développer les compétences multidisciplinaires indispensables à la conception et à l’exploitation de jumeaux numériques. Les étudia</t>
        </is>
      </c>
      <c r="AI815" s="28" t="inlineStr">
        <is>
          <t>Open in EEF</t>
        </is>
      </c>
    </row>
    <row r="816" ht="22.35" customHeight="1" s="19">
      <c r="A816" s="25" t="n">
        <v>815</v>
      </c>
      <c r="B816" s="25" t="inlineStr">
        <is>
          <t>★★★☆☆</t>
        </is>
      </c>
      <c r="C816" s="25" t="inlineStr">
        <is>
          <t>3 – Adjacent (AI/data/CS/cyber/energy)</t>
        </is>
      </c>
      <c r="D816" s="25" t="inlineStr">
        <is>
          <t>Other engineering / maths</t>
        </is>
      </c>
      <c r="E816" s="26" t="inlineStr">
        <is>
          <t>mastère spé. Air-Ground Collaborative Systems Engineering</t>
        </is>
      </c>
      <c r="F816" s="26" t="inlineStr">
        <is>
          <t>Specialised Master (MS) Air-Ground Collaborative Systems Engineering</t>
        </is>
      </c>
      <c r="G816" s="25" t="inlineStr">
        <is>
          <t>Mastère spécialisé</t>
        </is>
      </c>
      <c r="H816" s="25" t="inlineStr">
        <is>
          <t>Ecole nationale de l'aviation civile</t>
        </is>
      </c>
      <c r="I816" s="25" t="n"/>
      <c r="J816" s="25" t="inlineStr">
        <is>
          <t>Site de Toulouse</t>
        </is>
      </c>
      <c r="K816" s="25" t="n"/>
      <c r="L816" s="25" t="inlineStr">
        <is>
          <t>Public school / institute</t>
        </is>
      </c>
      <c r="M816" s="25" t="inlineStr">
        <is>
          <t>English</t>
        </is>
      </c>
      <c r="N816" s="25" t="inlineStr">
        <is>
          <t>General</t>
        </is>
      </c>
      <c r="O816" s="25" t="inlineStr">
        <is>
          <t>Bac +5</t>
        </is>
      </c>
      <c r="P816" s="26" t="inlineStr">
        <is>
          <t>Possible – MS rules allow Bac+4 + ≥3 yrs work experience (you have 3)</t>
        </is>
      </c>
      <c r="Q816" s="25" t="inlineStr">
        <is>
          <t>1</t>
        </is>
      </c>
      <c r="R816" s="25" t="n"/>
      <c r="S816" s="27" t="n">
        <v>12000</v>
      </c>
      <c r="T816" s="27" t="n"/>
      <c r="U816" s="25" t="n">
        <v>1</v>
      </c>
      <c r="V816" s="27">
        <f>IF(S816="","",S816*U816)</f>
        <v/>
      </c>
      <c r="W816" s="26" t="inlineStr">
        <is>
          <t>Not in catalogue. Mastère Spécialisé programmes typically cost €9k–€23k. Verify.</t>
        </is>
      </c>
      <c r="X816" s="25" t="inlineStr">
        <is>
          <t>Low</t>
        </is>
      </c>
      <c r="Y816" s="25" t="n"/>
      <c r="Z816" s="26" t="n"/>
      <c r="AA816" s="26" t="n"/>
      <c r="AB816" s="25" t="n"/>
      <c r="AC816" s="25" t="inlineStr">
        <is>
          <t>Open</t>
        </is>
      </c>
      <c r="AD816" s="25" t="inlineStr">
        <is>
          <t>2026-10-01</t>
        </is>
      </c>
      <c r="AE816" s="25" t="inlineStr">
        <is>
          <t>2027-03-15</t>
        </is>
      </c>
      <c r="AF816" s="25" t="inlineStr">
        <is>
          <t>No</t>
        </is>
      </c>
      <c r="AG816" s="28" t="inlineStr">
        <is>
          <t>http://www.enac.fr</t>
        </is>
      </c>
      <c r="AH816" s="26" t="n"/>
      <c r="AI816" s="28" t="inlineStr">
        <is>
          <t>Open in EEF</t>
        </is>
      </c>
    </row>
    <row r="817" ht="22.35" customHeight="1" s="19">
      <c r="A817" s="25" t="n">
        <v>816</v>
      </c>
      <c r="B817" s="25" t="inlineStr">
        <is>
          <t>★★★☆☆</t>
        </is>
      </c>
      <c r="C817" s="25" t="inlineStr">
        <is>
          <t>3 – Adjacent (AI/data/CS/cyber/energy)</t>
        </is>
      </c>
      <c r="D817" s="25" t="inlineStr">
        <is>
          <t>Cybersecurity</t>
        </is>
      </c>
      <c r="E817" s="26" t="inlineStr">
        <is>
          <t>mastère spé. Architecture et sécurité des systèmes d'information</t>
        </is>
      </c>
      <c r="F817" s="26" t="inlineStr">
        <is>
          <t>Specialised Master (MS) Architecture &amp; Security of Information Systems</t>
        </is>
      </c>
      <c r="G817" s="25" t="inlineStr">
        <is>
          <t>Mastère spécialisé</t>
        </is>
      </c>
      <c r="H817" s="25" t="inlineStr">
        <is>
          <t>Ecole nationale supérieure de techniques avancées</t>
        </is>
      </c>
      <c r="I817" s="25" t="n"/>
      <c r="J817" s="25" t="inlineStr">
        <is>
          <t>Site de Palaiseau</t>
        </is>
      </c>
      <c r="K817" s="25" t="n"/>
      <c r="L817" s="25" t="inlineStr">
        <is>
          <t>Public school / institute</t>
        </is>
      </c>
      <c r="M817" s="25" t="inlineStr">
        <is>
          <t>French</t>
        </is>
      </c>
      <c r="N817" s="25" t="inlineStr">
        <is>
          <t>General</t>
        </is>
      </c>
      <c r="O817" s="25" t="n"/>
      <c r="P817" s="26" t="inlineStr">
        <is>
          <t>Possible – MS rules allow Bac+4 + ≥3 yrs work experience (you have 3)</t>
        </is>
      </c>
      <c r="Q817" s="25" t="inlineStr">
        <is>
          <t>1</t>
        </is>
      </c>
      <c r="R817" s="25" t="n"/>
      <c r="S817" s="27" t="n">
        <v>12000</v>
      </c>
      <c r="T817" s="27" t="n"/>
      <c r="U817" s="25" t="n">
        <v>1</v>
      </c>
      <c r="V817" s="27">
        <f>IF(S817="","",S817*U817)</f>
        <v/>
      </c>
      <c r="W817" s="26" t="inlineStr">
        <is>
          <t>Not in catalogue. Mastère Spécialisé programmes typically cost €9k–€23k. Verify.</t>
        </is>
      </c>
      <c r="X817" s="25" t="inlineStr">
        <is>
          <t>Low</t>
        </is>
      </c>
      <c r="Y817" s="25" t="n"/>
      <c r="Z817" s="26" t="n"/>
      <c r="AA817" s="26" t="n"/>
      <c r="AB817" s="25" t="n"/>
      <c r="AC817" s="25" t="inlineStr">
        <is>
          <t>Closed</t>
        </is>
      </c>
      <c r="AD817" s="25" t="n"/>
      <c r="AE817" s="25" t="n"/>
      <c r="AF817" s="25" t="inlineStr">
        <is>
          <t>No</t>
        </is>
      </c>
      <c r="AG817" s="28" t="inlineStr">
        <is>
          <t>http://www.ensta-paristech.fr</t>
        </is>
      </c>
      <c r="AH817" s="26" t="n"/>
      <c r="AI817" s="28" t="inlineStr">
        <is>
          <t>Open in EEF</t>
        </is>
      </c>
    </row>
    <row r="818" ht="32.8" customHeight="1" s="19">
      <c r="A818" s="25" t="n">
        <v>817</v>
      </c>
      <c r="B818" s="25" t="inlineStr">
        <is>
          <t>★★★☆☆</t>
        </is>
      </c>
      <c r="C818" s="25" t="inlineStr">
        <is>
          <t>3 – Adjacent (AI/data/CS/cyber/energy)</t>
        </is>
      </c>
      <c r="D818" s="25" t="inlineStr">
        <is>
          <t>Cybersecurity</t>
        </is>
      </c>
      <c r="E818" s="26" t="inlineStr">
        <is>
          <t>Mastère Spécialisé Cybersécurité</t>
        </is>
      </c>
      <c r="F818" s="26" t="inlineStr">
        <is>
          <t>Specialised Master (MS) Cybersecurity</t>
        </is>
      </c>
      <c r="G818" s="25" t="inlineStr">
        <is>
          <t>Mastère spécialisé</t>
        </is>
      </c>
      <c r="H818" s="25" t="inlineStr">
        <is>
          <t>CentraleSupelec</t>
        </is>
      </c>
      <c r="I818" s="25" t="inlineStr">
        <is>
          <t>CentraleSupelec</t>
        </is>
      </c>
      <c r="J818" s="25" t="inlineStr">
        <is>
          <t>CentraleSupélec Exed</t>
        </is>
      </c>
      <c r="K818" s="25" t="inlineStr">
        <is>
          <t>91192 Gif-sur-Yvette Cedex France</t>
        </is>
      </c>
      <c r="L818" s="25" t="inlineStr">
        <is>
          <t>Public school / institute</t>
        </is>
      </c>
      <c r="M818" s="25" t="inlineStr">
        <is>
          <t>French</t>
        </is>
      </c>
      <c r="N818" s="25" t="inlineStr">
        <is>
          <t>General</t>
        </is>
      </c>
      <c r="O818" s="25" t="inlineStr">
        <is>
          <t>Bac +5</t>
        </is>
      </c>
      <c r="P818" s="26" t="inlineStr">
        <is>
          <t>Possible – MS rules allow Bac+4 + ≥3 yrs work experience (you have 3)</t>
        </is>
      </c>
      <c r="Q818" s="25" t="inlineStr">
        <is>
          <t>1</t>
        </is>
      </c>
      <c r="R818" s="25" t="n"/>
      <c r="S818" s="27" t="n">
        <v>12000</v>
      </c>
      <c r="T818" s="27" t="n"/>
      <c r="U818" s="25" t="n">
        <v>1</v>
      </c>
      <c r="V818" s="27">
        <f>IF(S818="","",S818*U818)</f>
        <v/>
      </c>
      <c r="W818" s="26" t="inlineStr">
        <is>
          <t>Not in catalogue. Mastère Spécialisé programmes typically cost €9k–€23k. Verify.</t>
        </is>
      </c>
      <c r="X818" s="25" t="inlineStr">
        <is>
          <t>Low</t>
        </is>
      </c>
      <c r="Y818" s="25" t="n"/>
      <c r="Z818" s="26" t="n"/>
      <c r="AA818" s="26" t="n"/>
      <c r="AB818" s="25" t="n"/>
      <c r="AC818" s="25" t="inlineStr">
        <is>
          <t>Open</t>
        </is>
      </c>
      <c r="AD818" s="25" t="inlineStr">
        <is>
          <t>2026-10-01</t>
        </is>
      </c>
      <c r="AE818" s="25" t="inlineStr">
        <is>
          <t>2027-03-15</t>
        </is>
      </c>
      <c r="AF818" s="25" t="inlineStr">
        <is>
          <t>Yes</t>
        </is>
      </c>
      <c r="AG818" s="28" t="inlineStr">
        <is>
          <t>https://exed.centralesupelec.fr/formation/mastere-specialise-cybersecurite/</t>
        </is>
      </c>
      <c r="AH818" s="26" t="inlineStr">
        <is>
          <t>Ce Mastère Spécialisé® est destiné à des diplômés scientifiques ou techniques, ayant ou non une expérience professionnelle, désirant acquérir une compétence en sécurité des systèmes d'information. Sont recevables les can</t>
        </is>
      </c>
      <c r="AI818" s="28" t="inlineStr">
        <is>
          <t>Open in EEF</t>
        </is>
      </c>
    </row>
    <row r="819" ht="32.8" customHeight="1" s="19">
      <c r="A819" s="25" t="n">
        <v>818</v>
      </c>
      <c r="B819" s="25" t="inlineStr">
        <is>
          <t>★★★☆☆</t>
        </is>
      </c>
      <c r="C819" s="25" t="inlineStr">
        <is>
          <t>3 – Adjacent (AI/data/CS/cyber/energy)</t>
        </is>
      </c>
      <c r="D819" s="25" t="inlineStr">
        <is>
          <t>Cybersecurity</t>
        </is>
      </c>
      <c r="E819" s="26" t="inlineStr">
        <is>
          <t>mastère spécialisé Cybersécurité</t>
        </is>
      </c>
      <c r="F819" s="26" t="inlineStr">
        <is>
          <t>Specialised Master (MS) Cybersecurity</t>
        </is>
      </c>
      <c r="G819" s="25" t="inlineStr">
        <is>
          <t>Mastère spécialisé</t>
        </is>
      </c>
      <c r="H819" s="25" t="inlineStr">
        <is>
          <t>IMT Atlantique</t>
        </is>
      </c>
      <c r="I819" s="25" t="inlineStr">
        <is>
          <t>IMT Atlantique</t>
        </is>
      </c>
      <c r="J819" s="25" t="inlineStr">
        <is>
          <t>Campus de Rennes</t>
        </is>
      </c>
      <c r="K819" s="25" t="n"/>
      <c r="L819" s="25" t="inlineStr">
        <is>
          <t>Public school / institute</t>
        </is>
      </c>
      <c r="M819" s="25" t="inlineStr">
        <is>
          <t>French</t>
        </is>
      </c>
      <c r="N819" s="25" t="inlineStr">
        <is>
          <t>General</t>
        </is>
      </c>
      <c r="O819" s="25" t="inlineStr">
        <is>
          <t>Bac +6</t>
        </is>
      </c>
      <c r="P819" s="26" t="inlineStr">
        <is>
          <t>Possible – MS rules allow Bac+4 + ≥3 yrs work experience (you have 3)</t>
        </is>
      </c>
      <c r="Q819" s="25" t="inlineStr">
        <is>
          <t>1</t>
        </is>
      </c>
      <c r="R819" s="25" t="n"/>
      <c r="S819" s="27" t="n">
        <v>12000</v>
      </c>
      <c r="T819" s="27" t="n"/>
      <c r="U819" s="25" t="n">
        <v>1</v>
      </c>
      <c r="V819" s="27">
        <f>IF(S819="","",S819*U819)</f>
        <v/>
      </c>
      <c r="W819" s="26" t="inlineStr">
        <is>
          <t>Not in catalogue. Mastère Spécialisé programmes typically cost €9k–€23k. Verify.</t>
        </is>
      </c>
      <c r="X819" s="25" t="inlineStr">
        <is>
          <t>Low</t>
        </is>
      </c>
      <c r="Y819" s="25" t="n"/>
      <c r="Z819" s="26" t="n"/>
      <c r="AA819" s="26" t="n"/>
      <c r="AB819" s="25" t="n"/>
      <c r="AC819" s="25" t="inlineStr">
        <is>
          <t>Open</t>
        </is>
      </c>
      <c r="AD819" s="25" t="inlineStr">
        <is>
          <t>2026-10-01</t>
        </is>
      </c>
      <c r="AE819" s="25" t="inlineStr">
        <is>
          <t>2027-03-15</t>
        </is>
      </c>
      <c r="AF819" s="25" t="inlineStr">
        <is>
          <t>Yes</t>
        </is>
      </c>
      <c r="AG819" s="25" t="n"/>
      <c r="AH819" s="26" t="inlineStr">
        <is>
          <t>Niveau d’étude exigé : Bac+5 (Diplôme de Grande École d'ingénieur, DEA, master 2…) ou Bac+4 (maîtrise ou master1 avec expérience professionnelle d'au moins 3 années dans une fonction à responsabilités). Les candidats doi</t>
        </is>
      </c>
      <c r="AI819" s="28" t="inlineStr">
        <is>
          <t>Open in EEF</t>
        </is>
      </c>
    </row>
    <row r="820" ht="32.8" customHeight="1" s="19">
      <c r="A820" s="25" t="n">
        <v>819</v>
      </c>
      <c r="B820" s="25" t="inlineStr">
        <is>
          <t>★★★☆☆</t>
        </is>
      </c>
      <c r="C820" s="25" t="inlineStr">
        <is>
          <t>3 – Adjacent (AI/data/CS/cyber/energy)</t>
        </is>
      </c>
      <c r="D820" s="25" t="inlineStr">
        <is>
          <t>AI / Data science</t>
        </is>
      </c>
      <c r="E820" s="26" t="inlineStr">
        <is>
          <t>Mastère spécialisé Data Science</t>
        </is>
      </c>
      <c r="F820" s="26" t="inlineStr">
        <is>
          <t>Specialised Master (MS) Data Science</t>
        </is>
      </c>
      <c r="G820" s="25" t="inlineStr">
        <is>
          <t>Mastère spécialisé</t>
        </is>
      </c>
      <c r="H820" s="25" t="inlineStr">
        <is>
          <t>Clermont Auvergne INP</t>
        </is>
      </c>
      <c r="I820" s="25" t="n"/>
      <c r="J820" s="25" t="inlineStr">
        <is>
          <t>Aubière</t>
        </is>
      </c>
      <c r="K820" s="25" t="inlineStr">
        <is>
          <t>20265</t>
        </is>
      </c>
      <c r="L820" s="25" t="inlineStr">
        <is>
          <t>Public school / institute</t>
        </is>
      </c>
      <c r="M820" s="25" t="inlineStr">
        <is>
          <t>French</t>
        </is>
      </c>
      <c r="N820" s="25" t="inlineStr">
        <is>
          <t>General</t>
        </is>
      </c>
      <c r="O820" s="25" t="inlineStr">
        <is>
          <t>Bac +6</t>
        </is>
      </c>
      <c r="P820" s="26" t="inlineStr">
        <is>
          <t>Possible – MS rules allow Bac+4 + ≥3 yrs work experience (you have 3)</t>
        </is>
      </c>
      <c r="Q820" s="25" t="inlineStr">
        <is>
          <t>6</t>
        </is>
      </c>
      <c r="R820" s="25" t="inlineStr">
        <is>
          <t>12</t>
        </is>
      </c>
      <c r="S820" s="27" t="n">
        <v>12000</v>
      </c>
      <c r="T820" s="27" t="n"/>
      <c r="U820" s="25" t="n">
        <v>1</v>
      </c>
      <c r="V820" s="27">
        <f>IF(S820="","",S820*U820)</f>
        <v/>
      </c>
      <c r="W820" s="26" t="inlineStr">
        <is>
          <t>Not in catalogue. Mastère Spécialisé programmes typically cost €9k–€23k. Verify.</t>
        </is>
      </c>
      <c r="X820" s="25" t="inlineStr">
        <is>
          <t>Low</t>
        </is>
      </c>
      <c r="Y820" s="25" t="n"/>
      <c r="Z820" s="26" t="n"/>
      <c r="AA820" s="26" t="inlineStr">
        <is>
          <t>UCA board (Dec 2025) kept its partial-exemption framework for 2026-27 (pre-decree; re-check).</t>
        </is>
      </c>
      <c r="AB820" s="28" t="inlineStr">
        <is>
          <t>https://www.uca.fr/medias/fichier/delib-ca-20251205-15-tarifs-differencies_1765204050111-pdf</t>
        </is>
      </c>
      <c r="AC820" s="25" t="inlineStr">
        <is>
          <t>Open</t>
        </is>
      </c>
      <c r="AD820" s="25" t="inlineStr">
        <is>
          <t>2026-10-01</t>
        </is>
      </c>
      <c r="AE820" s="25" t="inlineStr">
        <is>
          <t>2027-03-15</t>
        </is>
      </c>
      <c r="AF820" s="25" t="inlineStr">
        <is>
          <t>No</t>
        </is>
      </c>
      <c r="AG820" s="28" t="inlineStr">
        <is>
          <t>https://www.sigma-clermont.fr/fr/mastere-specialise-data-science-pour-ingenierie</t>
        </is>
      </c>
      <c r="AH820" s="26" t="inlineStr">
        <is>
          <t>Le recrutement s'adresse à la fois à des étudiants ayant obtenu leur diplômede niveau Bac+5 (formation initiale) età des professionnels qui souhaient évouluer au sein de leur entreprise ou réorienter leur carrière (forma</t>
        </is>
      </c>
      <c r="AI820" s="28" t="inlineStr">
        <is>
          <t>Open in EEF</t>
        </is>
      </c>
    </row>
    <row r="821" ht="32.8" customHeight="1" s="19">
      <c r="A821" s="25" t="n">
        <v>820</v>
      </c>
      <c r="B821" s="25" t="inlineStr">
        <is>
          <t>★★★☆☆</t>
        </is>
      </c>
      <c r="C821" s="25" t="inlineStr">
        <is>
          <t>3 – Adjacent (AI/data/CS/cyber/energy)</t>
        </is>
      </c>
      <c r="D821" s="25" t="inlineStr">
        <is>
          <t>Cybersecurity</t>
        </is>
      </c>
      <c r="E821" s="26" t="inlineStr">
        <is>
          <t>Mastère Spécialisé® Expert Forensic et Cybersécurité</t>
        </is>
      </c>
      <c r="F821" s="26" t="inlineStr">
        <is>
          <t>Specialised Master (MS)® Expert Forensic &amp; Cybersecurity</t>
        </is>
      </c>
      <c r="G821" s="25" t="inlineStr">
        <is>
          <t>Mastère spécialisé</t>
        </is>
      </c>
      <c r="H821" s="25" t="inlineStr">
        <is>
          <t>Université de technologie de Troyes</t>
        </is>
      </c>
      <c r="I821" s="25" t="n"/>
      <c r="J821" s="25" t="inlineStr">
        <is>
          <t>Site de Troyes</t>
        </is>
      </c>
      <c r="K821" s="25" t="n"/>
      <c r="L821" s="25" t="inlineStr">
        <is>
          <t>Public university</t>
        </is>
      </c>
      <c r="M821" s="25" t="inlineStr">
        <is>
          <t>French</t>
        </is>
      </c>
      <c r="N821" s="25" t="inlineStr">
        <is>
          <t>General</t>
        </is>
      </c>
      <c r="O821" s="25" t="inlineStr">
        <is>
          <t>Bac +5</t>
        </is>
      </c>
      <c r="P821" s="26" t="inlineStr">
        <is>
          <t>Possible – MS rules allow Bac+4 + ≥3 yrs work experience (you have 3)</t>
        </is>
      </c>
      <c r="Q821" s="25" t="inlineStr">
        <is>
          <t>6</t>
        </is>
      </c>
      <c r="R821" s="25" t="inlineStr">
        <is>
          <t>12</t>
        </is>
      </c>
      <c r="S821" s="27" t="n">
        <v>12000</v>
      </c>
      <c r="T821" s="27" t="n"/>
      <c r="U821" s="25" t="n">
        <v>1</v>
      </c>
      <c r="V821" s="27">
        <f>IF(S821="","",S821*U821)</f>
        <v/>
      </c>
      <c r="W821" s="26" t="inlineStr">
        <is>
          <t>Not in catalogue. Mastère Spécialisé programmes typically cost €9k–€23k. Verify.</t>
        </is>
      </c>
      <c r="X821" s="25" t="inlineStr">
        <is>
          <t>Low</t>
        </is>
      </c>
      <c r="Y821" s="25" t="n"/>
      <c r="Z821" s="26" t="inlineStr">
        <is>
          <t>fr/ Tarif en fonction du statut de l'étudiant - financement individiuel : 10 500€ - financement entreprise : 16 000€ Frais de trait … ement de dossier : 105€ à régler avant entretien individuel</t>
        </is>
      </c>
      <c r="AA821" s="26" t="n"/>
      <c r="AB821" s="25" t="n"/>
      <c r="AC821" s="25" t="inlineStr">
        <is>
          <t>Open</t>
        </is>
      </c>
      <c r="AD821" s="25" t="inlineStr">
        <is>
          <t>2026-10-01</t>
        </is>
      </c>
      <c r="AE821" s="25" t="inlineStr">
        <is>
          <t>2027-03-15</t>
        </is>
      </c>
      <c r="AF821" s="25" t="inlineStr">
        <is>
          <t>Yes</t>
        </is>
      </c>
      <c r="AG821" s="28" t="inlineStr">
        <is>
          <t>https://www.utt.fr/formations/mastere-specialise/expert-en-cybersecurite</t>
        </is>
      </c>
      <c r="AH821" s="26" t="inlineStr">
        <is>
          <t>Les candidats doivent être titulaires d’un des diplômes suivants : Diplôme d’une école d’ingénieur habilitée par la Commission des titres d’ingénieur (CTI) Diplôme d’une école de management habilitée à délivrer le grade</t>
        </is>
      </c>
      <c r="AI821" s="28" t="inlineStr">
        <is>
          <t>Open in EEF</t>
        </is>
      </c>
    </row>
    <row r="822" ht="32.8" customHeight="1" s="19">
      <c r="A822" s="25" t="n">
        <v>821</v>
      </c>
      <c r="B822" s="25" t="inlineStr">
        <is>
          <t>★★★☆☆</t>
        </is>
      </c>
      <c r="C822" s="25" t="inlineStr">
        <is>
          <t>3 – Adjacent (AI/data/CS/cyber/energy)</t>
        </is>
      </c>
      <c r="D822" s="25" t="inlineStr">
        <is>
          <t>Other engineering / maths</t>
        </is>
      </c>
      <c r="E822" s="26" t="inlineStr">
        <is>
          <t>Mastère Spécialisé Ingénierie des Systèmes Intelligents Ouverts</t>
        </is>
      </c>
      <c r="F822" s="26" t="inlineStr">
        <is>
          <t>Specialised Master (MS) Engineering of Systems Intelligent Ouverts</t>
        </is>
      </c>
      <c r="G822" s="25" t="inlineStr">
        <is>
          <t>Mastère spécialisé</t>
        </is>
      </c>
      <c r="H822" s="25" t="inlineStr">
        <is>
          <t>CentraleSupelec</t>
        </is>
      </c>
      <c r="I822" s="25" t="inlineStr">
        <is>
          <t>CentraleSupelec</t>
        </is>
      </c>
      <c r="J822" s="25" t="inlineStr">
        <is>
          <t>CentraleSupélec Exed</t>
        </is>
      </c>
      <c r="K822" s="25" t="inlineStr">
        <is>
          <t>91192 Gif-sur-Yvette Cedex France</t>
        </is>
      </c>
      <c r="L822" s="25" t="inlineStr">
        <is>
          <t>Public school / institute</t>
        </is>
      </c>
      <c r="M822" s="25" t="inlineStr">
        <is>
          <t>French</t>
        </is>
      </c>
      <c r="N822" s="25" t="inlineStr">
        <is>
          <t>General</t>
        </is>
      </c>
      <c r="O822" s="25" t="inlineStr">
        <is>
          <t>Bac +5</t>
        </is>
      </c>
      <c r="P822" s="26" t="inlineStr">
        <is>
          <t>Possible – MS rules allow Bac+4 + ≥3 yrs work experience (you have 3)</t>
        </is>
      </c>
      <c r="Q822" s="25" t="inlineStr">
        <is>
          <t>1</t>
        </is>
      </c>
      <c r="R822" s="25" t="n"/>
      <c r="S822" s="27" t="n">
        <v>12000</v>
      </c>
      <c r="T822" s="27" t="n"/>
      <c r="U822" s="25" t="n">
        <v>1</v>
      </c>
      <c r="V822" s="27">
        <f>IF(S822="","",S822*U822)</f>
        <v/>
      </c>
      <c r="W822" s="26" t="inlineStr">
        <is>
          <t>Not in catalogue. Mastère Spécialisé programmes typically cost €9k–€23k. Verify.</t>
        </is>
      </c>
      <c r="X822" s="25" t="inlineStr">
        <is>
          <t>Low</t>
        </is>
      </c>
      <c r="Y822" s="25" t="n"/>
      <c r="Z822" s="26" t="n"/>
      <c r="AA822" s="26" t="n"/>
      <c r="AB822" s="25" t="n"/>
      <c r="AC822" s="25" t="inlineStr">
        <is>
          <t>Open</t>
        </is>
      </c>
      <c r="AD822" s="25" t="inlineStr">
        <is>
          <t>2026-10-01</t>
        </is>
      </c>
      <c r="AE822" s="25" t="inlineStr">
        <is>
          <t>2027-03-15</t>
        </is>
      </c>
      <c r="AF822" s="25" t="inlineStr">
        <is>
          <t>Yes</t>
        </is>
      </c>
      <c r="AG822" s="28" t="inlineStr">
        <is>
          <t>https://exed.centralesupelec.fr/formation/mastere-specialise-ingenierie-des-systemes-intelligents-ouverts-2/</t>
        </is>
      </c>
      <c r="AH822" s="26" t="inlineStr">
        <is>
          <t>Au-delà de votre formation et de votre expérience, votre projet professionnel est un point essentiel que le jury examinera (des dérogations exceptionnelles sont possibles). Une double compétence est toujours appréciée pa</t>
        </is>
      </c>
      <c r="AI822" s="28" t="inlineStr">
        <is>
          <t>Open in EEF</t>
        </is>
      </c>
    </row>
    <row r="823" ht="22.35" customHeight="1" s="19">
      <c r="A823" s="25" t="n">
        <v>822</v>
      </c>
      <c r="B823" s="25" t="inlineStr">
        <is>
          <t>★★★☆☆</t>
        </is>
      </c>
      <c r="C823" s="25" t="inlineStr">
        <is>
          <t>3 – Adjacent (AI/data/CS/cyber/energy)</t>
        </is>
      </c>
      <c r="D823" s="25" t="inlineStr">
        <is>
          <t>Electrical energy</t>
        </is>
      </c>
      <c r="E823" s="26" t="inlineStr">
        <is>
          <t>mastère spé. Énergies renouvelables</t>
        </is>
      </c>
      <c r="F823" s="26" t="inlineStr">
        <is>
          <t>Specialised Master (MS) Renewable Energies</t>
        </is>
      </c>
      <c r="G823" s="25" t="inlineStr">
        <is>
          <t>Mastère spécialisé</t>
        </is>
      </c>
      <c r="H823" s="25" t="inlineStr">
        <is>
          <t>Ecole nationale supérieure des mines de Paris</t>
        </is>
      </c>
      <c r="I823" s="25" t="n"/>
      <c r="J823" s="25" t="inlineStr">
        <is>
          <t>Site de Paris</t>
        </is>
      </c>
      <c r="K823" s="25" t="n"/>
      <c r="L823" s="25" t="inlineStr">
        <is>
          <t>Public school / institute</t>
        </is>
      </c>
      <c r="M823" s="25" t="inlineStr">
        <is>
          <t>French</t>
        </is>
      </c>
      <c r="N823" s="25" t="inlineStr">
        <is>
          <t>General</t>
        </is>
      </c>
      <c r="O823" s="25" t="inlineStr">
        <is>
          <t>Bac +6</t>
        </is>
      </c>
      <c r="P823" s="26" t="inlineStr">
        <is>
          <t>Possible – MS rules allow Bac+4 + ≥3 yrs work experience (you have 3)</t>
        </is>
      </c>
      <c r="Q823" s="25" t="inlineStr">
        <is>
          <t>1</t>
        </is>
      </c>
      <c r="R823" s="25" t="n"/>
      <c r="S823" s="27" t="n">
        <v>12000</v>
      </c>
      <c r="T823" s="27" t="n"/>
      <c r="U823" s="25" t="n">
        <v>1</v>
      </c>
      <c r="V823" s="27">
        <f>IF(S823="","",S823*U823)</f>
        <v/>
      </c>
      <c r="W823" s="26" t="inlineStr">
        <is>
          <t>Not in catalogue. Mastère Spécialisé programmes typically cost €9k–€23k. Verify.</t>
        </is>
      </c>
      <c r="X823" s="25" t="inlineStr">
        <is>
          <t>Low</t>
        </is>
      </c>
      <c r="Y823" s="25" t="n"/>
      <c r="Z823" s="26" t="n"/>
      <c r="AA823" s="26" t="n"/>
      <c r="AB823" s="25" t="n"/>
      <c r="AC823" s="25" t="inlineStr">
        <is>
          <t>Open</t>
        </is>
      </c>
      <c r="AD823" s="25" t="inlineStr">
        <is>
          <t>2026-10-01</t>
        </is>
      </c>
      <c r="AE823" s="25" t="inlineStr">
        <is>
          <t>2027-03-15</t>
        </is>
      </c>
      <c r="AF823" s="25" t="inlineStr">
        <is>
          <t>Yes</t>
        </is>
      </c>
      <c r="AG823" s="28" t="inlineStr">
        <is>
          <t>http://www.mines-paristech.fr</t>
        </is>
      </c>
      <c r="AH823" s="26" t="n"/>
      <c r="AI823" s="28" t="inlineStr">
        <is>
          <t>Open in EEF</t>
        </is>
      </c>
    </row>
    <row r="824" ht="32.8" customHeight="1" s="19">
      <c r="A824" s="25" t="n">
        <v>823</v>
      </c>
      <c r="B824" s="25" t="inlineStr">
        <is>
          <t>★★★☆☆</t>
        </is>
      </c>
      <c r="C824" s="25" t="inlineStr">
        <is>
          <t>3 – Adjacent (AI/data/CS/cyber/energy)</t>
        </is>
      </c>
      <c r="D824" s="25" t="inlineStr">
        <is>
          <t>AI / Data science</t>
        </is>
      </c>
      <c r="E824" s="26" t="inlineStr">
        <is>
          <t>Mastère Spécialisé Intelligence Artificielle de Confiance</t>
        </is>
      </c>
      <c r="F824" s="26" t="inlineStr">
        <is>
          <t>Specialised Master (MS) Artificial Intelligence of Confiance</t>
        </is>
      </c>
      <c r="G824" s="25" t="inlineStr">
        <is>
          <t>Mastère spécialisé</t>
        </is>
      </c>
      <c r="H824" s="25" t="inlineStr">
        <is>
          <t>CentraleSupelec</t>
        </is>
      </c>
      <c r="I824" s="25" t="inlineStr">
        <is>
          <t>CentraleSupelec</t>
        </is>
      </c>
      <c r="J824" s="25" t="inlineStr">
        <is>
          <t>CentraleSupélec Exed</t>
        </is>
      </c>
      <c r="K824" s="25" t="inlineStr">
        <is>
          <t>91192 Gif-sur-Yvette Cedex France</t>
        </is>
      </c>
      <c r="L824" s="25" t="inlineStr">
        <is>
          <t>Public school / institute</t>
        </is>
      </c>
      <c r="M824" s="25" t="inlineStr">
        <is>
          <t>French</t>
        </is>
      </c>
      <c r="N824" s="25" t="inlineStr">
        <is>
          <t>General</t>
        </is>
      </c>
      <c r="O824" s="25" t="inlineStr">
        <is>
          <t>Bac +5</t>
        </is>
      </c>
      <c r="P824" s="26" t="inlineStr">
        <is>
          <t>Possible – MS rules allow Bac+4 + ≥3 yrs work experience (you have 3)</t>
        </is>
      </c>
      <c r="Q824" s="25" t="inlineStr">
        <is>
          <t>1</t>
        </is>
      </c>
      <c r="R824" s="25" t="n"/>
      <c r="S824" s="27" t="n">
        <v>12000</v>
      </c>
      <c r="T824" s="27" t="n"/>
      <c r="U824" s="25" t="n">
        <v>1</v>
      </c>
      <c r="V824" s="27">
        <f>IF(S824="","",S824*U824)</f>
        <v/>
      </c>
      <c r="W824" s="26" t="inlineStr">
        <is>
          <t>Not in catalogue. Mastère Spécialisé programmes typically cost €9k–€23k. Verify.</t>
        </is>
      </c>
      <c r="X824" s="25" t="inlineStr">
        <is>
          <t>Low</t>
        </is>
      </c>
      <c r="Y824" s="25" t="n"/>
      <c r="Z824" s="26" t="n"/>
      <c r="AA824" s="26" t="n"/>
      <c r="AB824" s="25" t="n"/>
      <c r="AC824" s="25" t="inlineStr">
        <is>
          <t>Open</t>
        </is>
      </c>
      <c r="AD824" s="25" t="inlineStr">
        <is>
          <t>2026-10-01</t>
        </is>
      </c>
      <c r="AE824" s="25" t="inlineStr">
        <is>
          <t>2027-03-15</t>
        </is>
      </c>
      <c r="AF824" s="25" t="inlineStr">
        <is>
          <t>Yes</t>
        </is>
      </c>
      <c r="AG824" s="28" t="inlineStr">
        <is>
          <t>https://exed.centralesupelec.fr/formation/mastere-specialiseintelligence-artificielle-de-confiance-2/</t>
        </is>
      </c>
      <c r="AH824" s="26" t="inlineStr">
        <is>
          <t>Ce Mastère Spécialisé® s’adresse à un public de jeunes diplômés ou de professionnels en poste depuis plusieurs années dans tous les domaines de l’ingénierie logicielle, matérielle ou technologique ayant un intérêt pour l</t>
        </is>
      </c>
      <c r="AI824" s="28" t="inlineStr">
        <is>
          <t>Open in EEF</t>
        </is>
      </c>
    </row>
    <row r="825" ht="22.35" customHeight="1" s="19">
      <c r="A825" s="25" t="n">
        <v>824</v>
      </c>
      <c r="B825" s="25" t="inlineStr">
        <is>
          <t>★★★☆☆</t>
        </is>
      </c>
      <c r="C825" s="25" t="inlineStr">
        <is>
          <t>3 – Adjacent (AI/data/CS/cyber/energy)</t>
        </is>
      </c>
      <c r="D825" s="25" t="inlineStr">
        <is>
          <t>Electrical energy</t>
        </is>
      </c>
      <c r="E825" s="26" t="inlineStr">
        <is>
          <t>mastère spé. Énergies renouvelables</t>
        </is>
      </c>
      <c r="F825" s="26" t="inlineStr">
        <is>
          <t>Specialised Master (MS) Renewable Energies</t>
        </is>
      </c>
      <c r="G825" s="25" t="inlineStr">
        <is>
          <t>Mastère spécialisé</t>
        </is>
      </c>
      <c r="H825" s="25" t="inlineStr">
        <is>
          <t>ENSMP Sophia-Antipolis</t>
        </is>
      </c>
      <c r="I825" s="25" t="n"/>
      <c r="J825" s="25" t="inlineStr">
        <is>
          <t>Site de Valbonne</t>
        </is>
      </c>
      <c r="K825" s="25" t="n"/>
      <c r="L825" s="25" t="inlineStr">
        <is>
          <t>Public school / institute</t>
        </is>
      </c>
      <c r="M825" s="25" t="inlineStr">
        <is>
          <t>French</t>
        </is>
      </c>
      <c r="N825" s="25" t="inlineStr">
        <is>
          <t>General</t>
        </is>
      </c>
      <c r="O825" s="25" t="n"/>
      <c r="P825" s="26" t="inlineStr">
        <is>
          <t>Possible – MS rules allow Bac+4 + ≥3 yrs work experience (you have 3)</t>
        </is>
      </c>
      <c r="Q825" s="25" t="inlineStr">
        <is>
          <t>1/2</t>
        </is>
      </c>
      <c r="R825" s="25" t="n"/>
      <c r="S825" s="27" t="n">
        <v>12000</v>
      </c>
      <c r="T825" s="27" t="n"/>
      <c r="U825" s="25" t="n">
        <v>1</v>
      </c>
      <c r="V825" s="27">
        <f>IF(S825="","",S825*U825)</f>
        <v/>
      </c>
      <c r="W825" s="26" t="inlineStr">
        <is>
          <t>Not in catalogue. Mastère Spécialisé programmes typically cost €9k–€23k. Verify.</t>
        </is>
      </c>
      <c r="X825" s="25" t="inlineStr">
        <is>
          <t>Low</t>
        </is>
      </c>
      <c r="Y825" s="25" t="n"/>
      <c r="Z825" s="26" t="n"/>
      <c r="AA825" s="26" t="n"/>
      <c r="AB825" s="25" t="n"/>
      <c r="AC825" s="25" t="inlineStr">
        <is>
          <t>Closed</t>
        </is>
      </c>
      <c r="AD825" s="25" t="n"/>
      <c r="AE825" s="25" t="n"/>
      <c r="AF825" s="25" t="inlineStr">
        <is>
          <t>No</t>
        </is>
      </c>
      <c r="AG825" s="28" t="inlineStr">
        <is>
          <t>http://www.sophia.ensmp.fr</t>
        </is>
      </c>
      <c r="AH825" s="26" t="n"/>
      <c r="AI825" s="28" t="inlineStr">
        <is>
          <t>Open in EEF</t>
        </is>
      </c>
    </row>
    <row r="826" ht="22.35" customHeight="1" s="19">
      <c r="A826" s="25" t="n">
        <v>825</v>
      </c>
      <c r="B826" s="25" t="inlineStr">
        <is>
          <t>★★★☆☆</t>
        </is>
      </c>
      <c r="C826" s="25" t="inlineStr">
        <is>
          <t>3 – Adjacent (AI/data/CS/cyber/energy)</t>
        </is>
      </c>
      <c r="D826" s="25" t="inlineStr">
        <is>
          <t>Electrical energy</t>
        </is>
      </c>
      <c r="E826" s="26" t="inlineStr">
        <is>
          <t>mastère spé. Ingénierie des véhicules électriques</t>
        </is>
      </c>
      <c r="F826" s="26" t="inlineStr">
        <is>
          <t>Specialised Master (MS) Engineering of Vehicles Electrical</t>
        </is>
      </c>
      <c r="G826" s="25" t="inlineStr">
        <is>
          <t>Mastère spécialisé</t>
        </is>
      </c>
      <c r="H826" s="25" t="inlineStr">
        <is>
          <t>Ecole nationale supérieure de techniques avancées</t>
        </is>
      </c>
      <c r="I826" s="25" t="n"/>
      <c r="J826" s="25" t="inlineStr">
        <is>
          <t>Site de Palaiseau</t>
        </is>
      </c>
      <c r="K826" s="25" t="n"/>
      <c r="L826" s="25" t="inlineStr">
        <is>
          <t>Public school / institute</t>
        </is>
      </c>
      <c r="M826" s="25" t="inlineStr">
        <is>
          <t>French</t>
        </is>
      </c>
      <c r="N826" s="25" t="inlineStr">
        <is>
          <t>General</t>
        </is>
      </c>
      <c r="O826" s="25" t="n"/>
      <c r="P826" s="26" t="inlineStr">
        <is>
          <t>Possible – MS rules allow Bac+4 + ≥3 yrs work experience (you have 3)</t>
        </is>
      </c>
      <c r="Q826" s="25" t="inlineStr">
        <is>
          <t>1</t>
        </is>
      </c>
      <c r="R826" s="25" t="n"/>
      <c r="S826" s="27" t="n">
        <v>12000</v>
      </c>
      <c r="T826" s="27" t="n"/>
      <c r="U826" s="25" t="n">
        <v>1</v>
      </c>
      <c r="V826" s="27">
        <f>IF(S826="","",S826*U826)</f>
        <v/>
      </c>
      <c r="W826" s="26" t="inlineStr">
        <is>
          <t>Not in catalogue. Mastère Spécialisé programmes typically cost €9k–€23k. Verify.</t>
        </is>
      </c>
      <c r="X826" s="25" t="inlineStr">
        <is>
          <t>Low</t>
        </is>
      </c>
      <c r="Y826" s="25" t="n"/>
      <c r="Z826" s="26" t="n"/>
      <c r="AA826" s="26" t="n"/>
      <c r="AB826" s="25" t="n"/>
      <c r="AC826" s="25" t="inlineStr">
        <is>
          <t>Closed</t>
        </is>
      </c>
      <c r="AD826" s="25" t="n"/>
      <c r="AE826" s="25" t="n"/>
      <c r="AF826" s="25" t="inlineStr">
        <is>
          <t>No</t>
        </is>
      </c>
      <c r="AG826" s="28" t="inlineStr">
        <is>
          <t>http://www.ensta-paristech.fr</t>
        </is>
      </c>
      <c r="AH826" s="26" t="n"/>
      <c r="AI826" s="28" t="inlineStr">
        <is>
          <t>Open in EEF</t>
        </is>
      </c>
    </row>
    <row r="827" ht="32.8" customHeight="1" s="19">
      <c r="A827" s="25" t="n">
        <v>826</v>
      </c>
      <c r="B827" s="25" t="inlineStr">
        <is>
          <t>★★★☆☆</t>
        </is>
      </c>
      <c r="C827" s="25" t="inlineStr">
        <is>
          <t>3 – Adjacent (AI/data/CS/cyber/energy)</t>
        </is>
      </c>
      <c r="D827" s="25" t="inlineStr">
        <is>
          <t>Computer science / Software</t>
        </is>
      </c>
      <c r="E827" s="26" t="inlineStr">
        <is>
          <t>Mastère Spécialisé Architecte des Systèmes d'Information</t>
        </is>
      </c>
      <c r="F827" s="26" t="inlineStr">
        <is>
          <t>Specialised Master (MS) Architect of Information Systems</t>
        </is>
      </c>
      <c r="G827" s="25" t="inlineStr">
        <is>
          <t>Mastère spécialisé</t>
        </is>
      </c>
      <c r="H827" s="25" t="inlineStr">
        <is>
          <t>CentraleSupelec</t>
        </is>
      </c>
      <c r="I827" s="25" t="inlineStr">
        <is>
          <t>CentraleSupelec</t>
        </is>
      </c>
      <c r="J827" s="25" t="inlineStr">
        <is>
          <t>CentraleSupélec Exed</t>
        </is>
      </c>
      <c r="K827" s="25" t="inlineStr">
        <is>
          <t>91192 Gif-sur-Yvette Cedex France</t>
        </is>
      </c>
      <c r="L827" s="25" t="inlineStr">
        <is>
          <t>Public school / institute</t>
        </is>
      </c>
      <c r="M827" s="25" t="inlineStr">
        <is>
          <t>French</t>
        </is>
      </c>
      <c r="N827" s="25" t="inlineStr">
        <is>
          <t>General</t>
        </is>
      </c>
      <c r="O827" s="25" t="inlineStr">
        <is>
          <t>Bac +5</t>
        </is>
      </c>
      <c r="P827" s="26" t="inlineStr">
        <is>
          <t>Possible – MS rules allow Bac+4 + ≥3 yrs work experience (you have 3)</t>
        </is>
      </c>
      <c r="Q827" s="25" t="inlineStr">
        <is>
          <t>1</t>
        </is>
      </c>
      <c r="R827" s="25" t="n"/>
      <c r="S827" s="27" t="n">
        <v>12000</v>
      </c>
      <c r="T827" s="27" t="n"/>
      <c r="U827" s="25" t="n">
        <v>1</v>
      </c>
      <c r="V827" s="27">
        <f>IF(S827="","",S827*U827)</f>
        <v/>
      </c>
      <c r="W827" s="26" t="inlineStr">
        <is>
          <t>Not in catalogue. Mastère Spécialisé programmes typically cost €9k–€23k. Verify.</t>
        </is>
      </c>
      <c r="X827" s="25" t="inlineStr">
        <is>
          <t>Low</t>
        </is>
      </c>
      <c r="Y827" s="25" t="n"/>
      <c r="Z827" s="26" t="n"/>
      <c r="AA827" s="26" t="n"/>
      <c r="AB827" s="25" t="n"/>
      <c r="AC827" s="25" t="inlineStr">
        <is>
          <t>Open</t>
        </is>
      </c>
      <c r="AD827" s="25" t="inlineStr">
        <is>
          <t>2026-10-01</t>
        </is>
      </c>
      <c r="AE827" s="25" t="inlineStr">
        <is>
          <t>2027-03-15</t>
        </is>
      </c>
      <c r="AF827" s="25" t="inlineStr">
        <is>
          <t>Yes</t>
        </is>
      </c>
      <c r="AG827" s="28" t="inlineStr">
        <is>
          <t>https://exed.centralesupelec.fr/formation/mastere-specialise-architecte-des-systemes-d-information-2/</t>
        </is>
      </c>
      <c r="AH827" s="26" t="inlineStr">
        <is>
          <t>Les candidats seront principalement des salariés d’entreprise souhaitant évoluer dans le domaine de l’architecture des systèmes d’information. Quelques jeunes diplômés Bac+5 et à haut potentiel pourront également être in</t>
        </is>
      </c>
      <c r="AI827" s="28" t="inlineStr">
        <is>
          <t>Open in EEF</t>
        </is>
      </c>
    </row>
    <row r="828" ht="32.8" customHeight="1" s="19">
      <c r="A828" s="25" t="n">
        <v>827</v>
      </c>
      <c r="B828" s="25" t="inlineStr">
        <is>
          <t>★★★☆☆</t>
        </is>
      </c>
      <c r="C828" s="25" t="inlineStr">
        <is>
          <t>3 – Adjacent (AI/data/CS/cyber/energy)</t>
        </is>
      </c>
      <c r="D828" s="25" t="inlineStr">
        <is>
          <t>Cybersecurity</t>
        </is>
      </c>
      <c r="E828" s="26" t="inlineStr">
        <is>
          <t>Mastère Spécialisé Cybersécurité et Cyberdéfense</t>
        </is>
      </c>
      <c r="F828" s="26" t="inlineStr">
        <is>
          <t>Specialised Master (MS) Cybersecurity &amp; Cyberdéfense</t>
        </is>
      </c>
      <c r="G828" s="25" t="inlineStr">
        <is>
          <t>Mastère spécialisé</t>
        </is>
      </c>
      <c r="H828" s="25" t="inlineStr">
        <is>
          <t>Télécom Paris (ex ParisTech)</t>
        </is>
      </c>
      <c r="I828" s="25" t="n"/>
      <c r="J828" s="25" t="inlineStr">
        <is>
          <t>Site de Palaiseau</t>
        </is>
      </c>
      <c r="K828" s="25" t="n"/>
      <c r="L828" s="25" t="inlineStr">
        <is>
          <t>Public school / institute</t>
        </is>
      </c>
      <c r="M828" s="25" t="inlineStr">
        <is>
          <t>French</t>
        </is>
      </c>
      <c r="N828" s="25" t="inlineStr">
        <is>
          <t>General</t>
        </is>
      </c>
      <c r="O828" s="25" t="inlineStr">
        <is>
          <t>Bac +5</t>
        </is>
      </c>
      <c r="P828" s="26" t="inlineStr">
        <is>
          <t>Possible – MS rules allow Bac+4 + ≥3 yrs work experience (you have 3)</t>
        </is>
      </c>
      <c r="Q828" s="25" t="inlineStr">
        <is>
          <t>1</t>
        </is>
      </c>
      <c r="R828" s="25" t="inlineStr">
        <is>
          <t>15</t>
        </is>
      </c>
      <c r="S828" s="27" t="n">
        <v>13700</v>
      </c>
      <c r="T828" s="27" t="n"/>
      <c r="U828" s="25" t="n">
        <v>1</v>
      </c>
      <c r="V828" s="27">
        <f>IF(S828="","",S828*U828)</f>
        <v/>
      </c>
      <c r="W828" s="26" t="inlineStr">
        <is>
          <t>Catalogue fee €13,700/yr (entered by institution).</t>
        </is>
      </c>
      <c r="X828" s="25" t="inlineStr">
        <is>
          <t>High</t>
        </is>
      </c>
      <c r="Y828" s="25" t="inlineStr">
        <is>
          <t>13700</t>
        </is>
      </c>
      <c r="Z828" s="26" t="inlineStr">
        <is>
          <t>Coût de la formation 2025-2026 : 13 700 € pour les financements personnels 18 400 € pour les financements via des organismes ou entre … prises Frais de dossier de candidature : 90€</t>
        </is>
      </c>
      <c r="AA828" s="26" t="n"/>
      <c r="AB828" s="25" t="n"/>
      <c r="AC828" s="25" t="inlineStr">
        <is>
          <t>Open</t>
        </is>
      </c>
      <c r="AD828" s="25" t="inlineStr">
        <is>
          <t>2026-10-01</t>
        </is>
      </c>
      <c r="AE828" s="25" t="inlineStr">
        <is>
          <t>2027-03-15</t>
        </is>
      </c>
      <c r="AF828" s="25" t="inlineStr">
        <is>
          <t>Yes</t>
        </is>
      </c>
      <c r="AG828" s="28" t="inlineStr">
        <is>
          <t>https://www.telecom-paris.fr/fr/masteres-specialises/tous-les-ms/cybersecurite-cyberdefense</t>
        </is>
      </c>
      <c r="AH828" s="26" t="inlineStr">
        <is>
          <t>Diplôme d’ingénieur ou Master 2 universitaire scientifique ou technique ou diplômes étrangers de niveau équivalent à Bac+5.</t>
        </is>
      </c>
      <c r="AI828" s="28" t="inlineStr">
        <is>
          <t>Open in EEF</t>
        </is>
      </c>
    </row>
    <row r="829" ht="32.8" customHeight="1" s="19">
      <c r="A829" s="25" t="n">
        <v>828</v>
      </c>
      <c r="B829" s="25" t="inlineStr">
        <is>
          <t>★★★☆☆</t>
        </is>
      </c>
      <c r="C829" s="25" t="inlineStr">
        <is>
          <t>3 – Adjacent (AI/data/CS/cyber/energy)</t>
        </is>
      </c>
      <c r="D829" s="25" t="inlineStr">
        <is>
          <t>IoT / Telecom / Networks</t>
        </is>
      </c>
      <c r="E829" s="26" t="inlineStr">
        <is>
          <t>Mastère Spécialisé Expert cybersécurité des réseaux et des SI</t>
        </is>
      </c>
      <c r="F829" s="26" t="inlineStr">
        <is>
          <t>Specialised Master (MS) Expert Cybersecurity of Networks &amp; of SI</t>
        </is>
      </c>
      <c r="G829" s="25" t="inlineStr">
        <is>
          <t>Mastère spécialisé</t>
        </is>
      </c>
      <c r="H829" s="25" t="inlineStr">
        <is>
          <t>Télécom Paris (ex ParisTech)</t>
        </is>
      </c>
      <c r="I829" s="25" t="n"/>
      <c r="J829" s="25" t="inlineStr">
        <is>
          <t>Site de Palaiseau</t>
        </is>
      </c>
      <c r="K829" s="25" t="n"/>
      <c r="L829" s="25" t="inlineStr">
        <is>
          <t>Public school / institute</t>
        </is>
      </c>
      <c r="M829" s="25" t="inlineStr">
        <is>
          <t>French</t>
        </is>
      </c>
      <c r="N829" s="25" t="inlineStr">
        <is>
          <t>General</t>
        </is>
      </c>
      <c r="O829" s="25" t="inlineStr">
        <is>
          <t>Bac +5</t>
        </is>
      </c>
      <c r="P829" s="26" t="inlineStr">
        <is>
          <t>Possible – MS rules allow Bac+4 + ≥3 yrs work experience (you have 3)</t>
        </is>
      </c>
      <c r="Q829" s="25" t="inlineStr">
        <is>
          <t>1</t>
        </is>
      </c>
      <c r="R829" s="25" t="inlineStr">
        <is>
          <t>15</t>
        </is>
      </c>
      <c r="S829" s="27" t="n">
        <v>13700</v>
      </c>
      <c r="T829" s="27" t="n"/>
      <c r="U829" s="25" t="n">
        <v>1</v>
      </c>
      <c r="V829" s="27">
        <f>IF(S829="","",S829*U829)</f>
        <v/>
      </c>
      <c r="W829" s="26" t="inlineStr">
        <is>
          <t>Catalogue fee €13,700/yr (entered by institution).</t>
        </is>
      </c>
      <c r="X829" s="25" t="inlineStr">
        <is>
          <t>High</t>
        </is>
      </c>
      <c r="Y829" s="25" t="inlineStr">
        <is>
          <t>13700</t>
        </is>
      </c>
      <c r="Z829" s="26" t="inlineStr">
        <is>
          <t>Coût de la formation 2025-2026 : 13 700 € pour les financements personnels 18 400 € pour les financements via des organismes ou entre … prises Frais de dossier de candidature : 90€</t>
        </is>
      </c>
      <c r="AA829" s="26" t="n"/>
      <c r="AB829" s="25" t="n"/>
      <c r="AC829" s="25" t="inlineStr">
        <is>
          <t>Open</t>
        </is>
      </c>
      <c r="AD829" s="25" t="inlineStr">
        <is>
          <t>2026-10-01</t>
        </is>
      </c>
      <c r="AE829" s="25" t="inlineStr">
        <is>
          <t>2027-03-15</t>
        </is>
      </c>
      <c r="AF829" s="25" t="inlineStr">
        <is>
          <t>Yes</t>
        </is>
      </c>
      <c r="AG829" s="28" t="inlineStr">
        <is>
          <t>https://www.telecom-paris.fr/fr/masteres-specialises/tous-les-ms/conception-architecture-reseaux</t>
        </is>
      </c>
      <c r="AH829" s="26" t="inlineStr">
        <is>
          <t>Diplôme d’ingénieur ou Master 2 universitaire scientifique ou technique ou diplômes étrangers de niveau équivalent à Bac+5.</t>
        </is>
      </c>
      <c r="AI829" s="28" t="inlineStr">
        <is>
          <t>Open in EEF</t>
        </is>
      </c>
    </row>
    <row r="830" ht="32.8" customHeight="1" s="19">
      <c r="A830" s="25" t="n">
        <v>829</v>
      </c>
      <c r="B830" s="25" t="inlineStr">
        <is>
          <t>★★★☆☆</t>
        </is>
      </c>
      <c r="C830" s="25" t="inlineStr">
        <is>
          <t>3 – Adjacent (AI/data/CS/cyber/energy)</t>
        </is>
      </c>
      <c r="D830" s="25" t="inlineStr">
        <is>
          <t>IoT / Telecom / Networks</t>
        </is>
      </c>
      <c r="E830" s="26" t="inlineStr">
        <is>
          <t>Mastère spécialisé Architecte Réseaux et Cybersécurité</t>
        </is>
      </c>
      <c r="F830" s="26" t="inlineStr">
        <is>
          <t>Specialised Master (MS) Architect Networks &amp; Cybersecurity</t>
        </is>
      </c>
      <c r="G830" s="25" t="inlineStr">
        <is>
          <t>Mastère spécialisé</t>
        </is>
      </c>
      <c r="H830" s="25" t="inlineStr">
        <is>
          <t>Télécom Paris (ex ParisTech)</t>
        </is>
      </c>
      <c r="I830" s="25" t="n"/>
      <c r="J830" s="25" t="inlineStr">
        <is>
          <t>Site de Palaiseau</t>
        </is>
      </c>
      <c r="K830" s="25" t="n"/>
      <c r="L830" s="25" t="inlineStr">
        <is>
          <t>Public school / institute</t>
        </is>
      </c>
      <c r="M830" s="25" t="inlineStr">
        <is>
          <t>French</t>
        </is>
      </c>
      <c r="N830" s="25" t="inlineStr">
        <is>
          <t>General</t>
        </is>
      </c>
      <c r="O830" s="25" t="inlineStr">
        <is>
          <t>Bac +5</t>
        </is>
      </c>
      <c r="P830" s="26" t="inlineStr">
        <is>
          <t>Possible – MS rules allow Bac+4 + ≥3 yrs work experience (you have 3)</t>
        </is>
      </c>
      <c r="Q830" s="25" t="inlineStr">
        <is>
          <t>1</t>
        </is>
      </c>
      <c r="R830" s="25" t="inlineStr">
        <is>
          <t>15</t>
        </is>
      </c>
      <c r="S830" s="27" t="n">
        <v>13900</v>
      </c>
      <c r="T830" s="27" t="n"/>
      <c r="U830" s="25" t="n">
        <v>1</v>
      </c>
      <c r="V830" s="27">
        <f>IF(S830="","",S830*U830)</f>
        <v/>
      </c>
      <c r="W830" s="26" t="inlineStr">
        <is>
          <t>Catalogue fee €13,900/yr (entered by institution).</t>
        </is>
      </c>
      <c r="X830" s="25" t="inlineStr">
        <is>
          <t>High</t>
        </is>
      </c>
      <c r="Y830" s="25" t="inlineStr">
        <is>
          <t>13900</t>
        </is>
      </c>
      <c r="Z830" s="26" t="inlineStr">
        <is>
          <t>Coût de la formation 2025-2026 : 13 900 € pour les financements personnels 18 700 € pour les financements via des organismes ou entre … prises Frais de dossier de candidature : 90€</t>
        </is>
      </c>
      <c r="AA830" s="26" t="n"/>
      <c r="AB830" s="25" t="n"/>
      <c r="AC830" s="25" t="inlineStr">
        <is>
          <t>Open</t>
        </is>
      </c>
      <c r="AD830" s="25" t="inlineStr">
        <is>
          <t>2026-10-01</t>
        </is>
      </c>
      <c r="AE830" s="25" t="inlineStr">
        <is>
          <t>2027-03-15</t>
        </is>
      </c>
      <c r="AF830" s="25" t="inlineStr">
        <is>
          <t>Yes</t>
        </is>
      </c>
      <c r="AG830" s="28" t="inlineStr">
        <is>
          <t>https://www.telecom-paris.fr/fr/masteres-specialises/tous-les-ms/architecte-reseaux-cybersecurite</t>
        </is>
      </c>
      <c r="AH830" s="26" t="inlineStr">
        <is>
          <t>Diplôme d’ingénieur ou Master 2 universitaire scientifique ou technique ou diplômes étrangers de niveau équivalent à Bac+5.</t>
        </is>
      </c>
      <c r="AI830" s="28" t="inlineStr">
        <is>
          <t>Open in EEF</t>
        </is>
      </c>
    </row>
    <row r="831" ht="22.35" customHeight="1" s="19">
      <c r="A831" s="25" t="n">
        <v>830</v>
      </c>
      <c r="B831" s="25" t="inlineStr">
        <is>
          <t>★★★☆☆</t>
        </is>
      </c>
      <c r="C831" s="25" t="inlineStr">
        <is>
          <t>3 – Adjacent (AI/data/CS/cyber/energy)</t>
        </is>
      </c>
      <c r="D831" s="25" t="inlineStr">
        <is>
          <t>AI / Data science</t>
        </is>
      </c>
      <c r="E831" s="26" t="inlineStr">
        <is>
          <t>Mastère en sciences (MSc) Master of Science in Biotechnology and Artificial Intelligence</t>
        </is>
      </c>
      <c r="F831" s="26" t="inlineStr">
        <is>
          <t>Mastère in Sciences (MSc) Master of Science in Biotechnology and Artificial Intelligence</t>
        </is>
      </c>
      <c r="G831" s="25" t="inlineStr">
        <is>
          <t>Mastère en sciences (MSc)</t>
        </is>
      </c>
      <c r="H831" s="25" t="inlineStr">
        <is>
          <t>Institut Sup'Biotech de Paris</t>
        </is>
      </c>
      <c r="I831" s="25" t="n"/>
      <c r="J831" s="25" t="inlineStr">
        <is>
          <t>Site de Villejuif</t>
        </is>
      </c>
      <c r="K831" s="25" t="n"/>
      <c r="L831" s="25" t="inlineStr">
        <is>
          <t>Private / EESPIG</t>
        </is>
      </c>
      <c r="M831" s="25" t="inlineStr">
        <is>
          <t>English</t>
        </is>
      </c>
      <c r="N831" s="25" t="inlineStr">
        <is>
          <t>Taught in English</t>
        </is>
      </c>
      <c r="O831" s="25" t="inlineStr">
        <is>
          <t>Bac +4</t>
        </is>
      </c>
      <c r="P831" s="26" t="inlineStr">
        <is>
          <t>Eligible on level (4-yr BS ≈ Bac+4)</t>
        </is>
      </c>
      <c r="Q831" s="25" t="inlineStr">
        <is>
          <t>1</t>
        </is>
      </c>
      <c r="R831" s="25" t="n"/>
      <c r="S831" s="27" t="n">
        <v>13950</v>
      </c>
      <c r="T831" s="27" t="n"/>
      <c r="U831" s="25" t="n">
        <v>2</v>
      </c>
      <c r="V831" s="27">
        <f>IF(S831="","",S831*U831)</f>
        <v/>
      </c>
      <c r="W831" s="26" t="inlineStr">
        <is>
          <t>Catalogue fee €13,950/yr (entered by institution).</t>
        </is>
      </c>
      <c r="X831" s="25" t="inlineStr">
        <is>
          <t>High</t>
        </is>
      </c>
      <c r="Y831" s="25" t="inlineStr">
        <is>
          <t>13950</t>
        </is>
      </c>
      <c r="Z831" s="26" t="n"/>
      <c r="AA831" s="26" t="n"/>
      <c r="AB831" s="25" t="n"/>
      <c r="AC831" s="25" t="inlineStr">
        <is>
          <t>Open</t>
        </is>
      </c>
      <c r="AD831" s="25" t="inlineStr">
        <is>
          <t>2026-10-01</t>
        </is>
      </c>
      <c r="AE831" s="25" t="inlineStr">
        <is>
          <t>2027-03-15</t>
        </is>
      </c>
      <c r="AF831" s="25" t="inlineStr">
        <is>
          <t>Yes</t>
        </is>
      </c>
      <c r="AG831" s="25" t="n"/>
      <c r="AH831" s="26" t="n"/>
      <c r="AI831" s="28" t="inlineStr">
        <is>
          <t>Open in EEF</t>
        </is>
      </c>
    </row>
    <row r="832" ht="32.8" customHeight="1" s="19">
      <c r="A832" s="25" t="n">
        <v>831</v>
      </c>
      <c r="B832" s="25" t="inlineStr">
        <is>
          <t>★★★☆☆</t>
        </is>
      </c>
      <c r="C832" s="25" t="inlineStr">
        <is>
          <t>3 – Adjacent (AI/data/CS/cyber/energy)</t>
        </is>
      </c>
      <c r="D832" s="25" t="inlineStr">
        <is>
          <t>Computer science / Software</t>
        </is>
      </c>
      <c r="E832" s="26" t="inlineStr">
        <is>
          <t>Master in Sciences &amp; Technology, major "Information Systems"</t>
        </is>
      </c>
      <c r="F832" s="26" t="inlineStr">
        <is>
          <t>Master in Sciences &amp; Technology, major "Information Systems"</t>
        </is>
      </c>
      <c r="G832" s="25" t="inlineStr">
        <is>
          <t>Master indifférencié (recherche et professionnel)</t>
        </is>
      </c>
      <c r="H832" s="25" t="inlineStr">
        <is>
          <t>Ecole supérieure d'ingénieurs en génie électrique</t>
        </is>
      </c>
      <c r="I832" s="25" t="n"/>
      <c r="J832" s="25" t="inlineStr">
        <is>
          <t>Site de Saint-Etienne-du-Rouvray</t>
        </is>
      </c>
      <c r="K832" s="25" t="n"/>
      <c r="L832" s="25" t="inlineStr">
        <is>
          <t>Private / EESPIG</t>
        </is>
      </c>
      <c r="M832" s="25" t="inlineStr">
        <is>
          <t>English</t>
        </is>
      </c>
      <c r="N832" s="25" t="inlineStr">
        <is>
          <t>Taught in English</t>
        </is>
      </c>
      <c r="O832" s="25" t="inlineStr">
        <is>
          <t>Bac +4 / Bac +5</t>
        </is>
      </c>
      <c r="P832" s="26" t="inlineStr">
        <is>
          <t>Eligible on level (4-yr BS ≈ Bac+4)</t>
        </is>
      </c>
      <c r="Q832" s="25" t="inlineStr">
        <is>
          <t>1/2</t>
        </is>
      </c>
      <c r="R832" s="25" t="inlineStr">
        <is>
          <t>18</t>
        </is>
      </c>
      <c r="S832" s="27" t="n">
        <v>14000</v>
      </c>
      <c r="T832" s="27" t="n"/>
      <c r="U832" s="25" t="n">
        <v>2</v>
      </c>
      <c r="V832" s="27">
        <f>IF(S832="","",S832*U832)</f>
        <v/>
      </c>
      <c r="W832" s="26" t="inlineStr">
        <is>
          <t>Catalogue fee €14,000/yr (entered by institution).</t>
        </is>
      </c>
      <c r="X832" s="25" t="inlineStr">
        <is>
          <t>High</t>
        </is>
      </c>
      <c r="Y832" s="25" t="inlineStr">
        <is>
          <t>17000/14000</t>
        </is>
      </c>
      <c r="Z832" s="26" t="n"/>
      <c r="AA832" s="26" t="n"/>
      <c r="AB832" s="25" t="n"/>
      <c r="AC832" s="25" t="inlineStr">
        <is>
          <t>Open</t>
        </is>
      </c>
      <c r="AD832" s="25" t="inlineStr">
        <is>
          <t>2026-10-01</t>
        </is>
      </c>
      <c r="AE832" s="25" t="inlineStr">
        <is>
          <t>2027-03-15</t>
        </is>
      </c>
      <c r="AF832" s="25" t="inlineStr">
        <is>
          <t>Yes</t>
        </is>
      </c>
      <c r="AG832" s="28" t="inlineStr">
        <is>
          <t>http://www.esigelec.fr</t>
        </is>
      </c>
      <c r="AH832" s="26" t="inlineStr">
        <is>
          <t>All courses are taught in English Admission Bachelor degree in engineering domains (Computer Science, Information Technology,..) English proficiency Level equivalent to 6.0 at IELTS Interview in english with a representa</t>
        </is>
      </c>
      <c r="AI832" s="28" t="inlineStr">
        <is>
          <t>Open in EEF</t>
        </is>
      </c>
    </row>
    <row r="833" ht="22.35" customHeight="1" s="19">
      <c r="A833" s="25" t="n">
        <v>832</v>
      </c>
      <c r="B833" s="25" t="inlineStr">
        <is>
          <t>★★★☆☆</t>
        </is>
      </c>
      <c r="C833" s="25" t="inlineStr">
        <is>
          <t>3 – Adjacent (AI/data/CS/cyber/energy)</t>
        </is>
      </c>
      <c r="D833" s="25" t="inlineStr">
        <is>
          <t>Cybersecurity</t>
        </is>
      </c>
      <c r="E833" s="26" t="inlineStr">
        <is>
          <t>Master of Science (MSc) Master of Science in Computer Science - Computer Security</t>
        </is>
      </c>
      <c r="F833" s="26" t="inlineStr">
        <is>
          <t>Master of Science (MSc) Master of Science in Computer Science - Computer Security</t>
        </is>
      </c>
      <c r="G833" s="25" t="inlineStr">
        <is>
          <t>Master of Science (MSc)</t>
        </is>
      </c>
      <c r="H833" s="25" t="inlineStr">
        <is>
          <t>Ecole pour l'informatique et les techniques avancées</t>
        </is>
      </c>
      <c r="I833" s="25" t="n"/>
      <c r="J833" s="25" t="inlineStr">
        <is>
          <t>Site de Le Kremlin-Bicêtre</t>
        </is>
      </c>
      <c r="K833" s="25" t="n"/>
      <c r="L833" s="25" t="inlineStr">
        <is>
          <t>Private / EESPIG</t>
        </is>
      </c>
      <c r="M833" s="25" t="inlineStr">
        <is>
          <t>English</t>
        </is>
      </c>
      <c r="N833" s="25" t="inlineStr">
        <is>
          <t>Taught in English</t>
        </is>
      </c>
      <c r="O833" s="25" t="inlineStr">
        <is>
          <t>Bac +4 / Bac +5</t>
        </is>
      </c>
      <c r="P833" s="26" t="inlineStr">
        <is>
          <t>Eligible on level (4-yr BS ≈ Bac+4)</t>
        </is>
      </c>
      <c r="Q833" s="25" t="inlineStr">
        <is>
          <t>1/2</t>
        </is>
      </c>
      <c r="R833" s="25" t="n"/>
      <c r="S833" s="27" t="n">
        <v>14760</v>
      </c>
      <c r="T833" s="27" t="n"/>
      <c r="U833" s="25" t="n">
        <v>2</v>
      </c>
      <c r="V833" s="27">
        <f>IF(S833="","",S833*U833)</f>
        <v/>
      </c>
      <c r="W833" s="26" t="inlineStr">
        <is>
          <t>Catalogue fee €14,760/yr (entered by institution).</t>
        </is>
      </c>
      <c r="X833" s="25" t="inlineStr">
        <is>
          <t>High</t>
        </is>
      </c>
      <c r="Y833" s="25" t="inlineStr">
        <is>
          <t>14760</t>
        </is>
      </c>
      <c r="Z833" s="26" t="n"/>
      <c r="AA833" s="26" t="n"/>
      <c r="AB833" s="25" t="n"/>
      <c r="AC833" s="25" t="inlineStr">
        <is>
          <t>Open</t>
        </is>
      </c>
      <c r="AD833" s="25" t="inlineStr">
        <is>
          <t>2026-10-01</t>
        </is>
      </c>
      <c r="AE833" s="25" t="inlineStr">
        <is>
          <t>2027-03-15</t>
        </is>
      </c>
      <c r="AF833" s="25" t="inlineStr">
        <is>
          <t>Yes</t>
        </is>
      </c>
      <c r="AG833" s="25" t="n"/>
      <c r="AH833" s="26" t="n"/>
      <c r="AI833" s="28" t="inlineStr">
        <is>
          <t>Open in EEF</t>
        </is>
      </c>
    </row>
    <row r="834" ht="22.35" customHeight="1" s="19">
      <c r="A834" s="25" t="n">
        <v>833</v>
      </c>
      <c r="B834" s="25" t="inlineStr">
        <is>
          <t>★★★☆☆</t>
        </is>
      </c>
      <c r="C834" s="25" t="inlineStr">
        <is>
          <t>3 – Adjacent (AI/data/CS/cyber/energy)</t>
        </is>
      </c>
      <c r="D834" s="25" t="inlineStr">
        <is>
          <t>AI / Data science</t>
        </is>
      </c>
      <c r="E834" s="26" t="inlineStr">
        <is>
          <t>Master of Science (MSc) Master of Science in Computer Science - Data Science &amp; Analytics</t>
        </is>
      </c>
      <c r="F834" s="26" t="inlineStr">
        <is>
          <t>Master of Science (MSc) Master of Science in Computer Science - Data Science &amp; Analytics</t>
        </is>
      </c>
      <c r="G834" s="25" t="inlineStr">
        <is>
          <t>Master of Science (MSc)</t>
        </is>
      </c>
      <c r="H834" s="25" t="inlineStr">
        <is>
          <t>Ecole pour l'informatique et les techniques avancées</t>
        </is>
      </c>
      <c r="I834" s="25" t="n"/>
      <c r="J834" s="25" t="inlineStr">
        <is>
          <t>Site de Le Kremlin-Bicêtre</t>
        </is>
      </c>
      <c r="K834" s="25" t="n"/>
      <c r="L834" s="25" t="inlineStr">
        <is>
          <t>Private / EESPIG</t>
        </is>
      </c>
      <c r="M834" s="25" t="inlineStr">
        <is>
          <t>English</t>
        </is>
      </c>
      <c r="N834" s="25" t="inlineStr">
        <is>
          <t>Taught in English</t>
        </is>
      </c>
      <c r="O834" s="25" t="inlineStr">
        <is>
          <t>Bac +4 / Bac +5</t>
        </is>
      </c>
      <c r="P834" s="26" t="inlineStr">
        <is>
          <t>Eligible on level (4-yr BS ≈ Bac+4)</t>
        </is>
      </c>
      <c r="Q834" s="25" t="inlineStr">
        <is>
          <t>1/2</t>
        </is>
      </c>
      <c r="R834" s="25" t="n"/>
      <c r="S834" s="27" t="n">
        <v>14760</v>
      </c>
      <c r="T834" s="27" t="n"/>
      <c r="U834" s="25" t="n">
        <v>2</v>
      </c>
      <c r="V834" s="27">
        <f>IF(S834="","",S834*U834)</f>
        <v/>
      </c>
      <c r="W834" s="26" t="inlineStr">
        <is>
          <t>Catalogue fee €14,760/yr (entered by institution).</t>
        </is>
      </c>
      <c r="X834" s="25" t="inlineStr">
        <is>
          <t>High</t>
        </is>
      </c>
      <c r="Y834" s="25" t="inlineStr">
        <is>
          <t>14760</t>
        </is>
      </c>
      <c r="Z834" s="26" t="n"/>
      <c r="AA834" s="26" t="n"/>
      <c r="AB834" s="25" t="n"/>
      <c r="AC834" s="25" t="inlineStr">
        <is>
          <t>Open</t>
        </is>
      </c>
      <c r="AD834" s="25" t="inlineStr">
        <is>
          <t>2026-10-01</t>
        </is>
      </c>
      <c r="AE834" s="25" t="inlineStr">
        <is>
          <t>2027-03-15</t>
        </is>
      </c>
      <c r="AF834" s="25" t="inlineStr">
        <is>
          <t>Yes</t>
        </is>
      </c>
      <c r="AG834" s="25" t="n"/>
      <c r="AH834" s="26" t="n"/>
      <c r="AI834" s="28" t="inlineStr">
        <is>
          <t>Open in EEF</t>
        </is>
      </c>
    </row>
    <row r="835" ht="22.35" customHeight="1" s="19">
      <c r="A835" s="25" t="n">
        <v>834</v>
      </c>
      <c r="B835" s="25" t="inlineStr">
        <is>
          <t>★★★☆☆</t>
        </is>
      </c>
      <c r="C835" s="25" t="inlineStr">
        <is>
          <t>3 – Adjacent (AI/data/CS/cyber/energy)</t>
        </is>
      </c>
      <c r="D835" s="25" t="inlineStr">
        <is>
          <t>Computer science / Software</t>
        </is>
      </c>
      <c r="E835" s="26" t="inlineStr">
        <is>
          <t>Master of Science (MSc) Master of Science in Computer Science - Software Engineering</t>
        </is>
      </c>
      <c r="F835" s="26" t="inlineStr">
        <is>
          <t>Master of Science (MSc) Master of Science in Computer Science - Software Engineering</t>
        </is>
      </c>
      <c r="G835" s="25" t="inlineStr">
        <is>
          <t>Master of Science (MSc)</t>
        </is>
      </c>
      <c r="H835" s="25" t="inlineStr">
        <is>
          <t>Ecole pour l'informatique et les techniques avancées</t>
        </is>
      </c>
      <c r="I835" s="25" t="n"/>
      <c r="J835" s="25" t="inlineStr">
        <is>
          <t>Site de Le Kremlin-Bicêtre</t>
        </is>
      </c>
      <c r="K835" s="25" t="n"/>
      <c r="L835" s="25" t="inlineStr">
        <is>
          <t>Private / EESPIG</t>
        </is>
      </c>
      <c r="M835" s="25" t="inlineStr">
        <is>
          <t>English</t>
        </is>
      </c>
      <c r="N835" s="25" t="inlineStr">
        <is>
          <t>Taught in English</t>
        </is>
      </c>
      <c r="O835" s="25" t="inlineStr">
        <is>
          <t>Bac +4 / Bac +5</t>
        </is>
      </c>
      <c r="P835" s="26" t="inlineStr">
        <is>
          <t>Eligible on level (4-yr BS ≈ Bac+4)</t>
        </is>
      </c>
      <c r="Q835" s="25" t="inlineStr">
        <is>
          <t>1/2</t>
        </is>
      </c>
      <c r="R835" s="25" t="n"/>
      <c r="S835" s="27" t="n">
        <v>14760</v>
      </c>
      <c r="T835" s="27" t="n"/>
      <c r="U835" s="25" t="n">
        <v>2</v>
      </c>
      <c r="V835" s="27">
        <f>IF(S835="","",S835*U835)</f>
        <v/>
      </c>
      <c r="W835" s="26" t="inlineStr">
        <is>
          <t>Catalogue fee €14,760/yr (entered by institution).</t>
        </is>
      </c>
      <c r="X835" s="25" t="inlineStr">
        <is>
          <t>High</t>
        </is>
      </c>
      <c r="Y835" s="25" t="inlineStr">
        <is>
          <t>14760</t>
        </is>
      </c>
      <c r="Z835" s="26" t="n"/>
      <c r="AA835" s="26" t="n"/>
      <c r="AB835" s="25" t="n"/>
      <c r="AC835" s="25" t="inlineStr">
        <is>
          <t>Open</t>
        </is>
      </c>
      <c r="AD835" s="25" t="inlineStr">
        <is>
          <t>2026-10-01</t>
        </is>
      </c>
      <c r="AE835" s="25" t="inlineStr">
        <is>
          <t>2027-03-15</t>
        </is>
      </c>
      <c r="AF835" s="25" t="inlineStr">
        <is>
          <t>Yes</t>
        </is>
      </c>
      <c r="AG835" s="25" t="n"/>
      <c r="AH835" s="26" t="n"/>
      <c r="AI835" s="28" t="inlineStr">
        <is>
          <t>Open in EEF</t>
        </is>
      </c>
    </row>
    <row r="836" ht="43.25" customHeight="1" s="19">
      <c r="A836" s="25" t="n">
        <v>835</v>
      </c>
      <c r="B836" s="25" t="inlineStr">
        <is>
          <t>★★★☆☆</t>
        </is>
      </c>
      <c r="C836" s="25" t="inlineStr">
        <is>
          <t>3 – Adjacent (AI/data/CS/cyber/energy)</t>
        </is>
      </c>
      <c r="D836" s="25" t="inlineStr">
        <is>
          <t>AI / Data science</t>
        </is>
      </c>
      <c r="E836" s="26" t="inlineStr">
        <is>
          <t>Master artificial intelligence (INtelligent systems for a sustainable Digital transformation of the Society)</t>
        </is>
      </c>
      <c r="F836" s="26" t="inlineStr">
        <is>
          <t>Master artificial intelligence (INtelligent systems for a sustainable Digital transformation of the Society)</t>
        </is>
      </c>
      <c r="G836" s="25" t="inlineStr">
        <is>
          <t>Master of Science (MSc)</t>
        </is>
      </c>
      <c r="H836" s="25" t="inlineStr">
        <is>
          <t>Institut national des sciences appliquées de Lyon</t>
        </is>
      </c>
      <c r="I836" s="25" t="n"/>
      <c r="J836" s="25" t="inlineStr">
        <is>
          <t>Site de Villeurbanne</t>
        </is>
      </c>
      <c r="K836" s="25" t="n"/>
      <c r="L836" s="25" t="inlineStr">
        <is>
          <t>Public school / institute</t>
        </is>
      </c>
      <c r="M836" s="25" t="inlineStr">
        <is>
          <t>English</t>
        </is>
      </c>
      <c r="N836" s="25" t="inlineStr">
        <is>
          <t>Taught in English</t>
        </is>
      </c>
      <c r="O836" s="25" t="inlineStr">
        <is>
          <t>Bac +4</t>
        </is>
      </c>
      <c r="P836" s="26" t="inlineStr">
        <is>
          <t>Eligible on level (4-yr BS ≈ Bac+4)</t>
        </is>
      </c>
      <c r="Q836" s="25" t="inlineStr">
        <is>
          <t>1</t>
        </is>
      </c>
      <c r="R836" s="25" t="inlineStr">
        <is>
          <t>12</t>
        </is>
      </c>
      <c r="S836" s="27" t="n">
        <v>14940</v>
      </c>
      <c r="T836" s="27" t="n"/>
      <c r="U836" s="25" t="n">
        <v>1</v>
      </c>
      <c r="V836" s="27">
        <f>IF(S836="","",S836*U836)</f>
        <v/>
      </c>
      <c r="W836" s="26" t="inlineStr">
        <is>
          <t>Catalogue fee €14,940/yr (entered by institution).</t>
        </is>
      </c>
      <c r="X836" s="25" t="inlineStr">
        <is>
          <t>High</t>
        </is>
      </c>
      <c r="Y836" s="25" t="inlineStr">
        <is>
          <t>14940</t>
        </is>
      </c>
      <c r="Z836" s="26" t="inlineStr">
        <is>
          <t>Please take note of a non-refundable application fee of 128 €</t>
        </is>
      </c>
      <c r="AA836" s="26" t="n"/>
      <c r="AB836" s="25" t="n"/>
      <c r="AC836" s="25" t="inlineStr">
        <is>
          <t>Open</t>
        </is>
      </c>
      <c r="AD836" s="25" t="inlineStr">
        <is>
          <t>2026-10-01</t>
        </is>
      </c>
      <c r="AE836" s="25" t="inlineStr">
        <is>
          <t>2027-03-15</t>
        </is>
      </c>
      <c r="AF836" s="25" t="inlineStr">
        <is>
          <t>No</t>
        </is>
      </c>
      <c r="AG836" s="28" t="inlineStr">
        <is>
          <t>https://www.insa-lyon.fr/fr/formation/master-minds-ia</t>
        </is>
      </c>
      <c r="AH836" s="26" t="inlineStr">
        <is>
          <t>Bachelor’s Degree,Master's Degree or equivalent in Computer Science, Computer Engineering, Electrical &amp; Electronics Engineering, Telecommunications Engineering or related discipline. English language proficiency: at leas</t>
        </is>
      </c>
      <c r="AI836" s="28" t="inlineStr">
        <is>
          <t>Open in EEF</t>
        </is>
      </c>
    </row>
    <row r="837" ht="32.8" customHeight="1" s="19">
      <c r="A837" s="25" t="n">
        <v>836</v>
      </c>
      <c r="B837" s="25" t="inlineStr">
        <is>
          <t>★★★☆☆</t>
        </is>
      </c>
      <c r="C837" s="25" t="inlineStr">
        <is>
          <t>3 – Adjacent (AI/data/CS/cyber/energy)</t>
        </is>
      </c>
      <c r="D837" s="25" t="inlineStr">
        <is>
          <t>AI / Data science</t>
        </is>
      </c>
      <c r="E837" s="26" t="inlineStr">
        <is>
          <t>Master of Science (MSc) MSc in Artificial Intelligence</t>
        </is>
      </c>
      <c r="F837" s="26" t="inlineStr">
        <is>
          <t>Master of Science (MSc) MSc in Artificial Intelligence</t>
        </is>
      </c>
      <c r="G837" s="25" t="inlineStr">
        <is>
          <t>Master of Science (MSc)</t>
        </is>
      </c>
      <c r="H837" s="25" t="inlineStr">
        <is>
          <t>CentraleSupelec</t>
        </is>
      </c>
      <c r="I837" s="25" t="inlineStr">
        <is>
          <t>CentraleSupelec</t>
        </is>
      </c>
      <c r="J837" s="25" t="inlineStr">
        <is>
          <t>Masters CentraleSupélec</t>
        </is>
      </c>
      <c r="K837" s="25" t="inlineStr">
        <is>
          <t>91190 Gif-sur-yvette</t>
        </is>
      </c>
      <c r="L837" s="25" t="inlineStr">
        <is>
          <t>Public school / institute</t>
        </is>
      </c>
      <c r="M837" s="25" t="inlineStr">
        <is>
          <t>English</t>
        </is>
      </c>
      <c r="N837" s="25" t="inlineStr">
        <is>
          <t>Taught in English</t>
        </is>
      </c>
      <c r="O837" s="25" t="inlineStr">
        <is>
          <t>Bac +4 / Bac +5</t>
        </is>
      </c>
      <c r="P837" s="26" t="inlineStr">
        <is>
          <t>Eligible on level (4-yr BS ≈ Bac+4)</t>
        </is>
      </c>
      <c r="Q837" s="25" t="inlineStr">
        <is>
          <t>1/2</t>
        </is>
      </c>
      <c r="R837" s="25" t="n"/>
      <c r="S837" s="27" t="n">
        <v>15000</v>
      </c>
      <c r="T837" s="27" t="n"/>
      <c r="U837" s="25" t="n">
        <v>2</v>
      </c>
      <c r="V837" s="27">
        <f>IF(S837="","",S837*U837)</f>
        <v/>
      </c>
      <c r="W837" s="26" t="inlineStr">
        <is>
          <t>Catalogue fee €15,000/yr (entered by institution).</t>
        </is>
      </c>
      <c r="X837" s="25" t="inlineStr">
        <is>
          <t>High</t>
        </is>
      </c>
      <c r="Y837" s="25" t="inlineStr">
        <is>
          <t>15000/20000</t>
        </is>
      </c>
      <c r="Z837" s="26" t="n"/>
      <c r="AA837" s="26" t="n"/>
      <c r="AB837" s="25" t="n"/>
      <c r="AC837" s="25" t="inlineStr">
        <is>
          <t>Open</t>
        </is>
      </c>
      <c r="AD837" s="25" t="inlineStr">
        <is>
          <t>2026-10-01</t>
        </is>
      </c>
      <c r="AE837" s="25" t="inlineStr">
        <is>
          <t>2027-03-15</t>
        </is>
      </c>
      <c r="AF837" s="25" t="inlineStr">
        <is>
          <t>Yes</t>
        </is>
      </c>
      <c r="AG837" s="28" t="inlineStr">
        <is>
          <t>https://www.centralesupelec.fr/programmes/master-science-artificial-intelligence</t>
        </is>
      </c>
      <c r="AH837" s="26" t="inlineStr">
        <is>
          <t>M1 Admission L3 in science or Bachelor of Science (3 or 4 years), or Business Schools or University Diploma of Technology (BUT) or Health Studies (LAS) Minimum B2 level in English Tuition Fees: €15,000, including €1,500€</t>
        </is>
      </c>
      <c r="AI837" s="28" t="inlineStr">
        <is>
          <t>Open in EEF</t>
        </is>
      </c>
    </row>
    <row r="838" ht="43.25" customHeight="1" s="19">
      <c r="A838" s="25" t="n">
        <v>837</v>
      </c>
      <c r="B838" s="25" t="inlineStr">
        <is>
          <t>★★★☆☆</t>
        </is>
      </c>
      <c r="C838" s="25" t="inlineStr">
        <is>
          <t>3 – Adjacent (AI/data/CS/cyber/energy)</t>
        </is>
      </c>
      <c r="D838" s="25" t="inlineStr">
        <is>
          <t>Cybersecurity</t>
        </is>
      </c>
      <c r="E838" s="26" t="inlineStr">
        <is>
          <t>Mastère spécialisé Expert Cybersécurité</t>
        </is>
      </c>
      <c r="F838" s="26" t="inlineStr">
        <is>
          <t>Specialised Master (MS) Expert Cybersecurity</t>
        </is>
      </c>
      <c r="G838" s="25" t="inlineStr">
        <is>
          <t>Mastère spécialisé</t>
        </is>
      </c>
      <c r="H838" s="25" t="inlineStr">
        <is>
          <t>Ecole d'ingénieurs du numérique</t>
        </is>
      </c>
      <c r="I838" s="25" t="inlineStr">
        <is>
          <t>Efrei Paris Panthéon-Assas Université</t>
        </is>
      </c>
      <c r="J838" s="25" t="inlineStr">
        <is>
          <t>Villejuif</t>
        </is>
      </c>
      <c r="K838" s="25" t="inlineStr">
        <is>
          <t>94800 Villejuif</t>
        </is>
      </c>
      <c r="L838" s="25" t="inlineStr">
        <is>
          <t>Private / EESPIG</t>
        </is>
      </c>
      <c r="M838" s="25" t="inlineStr">
        <is>
          <t>French</t>
        </is>
      </c>
      <c r="N838" s="25" t="inlineStr">
        <is>
          <t>General</t>
        </is>
      </c>
      <c r="O838" s="25" t="inlineStr">
        <is>
          <t>Bac +6</t>
        </is>
      </c>
      <c r="P838" s="26" t="inlineStr">
        <is>
          <t>Possible – MS rules allow Bac+4 + ≥3 yrs work experience (you have 3)</t>
        </is>
      </c>
      <c r="Q838" s="25" t="inlineStr">
        <is>
          <t>1</t>
        </is>
      </c>
      <c r="R838" s="25" t="inlineStr">
        <is>
          <t>12</t>
        </is>
      </c>
      <c r="S838" s="27" t="n">
        <v>15000</v>
      </c>
      <c r="T838" s="27" t="n"/>
      <c r="U838" s="25" t="n">
        <v>1</v>
      </c>
      <c r="V838" s="27">
        <f>IF(S838="","",S838*U838)</f>
        <v/>
      </c>
      <c r="W838" s="26" t="inlineStr">
        <is>
          <t>Catalogue fee €15,000/yr (entered by institution).</t>
        </is>
      </c>
      <c r="X838" s="25" t="inlineStr">
        <is>
          <t>High</t>
        </is>
      </c>
      <c r="Y838" s="25" t="inlineStr">
        <is>
          <t>15000</t>
        </is>
      </c>
      <c r="Z838" s="26" t="inlineStr">
        <is>
          <t>Frais pour la 1ère année : 15 000€* * L’école se réserve le droit de modifier les fr … olarité - Télécharger votre photo d'identité - Verser 60% des frais annuels, soit : 9 000 €, Après cela, nous vous enverrons votre a</t>
        </is>
      </c>
      <c r="AA838" s="26" t="n"/>
      <c r="AB838" s="25" t="n"/>
      <c r="AC838" s="25" t="inlineStr">
        <is>
          <t>Open</t>
        </is>
      </c>
      <c r="AD838" s="25" t="inlineStr">
        <is>
          <t>2026-10-01</t>
        </is>
      </c>
      <c r="AE838" s="25" t="inlineStr">
        <is>
          <t>2027-03-15</t>
        </is>
      </c>
      <c r="AF838" s="25" t="inlineStr">
        <is>
          <t>No</t>
        </is>
      </c>
      <c r="AG838" s="28" t="inlineStr">
        <is>
          <t>https://www.efrei.fr/formation/mastere-specialise-expert-en-cybersecurite/</t>
        </is>
      </c>
      <c r="AH838" s="26" t="inlineStr">
        <is>
          <t>À QUI S’ADRESSE CETTE FORMATION ? • Jeunes diplômés titulaires d’un Bac+5 en informatique souhaitant se spécialiser rapidement sur les métiers de la cybersécurité • Professionnels en activité cherchant à monter en compét</t>
        </is>
      </c>
      <c r="AI838" s="28" t="inlineStr">
        <is>
          <t>Open in EEF</t>
        </is>
      </c>
    </row>
    <row r="839" ht="43.25" customHeight="1" s="19">
      <c r="A839" s="25" t="n">
        <v>838</v>
      </c>
      <c r="B839" s="25" t="inlineStr">
        <is>
          <t>★★★☆☆</t>
        </is>
      </c>
      <c r="C839" s="25" t="inlineStr">
        <is>
          <t>3 – Adjacent (AI/data/CS/cyber/energy)</t>
        </is>
      </c>
      <c r="D839" s="25" t="inlineStr">
        <is>
          <t>Cybersecurity</t>
        </is>
      </c>
      <c r="E839" s="26" t="inlineStr">
        <is>
          <t>Mastère spécialisé Manager Cybersécurité &amp; Gouvernance</t>
        </is>
      </c>
      <c r="F839" s="26" t="inlineStr">
        <is>
          <t>Specialised Master (MS) Manager Cybersecurity &amp; Gouvernance</t>
        </is>
      </c>
      <c r="G839" s="25" t="inlineStr">
        <is>
          <t>Mastère spécialisé</t>
        </is>
      </c>
      <c r="H839" s="25" t="inlineStr">
        <is>
          <t>Ecole d'ingénieurs du numérique</t>
        </is>
      </c>
      <c r="I839" s="25" t="inlineStr">
        <is>
          <t>Efrei Paris Panthéon-Assas Université</t>
        </is>
      </c>
      <c r="J839" s="25" t="inlineStr">
        <is>
          <t>Villejuif</t>
        </is>
      </c>
      <c r="K839" s="25" t="inlineStr">
        <is>
          <t>94800 Villejuif</t>
        </is>
      </c>
      <c r="L839" s="25" t="inlineStr">
        <is>
          <t>Private / EESPIG</t>
        </is>
      </c>
      <c r="M839" s="25" t="inlineStr">
        <is>
          <t>French</t>
        </is>
      </c>
      <c r="N839" s="25" t="inlineStr">
        <is>
          <t>General</t>
        </is>
      </c>
      <c r="O839" s="25" t="inlineStr">
        <is>
          <t>Bac +6</t>
        </is>
      </c>
      <c r="P839" s="26" t="inlineStr">
        <is>
          <t>Possible – MS rules allow Bac+4 + ≥3 yrs work experience (you have 3)</t>
        </is>
      </c>
      <c r="Q839" s="25" t="inlineStr">
        <is>
          <t>1</t>
        </is>
      </c>
      <c r="R839" s="25" t="inlineStr">
        <is>
          <t>12</t>
        </is>
      </c>
      <c r="S839" s="27" t="n">
        <v>15000</v>
      </c>
      <c r="T839" s="27" t="n"/>
      <c r="U839" s="25" t="n">
        <v>1</v>
      </c>
      <c r="V839" s="27">
        <f>IF(S839="","",S839*U839)</f>
        <v/>
      </c>
      <c r="W839" s="26" t="inlineStr">
        <is>
          <t>Catalogue fee €15,000/yr (entered by institution).</t>
        </is>
      </c>
      <c r="X839" s="25" t="inlineStr">
        <is>
          <t>High</t>
        </is>
      </c>
      <c r="Y839" s="25" t="inlineStr">
        <is>
          <t>15000</t>
        </is>
      </c>
      <c r="Z839" s="26" t="inlineStr">
        <is>
          <t>Frais pour l'année : 15 000€* * L’école se réserve le droit de modifier les fr … olarité - Télécharger votre photo d'identité - Verser 60% des frais annuels, soit : 9 000 €, Après cela, nous vous enverrons votre attesta</t>
        </is>
      </c>
      <c r="AA839" s="26" t="n"/>
      <c r="AB839" s="25" t="n"/>
      <c r="AC839" s="25" t="inlineStr">
        <is>
          <t>Open</t>
        </is>
      </c>
      <c r="AD839" s="25" t="inlineStr">
        <is>
          <t>2026-10-01</t>
        </is>
      </c>
      <c r="AE839" s="25" t="inlineStr">
        <is>
          <t>2027-03-15</t>
        </is>
      </c>
      <c r="AF839" s="25" t="inlineStr">
        <is>
          <t>No</t>
        </is>
      </c>
      <c r="AG839" s="28" t="inlineStr">
        <is>
          <t>https://www.efrei.fr/formation/mastere-specialise-manager-cybersecurite-gouvernance/</t>
        </is>
      </c>
      <c r="AH839" s="26" t="inlineStr">
        <is>
          <t>À QUI S’ADRESSE CETTE FORMATION ? • Jeunes diplômés et professionnels souhaitant effectuer une reconversion professionnelle ou évoluer vers les métiers de la cybersécurité • Profils techniques ou non techniques (avec une</t>
        </is>
      </c>
      <c r="AI839" s="28" t="inlineStr">
        <is>
          <t>Open in EEF</t>
        </is>
      </c>
    </row>
    <row r="840" ht="43.25" customHeight="1" s="19">
      <c r="A840" s="25" t="n">
        <v>839</v>
      </c>
      <c r="B840" s="25" t="inlineStr">
        <is>
          <t>★★★☆☆</t>
        </is>
      </c>
      <c r="C840" s="25" t="inlineStr">
        <is>
          <t>3 – Adjacent (AI/data/CS/cyber/energy)</t>
        </is>
      </c>
      <c r="D840" s="25" t="inlineStr">
        <is>
          <t>AI / Data science</t>
        </is>
      </c>
      <c r="E840" s="26" t="inlineStr">
        <is>
          <t>MSc&amp;T Artificial Intelligence &amp; advanced Visual Computing</t>
        </is>
      </c>
      <c r="F840" s="26" t="inlineStr">
        <is>
          <t>MSc&amp;T Artificial Intelligence &amp; advanced Visual Computing</t>
        </is>
      </c>
      <c r="G840" s="25" t="inlineStr">
        <is>
          <t>Master indifférencié (recherche et professionnel)</t>
        </is>
      </c>
      <c r="H840" s="25" t="inlineStr">
        <is>
          <t>Ecole polytechnique</t>
        </is>
      </c>
      <c r="I840" s="25" t="n"/>
      <c r="J840" s="25" t="inlineStr">
        <is>
          <t>Site de Palaiseau</t>
        </is>
      </c>
      <c r="K840" s="25" t="n"/>
      <c r="L840" s="25" t="inlineStr">
        <is>
          <t>Public school / institute</t>
        </is>
      </c>
      <c r="M840" s="25" t="inlineStr">
        <is>
          <t>English</t>
        </is>
      </c>
      <c r="N840" s="25" t="inlineStr">
        <is>
          <t>Taught in English</t>
        </is>
      </c>
      <c r="O840" s="25" t="inlineStr">
        <is>
          <t>Bac +4</t>
        </is>
      </c>
      <c r="P840" s="26" t="inlineStr">
        <is>
          <t>Eligible on level (4-yr BS ≈ Bac+4)</t>
        </is>
      </c>
      <c r="Q840" s="25" t="inlineStr">
        <is>
          <t>1</t>
        </is>
      </c>
      <c r="R840" s="25" t="n"/>
      <c r="S840" s="27" t="n">
        <v>15500</v>
      </c>
      <c r="T840" s="27" t="n"/>
      <c r="U840" s="25" t="n">
        <v>2</v>
      </c>
      <c r="V840" s="27">
        <f>IF(S840="","",S840*U840)</f>
        <v/>
      </c>
      <c r="W840" s="26" t="inlineStr">
        <is>
          <t>Not in catalogue. École polytechnique MSc&amp;T programs cost €15,500–19,200/yr (official page); IoT fee not published – verify.</t>
        </is>
      </c>
      <c r="X840" s="25" t="inlineStr">
        <is>
          <t>Low</t>
        </is>
      </c>
      <c r="Y840" s="25" t="n"/>
      <c r="Z840" s="26" t="n"/>
      <c r="AA840" s="26" t="n"/>
      <c r="AB840" s="25" t="n"/>
      <c r="AC840" s="25" t="inlineStr">
        <is>
          <t>Open</t>
        </is>
      </c>
      <c r="AD840" s="25" t="inlineStr">
        <is>
          <t>2026-10-01</t>
        </is>
      </c>
      <c r="AE840" s="25" t="inlineStr">
        <is>
          <t>2027-03-15</t>
        </is>
      </c>
      <c r="AF840" s="25" t="inlineStr">
        <is>
          <t>Yes</t>
        </is>
      </c>
      <c r="AG840" s="28" t="inlineStr">
        <is>
          <t>https://bit.ly/2ODB04w</t>
        </is>
      </c>
      <c r="AH840" s="26" t="inlineStr">
        <is>
          <t>Licence en mathématiques ou en Computer Science. Les candidats doivent avoir suivi au moins un cours de statistique et au moins un cours d'algorithmique. Les candidats ayant d'autres diplômes peuvent aussi postuler, à co</t>
        </is>
      </c>
      <c r="AI840" s="28" t="inlineStr">
        <is>
          <t>Open in EEF</t>
        </is>
      </c>
    </row>
    <row r="841" ht="43.25" customHeight="1" s="19">
      <c r="A841" s="25" t="n">
        <v>840</v>
      </c>
      <c r="B841" s="25" t="inlineStr">
        <is>
          <t>★★★☆☆</t>
        </is>
      </c>
      <c r="C841" s="25" t="inlineStr">
        <is>
          <t>3 – Adjacent (AI/data/CS/cyber/energy)</t>
        </is>
      </c>
      <c r="D841" s="25" t="inlineStr">
        <is>
          <t>Other engineering / maths</t>
        </is>
      </c>
      <c r="E841" s="26" t="inlineStr">
        <is>
          <t>Mastère Spécialisé® / Advanced Master SEN Systems Engineering</t>
        </is>
      </c>
      <c r="F841" s="26" t="inlineStr">
        <is>
          <t>Mastère Spécialisé® / Advanced Master SEN Systems Engineering</t>
        </is>
      </c>
      <c r="G841" s="25" t="inlineStr">
        <is>
          <t>Mastère spécialisé</t>
        </is>
      </c>
      <c r="H841" s="25" t="inlineStr">
        <is>
          <t>Institut supérieur de l'aéronautique et de l'espace</t>
        </is>
      </c>
      <c r="I841" s="25" t="n"/>
      <c r="J841" s="25" t="inlineStr">
        <is>
          <t>Site de Toulouse</t>
        </is>
      </c>
      <c r="K841" s="25" t="n"/>
      <c r="L841" s="25" t="inlineStr">
        <is>
          <t>Public school / institute</t>
        </is>
      </c>
      <c r="M841" s="25" t="inlineStr">
        <is>
          <t>English</t>
        </is>
      </c>
      <c r="N841" s="25" t="inlineStr">
        <is>
          <t>Taught in English</t>
        </is>
      </c>
      <c r="O841" s="25" t="inlineStr">
        <is>
          <t>Bac +6</t>
        </is>
      </c>
      <c r="P841" s="26" t="inlineStr">
        <is>
          <t>Possible – MS rules allow Bac+4 + ≥3 yrs work experience (you have 3)</t>
        </is>
      </c>
      <c r="Q841" s="25" t="inlineStr">
        <is>
          <t>1</t>
        </is>
      </c>
      <c r="R841" s="25" t="inlineStr">
        <is>
          <t>12</t>
        </is>
      </c>
      <c r="S841" s="27" t="n">
        <v>17000</v>
      </c>
      <c r="T841" s="27" t="n"/>
      <c r="U841" s="25" t="n">
        <v>1</v>
      </c>
      <c r="V841" s="27">
        <f>IF(S841="","",S841*U841)</f>
        <v/>
      </c>
      <c r="W841" s="26" t="inlineStr">
        <is>
          <t>ISAE-SUPAERO Advanced Master: €17,000 (non-EU self-funded) / €23,000 company-funded – 2025-26 rates (official site).</t>
        </is>
      </c>
      <c r="X841" s="25" t="inlineStr">
        <is>
          <t>High</t>
        </is>
      </c>
      <c r="Y841" s="25" t="n"/>
      <c r="Z841" s="26" t="n"/>
      <c r="AA841" s="26" t="n"/>
      <c r="AB841" s="25" t="n"/>
      <c r="AC841" s="25" t="inlineStr">
        <is>
          <t>Open</t>
        </is>
      </c>
      <c r="AD841" s="25" t="inlineStr">
        <is>
          <t>2026-10-01</t>
        </is>
      </c>
      <c r="AE841" s="25" t="inlineStr">
        <is>
          <t>2027-03-15</t>
        </is>
      </c>
      <c r="AF841" s="25" t="inlineStr">
        <is>
          <t>Yes</t>
        </is>
      </c>
      <c r="AG841" s="28" t="inlineStr">
        <is>
          <t>https://www.tsaae.fr/</t>
        </is>
      </c>
      <c r="AH841" s="26" t="inlineStr">
        <is>
          <t>Candidates can apply for our programme with the following backgrounds: Engineering degree Master 2 Master 1 with three years’ post-graduate professional experience A Master’s degree from a business school that is a membe</t>
        </is>
      </c>
      <c r="AI841" s="28" t="inlineStr">
        <is>
          <t>Open in EEF</t>
        </is>
      </c>
    </row>
    <row r="842" ht="43.25" customHeight="1" s="19">
      <c r="A842" s="25" t="n">
        <v>841</v>
      </c>
      <c r="B842" s="25" t="inlineStr">
        <is>
          <t>★★★☆☆</t>
        </is>
      </c>
      <c r="C842" s="25" t="inlineStr">
        <is>
          <t>3 – Adjacent (AI/data/CS/cyber/energy)</t>
        </is>
      </c>
      <c r="D842" s="25" t="inlineStr">
        <is>
          <t>Other engineering / maths</t>
        </is>
      </c>
      <c r="E842" s="26" t="inlineStr">
        <is>
          <t>Mastère Spécialisé® / Advanced Master SEN Systems Engineering</t>
        </is>
      </c>
      <c r="F842" s="26" t="inlineStr">
        <is>
          <t>Mastère Spécialisé® / Advanced Master SEN Systems Engineering</t>
        </is>
      </c>
      <c r="G842" s="25" t="inlineStr">
        <is>
          <t>Mastère spécialisé</t>
        </is>
      </c>
      <c r="H842" s="25" t="inlineStr">
        <is>
          <t>Institut supérieur de l'aéronautique et de l'espace</t>
        </is>
      </c>
      <c r="I842" s="25" t="n"/>
      <c r="J842" s="25" t="inlineStr">
        <is>
          <t>Site de Toulouse</t>
        </is>
      </c>
      <c r="K842" s="25" t="n"/>
      <c r="L842" s="25" t="inlineStr">
        <is>
          <t>Public school / institute</t>
        </is>
      </c>
      <c r="M842" s="25" t="inlineStr">
        <is>
          <t>English</t>
        </is>
      </c>
      <c r="N842" s="25" t="inlineStr">
        <is>
          <t>General</t>
        </is>
      </c>
      <c r="O842" s="25" t="inlineStr">
        <is>
          <t>Bac +6</t>
        </is>
      </c>
      <c r="P842" s="26" t="inlineStr">
        <is>
          <t>Possible – MS rules allow Bac+4 + ≥3 yrs work experience (you have 3)</t>
        </is>
      </c>
      <c r="Q842" s="25" t="inlineStr">
        <is>
          <t>1</t>
        </is>
      </c>
      <c r="R842" s="25" t="inlineStr">
        <is>
          <t>12</t>
        </is>
      </c>
      <c r="S842" s="27" t="n">
        <v>17000</v>
      </c>
      <c r="T842" s="27" t="n"/>
      <c r="U842" s="25" t="n">
        <v>1</v>
      </c>
      <c r="V842" s="27">
        <f>IF(S842="","",S842*U842)</f>
        <v/>
      </c>
      <c r="W842" s="26" t="inlineStr">
        <is>
          <t>ISAE-SUPAERO Advanced Master: €17,000 (non-EU self-funded) / €23,000 company-funded – 2025-26 rates (official site).</t>
        </is>
      </c>
      <c r="X842" s="25" t="inlineStr">
        <is>
          <t>High</t>
        </is>
      </c>
      <c r="Y842" s="25" t="n"/>
      <c r="Z842" s="26" t="n"/>
      <c r="AA842" s="26" t="n"/>
      <c r="AB842" s="25" t="n"/>
      <c r="AC842" s="25" t="inlineStr">
        <is>
          <t>Open</t>
        </is>
      </c>
      <c r="AD842" s="25" t="inlineStr">
        <is>
          <t>2026-10-01</t>
        </is>
      </c>
      <c r="AE842" s="25" t="inlineStr">
        <is>
          <t>2027-03-15</t>
        </is>
      </c>
      <c r="AF842" s="25" t="inlineStr">
        <is>
          <t>Yes</t>
        </is>
      </c>
      <c r="AG842" s="28" t="inlineStr">
        <is>
          <t>https://www.tsaae.fr/</t>
        </is>
      </c>
      <c r="AH842" s="26" t="inlineStr">
        <is>
          <t>Candidates can apply for our programme with the following backgrounds: Engineering degree Master 2 Master 1 with three years’ post-graduate professional experience A Master’s degree from a business school that is a membe</t>
        </is>
      </c>
      <c r="AI842" s="28" t="inlineStr">
        <is>
          <t>Open in EEF</t>
        </is>
      </c>
    </row>
    <row r="843" ht="43.25" customHeight="1" s="19">
      <c r="A843" s="25" t="n">
        <v>842</v>
      </c>
      <c r="B843" s="25" t="inlineStr">
        <is>
          <t>★★★☆☆</t>
        </is>
      </c>
      <c r="C843" s="25" t="inlineStr">
        <is>
          <t>3 – Adjacent (AI/data/CS/cyber/energy)</t>
        </is>
      </c>
      <c r="D843" s="25" t="inlineStr">
        <is>
          <t>Other engineering / maths</t>
        </is>
      </c>
      <c r="E843" s="26" t="inlineStr">
        <is>
          <t>Mastère Spécialisé® / Advanced Master TAS ASTRO Space Systems Engineering</t>
        </is>
      </c>
      <c r="F843" s="26" t="inlineStr">
        <is>
          <t>Mastère Spécialisé® / Advanced Master TAS ASTRO Space Systems Engineering</t>
        </is>
      </c>
      <c r="G843" s="25" t="inlineStr">
        <is>
          <t>Mastère spécialisé</t>
        </is>
      </c>
      <c r="H843" s="25" t="inlineStr">
        <is>
          <t>Institut supérieur de l'aéronautique et de l'espace</t>
        </is>
      </c>
      <c r="I843" s="25" t="n"/>
      <c r="J843" s="25" t="inlineStr">
        <is>
          <t>Site de Toulouse</t>
        </is>
      </c>
      <c r="K843" s="25" t="n"/>
      <c r="L843" s="25" t="inlineStr">
        <is>
          <t>Public school / institute</t>
        </is>
      </c>
      <c r="M843" s="25" t="inlineStr">
        <is>
          <t>English</t>
        </is>
      </c>
      <c r="N843" s="25" t="inlineStr">
        <is>
          <t>General</t>
        </is>
      </c>
      <c r="O843" s="25" t="inlineStr">
        <is>
          <t>Bac +6</t>
        </is>
      </c>
      <c r="P843" s="26" t="inlineStr">
        <is>
          <t>Possible – MS rules allow Bac+4 + ≥3 yrs work experience (you have 3)</t>
        </is>
      </c>
      <c r="Q843" s="25" t="inlineStr">
        <is>
          <t>1</t>
        </is>
      </c>
      <c r="R843" s="25" t="inlineStr">
        <is>
          <t>12</t>
        </is>
      </c>
      <c r="S843" s="27" t="n">
        <v>17000</v>
      </c>
      <c r="T843" s="27" t="n"/>
      <c r="U843" s="25" t="n">
        <v>1</v>
      </c>
      <c r="V843" s="27">
        <f>IF(S843="","",S843*U843)</f>
        <v/>
      </c>
      <c r="W843" s="26" t="inlineStr">
        <is>
          <t>ISAE-SUPAERO Advanced Master: €17,000 (non-EU self-funded) / €23,000 company-funded – 2025-26 rates (official site).</t>
        </is>
      </c>
      <c r="X843" s="25" t="inlineStr">
        <is>
          <t>High</t>
        </is>
      </c>
      <c r="Y843" s="25" t="n"/>
      <c r="Z843" s="26" t="n"/>
      <c r="AA843" s="26" t="n"/>
      <c r="AB843" s="25" t="n"/>
      <c r="AC843" s="25" t="inlineStr">
        <is>
          <t>Open</t>
        </is>
      </c>
      <c r="AD843" s="25" t="inlineStr">
        <is>
          <t>2026-10-01</t>
        </is>
      </c>
      <c r="AE843" s="25" t="inlineStr">
        <is>
          <t>2027-03-15</t>
        </is>
      </c>
      <c r="AF843" s="25" t="inlineStr">
        <is>
          <t>Yes</t>
        </is>
      </c>
      <c r="AG843" s="28" t="inlineStr">
        <is>
          <t>https://www.tsaae.fr/</t>
        </is>
      </c>
      <c r="AH843" s="26" t="inlineStr">
        <is>
          <t>Candidates can apply for our programme with the following backgrounds: Engineering degree Master 2 Master 1 with three years’ post-graduate professional experience A Master’s degree from a business school that is a membe</t>
        </is>
      </c>
      <c r="AI843" s="28" t="inlineStr">
        <is>
          <t>Open in EEF</t>
        </is>
      </c>
    </row>
    <row r="844" ht="43.25" customHeight="1" s="19">
      <c r="A844" s="25" t="n">
        <v>843</v>
      </c>
      <c r="B844" s="25" t="inlineStr">
        <is>
          <t>★★★☆☆</t>
        </is>
      </c>
      <c r="C844" s="25" t="inlineStr">
        <is>
          <t>3 – Adjacent (AI/data/CS/cyber/energy)</t>
        </is>
      </c>
      <c r="D844" s="25" t="inlineStr">
        <is>
          <t>Other engineering / maths</t>
        </is>
      </c>
      <c r="E844" s="26" t="inlineStr">
        <is>
          <t>Mastère Spécialisé® / Advanced Master TAS ASTRO - Space Systems Engineering</t>
        </is>
      </c>
      <c r="F844" s="26" t="inlineStr">
        <is>
          <t>Mastère Spécialisé® / Advanced Master TAS ASTRO - Space Systems Engineering</t>
        </is>
      </c>
      <c r="G844" s="25" t="inlineStr">
        <is>
          <t>Mastère spécialisé</t>
        </is>
      </c>
      <c r="H844" s="25" t="inlineStr">
        <is>
          <t>Institut supérieur de l'aéronautique et de l'espace</t>
        </is>
      </c>
      <c r="I844" s="25" t="n"/>
      <c r="J844" s="25" t="inlineStr">
        <is>
          <t>Site de Toulouse</t>
        </is>
      </c>
      <c r="K844" s="25" t="n"/>
      <c r="L844" s="25" t="inlineStr">
        <is>
          <t>Public school / institute</t>
        </is>
      </c>
      <c r="M844" s="25" t="inlineStr">
        <is>
          <t>English</t>
        </is>
      </c>
      <c r="N844" s="25" t="inlineStr">
        <is>
          <t>Taught in English</t>
        </is>
      </c>
      <c r="O844" s="25" t="inlineStr">
        <is>
          <t>Bac +6</t>
        </is>
      </c>
      <c r="P844" s="26" t="inlineStr">
        <is>
          <t>Possible – MS rules allow Bac+4 + ≥3 yrs work experience (you have 3)</t>
        </is>
      </c>
      <c r="Q844" s="25" t="inlineStr">
        <is>
          <t>1</t>
        </is>
      </c>
      <c r="R844" s="25" t="inlineStr">
        <is>
          <t>12</t>
        </is>
      </c>
      <c r="S844" s="27" t="n">
        <v>17000</v>
      </c>
      <c r="T844" s="27" t="n"/>
      <c r="U844" s="25" t="n">
        <v>1</v>
      </c>
      <c r="V844" s="27">
        <f>IF(S844="","",S844*U844)</f>
        <v/>
      </c>
      <c r="W844" s="26" t="inlineStr">
        <is>
          <t>ISAE-SUPAERO Advanced Master: €17,000 (non-EU self-funded) / €23,000 company-funded – 2025-26 rates (official site).</t>
        </is>
      </c>
      <c r="X844" s="25" t="inlineStr">
        <is>
          <t>High</t>
        </is>
      </c>
      <c r="Y844" s="25" t="n"/>
      <c r="Z844" s="26" t="n"/>
      <c r="AA844" s="26" t="n"/>
      <c r="AB844" s="25" t="n"/>
      <c r="AC844" s="25" t="inlineStr">
        <is>
          <t>Open</t>
        </is>
      </c>
      <c r="AD844" s="25" t="inlineStr">
        <is>
          <t>2026-10-01</t>
        </is>
      </c>
      <c r="AE844" s="25" t="inlineStr">
        <is>
          <t>2027-03-15</t>
        </is>
      </c>
      <c r="AF844" s="25" t="inlineStr">
        <is>
          <t>Yes</t>
        </is>
      </c>
      <c r="AG844" s="28" t="inlineStr">
        <is>
          <t>https://www.tsaae.fr/</t>
        </is>
      </c>
      <c r="AH844" s="26" t="inlineStr">
        <is>
          <t>Candidates can apply for our programme with the following backgrounds: Engineering degree Master 2 Master 1 with three years’ post-graduate professional experience A Master’s degree from a business school that is a membe</t>
        </is>
      </c>
      <c r="AI844" s="28" t="inlineStr">
        <is>
          <t>Open in EEF</t>
        </is>
      </c>
    </row>
    <row r="845" ht="43.25" customHeight="1" s="19">
      <c r="A845" s="25" t="n">
        <v>844</v>
      </c>
      <c r="B845" s="25" t="inlineStr">
        <is>
          <t>★★★☆☆</t>
        </is>
      </c>
      <c r="C845" s="25" t="inlineStr">
        <is>
          <t>3 – Adjacent (AI/data/CS/cyber/energy)</t>
        </is>
      </c>
      <c r="D845" s="25" t="inlineStr">
        <is>
          <t>Cybersecurity</t>
        </is>
      </c>
      <c r="E845" s="26" t="inlineStr">
        <is>
          <t>Mastère Spécialisé Cybersécurité</t>
        </is>
      </c>
      <c r="F845" s="26" t="inlineStr">
        <is>
          <t>Specialised Master (MS) Cybersecurity</t>
        </is>
      </c>
      <c r="G845" s="25" t="inlineStr">
        <is>
          <t>Mastère spécialisé</t>
        </is>
      </c>
      <c r="H845" s="25" t="inlineStr">
        <is>
          <t>CentraleSupelec</t>
        </is>
      </c>
      <c r="I845" s="25" t="inlineStr">
        <is>
          <t>CentraleSupelec</t>
        </is>
      </c>
      <c r="J845" s="25" t="inlineStr">
        <is>
          <t>Site de Rennes</t>
        </is>
      </c>
      <c r="K845" s="25" t="n"/>
      <c r="L845" s="25" t="inlineStr">
        <is>
          <t>Public school / institute</t>
        </is>
      </c>
      <c r="M845" s="25" t="inlineStr">
        <is>
          <t>French</t>
        </is>
      </c>
      <c r="N845" s="25" t="inlineStr">
        <is>
          <t>General</t>
        </is>
      </c>
      <c r="O845" s="25" t="inlineStr">
        <is>
          <t>Bac +5</t>
        </is>
      </c>
      <c r="P845" s="26" t="inlineStr">
        <is>
          <t>Possible – MS rules allow Bac+4 + ≥3 yrs work experience (you have 3)</t>
        </is>
      </c>
      <c r="Q845" s="25" t="inlineStr">
        <is>
          <t>1</t>
        </is>
      </c>
      <c r="R845" s="25" t="n"/>
      <c r="S845" s="27" t="n">
        <v>17500</v>
      </c>
      <c r="T845" s="27" t="n"/>
      <c r="U845" s="25" t="n">
        <v>1</v>
      </c>
      <c r="V845" s="27">
        <f>IF(S845="","",S845*U845)</f>
        <v/>
      </c>
      <c r="W845" s="26" t="inlineStr">
        <is>
          <t>Catalogue fee €17,500/yr (entered by institution).</t>
        </is>
      </c>
      <c r="X845" s="25" t="inlineStr">
        <is>
          <t>High</t>
        </is>
      </c>
      <c r="Y845" s="25" t="inlineStr">
        <is>
          <t>17500</t>
        </is>
      </c>
      <c r="Z845" s="26" t="inlineStr">
        <is>
          <t>fr/assessment/61e17bb5cc8e2d001b9d3b4c Tarif jeunes diplômés: 13 500€ Tarif professionnels: 17 500€ Documents à fournir … format PDF) Lettre de motivation (format PDF) Coordonnées Email de 2 référents Prévoir 150€ de fra</t>
        </is>
      </c>
      <c r="AA845" s="26" t="n"/>
      <c r="AB845" s="25" t="n"/>
      <c r="AC845" s="25" t="inlineStr">
        <is>
          <t>Open</t>
        </is>
      </c>
      <c r="AD845" s="25" t="inlineStr">
        <is>
          <t>2026-10-01</t>
        </is>
      </c>
      <c r="AE845" s="25" t="inlineStr">
        <is>
          <t>2027-03-15</t>
        </is>
      </c>
      <c r="AF845" s="25" t="inlineStr">
        <is>
          <t>Yes</t>
        </is>
      </c>
      <c r="AG845" s="25" t="n"/>
      <c r="AH845" s="26" t="inlineStr">
        <is>
          <t>Niveau d’étude exigé : Bac+5 (Diplôme de Grande École d'ingénieur, DEA, master 2…) ou Bac+4 (maîtrise ou master1 avec expérience professionnelle d'au moins 3 années dans une fonction à responsabilités). Ce Mastère Spécia</t>
        </is>
      </c>
      <c r="AI845" s="28" t="inlineStr">
        <is>
          <t>Open in EEF</t>
        </is>
      </c>
    </row>
    <row r="846" ht="22.35" customHeight="1" s="19">
      <c r="A846" s="25" t="n">
        <v>845</v>
      </c>
      <c r="B846" s="25" t="inlineStr">
        <is>
          <t>★★★☆☆</t>
        </is>
      </c>
      <c r="C846" s="25" t="inlineStr">
        <is>
          <t>3 – Adjacent (AI/data/CS/cyber/energy)</t>
        </is>
      </c>
      <c r="D846" s="25" t="inlineStr">
        <is>
          <t>AI / Data science</t>
        </is>
      </c>
      <c r="E846" s="26" t="inlineStr">
        <is>
          <t>Master of Science (MSc) spécialité Artificial Intelligence Systems (MSc - AIS)</t>
        </is>
      </c>
      <c r="F846" s="26" t="inlineStr">
        <is>
          <t>Master of Science (MSc) spécialité Artificial Intelligence Systems (MSc - AIS)</t>
        </is>
      </c>
      <c r="G846" s="25" t="inlineStr">
        <is>
          <t>Master of Science (MSc)</t>
        </is>
      </c>
      <c r="H846" s="25" t="inlineStr">
        <is>
          <t>Ecole pour l'informatique et les techniques avancées</t>
        </is>
      </c>
      <c r="I846" s="25" t="n"/>
      <c r="J846" s="25" t="inlineStr">
        <is>
          <t>Site de Le Kremlin-Bicêtre</t>
        </is>
      </c>
      <c r="K846" s="25" t="n"/>
      <c r="L846" s="25" t="inlineStr">
        <is>
          <t>Private / EESPIG</t>
        </is>
      </c>
      <c r="M846" s="25" t="inlineStr">
        <is>
          <t>English</t>
        </is>
      </c>
      <c r="N846" s="25" t="inlineStr">
        <is>
          <t>Taught in English</t>
        </is>
      </c>
      <c r="O846" s="25" t="inlineStr">
        <is>
          <t>Bac +4 / Bac +5</t>
        </is>
      </c>
      <c r="P846" s="26" t="inlineStr">
        <is>
          <t>Eligible on level (4-yr BS ≈ Bac+4)</t>
        </is>
      </c>
      <c r="Q846" s="25" t="inlineStr">
        <is>
          <t>1/2</t>
        </is>
      </c>
      <c r="R846" s="25" t="inlineStr">
        <is>
          <t>6</t>
        </is>
      </c>
      <c r="S846" s="27" t="n">
        <v>18000</v>
      </c>
      <c r="T846" s="27" t="n"/>
      <c r="U846" s="25" t="n">
        <v>2</v>
      </c>
      <c r="V846" s="27">
        <f>IF(S846="","",S846*U846)</f>
        <v/>
      </c>
      <c r="W846" s="26" t="inlineStr">
        <is>
          <t>Catalogue fee €18,000/yr (entered by institution).</t>
        </is>
      </c>
      <c r="X846" s="25" t="inlineStr">
        <is>
          <t>High</t>
        </is>
      </c>
      <c r="Y846" s="25" t="inlineStr">
        <is>
          <t>18000</t>
        </is>
      </c>
      <c r="Z846" s="26" t="n"/>
      <c r="AA846" s="26" t="n"/>
      <c r="AB846" s="25" t="n"/>
      <c r="AC846" s="25" t="inlineStr">
        <is>
          <t>Open</t>
        </is>
      </c>
      <c r="AD846" s="25" t="inlineStr">
        <is>
          <t>2026-10-01</t>
        </is>
      </c>
      <c r="AE846" s="25" t="inlineStr">
        <is>
          <t>2027-03-15</t>
        </is>
      </c>
      <c r="AF846" s="25" t="inlineStr">
        <is>
          <t>Yes</t>
        </is>
      </c>
      <c r="AG846" s="28" t="inlineStr">
        <is>
          <t>https://www.epita.fr/en</t>
        </is>
      </c>
      <c r="AH846" s="26" t="n"/>
      <c r="AI846" s="28" t="inlineStr">
        <is>
          <t>Open in EEF</t>
        </is>
      </c>
    </row>
    <row r="847" ht="32.8" customHeight="1" s="19">
      <c r="A847" s="25" t="n">
        <v>846</v>
      </c>
      <c r="B847" s="25" t="inlineStr">
        <is>
          <t>★★★☆☆</t>
        </is>
      </c>
      <c r="C847" s="25" t="inlineStr">
        <is>
          <t>3 – Adjacent (AI/data/CS/cyber/energy)</t>
        </is>
      </c>
      <c r="D847" s="25" t="inlineStr">
        <is>
          <t>Biomedical / Health tech</t>
        </is>
      </c>
      <c r="E847" s="26" t="inlineStr">
        <is>
          <t>Master Sciences, Technologies and Health CS Computer Science parcours DS Data Science</t>
        </is>
      </c>
      <c r="F847" s="26" t="inlineStr">
        <is>
          <t>Master Sciences, Technologies and Health CS Computer Science – track: DS Data Science</t>
        </is>
      </c>
      <c r="G847" s="25" t="inlineStr">
        <is>
          <t>Master indifférencié (recherche et professionnel)</t>
        </is>
      </c>
      <c r="H847" s="25" t="inlineStr">
        <is>
          <t>EURECOM</t>
        </is>
      </c>
      <c r="I847" s="25" t="n"/>
      <c r="J847" s="25" t="inlineStr">
        <is>
          <t>EURECOM</t>
        </is>
      </c>
      <c r="K847" s="25" t="inlineStr">
        <is>
          <t>06410 Biot - Sophia Antipolis</t>
        </is>
      </c>
      <c r="L847" s="25" t="inlineStr">
        <is>
          <t>Private / EESPIG</t>
        </is>
      </c>
      <c r="M847" s="25" t="inlineStr">
        <is>
          <t>English</t>
        </is>
      </c>
      <c r="N847" s="25" t="inlineStr">
        <is>
          <t>Taught in English</t>
        </is>
      </c>
      <c r="O847" s="25" t="inlineStr">
        <is>
          <t>Bac +4</t>
        </is>
      </c>
      <c r="P847" s="26" t="inlineStr">
        <is>
          <t>Eligible on level (4-yr BS ≈ Bac+4)</t>
        </is>
      </c>
      <c r="Q847" s="25" t="inlineStr">
        <is>
          <t>1</t>
        </is>
      </c>
      <c r="R847" s="25" t="inlineStr">
        <is>
          <t>24</t>
        </is>
      </c>
      <c r="S847" s="27" t="n">
        <v>18000</v>
      </c>
      <c r="T847" s="27" t="n"/>
      <c r="U847" s="25" t="n">
        <v>2</v>
      </c>
      <c r="V847" s="27">
        <f>IF(S847="","",S847*U847)</f>
        <v/>
      </c>
      <c r="W847" s="26" t="inlineStr">
        <is>
          <t>Catalogue fee €18,000/yr (entered by institution).</t>
        </is>
      </c>
      <c r="X847" s="25" t="inlineStr">
        <is>
          <t>High</t>
        </is>
      </c>
      <c r="Y847" s="25" t="inlineStr">
        <is>
          <t>18000</t>
        </is>
      </c>
      <c r="Z847" s="26" t="inlineStr">
        <is>
          <t>h or French Final admission to the program is contingent upon the receipt of a deposit of €1000 on tuition fees</t>
        </is>
      </c>
      <c r="AA847" s="26" t="n"/>
      <c r="AB847" s="25" t="n"/>
      <c r="AC847" s="25" t="inlineStr">
        <is>
          <t>Open</t>
        </is>
      </c>
      <c r="AD847" s="25" t="inlineStr">
        <is>
          <t>2026-10-01</t>
        </is>
      </c>
      <c r="AE847" s="25" t="inlineStr">
        <is>
          <t>2027-03-15</t>
        </is>
      </c>
      <c r="AF847" s="25" t="inlineStr">
        <is>
          <t>Yes</t>
        </is>
      </c>
      <c r="AG847" s="28" t="inlineStr">
        <is>
          <t>https://www.eurecom.fr/en/teaching/master-computer-science/msc-computer-science-data-science-track</t>
        </is>
      </c>
      <c r="AH847" s="26" t="inlineStr">
        <is>
          <t>To be eligible, candidates must hold: a Bachelor's degree or diploma equivalent to at least 3 years of higher education from a reputable university in the field of information and communication technologies. (Computer sc</t>
        </is>
      </c>
      <c r="AI847" s="28" t="inlineStr">
        <is>
          <t>Open in EEF</t>
        </is>
      </c>
    </row>
    <row r="848" ht="32.8" customHeight="1" s="19">
      <c r="A848" s="25" t="n">
        <v>847</v>
      </c>
      <c r="B848" s="25" t="inlineStr">
        <is>
          <t>★★★☆☆</t>
        </is>
      </c>
      <c r="C848" s="25" t="inlineStr">
        <is>
          <t>3 – Adjacent (AI/data/CS/cyber/energy)</t>
        </is>
      </c>
      <c r="D848" s="25" t="inlineStr">
        <is>
          <t>Biomedical / Health tech</t>
        </is>
      </c>
      <c r="E848" s="26" t="inlineStr">
        <is>
          <t>Master Sciences, Technologies &amp; Health in Computer Science - Digital Security track</t>
        </is>
      </c>
      <c r="F848" s="26" t="inlineStr">
        <is>
          <t>Master Sciences, Technologies &amp; Health in Computer Science - Digital Security track</t>
        </is>
      </c>
      <c r="G848" s="25" t="inlineStr">
        <is>
          <t>Master indifférencié (recherche et professionnel)</t>
        </is>
      </c>
      <c r="H848" s="25" t="inlineStr">
        <is>
          <t>EURECOM</t>
        </is>
      </c>
      <c r="I848" s="25" t="n"/>
      <c r="J848" s="25" t="inlineStr">
        <is>
          <t>EURECOM</t>
        </is>
      </c>
      <c r="K848" s="25" t="inlineStr">
        <is>
          <t>06410 Biot - Sophia Antipolis</t>
        </is>
      </c>
      <c r="L848" s="25" t="inlineStr">
        <is>
          <t>Private / EESPIG</t>
        </is>
      </c>
      <c r="M848" s="25" t="inlineStr">
        <is>
          <t>English</t>
        </is>
      </c>
      <c r="N848" s="25" t="inlineStr">
        <is>
          <t>Taught in English</t>
        </is>
      </c>
      <c r="O848" s="25" t="inlineStr">
        <is>
          <t>Bac +4</t>
        </is>
      </c>
      <c r="P848" s="26" t="inlineStr">
        <is>
          <t>Eligible on level (4-yr BS ≈ Bac+4)</t>
        </is>
      </c>
      <c r="Q848" s="25" t="inlineStr">
        <is>
          <t>1</t>
        </is>
      </c>
      <c r="R848" s="25" t="inlineStr">
        <is>
          <t>24</t>
        </is>
      </c>
      <c r="S848" s="27" t="n">
        <v>18000</v>
      </c>
      <c r="T848" s="27" t="n"/>
      <c r="U848" s="25" t="n">
        <v>2</v>
      </c>
      <c r="V848" s="27">
        <f>IF(S848="","",S848*U848)</f>
        <v/>
      </c>
      <c r="W848" s="26" t="inlineStr">
        <is>
          <t>Catalogue fee €18,000/yr (entered by institution).</t>
        </is>
      </c>
      <c r="X848" s="25" t="inlineStr">
        <is>
          <t>High</t>
        </is>
      </c>
      <c r="Y848" s="25" t="inlineStr">
        <is>
          <t>18000</t>
        </is>
      </c>
      <c r="Z848" s="26" t="inlineStr">
        <is>
          <t>h or French Final admission to the program is contingent upon the receipt of a deposit of €1000 on tuition fees</t>
        </is>
      </c>
      <c r="AA848" s="26" t="n"/>
      <c r="AB848" s="25" t="n"/>
      <c r="AC848" s="25" t="inlineStr">
        <is>
          <t>Open</t>
        </is>
      </c>
      <c r="AD848" s="25" t="inlineStr">
        <is>
          <t>2026-10-01</t>
        </is>
      </c>
      <c r="AE848" s="25" t="inlineStr">
        <is>
          <t>2027-03-15</t>
        </is>
      </c>
      <c r="AF848" s="25" t="inlineStr">
        <is>
          <t>Yes</t>
        </is>
      </c>
      <c r="AG848" s="28" t="inlineStr">
        <is>
          <t>https://www.eurecom.fr/en/teaching/master-computer-science/msc-computer-science-digital-security-track</t>
        </is>
      </c>
      <c r="AH848" s="26" t="inlineStr">
        <is>
          <t>To be eligible, candidates must hold: a Bachelor's degree or diploma equivalent to at least 3 years of higher education from a reputable university in the field of information and communication technologies. (Computer sc</t>
        </is>
      </c>
      <c r="AI848" s="28" t="inlineStr">
        <is>
          <t>Open in EEF</t>
        </is>
      </c>
    </row>
    <row r="849" ht="32.8" customHeight="1" s="19">
      <c r="A849" s="25" t="n">
        <v>848</v>
      </c>
      <c r="B849" s="25" t="inlineStr">
        <is>
          <t>★★★☆☆</t>
        </is>
      </c>
      <c r="C849" s="25" t="inlineStr">
        <is>
          <t>3 – Adjacent (AI/data/CS/cyber/energy)</t>
        </is>
      </c>
      <c r="D849" s="25" t="inlineStr">
        <is>
          <t>AI / Data science</t>
        </is>
      </c>
      <c r="E849" s="26" t="inlineStr">
        <is>
          <t>Master Sciences, technologies, santé mention Informatique parcours Science des données (Data Science)</t>
        </is>
      </c>
      <c r="F849" s="26" t="inlineStr">
        <is>
          <t>Master Science, Technology, Health (STS) – major: Computer Science – track: Data Science (Data Science)</t>
        </is>
      </c>
      <c r="G849" s="25" t="inlineStr">
        <is>
          <t>Master indifférencié (recherche et professionnel)</t>
        </is>
      </c>
      <c r="H849" s="25" t="inlineStr">
        <is>
          <t>EURECOM</t>
        </is>
      </c>
      <c r="I849" s="25" t="n"/>
      <c r="J849" s="25" t="inlineStr">
        <is>
          <t>EURECOM</t>
        </is>
      </c>
      <c r="K849" s="25" t="inlineStr">
        <is>
          <t>06410 Biot - Sophia Antipolis</t>
        </is>
      </c>
      <c r="L849" s="25" t="inlineStr">
        <is>
          <t>Private / EESPIG</t>
        </is>
      </c>
      <c r="M849" s="25" t="inlineStr">
        <is>
          <t>English</t>
        </is>
      </c>
      <c r="N849" s="25" t="inlineStr">
        <is>
          <t>General</t>
        </is>
      </c>
      <c r="O849" s="25" t="inlineStr">
        <is>
          <t>Bac +4</t>
        </is>
      </c>
      <c r="P849" s="26" t="inlineStr">
        <is>
          <t>Eligible on level (4-yr BS ≈ Bac+4)</t>
        </is>
      </c>
      <c r="Q849" s="25" t="inlineStr">
        <is>
          <t>1</t>
        </is>
      </c>
      <c r="R849" s="25" t="n"/>
      <c r="S849" s="27" t="n">
        <v>18000</v>
      </c>
      <c r="T849" s="27" t="n"/>
      <c r="U849" s="25" t="n">
        <v>2</v>
      </c>
      <c r="V849" s="27">
        <f>IF(S849="","",S849*U849)</f>
        <v/>
      </c>
      <c r="W849" s="26" t="inlineStr">
        <is>
          <t>Catalogue fee €18,000/yr (entered by institution).</t>
        </is>
      </c>
      <c r="X849" s="25" t="inlineStr">
        <is>
          <t>High</t>
        </is>
      </c>
      <c r="Y849" s="25" t="inlineStr">
        <is>
          <t>18000</t>
        </is>
      </c>
      <c r="Z849" s="26" t="inlineStr">
        <is>
          <t>dmission définitive dans le programme est conditionnée à la réception d’un acompte de 1000€ sur les frais de formation</t>
        </is>
      </c>
      <c r="AA849" s="26" t="n"/>
      <c r="AB849" s="25" t="n"/>
      <c r="AC849" s="25" t="inlineStr">
        <is>
          <t>Open</t>
        </is>
      </c>
      <c r="AD849" s="25" t="inlineStr">
        <is>
          <t>2026-10-01</t>
        </is>
      </c>
      <c r="AE849" s="25" t="inlineStr">
        <is>
          <t>2027-03-15</t>
        </is>
      </c>
      <c r="AF849" s="25" t="inlineStr">
        <is>
          <t>Yes</t>
        </is>
      </c>
      <c r="AG849" s="28" t="inlineStr">
        <is>
          <t>https://www.eurecom.fr/fr/les-formations/master-en-informatique/master-en-informatique-parcours-science-des-donnees</t>
        </is>
      </c>
      <c r="AH849" s="26" t="inlineStr">
        <is>
          <t>Pour être éligibles, les candidats doivent être titulaires: un diplôme de grade de Licence/Bachelor ou diplôme équivalent à 3 années minimum d'études supérieures d'une université réputée dans le domaine des technologies</t>
        </is>
      </c>
      <c r="AI849" s="28" t="inlineStr">
        <is>
          <t>Open in EEF</t>
        </is>
      </c>
    </row>
    <row r="850" ht="32.8" customHeight="1" s="19">
      <c r="A850" s="25" t="n">
        <v>849</v>
      </c>
      <c r="B850" s="25" t="inlineStr">
        <is>
          <t>★★★☆☆</t>
        </is>
      </c>
      <c r="C850" s="25" t="inlineStr">
        <is>
          <t>3 – Adjacent (AI/data/CS/cyber/energy)</t>
        </is>
      </c>
      <c r="D850" s="25" t="inlineStr">
        <is>
          <t>Cybersecurity</t>
        </is>
      </c>
      <c r="E850" s="26" t="inlineStr">
        <is>
          <t>Master Sciences, technologies, santé mention Informatique parcours Sécurité Numérique</t>
        </is>
      </c>
      <c r="F850" s="26" t="inlineStr">
        <is>
          <t>Master Science, Technology, Health (STS) – major: Computer Science – track: Security Digital</t>
        </is>
      </c>
      <c r="G850" s="25" t="inlineStr">
        <is>
          <t>Master indifférencié (recherche et professionnel)</t>
        </is>
      </c>
      <c r="H850" s="25" t="inlineStr">
        <is>
          <t>EURECOM</t>
        </is>
      </c>
      <c r="I850" s="25" t="n"/>
      <c r="J850" s="25" t="inlineStr">
        <is>
          <t>EURECOM</t>
        </is>
      </c>
      <c r="K850" s="25" t="inlineStr">
        <is>
          <t>06410 Biot - Sophia Antipolis</t>
        </is>
      </c>
      <c r="L850" s="25" t="inlineStr">
        <is>
          <t>Private / EESPIG</t>
        </is>
      </c>
      <c r="M850" s="25" t="inlineStr">
        <is>
          <t>English</t>
        </is>
      </c>
      <c r="N850" s="25" t="inlineStr">
        <is>
          <t>General</t>
        </is>
      </c>
      <c r="O850" s="25" t="inlineStr">
        <is>
          <t>Bac +4</t>
        </is>
      </c>
      <c r="P850" s="26" t="inlineStr">
        <is>
          <t>Eligible on level (4-yr BS ≈ Bac+4)</t>
        </is>
      </c>
      <c r="Q850" s="25" t="inlineStr">
        <is>
          <t>1</t>
        </is>
      </c>
      <c r="R850" s="25" t="inlineStr">
        <is>
          <t>24</t>
        </is>
      </c>
      <c r="S850" s="27" t="n">
        <v>18000</v>
      </c>
      <c r="T850" s="27" t="n"/>
      <c r="U850" s="25" t="n">
        <v>2</v>
      </c>
      <c r="V850" s="27">
        <f>IF(S850="","",S850*U850)</f>
        <v/>
      </c>
      <c r="W850" s="26" t="inlineStr">
        <is>
          <t>Catalogue fee €18,000/yr (entered by institution).</t>
        </is>
      </c>
      <c r="X850" s="25" t="inlineStr">
        <is>
          <t>High</t>
        </is>
      </c>
      <c r="Y850" s="25" t="inlineStr">
        <is>
          <t>18000</t>
        </is>
      </c>
      <c r="Z850" s="26" t="inlineStr">
        <is>
          <t>dmission définitive dans le programme est conditionnée à la réception d’un acompte de 1000€ sur les frais de formation</t>
        </is>
      </c>
      <c r="AA850" s="26" t="n"/>
      <c r="AB850" s="25" t="n"/>
      <c r="AC850" s="25" t="inlineStr">
        <is>
          <t>Open</t>
        </is>
      </c>
      <c r="AD850" s="25" t="inlineStr">
        <is>
          <t>2026-10-01</t>
        </is>
      </c>
      <c r="AE850" s="25" t="inlineStr">
        <is>
          <t>2027-03-15</t>
        </is>
      </c>
      <c r="AF850" s="25" t="inlineStr">
        <is>
          <t>Yes</t>
        </is>
      </c>
      <c r="AG850" s="28" t="inlineStr">
        <is>
          <t>https://www.eurecom.fr/fr/les-formations/master-en-informatique/master-en-informatique-parcours-securite-numerique</t>
        </is>
      </c>
      <c r="AH850" s="26" t="inlineStr">
        <is>
          <t>Pour être éligibles, les candidats doivent être titulaires: un diplôme de grade de Licence/Bachelor ou diplôme équivalent à 3 années minimum d'études supérieures d'une université réputée dans le domaine des technologies</t>
        </is>
      </c>
      <c r="AI850" s="28" t="inlineStr">
        <is>
          <t>Open in EEF</t>
        </is>
      </c>
    </row>
    <row r="851" ht="32.8" customHeight="1" s="19">
      <c r="A851" s="25" t="n">
        <v>850</v>
      </c>
      <c r="B851" s="25" t="inlineStr">
        <is>
          <t>★★★☆☆</t>
        </is>
      </c>
      <c r="C851" s="25" t="inlineStr">
        <is>
          <t>3 – Adjacent (AI/data/CS/cyber/energy)</t>
        </is>
      </c>
      <c r="D851" s="25" t="inlineStr">
        <is>
          <t>AI / Data science</t>
        </is>
      </c>
      <c r="E851" s="26" t="inlineStr">
        <is>
          <t>Mastère spécialisé Intelligence Artificielle Expert Data &amp; MLops (ex-Big Data)</t>
        </is>
      </c>
      <c r="F851" s="26" t="inlineStr">
        <is>
          <t>Specialised Master (MS) Artificial Intelligence Expert Data &amp; MLops (ex-Big Data)</t>
        </is>
      </c>
      <c r="G851" s="25" t="inlineStr">
        <is>
          <t>Mastère spécialisé</t>
        </is>
      </c>
      <c r="H851" s="25" t="inlineStr">
        <is>
          <t>Télécom Paris (ex ParisTech)</t>
        </is>
      </c>
      <c r="I851" s="25" t="n"/>
      <c r="J851" s="25" t="inlineStr">
        <is>
          <t>Site de Palaiseau</t>
        </is>
      </c>
      <c r="K851" s="25" t="n"/>
      <c r="L851" s="25" t="inlineStr">
        <is>
          <t>Public school / institute</t>
        </is>
      </c>
      <c r="M851" s="25" t="inlineStr">
        <is>
          <t>French</t>
        </is>
      </c>
      <c r="N851" s="25" t="inlineStr">
        <is>
          <t>General</t>
        </is>
      </c>
      <c r="O851" s="25" t="inlineStr">
        <is>
          <t>Bac +5</t>
        </is>
      </c>
      <c r="P851" s="26" t="inlineStr">
        <is>
          <t>Possible – MS rules allow Bac+4 + ≥3 yrs work experience (you have 3)</t>
        </is>
      </c>
      <c r="Q851" s="25" t="inlineStr">
        <is>
          <t>1</t>
        </is>
      </c>
      <c r="R851" s="25" t="inlineStr">
        <is>
          <t>16</t>
        </is>
      </c>
      <c r="S851" s="27" t="n">
        <v>21100</v>
      </c>
      <c r="T851" s="27" t="n"/>
      <c r="U851" s="25" t="n">
        <v>1</v>
      </c>
      <c r="V851" s="27">
        <f>IF(S851="","",S851*U851)</f>
        <v/>
      </c>
      <c r="W851" s="26" t="inlineStr">
        <is>
          <t>Catalogue fee €21,100/yr (entered by institution).</t>
        </is>
      </c>
      <c r="X851" s="25" t="inlineStr">
        <is>
          <t>High</t>
        </is>
      </c>
      <c r="Y851" s="25" t="inlineStr">
        <is>
          <t>21100</t>
        </is>
      </c>
      <c r="Z851" s="26" t="inlineStr">
        <is>
          <t>Coût de la formation 2026-2027 : 21 100 € pour les financements personnels 21 100 € pour les financements via des organismes ou entre … prises Frais de dossier de candidature : 90€</t>
        </is>
      </c>
      <c r="AA851" s="26" t="n"/>
      <c r="AB851" s="25" t="n"/>
      <c r="AC851" s="25" t="inlineStr">
        <is>
          <t>Open</t>
        </is>
      </c>
      <c r="AD851" s="25" t="inlineStr">
        <is>
          <t>2026-10-01</t>
        </is>
      </c>
      <c r="AE851" s="25" t="inlineStr">
        <is>
          <t>2027-03-15</t>
        </is>
      </c>
      <c r="AF851" s="25" t="inlineStr">
        <is>
          <t>Yes</t>
        </is>
      </c>
      <c r="AG851" s="28" t="inlineStr">
        <is>
          <t>https://www.telecom-paris.fr/fr/masteres-specialises/tous-les-ms/big-data</t>
        </is>
      </c>
      <c r="AH851" s="26" t="inlineStr">
        <is>
          <t>Diplôme d’ingénieur ou Master 2 universitaire scientifique ou technique ou diplômes étrangers de niveau équivalent à Bac+5.</t>
        </is>
      </c>
      <c r="AI851" s="28" t="inlineStr">
        <is>
          <t>Open in EEF</t>
        </is>
      </c>
    </row>
    <row r="852" ht="32.8" customHeight="1" s="19">
      <c r="A852" s="25" t="n">
        <v>851</v>
      </c>
      <c r="B852" s="25" t="inlineStr">
        <is>
          <t>★★★☆☆</t>
        </is>
      </c>
      <c r="C852" s="25" t="inlineStr">
        <is>
          <t>3 – Adjacent (AI/data/CS/cyber/energy)</t>
        </is>
      </c>
      <c r="D852" s="25" t="inlineStr">
        <is>
          <t>AI / Data science</t>
        </is>
      </c>
      <c r="E852" s="26" t="inlineStr">
        <is>
          <t>Mastère spécialisé spécialité Executive Mastère Spécialisé® Data &amp; Intelligence Artificielle</t>
        </is>
      </c>
      <c r="F852" s="26" t="inlineStr">
        <is>
          <t>Specialised Master (MS) – specialisation: Executive Specialised Master (MS)® Data &amp; Artificial Intelligence</t>
        </is>
      </c>
      <c r="G852" s="25" t="inlineStr">
        <is>
          <t>Mastère spécialisé</t>
        </is>
      </c>
      <c r="H852" s="25" t="inlineStr">
        <is>
          <t>Télécom Paris (ex ParisTech)</t>
        </is>
      </c>
      <c r="I852" s="25" t="n"/>
      <c r="J852" s="25" t="inlineStr">
        <is>
          <t>Site de Palaiseau</t>
        </is>
      </c>
      <c r="K852" s="25" t="n"/>
      <c r="L852" s="25" t="inlineStr">
        <is>
          <t>Public school / institute</t>
        </is>
      </c>
      <c r="M852" s="25" t="inlineStr">
        <is>
          <t>French</t>
        </is>
      </c>
      <c r="N852" s="25" t="inlineStr">
        <is>
          <t>General</t>
        </is>
      </c>
      <c r="O852" s="25" t="inlineStr">
        <is>
          <t>Bac +6</t>
        </is>
      </c>
      <c r="P852" s="26" t="inlineStr">
        <is>
          <t>Possible – MS rules allow Bac+4 + ≥3 yrs work experience (you have 3)</t>
        </is>
      </c>
      <c r="Q852" s="25" t="inlineStr">
        <is>
          <t>1</t>
        </is>
      </c>
      <c r="R852" s="25" t="inlineStr">
        <is>
          <t>15</t>
        </is>
      </c>
      <c r="S852" s="27" t="n">
        <v>21100</v>
      </c>
      <c r="T852" s="27" t="n"/>
      <c r="U852" s="25" t="n">
        <v>1</v>
      </c>
      <c r="V852" s="27">
        <f>IF(S852="","",S852*U852)</f>
        <v/>
      </c>
      <c r="W852" s="26" t="inlineStr">
        <is>
          <t>Catalogue fee €21,100/yr (entered by institution).</t>
        </is>
      </c>
      <c r="X852" s="25" t="inlineStr">
        <is>
          <t>High</t>
        </is>
      </c>
      <c r="Y852" s="25" t="inlineStr">
        <is>
          <t>21100</t>
        </is>
      </c>
      <c r="Z852" s="26" t="inlineStr">
        <is>
          <t>Coût de la formation 2026-2027 : 21 100 € pour les financements personnels 21 100 € pour les financements via des organismes ou entre … prises Frais de dossier de candidature : 90€</t>
        </is>
      </c>
      <c r="AA852" s="26" t="n"/>
      <c r="AB852" s="25" t="n"/>
      <c r="AC852" s="25" t="inlineStr">
        <is>
          <t>Open</t>
        </is>
      </c>
      <c r="AD852" s="25" t="inlineStr">
        <is>
          <t>2026-10-01</t>
        </is>
      </c>
      <c r="AE852" s="25" t="inlineStr">
        <is>
          <t>2027-03-15</t>
        </is>
      </c>
      <c r="AF852" s="25" t="inlineStr">
        <is>
          <t>Yes</t>
        </is>
      </c>
      <c r="AG852" s="28" t="inlineStr">
        <is>
          <t>https://www.telecom-paris.fr/fr/masteres-specialises/tous-les-ms/big-data</t>
        </is>
      </c>
      <c r="AH852" s="26" t="n"/>
      <c r="AI852" s="28" t="inlineStr">
        <is>
          <t>Open in EEF</t>
        </is>
      </c>
    </row>
    <row r="853" ht="43.25" customHeight="1" s="19">
      <c r="A853" s="25" t="n">
        <v>852</v>
      </c>
      <c r="B853" s="25" t="inlineStr">
        <is>
          <t>★★★☆☆</t>
        </is>
      </c>
      <c r="C853" s="25" t="inlineStr">
        <is>
          <t>3 – Adjacent (AI/data/CS/cyber/energy)</t>
        </is>
      </c>
      <c r="D853" s="25" t="inlineStr">
        <is>
          <t>AI / Data science</t>
        </is>
      </c>
      <c r="E853" s="26" t="inlineStr">
        <is>
          <t>Master indifférencié (recherche et professionnel) Sciences, technologies, santé mention informatique parcours Informatique Décisionnelle (ID) orientation recherche Intelligence des Données, Décision, Apprentissage et Algorithmique (IDEAL)</t>
        </is>
      </c>
      <c r="F853" s="26" t="inlineStr">
        <is>
          <t>Science, Technology, Health (STS) – major: Computer Science – track: Computer Science Decision (ID) – option: Research Intelligence of Data, Decision, Apprenticeship &amp; Algorithmics (IDEAL)</t>
        </is>
      </c>
      <c r="G853" s="25" t="inlineStr">
        <is>
          <t>Master indifférencié (recherche et professionnel)</t>
        </is>
      </c>
      <c r="H853" s="25" t="inlineStr">
        <is>
          <t>UFR Mathématiques, informatique, mécanique</t>
        </is>
      </c>
      <c r="I853" s="25" t="inlineStr">
        <is>
          <t>Université de Lorraine</t>
        </is>
      </c>
      <c r="J853" s="25" t="inlineStr">
        <is>
          <t>Site de Metz</t>
        </is>
      </c>
      <c r="K853" s="25" t="n"/>
      <c r="L853" s="25" t="inlineStr">
        <is>
          <t>Apprenticeship (CFA/ITII)</t>
        </is>
      </c>
      <c r="M853" s="25" t="inlineStr">
        <is>
          <t>French</t>
        </is>
      </c>
      <c r="N853" s="25" t="inlineStr">
        <is>
          <t>General</t>
        </is>
      </c>
      <c r="O853" s="25" t="inlineStr">
        <is>
          <t>Bac +5</t>
        </is>
      </c>
      <c r="P853" s="26" t="inlineStr">
        <is>
          <t>Requires Bac+5 (Master) – likely not eligible; ask if 4-yr BS + experience accepted</t>
        </is>
      </c>
      <c r="Q853" s="25" t="inlineStr">
        <is>
          <t>2</t>
        </is>
      </c>
      <c r="R853" s="25" t="n"/>
      <c r="S853" s="27" t="n">
        <v>0</v>
      </c>
      <c r="T853" s="27" t="n"/>
      <c r="U853" s="25" t="n">
        <v>1</v>
      </c>
      <c r="V853" s="27">
        <f>IF(S853="","",S853*U853)</f>
        <v/>
      </c>
      <c r="W853" s="26" t="inlineStr">
        <is>
          <t>Apprenticeship: tuition paid by employer (€0 to student) BUT requires a French employment contract + residence permit – practically not accessible from abroad.</t>
        </is>
      </c>
      <c r="X853" s="25" t="inlineStr">
        <is>
          <t>High</t>
        </is>
      </c>
      <c r="Y853" s="25" t="inlineStr">
        <is>
          <t>3950</t>
        </is>
      </c>
      <c r="Z853" s="26" t="inlineStr">
        <is>
          <t>e-a-l-universite-de-lorraine/ Montants des droits différenciés (2026-2027) Master : 3 950 € par an</t>
        </is>
      </c>
      <c r="AA853" s="26" t="n"/>
      <c r="AB853" s="25" t="n"/>
      <c r="AC853" s="25" t="inlineStr">
        <is>
          <t>Open</t>
        </is>
      </c>
      <c r="AD853" s="25" t="inlineStr">
        <is>
          <t>2026-10-01</t>
        </is>
      </c>
      <c r="AE853" s="25" t="inlineStr">
        <is>
          <t>2027-03-15</t>
        </is>
      </c>
      <c r="AF853" s="25" t="inlineStr">
        <is>
          <t>No</t>
        </is>
      </c>
      <c r="AG853" s="28" t="inlineStr">
        <is>
          <t>https://mim.univ-lorraine.fr/</t>
        </is>
      </c>
      <c r="AH853" s="26" t="inlineStr">
        <is>
          <t>MASTER Informatique Parcours type : Informatique Décisionnelle Diplôme(s) pré requis conseillé(s) à l'entrée en M2 : M1 d'informatique ou M1 à dominante informatique Date limite de transmission du dossier de candidature</t>
        </is>
      </c>
      <c r="AI853" s="28" t="inlineStr">
        <is>
          <t>Open in EEF</t>
        </is>
      </c>
    </row>
    <row r="854" ht="32.8" customHeight="1" s="19">
      <c r="A854" s="25" t="n">
        <v>853</v>
      </c>
      <c r="B854" s="25" t="inlineStr">
        <is>
          <t>★★★☆☆</t>
        </is>
      </c>
      <c r="C854" s="25" t="inlineStr">
        <is>
          <t>3 – Adjacent (AI/data/CS/cyber/energy)</t>
        </is>
      </c>
      <c r="D854" s="25" t="inlineStr">
        <is>
          <t>AI / Data science</t>
        </is>
      </c>
      <c r="E854" s="26" t="inlineStr">
        <is>
          <t>Master 2 mention IA parcours Intelligence artificielle et applications</t>
        </is>
      </c>
      <c r="F854" s="26" t="inlineStr">
        <is>
          <t>Master 2 – major: IA – track: Artificial Intelligence &amp; Applications</t>
        </is>
      </c>
      <c r="G854" s="25" t="inlineStr">
        <is>
          <t>Master indifférencié (recherche et professionnel)</t>
        </is>
      </c>
      <c r="H854" s="25" t="inlineStr">
        <is>
          <t>Campus scientifique de BEAULIEU</t>
        </is>
      </c>
      <c r="I854" s="25" t="inlineStr">
        <is>
          <t>Université de Rennes</t>
        </is>
      </c>
      <c r="J854" s="25" t="inlineStr">
        <is>
          <t>Site de Rennes - ISTIC</t>
        </is>
      </c>
      <c r="K854" s="25" t="inlineStr">
        <is>
          <t>35042 RENNES Cedex</t>
        </is>
      </c>
      <c r="L854" s="25" t="inlineStr">
        <is>
          <t>Public university</t>
        </is>
      </c>
      <c r="M854" s="25" t="inlineStr">
        <is>
          <t>English</t>
        </is>
      </c>
      <c r="N854" s="25" t="inlineStr">
        <is>
          <t>Taught in English</t>
        </is>
      </c>
      <c r="O854" s="25" t="inlineStr">
        <is>
          <t>Bac +5</t>
        </is>
      </c>
      <c r="P854" s="26" t="inlineStr">
        <is>
          <t>Requires Bac+5 (Master) – likely not eligible; ask if 4-yr BS + experience accepted</t>
        </is>
      </c>
      <c r="Q854" s="25" t="inlineStr">
        <is>
          <t>2</t>
        </is>
      </c>
      <c r="R854" s="25" t="inlineStr">
        <is>
          <t>12</t>
        </is>
      </c>
      <c r="S854" s="27" t="n">
        <v>3950</v>
      </c>
      <c r="T854" s="27" t="n">
        <v>255</v>
      </c>
      <c r="U854" s="25" t="n">
        <v>1</v>
      </c>
      <c r="V854" s="27">
        <f>IF(S854="","",S854*U854)</f>
        <v/>
      </c>
      <c r="W854" s="26" t="inlineStr">
        <is>
          <t>Catalogue: €3,950. = national differentiated master fee (2026-27: €3,950). Exemption to ~€255 possible (university quota).</t>
        </is>
      </c>
      <c r="X854" s="25" t="inlineStr">
        <is>
          <t>High</t>
        </is>
      </c>
      <c r="Y854" s="25" t="inlineStr">
        <is>
          <t>3950</t>
        </is>
      </c>
      <c r="Z854" s="26" t="inlineStr">
        <is>
          <t>ue, il faudra vous acquitter obligatoirement des frais d'inscription d'un montant de 3950 euros pour vous inscrire dans la formation</t>
        </is>
      </c>
      <c r="AA854" s="26" t="n"/>
      <c r="AB854" s="25" t="n"/>
      <c r="AC854" s="25" t="inlineStr">
        <is>
          <t>Open</t>
        </is>
      </c>
      <c r="AD854" s="25" t="inlineStr">
        <is>
          <t>2026-10-01</t>
        </is>
      </c>
      <c r="AE854" s="25" t="inlineStr">
        <is>
          <t>2027-03-15</t>
        </is>
      </c>
      <c r="AF854" s="25" t="inlineStr">
        <is>
          <t>No</t>
        </is>
      </c>
      <c r="AG854" s="28" t="inlineStr">
        <is>
          <t>https://istic.univ-rennes.fr/master-intelligence-artificielle-parcours-ia-et-applications</t>
        </is>
      </c>
      <c r="AH854" s="26" t="inlineStr">
        <is>
          <t>The Master 2 IA and Applications is a one-year, fully English-taught programme designed to provide advanced theoretical and practical skills in Artificial Intelligence, with a strong focus on Machine Learning, Deep Learn</t>
        </is>
      </c>
      <c r="AI854" s="28" t="inlineStr">
        <is>
          <t>Open in EEF</t>
        </is>
      </c>
    </row>
    <row r="855" ht="43.25" customHeight="1" s="19">
      <c r="A855" s="25" t="n">
        <v>854</v>
      </c>
      <c r="B855" s="25" t="inlineStr">
        <is>
          <t>★★★☆☆</t>
        </is>
      </c>
      <c r="C855" s="25" t="inlineStr">
        <is>
          <t>3 – Adjacent (AI/data/CS/cyber/energy)</t>
        </is>
      </c>
      <c r="D855" s="25" t="inlineStr">
        <is>
          <t>Computer science / Software</t>
        </is>
      </c>
      <c r="E855" s="26" t="inlineStr">
        <is>
          <t>Master Computer science parcours Industry 4.0</t>
        </is>
      </c>
      <c r="F855" s="26" t="inlineStr">
        <is>
          <t>Master Computer Science – track: Industry 4.0</t>
        </is>
      </c>
      <c r="G855" s="25" t="inlineStr">
        <is>
          <t>Master indifférencié (recherche et professionnel)</t>
        </is>
      </c>
      <c r="H855" s="25" t="inlineStr">
        <is>
          <t>Collège STEE - Sciences et Technologies pour l'Energie et l'Environnement</t>
        </is>
      </c>
      <c r="I855" s="25" t="inlineStr">
        <is>
          <t>Université Pau et Pays de l'Adour</t>
        </is>
      </c>
      <c r="J855" s="25" t="inlineStr">
        <is>
          <t>Collège STEE - site d'Anglet</t>
        </is>
      </c>
      <c r="K855" s="25" t="n"/>
      <c r="L855" s="25" t="inlineStr">
        <is>
          <t>Public university</t>
        </is>
      </c>
      <c r="M855" s="25" t="inlineStr">
        <is>
          <t>English</t>
        </is>
      </c>
      <c r="N855" s="25" t="inlineStr">
        <is>
          <t>Taught in English</t>
        </is>
      </c>
      <c r="O855" s="25" t="inlineStr">
        <is>
          <t>Bac +5</t>
        </is>
      </c>
      <c r="P855" s="26" t="inlineStr">
        <is>
          <t>Requires Bac+5 (Master) – likely not eligible; ask if 4-yr BS + experience accepted</t>
        </is>
      </c>
      <c r="Q855" s="25" t="inlineStr">
        <is>
          <t>2</t>
        </is>
      </c>
      <c r="R855" s="25" t="inlineStr">
        <is>
          <t>12</t>
        </is>
      </c>
      <c r="S855" s="27" t="n">
        <v>3950</v>
      </c>
      <c r="T855" s="27" t="n">
        <v>255</v>
      </c>
      <c r="U855" s="25" t="n">
        <v>1</v>
      </c>
      <c r="V855" s="27">
        <f>IF(S855="","",S855*U855)</f>
        <v/>
      </c>
      <c r="W855" s="26" t="inlineStr">
        <is>
          <t>Catalogue: €3,950. = national differentiated master fee (2026-27: €3,950). Exemption to ~€255 possible (university quota).</t>
        </is>
      </c>
      <c r="X855" s="25" t="inlineStr">
        <is>
          <t>High</t>
        </is>
      </c>
      <c r="Y855" s="25" t="inlineStr">
        <is>
          <t>3950</t>
        </is>
      </c>
      <c r="Z855" s="26" t="inlineStr">
        <is>
          <t>erning registration fees: Natonal enrollment fees for standard enrollment amount to 3 950 € … fter a break of two or more years) must pay specific fees, amounting to a minimum of 3 950€ per year of studies</t>
        </is>
      </c>
      <c r="AA855" s="26" t="n"/>
      <c r="AB855" s="25" t="n"/>
      <c r="AC855" s="25" t="inlineStr">
        <is>
          <t>Open</t>
        </is>
      </c>
      <c r="AD855" s="25" t="inlineStr">
        <is>
          <t>2026-10-01</t>
        </is>
      </c>
      <c r="AE855" s="25" t="inlineStr">
        <is>
          <t>2027-03-15</t>
        </is>
      </c>
      <c r="AF855" s="25" t="inlineStr">
        <is>
          <t>No</t>
        </is>
      </c>
      <c r="AG855" s="28" t="inlineStr">
        <is>
          <t>https://formation.univ-pau.fr/en/programs/science-technology-health-STS/master-degree-XB/masters-computer-science-L7EMC9TO//m2-industry-4-0-L7EMCSH1.html</t>
        </is>
      </c>
      <c r="AH855" s="26" t="inlineStr">
        <is>
          <t>Applicants must be fluent in English, both in writing and speaking. An applicant whose native language is not English has to take a recognized international English test. This second year of the Master's degree is open t</t>
        </is>
      </c>
      <c r="AI855" s="28" t="inlineStr">
        <is>
          <t>Open in EEF</t>
        </is>
      </c>
    </row>
    <row r="856" ht="22.35" customHeight="1" s="19">
      <c r="A856" s="25" t="n">
        <v>855</v>
      </c>
      <c r="B856" s="25" t="inlineStr">
        <is>
          <t>★★★☆☆</t>
        </is>
      </c>
      <c r="C856" s="25" t="inlineStr">
        <is>
          <t>3 – Adjacent (AI/data/CS/cyber/energy)</t>
        </is>
      </c>
      <c r="D856" s="25" t="inlineStr">
        <is>
          <t>AI / Data science</t>
        </is>
      </c>
      <c r="E856" s="26" t="inlineStr">
        <is>
          <t>Master indifférencié (recherche et professionnel) mention AI-Driven Smart Industrial Systems</t>
        </is>
      </c>
      <c r="F856" s="26" t="inlineStr">
        <is>
          <t>major: AI-Driven Smart Industrial Systems</t>
        </is>
      </c>
      <c r="G856" s="25" t="inlineStr">
        <is>
          <t>Master indifférencié (recherche et professionnel)</t>
        </is>
      </c>
      <c r="H856" s="25" t="inlineStr">
        <is>
          <t>Université de Technologie de Tarbes Occitanie Pyrénées</t>
        </is>
      </c>
      <c r="I856" s="25" t="inlineStr">
        <is>
          <t>Université de Technologie Tarbes Occitanie Pyrénées</t>
        </is>
      </c>
      <c r="J856" s="25" t="inlineStr">
        <is>
          <t>Tarbes</t>
        </is>
      </c>
      <c r="K856" s="25" t="n"/>
      <c r="L856" s="25" t="inlineStr">
        <is>
          <t>Public university</t>
        </is>
      </c>
      <c r="M856" s="25" t="inlineStr">
        <is>
          <t>English</t>
        </is>
      </c>
      <c r="N856" s="25" t="inlineStr">
        <is>
          <t>Taught in English</t>
        </is>
      </c>
      <c r="O856" s="25" t="inlineStr">
        <is>
          <t>Bac +5</t>
        </is>
      </c>
      <c r="P856" s="26" t="inlineStr">
        <is>
          <t>Requires Bac+5 (Master) – likely not eligible; ask if 4-yr BS + experience accepted</t>
        </is>
      </c>
      <c r="Q856" s="25" t="inlineStr">
        <is>
          <t>5</t>
        </is>
      </c>
      <c r="R856" s="25" t="inlineStr">
        <is>
          <t>12</t>
        </is>
      </c>
      <c r="S856" s="27" t="n">
        <v>3950</v>
      </c>
      <c r="T856" s="27" t="n">
        <v>255</v>
      </c>
      <c r="U856" s="25" t="n">
        <v>1</v>
      </c>
      <c r="V856" s="27">
        <f>IF(S856="","",S856*U856)</f>
        <v/>
      </c>
      <c r="W856" s="26" t="inlineStr">
        <is>
          <t>Catalogue: €3,950. = national differentiated master fee (2026-27: €3,950). Exemption to ~€255 possible (university quota).</t>
        </is>
      </c>
      <c r="X856" s="25" t="inlineStr">
        <is>
          <t>High</t>
        </is>
      </c>
      <c r="Y856" s="25" t="inlineStr">
        <is>
          <t>3950</t>
        </is>
      </c>
      <c r="Z856" s="26" t="n"/>
      <c r="AA856" s="26" t="n"/>
      <c r="AB856" s="25" t="n"/>
      <c r="AC856" s="25" t="inlineStr">
        <is>
          <t>Open</t>
        </is>
      </c>
      <c r="AD856" s="25" t="inlineStr">
        <is>
          <t>2026-10-01</t>
        </is>
      </c>
      <c r="AE856" s="25" t="inlineStr">
        <is>
          <t>2027-03-15</t>
        </is>
      </c>
      <c r="AF856" s="25" t="inlineStr">
        <is>
          <t>No</t>
        </is>
      </c>
      <c r="AG856" s="25" t="n"/>
      <c r="AH856" s="26" t="n"/>
      <c r="AI856" s="28" t="inlineStr">
        <is>
          <t>Open in EEF</t>
        </is>
      </c>
    </row>
    <row r="857" ht="32.8" customHeight="1" s="19">
      <c r="A857" s="25" t="n">
        <v>856</v>
      </c>
      <c r="B857" s="25" t="inlineStr">
        <is>
          <t>★★★☆☆</t>
        </is>
      </c>
      <c r="C857" s="25" t="inlineStr">
        <is>
          <t>3 – Adjacent (AI/data/CS/cyber/energy)</t>
        </is>
      </c>
      <c r="D857" s="25" t="inlineStr">
        <is>
          <t>Biomedical / Health tech</t>
        </is>
      </c>
      <c r="E857" s="26" t="inlineStr">
        <is>
          <t>Master indifférencié (recherche et professionnel) Sciences, Technologie, Santé mention Santé publique parcours Public health data science</t>
        </is>
      </c>
      <c r="F857" s="26" t="inlineStr">
        <is>
          <t>Sciences, Technology, Health – major: Health Public – track: Public health data Science</t>
        </is>
      </c>
      <c r="G857" s="25" t="inlineStr">
        <is>
          <t>Master indifférencié (recherche et professionnel)</t>
        </is>
      </c>
      <c r="H857" s="25" t="inlineStr">
        <is>
          <t>Institut de santé publique, d'épidémiologie et de développement</t>
        </is>
      </c>
      <c r="I857" s="25" t="inlineStr">
        <is>
          <t>Université de Bordeaux</t>
        </is>
      </c>
      <c r="J857" s="25" t="inlineStr">
        <is>
          <t>Site de Bordeaux - Carreire</t>
        </is>
      </c>
      <c r="K857" s="25" t="inlineStr">
        <is>
          <t>33076 Bordeaux</t>
        </is>
      </c>
      <c r="L857" s="25" t="inlineStr">
        <is>
          <t>Public school / institute</t>
        </is>
      </c>
      <c r="M857" s="25" t="inlineStr">
        <is>
          <t>English</t>
        </is>
      </c>
      <c r="N857" s="25" t="inlineStr">
        <is>
          <t>Taught in English</t>
        </is>
      </c>
      <c r="O857" s="25" t="inlineStr">
        <is>
          <t>Bac +5</t>
        </is>
      </c>
      <c r="P857" s="26" t="inlineStr">
        <is>
          <t>Requires Bac+5 (Master) – likely not eligible; ask if 4-yr BS + experience accepted</t>
        </is>
      </c>
      <c r="Q857" s="25" t="inlineStr">
        <is>
          <t>2</t>
        </is>
      </c>
      <c r="R857" s="25" t="n"/>
      <c r="S857" s="27" t="n">
        <v>3950</v>
      </c>
      <c r="T857" s="27" t="n">
        <v>255</v>
      </c>
      <c r="U857" s="25" t="n">
        <v>1</v>
      </c>
      <c r="V857" s="27">
        <f>IF(S857="","",S857*U857)</f>
        <v/>
      </c>
      <c r="W857" s="26" t="inlineStr">
        <is>
          <t>Catalogue: €3,950. = national differentiated master fee (2026-27: €3,950). Exemption to ~€255 possible (university quota).</t>
        </is>
      </c>
      <c r="X857" s="25" t="inlineStr">
        <is>
          <t>High</t>
        </is>
      </c>
      <c r="Y857" s="25" t="inlineStr">
        <is>
          <t>3950</t>
        </is>
      </c>
      <c r="Z857" s="26" t="n"/>
      <c r="AA857" s="26" t="n"/>
      <c r="AB857" s="25" t="n"/>
      <c r="AC857" s="25" t="inlineStr">
        <is>
          <t>Open</t>
        </is>
      </c>
      <c r="AD857" s="25" t="inlineStr">
        <is>
          <t>2026-10-01</t>
        </is>
      </c>
      <c r="AE857" s="25" t="inlineStr">
        <is>
          <t>2027-03-15</t>
        </is>
      </c>
      <c r="AF857" s="25" t="inlineStr">
        <is>
          <t>No</t>
        </is>
      </c>
      <c r="AG857" s="28" t="inlineStr">
        <is>
          <t>https://www.isped.u-bordeaux.fr/Graduate-Programs/Digital-Public-Health/Masters-Program</t>
        </is>
      </c>
      <c r="AH857" s="26" t="inlineStr">
        <is>
          <t>Admission requirements : Hold at least a Master (year 1) degree (minimum 240 ECTS or equivalent) in one (or more) of the following disciplines: biostatistics, medical informatics and/or epidemiology Having a solid knowle</t>
        </is>
      </c>
      <c r="AI857" s="28" t="inlineStr">
        <is>
          <t>Open in EEF</t>
        </is>
      </c>
    </row>
    <row r="858" ht="32.8" customHeight="1" s="19">
      <c r="A858" s="25" t="n">
        <v>857</v>
      </c>
      <c r="B858" s="25" t="inlineStr">
        <is>
          <t>★★★☆☆</t>
        </is>
      </c>
      <c r="C858" s="25" t="inlineStr">
        <is>
          <t>3 – Adjacent (AI/data/CS/cyber/energy)</t>
        </is>
      </c>
      <c r="D858" s="25" t="inlineStr">
        <is>
          <t>AI / Data science</t>
        </is>
      </c>
      <c r="E858" s="26" t="inlineStr">
        <is>
          <t>Master indifférencié (recherche et professionnel) Sciences, technologies, santé mention Master of Physics parcours Astrophysics and data sciences</t>
        </is>
      </c>
      <c r="F858" s="26" t="inlineStr">
        <is>
          <t>Science, Technology, Health (STS) – major: Master of Physics – track: Astrophysics and data Sciences</t>
        </is>
      </c>
      <c r="G858" s="25" t="inlineStr">
        <is>
          <t>Master indifférencié (recherche et professionnel)</t>
        </is>
      </c>
      <c r="H858" s="25" t="inlineStr">
        <is>
          <t>Faculté de physique et ingénierie</t>
        </is>
      </c>
      <c r="I858" s="25" t="inlineStr">
        <is>
          <t>Université de Strasbourg</t>
        </is>
      </c>
      <c r="J858" s="25" t="inlineStr">
        <is>
          <t>Site de Strasbourg</t>
        </is>
      </c>
      <c r="K858" s="25" t="n"/>
      <c r="L858" s="25" t="inlineStr">
        <is>
          <t>Public university</t>
        </is>
      </c>
      <c r="M858" s="25" t="inlineStr">
        <is>
          <t>English</t>
        </is>
      </c>
      <c r="N858" s="25" t="inlineStr">
        <is>
          <t>General</t>
        </is>
      </c>
      <c r="O858" s="25" t="inlineStr">
        <is>
          <t>Bac +5</t>
        </is>
      </c>
      <c r="P858" s="26" t="inlineStr">
        <is>
          <t>Requires Bac+5 (Master) – likely not eligible; ask if 4-yr BS + experience accepted</t>
        </is>
      </c>
      <c r="Q858" s="25" t="inlineStr">
        <is>
          <t>2</t>
        </is>
      </c>
      <c r="R858" s="25" t="n"/>
      <c r="S858" s="27" t="n">
        <v>3950</v>
      </c>
      <c r="T858" s="27" t="n">
        <v>255</v>
      </c>
      <c r="U858" s="25" t="n">
        <v>1</v>
      </c>
      <c r="V858" s="27">
        <f>IF(S858="","",S858*U858)</f>
        <v/>
      </c>
      <c r="W858" s="26" t="inlineStr">
        <is>
          <t>Catalogue: €3,950. = national differentiated master fee (2026-27: €3,950). Exemption to ~€255 possible (university quota).</t>
        </is>
      </c>
      <c r="X858" s="25" t="inlineStr">
        <is>
          <t>High</t>
        </is>
      </c>
      <c r="Y858" s="25" t="inlineStr">
        <is>
          <t>3950</t>
        </is>
      </c>
      <c r="Z858" s="26" t="n"/>
      <c r="AA858" s="26" t="inlineStr">
        <is>
          <t>Unistra: master entrants who did not do their licence at Unistra pay the differentiated fee (€3,950).</t>
        </is>
      </c>
      <c r="AB858" s="28" t="inlineStr">
        <is>
          <t>https://www.unistra.fr/fr/node/8168</t>
        </is>
      </c>
      <c r="AC858" s="25" t="inlineStr">
        <is>
          <t>Open</t>
        </is>
      </c>
      <c r="AD858" s="25" t="inlineStr">
        <is>
          <t>2026-10-01</t>
        </is>
      </c>
      <c r="AE858" s="25" t="inlineStr">
        <is>
          <t>2027-03-15</t>
        </is>
      </c>
      <c r="AF858" s="25" t="inlineStr">
        <is>
          <t>No</t>
        </is>
      </c>
      <c r="AG858" s="28" t="inlineStr">
        <is>
          <t>https://physique-ingenierie.unistra.fr/</t>
        </is>
      </c>
      <c r="AH858" s="26" t="inlineStr">
        <is>
          <t>A 4-year training (M1 level) in physics, mathematics, and computer science is required. The teaching is fully in English. Direct admission in M2 is possible for outstanding candidates. Une formation de 4 ans (niveau M1)</t>
        </is>
      </c>
      <c r="AI858" s="28" t="inlineStr">
        <is>
          <t>Open in EEF</t>
        </is>
      </c>
    </row>
    <row r="859" ht="22.35" customHeight="1" s="19">
      <c r="A859" s="25" t="n">
        <v>858</v>
      </c>
      <c r="B859" s="25" t="inlineStr">
        <is>
          <t>★★★☆☆</t>
        </is>
      </c>
      <c r="C859" s="25" t="inlineStr">
        <is>
          <t>3 – Adjacent (AI/data/CS/cyber/energy)</t>
        </is>
      </c>
      <c r="D859" s="25" t="inlineStr">
        <is>
          <t>Computer science / Software</t>
        </is>
      </c>
      <c r="E859" s="26" t="inlineStr">
        <is>
          <t>Master Sciences, technologies, santé parcours M2 Mathématique et Informatique</t>
        </is>
      </c>
      <c r="F859" s="26" t="inlineStr">
        <is>
          <t>Master Science, Technology, Health (STS) – track: M2 Mathematical &amp; Computer Science</t>
        </is>
      </c>
      <c r="G859" s="25" t="inlineStr">
        <is>
          <t>Master indifférencié (recherche et professionnel)</t>
        </is>
      </c>
      <c r="H859" s="25" t="inlineStr">
        <is>
          <t>UFR des sciences et technologie</t>
        </is>
      </c>
      <c r="I859" s="25" t="inlineStr">
        <is>
          <t>Université Paris-Est Créteil Val-de-Marne</t>
        </is>
      </c>
      <c r="J859" s="25" t="inlineStr">
        <is>
          <t>Site de Créteil</t>
        </is>
      </c>
      <c r="K859" s="25" t="n"/>
      <c r="L859" s="25" t="inlineStr">
        <is>
          <t>Public university</t>
        </is>
      </c>
      <c r="M859" s="25" t="inlineStr">
        <is>
          <t>English</t>
        </is>
      </c>
      <c r="N859" s="25" t="inlineStr">
        <is>
          <t>General</t>
        </is>
      </c>
      <c r="O859" s="25" t="inlineStr">
        <is>
          <t>Bac +5</t>
        </is>
      </c>
      <c r="P859" s="26" t="inlineStr">
        <is>
          <t>Requires Bac+5 (Master) – likely not eligible; ask if 4-yr BS + experience accepted</t>
        </is>
      </c>
      <c r="Q859" s="25" t="inlineStr">
        <is>
          <t>2</t>
        </is>
      </c>
      <c r="R859" s="25" t="inlineStr">
        <is>
          <t>12</t>
        </is>
      </c>
      <c r="S859" s="27" t="n">
        <v>3950</v>
      </c>
      <c r="T859" s="27" t="n">
        <v>255</v>
      </c>
      <c r="U859" s="25" t="n">
        <v>1</v>
      </c>
      <c r="V859" s="27">
        <f>IF(S859="","",S859*U859)</f>
        <v/>
      </c>
      <c r="W859" s="26" t="inlineStr">
        <is>
          <t>Catalogue: €3,950. = national differentiated master fee (2026-27: €3,950). Exemption to ~€255 possible (university quota).</t>
        </is>
      </c>
      <c r="X859" s="25" t="inlineStr">
        <is>
          <t>High</t>
        </is>
      </c>
      <c r="Y859" s="25" t="inlineStr">
        <is>
          <t>3950</t>
        </is>
      </c>
      <c r="Z859" s="26" t="n"/>
      <c r="AA859" s="26" t="n"/>
      <c r="AB859" s="25" t="n"/>
      <c r="AC859" s="25" t="inlineStr">
        <is>
          <t>Open</t>
        </is>
      </c>
      <c r="AD859" s="25" t="inlineStr">
        <is>
          <t>2026-10-01</t>
        </is>
      </c>
      <c r="AE859" s="25" t="inlineStr">
        <is>
          <t>2027-03-15</t>
        </is>
      </c>
      <c r="AF859" s="25" t="inlineStr">
        <is>
          <t>No</t>
        </is>
      </c>
      <c r="AG859" s="25" t="n"/>
      <c r="AH859" s="26" t="inlineStr">
        <is>
          <t>B2 niveau M1 en mathématiques ou en informatique et L2 dans l’autre discipline.</t>
        </is>
      </c>
      <c r="AI859" s="28" t="inlineStr">
        <is>
          <t>Open in EEF</t>
        </is>
      </c>
    </row>
    <row r="860" ht="22.35" customHeight="1" s="19">
      <c r="A860" s="25" t="n">
        <v>859</v>
      </c>
      <c r="B860" s="25" t="inlineStr">
        <is>
          <t>★★★☆☆</t>
        </is>
      </c>
      <c r="C860" s="25" t="inlineStr">
        <is>
          <t>3 – Adjacent (AI/data/CS/cyber/energy)</t>
        </is>
      </c>
      <c r="D860" s="25" t="inlineStr">
        <is>
          <t>AI / Data science</t>
        </is>
      </c>
      <c r="E860" s="26" t="inlineStr">
        <is>
          <t>2ème année de Master - Parcours Intelligence Artificielle, Systèmes, Données - Informatique</t>
        </is>
      </c>
      <c r="F860" s="26" t="inlineStr">
        <is>
          <t>Master Year 2 - – track: Artificial Intelligence, Systems, Data - Computer Science</t>
        </is>
      </c>
      <c r="G860" s="25" t="inlineStr">
        <is>
          <t>Master indifférencié (recherche et professionnel)</t>
        </is>
      </c>
      <c r="H860" s="25" t="inlineStr">
        <is>
          <t>Département MIDO (mathématiques et informatique de la décision et des organisations)</t>
        </is>
      </c>
      <c r="I860" s="25" t="inlineStr">
        <is>
          <t>Université Paris-Dauphine</t>
        </is>
      </c>
      <c r="J860" s="25" t="inlineStr">
        <is>
          <t>Site de Paris Santé Campus</t>
        </is>
      </c>
      <c r="K860" s="25" t="inlineStr">
        <is>
          <t>75015 Paris</t>
        </is>
      </c>
      <c r="L860" s="25" t="inlineStr">
        <is>
          <t>Public university</t>
        </is>
      </c>
      <c r="M860" s="25" t="inlineStr">
        <is>
          <t>English</t>
        </is>
      </c>
      <c r="N860" s="25" t="inlineStr">
        <is>
          <t>General</t>
        </is>
      </c>
      <c r="O860" s="25" t="inlineStr">
        <is>
          <t>Bac +5</t>
        </is>
      </c>
      <c r="P860" s="26" t="inlineStr">
        <is>
          <t>Requires Bac+5 (Master) – likely not eligible; ask if 4-yr BS + experience accepted</t>
        </is>
      </c>
      <c r="Q860" s="25" t="inlineStr">
        <is>
          <t>2</t>
        </is>
      </c>
      <c r="R860" s="25" t="n"/>
      <c r="S860" s="27" t="n">
        <v>3950</v>
      </c>
      <c r="T860" s="27" t="n">
        <v>255</v>
      </c>
      <c r="U860" s="25" t="n">
        <v>1</v>
      </c>
      <c r="V860" s="27">
        <f>IF(S860="","",S860*U860)</f>
        <v/>
      </c>
      <c r="W860" s="26" t="inlineStr">
        <is>
          <t>Not in catalogue. Public national master → 2026-27 differentiated fee €3,950; exemption to ~€254-255 depends on university quota (25% cap in 2027-28).</t>
        </is>
      </c>
      <c r="X860" s="25" t="inlineStr">
        <is>
          <t>Medium</t>
        </is>
      </c>
      <c r="Y860" s="25" t="n"/>
      <c r="Z860" s="26" t="n"/>
      <c r="AA860" s="26" t="n"/>
      <c r="AB860" s="25" t="n"/>
      <c r="AC860" s="25" t="inlineStr">
        <is>
          <t>Open</t>
        </is>
      </c>
      <c r="AD860" s="25" t="inlineStr">
        <is>
          <t>2026-10-01</t>
        </is>
      </c>
      <c r="AE860" s="25" t="inlineStr">
        <is>
          <t>2027-03-15</t>
        </is>
      </c>
      <c r="AF860" s="25" t="inlineStr">
        <is>
          <t>Yes</t>
        </is>
      </c>
      <c r="AG860" s="25" t="n"/>
      <c r="AH860" s="26" t="n"/>
      <c r="AI860" s="28" t="inlineStr">
        <is>
          <t>Open in EEF</t>
        </is>
      </c>
    </row>
    <row r="861" ht="22.35" customHeight="1" s="19">
      <c r="A861" s="25" t="n">
        <v>860</v>
      </c>
      <c r="B861" s="25" t="inlineStr">
        <is>
          <t>★★★☆☆</t>
        </is>
      </c>
      <c r="C861" s="25" t="inlineStr">
        <is>
          <t>3 – Adjacent (AI/data/CS/cyber/energy)</t>
        </is>
      </c>
      <c r="D861" s="25" t="inlineStr">
        <is>
          <t>AI / Data science</t>
        </is>
      </c>
      <c r="E861" s="26" t="inlineStr">
        <is>
          <t>2ème année de Master - Parcours Intelligence Artificielle, Systèmes, Données - Mathématiques</t>
        </is>
      </c>
      <c r="F861" s="26" t="inlineStr">
        <is>
          <t>Master Year 2 - – track: Artificial Intelligence, Systems, Data - Mathematics</t>
        </is>
      </c>
      <c r="G861" s="25" t="inlineStr">
        <is>
          <t>Master indifférencié (recherche et professionnel)</t>
        </is>
      </c>
      <c r="H861" s="25" t="inlineStr">
        <is>
          <t>Département MIDO (mathématiques et informatique de la décision et des organisations)</t>
        </is>
      </c>
      <c r="I861" s="25" t="inlineStr">
        <is>
          <t>Université Paris-Dauphine</t>
        </is>
      </c>
      <c r="J861" s="25" t="inlineStr">
        <is>
          <t>Site de Paris Dauphine - PSL</t>
        </is>
      </c>
      <c r="K861" s="25" t="n"/>
      <c r="L861" s="25" t="inlineStr">
        <is>
          <t>Public university</t>
        </is>
      </c>
      <c r="M861" s="25" t="inlineStr">
        <is>
          <t>English</t>
        </is>
      </c>
      <c r="N861" s="25" t="inlineStr">
        <is>
          <t>General</t>
        </is>
      </c>
      <c r="O861" s="25" t="inlineStr">
        <is>
          <t>Bac +5</t>
        </is>
      </c>
      <c r="P861" s="26" t="inlineStr">
        <is>
          <t>Requires Bac+5 (Master) – likely not eligible; ask if 4-yr BS + experience accepted</t>
        </is>
      </c>
      <c r="Q861" s="25" t="inlineStr">
        <is>
          <t>2</t>
        </is>
      </c>
      <c r="R861" s="25" t="n"/>
      <c r="S861" s="27" t="n">
        <v>3950</v>
      </c>
      <c r="T861" s="27" t="n">
        <v>255</v>
      </c>
      <c r="U861" s="25" t="n">
        <v>1</v>
      </c>
      <c r="V861" s="27">
        <f>IF(S861="","",S861*U861)</f>
        <v/>
      </c>
      <c r="W861" s="26" t="inlineStr">
        <is>
          <t>Not in catalogue. Public national master → 2026-27 differentiated fee €3,950; exemption to ~€254-255 depends on university quota (25% cap in 2027-28).</t>
        </is>
      </c>
      <c r="X861" s="25" t="inlineStr">
        <is>
          <t>Medium</t>
        </is>
      </c>
      <c r="Y861" s="25" t="n"/>
      <c r="Z861" s="26" t="n"/>
      <c r="AA861" s="26" t="n"/>
      <c r="AB861" s="25" t="n"/>
      <c r="AC861" s="25" t="inlineStr">
        <is>
          <t>Open</t>
        </is>
      </c>
      <c r="AD861" s="25" t="inlineStr">
        <is>
          <t>2026-10-01</t>
        </is>
      </c>
      <c r="AE861" s="25" t="inlineStr">
        <is>
          <t>2027-03-15</t>
        </is>
      </c>
      <c r="AF861" s="25" t="inlineStr">
        <is>
          <t>Yes</t>
        </is>
      </c>
      <c r="AG861" s="25" t="n"/>
      <c r="AH861" s="26" t="n"/>
      <c r="AI861" s="28" t="inlineStr">
        <is>
          <t>Open in EEF</t>
        </is>
      </c>
    </row>
    <row r="862" ht="22.35" customHeight="1" s="19">
      <c r="A862" s="25" t="n">
        <v>861</v>
      </c>
      <c r="B862" s="25" t="inlineStr">
        <is>
          <t>★★★☆☆</t>
        </is>
      </c>
      <c r="C862" s="25" t="inlineStr">
        <is>
          <t>3 – Adjacent (AI/data/CS/cyber/energy)</t>
        </is>
      </c>
      <c r="D862" s="25" t="inlineStr">
        <is>
          <t>AI / Data science</t>
        </is>
      </c>
      <c r="E862" s="26" t="inlineStr">
        <is>
          <t>Master indifférencié (recherche et professionnel) Biology Molecular and Cellular parcours - Artificial Intelligence and Data analysis - AIDA</t>
        </is>
      </c>
      <c r="F862" s="26" t="inlineStr">
        <is>
          <t>Biology Molecular and Cellular – track: - Artificial Intelligence and Data analysis - AIDA</t>
        </is>
      </c>
      <c r="G862" s="25" t="inlineStr">
        <is>
          <t>Master indifférencié (recherche et professionnel)</t>
        </is>
      </c>
      <c r="H862" s="25" t="inlineStr">
        <is>
          <t>Sciences et Ingénierie</t>
        </is>
      </c>
      <c r="I862" s="25" t="inlineStr">
        <is>
          <t>Sorbonne Université</t>
        </is>
      </c>
      <c r="J862" s="25" t="inlineStr">
        <is>
          <t>Site de Paris</t>
        </is>
      </c>
      <c r="K862" s="25" t="n"/>
      <c r="L862" s="25" t="inlineStr">
        <is>
          <t>Public university</t>
        </is>
      </c>
      <c r="M862" s="25" t="inlineStr">
        <is>
          <t>English</t>
        </is>
      </c>
      <c r="N862" s="25" t="inlineStr">
        <is>
          <t>Taught in English</t>
        </is>
      </c>
      <c r="O862" s="25" t="inlineStr">
        <is>
          <t>Bac +5</t>
        </is>
      </c>
      <c r="P862" s="26" t="inlineStr">
        <is>
          <t>Requires Bac+5 (Master) – likely not eligible; ask if 4-yr BS + experience accepted</t>
        </is>
      </c>
      <c r="Q862" s="25" t="inlineStr">
        <is>
          <t>2</t>
        </is>
      </c>
      <c r="R862" s="25" t="n"/>
      <c r="S862" s="27" t="n">
        <v>3950</v>
      </c>
      <c r="T862" s="27" t="n">
        <v>255</v>
      </c>
      <c r="U862" s="25" t="n">
        <v>1</v>
      </c>
      <c r="V862" s="27">
        <f>IF(S862="","",S862*U862)</f>
        <v/>
      </c>
      <c r="W862" s="26" t="inlineStr">
        <is>
          <t>Not in catalogue. Public national master → 2026-27 differentiated fee €3,950; exemption to ~€254-255 depends on university quota (25% cap in 2027-28).</t>
        </is>
      </c>
      <c r="X862" s="25" t="inlineStr">
        <is>
          <t>Medium</t>
        </is>
      </c>
      <c r="Y862" s="25" t="n"/>
      <c r="Z862" s="26" t="n"/>
      <c r="AA862" s="26" t="inlineStr">
        <is>
          <t>Board vote 7 Jul 2026: Sorbonne Université says it can exempt all eligible non-EU applicants (pay same as EU, ~€254) for 2026-27.</t>
        </is>
      </c>
      <c r="AB862" s="28" t="inlineStr">
        <is>
          <t>https://www.sorbonne-universite.fr/actualites/le-conseil-dadministration-de-sorbonne-universite-vote-lunanimite-le-7-juillet-2026-sa</t>
        </is>
      </c>
      <c r="AC862" s="25" t="inlineStr">
        <is>
          <t>Open</t>
        </is>
      </c>
      <c r="AD862" s="25" t="inlineStr">
        <is>
          <t>2026-10-01</t>
        </is>
      </c>
      <c r="AE862" s="25" t="inlineStr">
        <is>
          <t>2027-03-15</t>
        </is>
      </c>
      <c r="AF862" s="25" t="inlineStr">
        <is>
          <t>No</t>
        </is>
      </c>
      <c r="AG862" s="28" t="inlineStr">
        <is>
          <t>https://sciences.sorbonne-universite.fr/formation-sciences/offre-de-formation/masters/master-biologie-moleculaire-et-cellulaire-bmc/m2-artificial-intelligence-and-data-analysis</t>
        </is>
      </c>
      <c r="AH862" s="26" t="n"/>
      <c r="AI862" s="28" t="inlineStr">
        <is>
          <t>Open in EEF</t>
        </is>
      </c>
    </row>
    <row r="863" ht="32.8" customHeight="1" s="19">
      <c r="A863" s="25" t="n">
        <v>862</v>
      </c>
      <c r="B863" s="25" t="inlineStr">
        <is>
          <t>★★★☆☆</t>
        </is>
      </c>
      <c r="C863" s="25" t="inlineStr">
        <is>
          <t>3 – Adjacent (AI/data/CS/cyber/energy)</t>
        </is>
      </c>
      <c r="D863" s="25" t="inlineStr">
        <is>
          <t>Bioinformatics</t>
        </is>
      </c>
      <c r="E863" s="26" t="inlineStr">
        <is>
          <t>Master indifférencié (recherche et professionnel) Computer Science Master of Computer Science - Bioinformatics and modeling (BIMM)</t>
        </is>
      </c>
      <c r="F863" s="26" t="inlineStr">
        <is>
          <t>Computer Science Master of Computer Science - Bioinformatics and modeling (BIMM)</t>
        </is>
      </c>
      <c r="G863" s="25" t="inlineStr">
        <is>
          <t>Master indifférencié (recherche et professionnel)</t>
        </is>
      </c>
      <c r="H863" s="25" t="inlineStr">
        <is>
          <t>Sciences et Ingénierie</t>
        </is>
      </c>
      <c r="I863" s="25" t="inlineStr">
        <is>
          <t>Sorbonne Université</t>
        </is>
      </c>
      <c r="J863" s="25" t="inlineStr">
        <is>
          <t>Site de Paris</t>
        </is>
      </c>
      <c r="K863" s="25" t="n"/>
      <c r="L863" s="25" t="inlineStr">
        <is>
          <t>Public university</t>
        </is>
      </c>
      <c r="M863" s="25" t="inlineStr">
        <is>
          <t>English</t>
        </is>
      </c>
      <c r="N863" s="25" t="inlineStr">
        <is>
          <t>Taught in English</t>
        </is>
      </c>
      <c r="O863" s="25" t="inlineStr">
        <is>
          <t>Bac +5</t>
        </is>
      </c>
      <c r="P863" s="26" t="inlineStr">
        <is>
          <t>Requires Bac+5 (Master) – likely not eligible; ask if 4-yr BS + experience accepted</t>
        </is>
      </c>
      <c r="Q863" s="25" t="inlineStr">
        <is>
          <t>2</t>
        </is>
      </c>
      <c r="R863" s="25" t="n"/>
      <c r="S863" s="27" t="n">
        <v>3950</v>
      </c>
      <c r="T863" s="27" t="n">
        <v>255</v>
      </c>
      <c r="U863" s="25" t="n">
        <v>1</v>
      </c>
      <c r="V863" s="27">
        <f>IF(S863="","",S863*U863)</f>
        <v/>
      </c>
      <c r="W863" s="26" t="inlineStr">
        <is>
          <t>Not in catalogue. Public national master → 2026-27 differentiated fee €3,950; exemption to ~€254-255 depends on university quota (25% cap in 2027-28).</t>
        </is>
      </c>
      <c r="X863" s="25" t="inlineStr">
        <is>
          <t>Medium</t>
        </is>
      </c>
      <c r="Y863" s="25" t="n"/>
      <c r="Z863" s="26" t="n"/>
      <c r="AA863" s="26" t="inlineStr">
        <is>
          <t>Board vote 7 Jul 2026: Sorbonne Université says it can exempt all eligible non-EU applicants (pay same as EU, ~€254) for 2026-27.</t>
        </is>
      </c>
      <c r="AB863" s="28" t="inlineStr">
        <is>
          <t>https://www.sorbonne-universite.fr/actualites/le-conseil-dadministration-de-sorbonne-universite-vote-lunanimite-le-7-juillet-2026-sa</t>
        </is>
      </c>
      <c r="AC863" s="25" t="inlineStr">
        <is>
          <t>Open</t>
        </is>
      </c>
      <c r="AD863" s="25" t="inlineStr">
        <is>
          <t>2026-10-01</t>
        </is>
      </c>
      <c r="AE863" s="25" t="inlineStr">
        <is>
          <t>2027-03-15</t>
        </is>
      </c>
      <c r="AF863" s="25" t="inlineStr">
        <is>
          <t>No</t>
        </is>
      </c>
      <c r="AG863" s="28" t="inlineStr">
        <is>
          <t>https://sciences.sorbonne-universite.fr/masters/master-informatique</t>
        </is>
      </c>
      <c r="AH863" s="26" t="inlineStr">
        <is>
          <t>Proportion (%) taught in English: 25% Admission Bachelor degree in either Computer Science or Mathematics. Other degrees will also be considered, such as chemistry, physics and biology, after examination of the applicati</t>
        </is>
      </c>
      <c r="AI863" s="28" t="inlineStr">
        <is>
          <t>Open in EEF</t>
        </is>
      </c>
    </row>
    <row r="864" ht="22.35" customHeight="1" s="19">
      <c r="A864" s="25" t="n">
        <v>863</v>
      </c>
      <c r="B864" s="25" t="inlineStr">
        <is>
          <t>★★★☆☆</t>
        </is>
      </c>
      <c r="C864" s="25" t="inlineStr">
        <is>
          <t>3 – Adjacent (AI/data/CS/cyber/energy)</t>
        </is>
      </c>
      <c r="D864" s="25" t="inlineStr">
        <is>
          <t>Computer science / Software</t>
        </is>
      </c>
      <c r="E864" s="26" t="inlineStr">
        <is>
          <t>Master indifférencié (recherche et professionnel) mention Physique parcours Quantum Information</t>
        </is>
      </c>
      <c r="F864" s="26" t="inlineStr">
        <is>
          <t>major: Physics – track: Quantum Information</t>
        </is>
      </c>
      <c r="G864" s="25" t="inlineStr">
        <is>
          <t>Master indifférencié (recherche et professionnel)</t>
        </is>
      </c>
      <c r="H864" s="25" t="inlineStr">
        <is>
          <t>Sciences et Ingénierie</t>
        </is>
      </c>
      <c r="I864" s="25" t="inlineStr">
        <is>
          <t>Sorbonne Université</t>
        </is>
      </c>
      <c r="J864" s="25" t="inlineStr">
        <is>
          <t>Site de Paris</t>
        </is>
      </c>
      <c r="K864" s="25" t="n"/>
      <c r="L864" s="25" t="inlineStr">
        <is>
          <t>Public university</t>
        </is>
      </c>
      <c r="M864" s="25" t="inlineStr">
        <is>
          <t>English</t>
        </is>
      </c>
      <c r="N864" s="25" t="inlineStr">
        <is>
          <t>Taught in English</t>
        </is>
      </c>
      <c r="O864" s="25" t="inlineStr">
        <is>
          <t>Bac +5</t>
        </is>
      </c>
      <c r="P864" s="26" t="inlineStr">
        <is>
          <t>Requires Bac+5 (Master) – likely not eligible; ask if 4-yr BS + experience accepted</t>
        </is>
      </c>
      <c r="Q864" s="25" t="inlineStr">
        <is>
          <t>2</t>
        </is>
      </c>
      <c r="R864" s="25" t="n"/>
      <c r="S864" s="27" t="n">
        <v>3950</v>
      </c>
      <c r="T864" s="27" t="n">
        <v>255</v>
      </c>
      <c r="U864" s="25" t="n">
        <v>1</v>
      </c>
      <c r="V864" s="27">
        <f>IF(S864="","",S864*U864)</f>
        <v/>
      </c>
      <c r="W864" s="26" t="inlineStr">
        <is>
          <t>Not in catalogue. Public national master → 2026-27 differentiated fee €3,950; exemption to ~€254-255 depends on university quota (25% cap in 2027-28).</t>
        </is>
      </c>
      <c r="X864" s="25" t="inlineStr">
        <is>
          <t>Medium</t>
        </is>
      </c>
      <c r="Y864" s="25" t="n"/>
      <c r="Z864" s="26" t="n"/>
      <c r="AA864" s="26" t="inlineStr">
        <is>
          <t>Board vote 7 Jul 2026: Sorbonne Université says it can exempt all eligible non-EU applicants (pay same as EU, ~€254) for 2026-27.</t>
        </is>
      </c>
      <c r="AB864" s="28" t="inlineStr">
        <is>
          <t>https://www.sorbonne-universite.fr/actualites/le-conseil-dadministration-de-sorbonne-universite-vote-lunanimite-le-7-juillet-2026-sa</t>
        </is>
      </c>
      <c r="AC864" s="25" t="inlineStr">
        <is>
          <t>Open</t>
        </is>
      </c>
      <c r="AD864" s="25" t="inlineStr">
        <is>
          <t>2026-10-01</t>
        </is>
      </c>
      <c r="AE864" s="25" t="inlineStr">
        <is>
          <t>2027-03-15</t>
        </is>
      </c>
      <c r="AF864" s="25" t="inlineStr">
        <is>
          <t>No</t>
        </is>
      </c>
      <c r="AG864" s="28" t="inlineStr">
        <is>
          <t>https://sciences.sorbonne-universite.fr/formation-sciences/masters/master-physique-fondamentale-et-applications</t>
        </is>
      </c>
      <c r="AH864" s="26" t="inlineStr">
        <is>
          <t>OUI</t>
        </is>
      </c>
      <c r="AI864" s="28" t="inlineStr">
        <is>
          <t>Open in EEF</t>
        </is>
      </c>
    </row>
    <row r="865" ht="43.25" customHeight="1" s="19">
      <c r="A865" s="25" t="n">
        <v>864</v>
      </c>
      <c r="B865" s="25" t="inlineStr">
        <is>
          <t>★★★☆☆</t>
        </is>
      </c>
      <c r="C865" s="25" t="inlineStr">
        <is>
          <t>3 – Adjacent (AI/data/CS/cyber/energy)</t>
        </is>
      </c>
      <c r="D865" s="25" t="inlineStr">
        <is>
          <t>Cybersecurity</t>
        </is>
      </c>
      <c r="E865" s="26" t="inlineStr">
        <is>
          <t>Master indifférencié (recherche et professionnel) parcours Master of Science in Applied Mathematics - in CyberSecurity (CySec)</t>
        </is>
      </c>
      <c r="F865" s="26" t="inlineStr">
        <is>
          <t>track: Master of Science in Applied Mathematics - in CyberSecurity (CySec)</t>
        </is>
      </c>
      <c r="G865" s="25" t="inlineStr">
        <is>
          <t>Master indifférencié (recherche et professionnel)</t>
        </is>
      </c>
      <c r="H865" s="25" t="inlineStr">
        <is>
          <t>Ecole nationale supérieure d'informatique et de mathématiques appliquées (Ensimag) - Grenoble INP</t>
        </is>
      </c>
      <c r="I865" s="25" t="inlineStr">
        <is>
          <t>Grenoble INP</t>
        </is>
      </c>
      <c r="J865" s="25" t="inlineStr">
        <is>
          <t>Site de Saint-Martin-d'Hères</t>
        </is>
      </c>
      <c r="K865" s="25" t="n"/>
      <c r="L865" s="25" t="inlineStr">
        <is>
          <t>Public school / institute</t>
        </is>
      </c>
      <c r="M865" s="25" t="inlineStr">
        <is>
          <t>English</t>
        </is>
      </c>
      <c r="N865" s="25" t="inlineStr">
        <is>
          <t>Taught in English</t>
        </is>
      </c>
      <c r="O865" s="25" t="inlineStr">
        <is>
          <t>Bac +5</t>
        </is>
      </c>
      <c r="P865" s="26" t="inlineStr">
        <is>
          <t>Requires Bac+5 (Master) – likely not eligible; ask if 4-yr BS + experience accepted</t>
        </is>
      </c>
      <c r="Q865" s="25" t="inlineStr">
        <is>
          <t>2</t>
        </is>
      </c>
      <c r="R865" s="25" t="n"/>
      <c r="S865" s="27" t="n">
        <v>3950</v>
      </c>
      <c r="T865" s="27" t="n">
        <v>255</v>
      </c>
      <c r="U865" s="25" t="n">
        <v>1</v>
      </c>
      <c r="V865" s="27">
        <f>IF(S865="","",S865*U865)</f>
        <v/>
      </c>
      <c r="W865" s="26" t="inlineStr">
        <is>
          <t>Not in catalogue. Public national master → 2026-27 differentiated fee €3,950; exemption to ~€254-255 depends on university quota (25% cap in 2027-28).</t>
        </is>
      </c>
      <c r="X865" s="25" t="inlineStr">
        <is>
          <t>Medium</t>
        </is>
      </c>
      <c r="Y865" s="25" t="n"/>
      <c r="Z865" s="26" t="n"/>
      <c r="AA865" s="26" t="inlineStr">
        <is>
          <t>UGA (incl. Grenoble INP masters): 2026-27 broad exemptions on request (pay national €254). From 2027-28 the decree caps apply; exemptions based on resources.</t>
        </is>
      </c>
      <c r="AB865" s="28" t="inlineStr">
        <is>
          <t>https://www.univ-grenoble-alpes.fr/actualites/a-la-une/actualites-universite/etudiants-internationaux-ce-que-change-le-nouveau-decret-sur-les-droits-d-inscription-a-l-uga-1775870.kjsp</t>
        </is>
      </c>
      <c r="AC865" s="25" t="inlineStr">
        <is>
          <t>Open</t>
        </is>
      </c>
      <c r="AD865" s="25" t="inlineStr">
        <is>
          <t>2026-10-01</t>
        </is>
      </c>
      <c r="AE865" s="25" t="inlineStr">
        <is>
          <t>2027-03-15</t>
        </is>
      </c>
      <c r="AF865" s="25" t="inlineStr">
        <is>
          <t>Yes</t>
        </is>
      </c>
      <c r="AG865" s="28" t="inlineStr">
        <is>
          <t>https://casys.gricad-pages.univ-grenoble-alpes.fr/cybersec/</t>
        </is>
      </c>
      <c r="AH865" s="26" t="inlineStr">
        <is>
          <t>***PAGE EN COURS D'ACTUALISATION POUR LA RENTREE UNIVERSITAIRE 2027- 2028 **** (PAGE CURRENTLY BEING UPDATED FOR THE 2027–2028 ACADEMIC YEAR) Before applying, it is important to check the cost of the programme as well as</t>
        </is>
      </c>
      <c r="AI865" s="28" t="inlineStr">
        <is>
          <t>Open in EEF</t>
        </is>
      </c>
    </row>
    <row r="866" ht="32.8" customHeight="1" s="19">
      <c r="A866" s="25" t="n">
        <v>865</v>
      </c>
      <c r="B866" s="25" t="inlineStr">
        <is>
          <t>★★★☆☆</t>
        </is>
      </c>
      <c r="C866" s="25" t="inlineStr">
        <is>
          <t>3 – Adjacent (AI/data/CS/cyber/energy)</t>
        </is>
      </c>
      <c r="D866" s="25" t="inlineStr">
        <is>
          <t>Computer science / Software</t>
        </is>
      </c>
      <c r="E866" s="26" t="inlineStr">
        <is>
          <t>Master indifférencié (recherche et professionnel) parcours Master of Science in Informatics - in Operations Research, Combinatorics and Optimization (ORCO)</t>
        </is>
      </c>
      <c r="F866" s="26" t="inlineStr">
        <is>
          <t>track: Master of Science in Informatics - in Operations Research, Combinatorics and Optimization (ORCO)</t>
        </is>
      </c>
      <c r="G866" s="25" t="inlineStr">
        <is>
          <t>Master indifférencié (recherche et professionnel)</t>
        </is>
      </c>
      <c r="H866" s="25" t="inlineStr">
        <is>
          <t>Ecole nationale supérieure d'informatique et de mathématiques appliquées (Ensimag) - Grenoble INP</t>
        </is>
      </c>
      <c r="I866" s="25" t="inlineStr">
        <is>
          <t>Grenoble INP</t>
        </is>
      </c>
      <c r="J866" s="25" t="inlineStr">
        <is>
          <t>Site de Saint-Martin-d'Hères</t>
        </is>
      </c>
      <c r="K866" s="25" t="n"/>
      <c r="L866" s="25" t="inlineStr">
        <is>
          <t>Public school / institute</t>
        </is>
      </c>
      <c r="M866" s="25" t="inlineStr">
        <is>
          <t>English</t>
        </is>
      </c>
      <c r="N866" s="25" t="inlineStr">
        <is>
          <t>Taught in English</t>
        </is>
      </c>
      <c r="O866" s="25" t="inlineStr">
        <is>
          <t>Bac +5</t>
        </is>
      </c>
      <c r="P866" s="26" t="inlineStr">
        <is>
          <t>Requires Bac+5 (Master) – likely not eligible; ask if 4-yr BS + experience accepted</t>
        </is>
      </c>
      <c r="Q866" s="25" t="inlineStr">
        <is>
          <t>2</t>
        </is>
      </c>
      <c r="R866" s="25" t="n"/>
      <c r="S866" s="27" t="n">
        <v>3950</v>
      </c>
      <c r="T866" s="27" t="n">
        <v>255</v>
      </c>
      <c r="U866" s="25" t="n">
        <v>1</v>
      </c>
      <c r="V866" s="27">
        <f>IF(S866="","",S866*U866)</f>
        <v/>
      </c>
      <c r="W866" s="26" t="inlineStr">
        <is>
          <t>Not in catalogue. Public national master → 2026-27 differentiated fee €3,950; exemption to ~€254-255 depends on university quota (25% cap in 2027-28).</t>
        </is>
      </c>
      <c r="X866" s="25" t="inlineStr">
        <is>
          <t>Medium</t>
        </is>
      </c>
      <c r="Y866" s="25" t="n"/>
      <c r="Z866" s="26" t="n"/>
      <c r="AA866" s="26" t="inlineStr">
        <is>
          <t>UGA (incl. Grenoble INP masters): 2026-27 broad exemptions on request (pay national €254). From 2027-28 the decree caps apply; exemptions based on resources.</t>
        </is>
      </c>
      <c r="AB866" s="28" t="inlineStr">
        <is>
          <t>https://www.univ-grenoble-alpes.fr/actualites/a-la-une/actualites-universite/etudiants-internationaux-ce-que-change-le-nouveau-decret-sur-les-droits-d-inscription-a-l-uga-1775870.kjsp</t>
        </is>
      </c>
      <c r="AC866" s="25" t="inlineStr">
        <is>
          <t>Open</t>
        </is>
      </c>
      <c r="AD866" s="25" t="inlineStr">
        <is>
          <t>2026-10-01</t>
        </is>
      </c>
      <c r="AE866" s="25" t="inlineStr">
        <is>
          <t>2027-03-15</t>
        </is>
      </c>
      <c r="AF866" s="25" t="inlineStr">
        <is>
          <t>Yes</t>
        </is>
      </c>
      <c r="AG866" s="28" t="inlineStr">
        <is>
          <t>http://orco.imag.fr/</t>
        </is>
      </c>
      <c r="AH866" s="26" t="inlineStr">
        <is>
          <t>**** PAGE CURRENTLY BEING UPDATED FOR THE 2027–2028 ACADEMIC YEAR*** Before applying, it is important to check the cost of the programme as well as the level of financial resources required for your year of study in Fran</t>
        </is>
      </c>
      <c r="AI866" s="28" t="inlineStr">
        <is>
          <t>Open in EEF</t>
        </is>
      </c>
    </row>
    <row r="867" ht="32.8" customHeight="1" s="19">
      <c r="A867" s="25" t="n">
        <v>866</v>
      </c>
      <c r="B867" s="25" t="inlineStr">
        <is>
          <t>★★★☆☆</t>
        </is>
      </c>
      <c r="C867" s="25" t="inlineStr">
        <is>
          <t>3 – Adjacent (AI/data/CS/cyber/energy)</t>
        </is>
      </c>
      <c r="D867" s="25" t="inlineStr">
        <is>
          <t>Cybersecurity</t>
        </is>
      </c>
      <c r="E867" s="26" t="inlineStr">
        <is>
          <t>Master indifférencié (recherche et professionnel) parcours Master of Science in Informatics - in CyberSecurity (CySec)</t>
        </is>
      </c>
      <c r="F867" s="26" t="inlineStr">
        <is>
          <t>track: Master of Science in Informatics - in CyberSecurity (CySec)</t>
        </is>
      </c>
      <c r="G867" s="25" t="inlineStr">
        <is>
          <t>Master indifférencié (recherche et professionnel)</t>
        </is>
      </c>
      <c r="H867" s="25" t="inlineStr">
        <is>
          <t>Ecole nationale supérieure d'informatique et de mathématiques appliquées (Ensimag) - Grenoble INP</t>
        </is>
      </c>
      <c r="I867" s="25" t="inlineStr">
        <is>
          <t>Grenoble INP</t>
        </is>
      </c>
      <c r="J867" s="25" t="inlineStr">
        <is>
          <t>Site de Saint-Martin-d'Hères</t>
        </is>
      </c>
      <c r="K867" s="25" t="n"/>
      <c r="L867" s="25" t="inlineStr">
        <is>
          <t>Public school / institute</t>
        </is>
      </c>
      <c r="M867" s="25" t="inlineStr">
        <is>
          <t>English</t>
        </is>
      </c>
      <c r="N867" s="25" t="inlineStr">
        <is>
          <t>Taught in English</t>
        </is>
      </c>
      <c r="O867" s="25" t="inlineStr">
        <is>
          <t>Bac +5</t>
        </is>
      </c>
      <c r="P867" s="26" t="inlineStr">
        <is>
          <t>Requires Bac+5 (Master) – likely not eligible; ask if 4-yr BS + experience accepted</t>
        </is>
      </c>
      <c r="Q867" s="25" t="inlineStr">
        <is>
          <t>2</t>
        </is>
      </c>
      <c r="R867" s="25" t="n"/>
      <c r="S867" s="27" t="n">
        <v>3950</v>
      </c>
      <c r="T867" s="27" t="n">
        <v>255</v>
      </c>
      <c r="U867" s="25" t="n">
        <v>1</v>
      </c>
      <c r="V867" s="27">
        <f>IF(S867="","",S867*U867)</f>
        <v/>
      </c>
      <c r="W867" s="26" t="inlineStr">
        <is>
          <t>Not in catalogue. Public national master → 2026-27 differentiated fee €3,950; exemption to ~€254-255 depends on university quota (25% cap in 2027-28).</t>
        </is>
      </c>
      <c r="X867" s="25" t="inlineStr">
        <is>
          <t>Medium</t>
        </is>
      </c>
      <c r="Y867" s="25" t="n"/>
      <c r="Z867" s="26" t="n"/>
      <c r="AA867" s="26" t="inlineStr">
        <is>
          <t>UGA (incl. Grenoble INP masters): 2026-27 broad exemptions on request (pay national €254). From 2027-28 the decree caps apply; exemptions based on resources.</t>
        </is>
      </c>
      <c r="AB867" s="28" t="inlineStr">
        <is>
          <t>https://www.univ-grenoble-alpes.fr/actualites/a-la-une/actualites-universite/etudiants-internationaux-ce-que-change-le-nouveau-decret-sur-les-droits-d-inscription-a-l-uga-1775870.kjsp</t>
        </is>
      </c>
      <c r="AC867" s="25" t="inlineStr">
        <is>
          <t>Open</t>
        </is>
      </c>
      <c r="AD867" s="25" t="inlineStr">
        <is>
          <t>2026-10-01</t>
        </is>
      </c>
      <c r="AE867" s="25" t="inlineStr">
        <is>
          <t>2027-03-15</t>
        </is>
      </c>
      <c r="AF867" s="25" t="inlineStr">
        <is>
          <t>Yes</t>
        </is>
      </c>
      <c r="AG867" s="28" t="inlineStr">
        <is>
          <t>https://casys.gricad-pages.univ-grenoble-alpes.fr/cybersec/</t>
        </is>
      </c>
      <c r="AH867" s="26" t="inlineStr">
        <is>
          <t>***PAGE CURRENTLY BEING UPDATED FOR THE 2027–2028 ACADEMIC YEAR*** Before applying, it is important to check the cost of the programme as well as the level of financial resources required for your year of study in France</t>
        </is>
      </c>
      <c r="AI867" s="28" t="inlineStr">
        <is>
          <t>Open in EEF</t>
        </is>
      </c>
    </row>
    <row r="868" ht="32.8" customHeight="1" s="19">
      <c r="A868" s="25" t="n">
        <v>867</v>
      </c>
      <c r="B868" s="25" t="inlineStr">
        <is>
          <t>★★★☆☆</t>
        </is>
      </c>
      <c r="C868" s="25" t="inlineStr">
        <is>
          <t>3 – Adjacent (AI/data/CS/cyber/energy)</t>
        </is>
      </c>
      <c r="D868" s="25" t="inlineStr">
        <is>
          <t>AI / Data science</t>
        </is>
      </c>
      <c r="E868" s="26" t="inlineStr">
        <is>
          <t>Master indifférencié (recherche et professionnel) Sciences, Technologies, Santé mention Informatique parcours Artificial Intelligence and Applications</t>
        </is>
      </c>
      <c r="F868" s="26" t="inlineStr">
        <is>
          <t>Science, Technology, Health (STS) – major: Computer Science – track: Artificial Intelligence and Applications</t>
        </is>
      </c>
      <c r="G868" s="25" t="inlineStr">
        <is>
          <t>Master indifférencié (recherche et professionnel)</t>
        </is>
      </c>
      <c r="H868" s="25" t="inlineStr">
        <is>
          <t>UFR d'informatique, mathématiques et mathématiques appliquées</t>
        </is>
      </c>
      <c r="I868" s="25" t="inlineStr">
        <is>
          <t>Université de Grenoble Alpes</t>
        </is>
      </c>
      <c r="J868" s="25" t="inlineStr">
        <is>
          <t>Site de Grenoble - Campus de Saint Martin d'Hères</t>
        </is>
      </c>
      <c r="K868" s="25" t="n"/>
      <c r="L868" s="25" t="inlineStr">
        <is>
          <t>Public university</t>
        </is>
      </c>
      <c r="M868" s="25" t="inlineStr">
        <is>
          <t>English</t>
        </is>
      </c>
      <c r="N868" s="25" t="inlineStr">
        <is>
          <t>Taught in English</t>
        </is>
      </c>
      <c r="O868" s="25" t="inlineStr">
        <is>
          <t>Bac +5</t>
        </is>
      </c>
      <c r="P868" s="26" t="inlineStr">
        <is>
          <t>Requires Bac+5 (Master) – likely not eligible; ask if 4-yr BS + experience accepted</t>
        </is>
      </c>
      <c r="Q868" s="25" t="inlineStr">
        <is>
          <t>2</t>
        </is>
      </c>
      <c r="R868" s="25" t="n"/>
      <c r="S868" s="27" t="n">
        <v>3950</v>
      </c>
      <c r="T868" s="27" t="n">
        <v>255</v>
      </c>
      <c r="U868" s="25" t="n">
        <v>1</v>
      </c>
      <c r="V868" s="27">
        <f>IF(S868="","",S868*U868)</f>
        <v/>
      </c>
      <c r="W868" s="26" t="inlineStr">
        <is>
          <t>Not in catalogue. Public national master → 2026-27 differentiated fee €3,950; exemption to ~€254-255 depends on university quota (25% cap in 2027-28).</t>
        </is>
      </c>
      <c r="X868" s="25" t="inlineStr">
        <is>
          <t>Medium</t>
        </is>
      </c>
      <c r="Y868" s="25" t="n"/>
      <c r="Z868" s="26" t="n"/>
      <c r="AA868" s="26" t="inlineStr">
        <is>
          <t>UGA (incl. Grenoble INP masters): 2026-27 broad exemptions on request (pay national €254). From 2027-28 the decree caps apply; exemptions based on resources.</t>
        </is>
      </c>
      <c r="AB868" s="28" t="inlineStr">
        <is>
          <t>https://www.univ-grenoble-alpes.fr/actualites/a-la-une/actualites-universite/etudiants-internationaux-ce-que-change-le-nouveau-decret-sur-les-droits-d-inscription-a-l-uga-1775870.kjsp</t>
        </is>
      </c>
      <c r="AC868" s="25" t="inlineStr">
        <is>
          <t>Open</t>
        </is>
      </c>
      <c r="AD868" s="25" t="inlineStr">
        <is>
          <t>2026-10-01</t>
        </is>
      </c>
      <c r="AE868" s="25" t="inlineStr">
        <is>
          <t>2027-03-15</t>
        </is>
      </c>
      <c r="AF868" s="25" t="inlineStr">
        <is>
          <t>Yes</t>
        </is>
      </c>
      <c r="AG868" s="28" t="inlineStr">
        <is>
          <t>https://mosig-m2-592ef6.gricad-pages.univ-grenoble-alpes.fr/applied_ai/</t>
        </is>
      </c>
      <c r="AH868" s="26" t="inlineStr">
        <is>
          <t>To be admitted to the program, candidates must have previously completed their undergraduate studies and been awarded a Bachelor degree (or or an equivalent degree) in computer science, computer engineering, mathematics</t>
        </is>
      </c>
      <c r="AI868" s="28" t="inlineStr">
        <is>
          <t>Open in EEF</t>
        </is>
      </c>
    </row>
    <row r="869" ht="32.8" customHeight="1" s="19">
      <c r="A869" s="25" t="n">
        <v>868</v>
      </c>
      <c r="B869" s="25" t="inlineStr">
        <is>
          <t>★★★☆☆</t>
        </is>
      </c>
      <c r="C869" s="25" t="inlineStr">
        <is>
          <t>3 – Adjacent (AI/data/CS/cyber/energy)</t>
        </is>
      </c>
      <c r="D869" s="25" t="inlineStr">
        <is>
          <t>AI / Data science</t>
        </is>
      </c>
      <c r="E869" s="26" t="inlineStr">
        <is>
          <t>Master indifférencié (recherche et professionnel) Sciences, Technologies, Santé mention Informatique parcours Cloud Computing and Data Infrastructures</t>
        </is>
      </c>
      <c r="F869" s="26" t="inlineStr">
        <is>
          <t>Science, Technology, Health (STS) – major: Computer Science – track: Cloud Computing and Data Infrastructures</t>
        </is>
      </c>
      <c r="G869" s="25" t="inlineStr">
        <is>
          <t>Master indifférencié (recherche et professionnel)</t>
        </is>
      </c>
      <c r="H869" s="25" t="inlineStr">
        <is>
          <t>UFR d'informatique, mathématiques et mathématiques appliquées</t>
        </is>
      </c>
      <c r="I869" s="25" t="inlineStr">
        <is>
          <t>Université de Grenoble Alpes</t>
        </is>
      </c>
      <c r="J869" s="25" t="inlineStr">
        <is>
          <t>Site de Grenoble - Campus de Saint Martin d'Hères</t>
        </is>
      </c>
      <c r="K869" s="25" t="n"/>
      <c r="L869" s="25" t="inlineStr">
        <is>
          <t>Public university</t>
        </is>
      </c>
      <c r="M869" s="25" t="inlineStr">
        <is>
          <t>English</t>
        </is>
      </c>
      <c r="N869" s="25" t="inlineStr">
        <is>
          <t>Taught in English</t>
        </is>
      </c>
      <c r="O869" s="25" t="inlineStr">
        <is>
          <t>Bac +5</t>
        </is>
      </c>
      <c r="P869" s="26" t="inlineStr">
        <is>
          <t>Requires Bac+5 (Master) – likely not eligible; ask if 4-yr BS + experience accepted</t>
        </is>
      </c>
      <c r="Q869" s="25" t="inlineStr">
        <is>
          <t>2</t>
        </is>
      </c>
      <c r="R869" s="25" t="n"/>
      <c r="S869" s="27" t="n">
        <v>3950</v>
      </c>
      <c r="T869" s="27" t="n">
        <v>255</v>
      </c>
      <c r="U869" s="25" t="n">
        <v>1</v>
      </c>
      <c r="V869" s="27">
        <f>IF(S869="","",S869*U869)</f>
        <v/>
      </c>
      <c r="W869" s="26" t="inlineStr">
        <is>
          <t>Not in catalogue. Public national master → 2026-27 differentiated fee €3,950; exemption to ~€254-255 depends on university quota (25% cap in 2027-28).</t>
        </is>
      </c>
      <c r="X869" s="25" t="inlineStr">
        <is>
          <t>Medium</t>
        </is>
      </c>
      <c r="Y869" s="25" t="n"/>
      <c r="Z869" s="26" t="n"/>
      <c r="AA869" s="26" t="inlineStr">
        <is>
          <t>UGA (incl. Grenoble INP masters): 2026-27 broad exemptions on request (pay national €254). From 2027-28 the decree caps apply; exemptions based on resources.</t>
        </is>
      </c>
      <c r="AB869" s="28" t="inlineStr">
        <is>
          <t>https://www.univ-grenoble-alpes.fr/actualites/a-la-une/actualites-universite/etudiants-internationaux-ce-que-change-le-nouveau-decret-sur-les-droits-d-inscription-a-l-uga-1775870.kjsp</t>
        </is>
      </c>
      <c r="AC869" s="25" t="inlineStr">
        <is>
          <t>Open</t>
        </is>
      </c>
      <c r="AD869" s="25" t="inlineStr">
        <is>
          <t>2026-10-01</t>
        </is>
      </c>
      <c r="AE869" s="25" t="inlineStr">
        <is>
          <t>2027-03-15</t>
        </is>
      </c>
      <c r="AF869" s="25" t="inlineStr">
        <is>
          <t>No</t>
        </is>
      </c>
      <c r="AG869" s="28" t="inlineStr">
        <is>
          <t>https://mosig-m2-592ef6.gricad-pages.univ-grenoble-alpes.fr/ccdi/</t>
        </is>
      </c>
      <c r="AH869" s="26" t="inlineStr">
        <is>
          <t>To be admitted to the program, candidates must have previously completed their undergraduate studies and been awarded a Bachelor degree (or an equivalent degree) in computer science, computer engineering, mathematics , a</t>
        </is>
      </c>
      <c r="AI869" s="28" t="inlineStr">
        <is>
          <t>Open in EEF</t>
        </is>
      </c>
    </row>
    <row r="870" ht="32.8" customHeight="1" s="19">
      <c r="A870" s="25" t="n">
        <v>869</v>
      </c>
      <c r="B870" s="25" t="inlineStr">
        <is>
          <t>★★★☆☆</t>
        </is>
      </c>
      <c r="C870" s="25" t="inlineStr">
        <is>
          <t>3 – Adjacent (AI/data/CS/cyber/energy)</t>
        </is>
      </c>
      <c r="D870" s="25" t="inlineStr">
        <is>
          <t>Computer science / Software</t>
        </is>
      </c>
      <c r="E870" s="26" t="inlineStr">
        <is>
          <t>Master indifférencié (recherche et professionnel) Sciences, Technologies, Santé mention Informatique parcours Operations Research, Combinatorics and Optimization</t>
        </is>
      </c>
      <c r="F870" s="26" t="inlineStr">
        <is>
          <t>Science, Technology, Health (STS) – major: Computer Science – track: Operations Research, Combinatorics and Optimization</t>
        </is>
      </c>
      <c r="G870" s="25" t="inlineStr">
        <is>
          <t>Master indifférencié (recherche et professionnel)</t>
        </is>
      </c>
      <c r="H870" s="25" t="inlineStr">
        <is>
          <t>UFR d'informatique, mathématiques et mathématiques appliquées</t>
        </is>
      </c>
      <c r="I870" s="25" t="inlineStr">
        <is>
          <t>Université de Grenoble Alpes</t>
        </is>
      </c>
      <c r="J870" s="25" t="inlineStr">
        <is>
          <t>Site de Grenoble - Campus de Saint Martin d'Hères</t>
        </is>
      </c>
      <c r="K870" s="25" t="n"/>
      <c r="L870" s="25" t="inlineStr">
        <is>
          <t>Public university</t>
        </is>
      </c>
      <c r="M870" s="25" t="inlineStr">
        <is>
          <t>English</t>
        </is>
      </c>
      <c r="N870" s="25" t="inlineStr">
        <is>
          <t>Taught in English</t>
        </is>
      </c>
      <c r="O870" s="25" t="inlineStr">
        <is>
          <t>Bac +5</t>
        </is>
      </c>
      <c r="P870" s="26" t="inlineStr">
        <is>
          <t>Requires Bac+5 (Master) – likely not eligible; ask if 4-yr BS + experience accepted</t>
        </is>
      </c>
      <c r="Q870" s="25" t="inlineStr">
        <is>
          <t>2</t>
        </is>
      </c>
      <c r="R870" s="25" t="n"/>
      <c r="S870" s="27" t="n">
        <v>3950</v>
      </c>
      <c r="T870" s="27" t="n">
        <v>255</v>
      </c>
      <c r="U870" s="25" t="n">
        <v>1</v>
      </c>
      <c r="V870" s="27">
        <f>IF(S870="","",S870*U870)</f>
        <v/>
      </c>
      <c r="W870" s="26" t="inlineStr">
        <is>
          <t>Not in catalogue. Public national master → 2026-27 differentiated fee €3,950; exemption to ~€254-255 depends on university quota (25% cap in 2027-28).</t>
        </is>
      </c>
      <c r="X870" s="25" t="inlineStr">
        <is>
          <t>Medium</t>
        </is>
      </c>
      <c r="Y870" s="25" t="n"/>
      <c r="Z870" s="26" t="n"/>
      <c r="AA870" s="26" t="inlineStr">
        <is>
          <t>UGA (incl. Grenoble INP masters): 2026-27 broad exemptions on request (pay national €254). From 2027-28 the decree caps apply; exemptions based on resources.</t>
        </is>
      </c>
      <c r="AB870" s="28" t="inlineStr">
        <is>
          <t>https://www.univ-grenoble-alpes.fr/actualites/a-la-une/actualites-universite/etudiants-internationaux-ce-que-change-le-nouveau-decret-sur-les-droits-d-inscription-a-l-uga-1775870.kjsp</t>
        </is>
      </c>
      <c r="AC870" s="25" t="inlineStr">
        <is>
          <t>Open</t>
        </is>
      </c>
      <c r="AD870" s="25" t="inlineStr">
        <is>
          <t>2026-10-01</t>
        </is>
      </c>
      <c r="AE870" s="25" t="inlineStr">
        <is>
          <t>2027-03-15</t>
        </is>
      </c>
      <c r="AF870" s="25" t="inlineStr">
        <is>
          <t>Yes</t>
        </is>
      </c>
      <c r="AG870" s="28" t="inlineStr">
        <is>
          <t>https://formations.univ-grenoble-alpes.fr/fr/catalogue-2021/master-XB/master-mathematiques-et-applications-IAQKA8QE/parcours-operations-research-combinatorics-and-optimization-orco-IB9H30YB.html</t>
        </is>
      </c>
      <c r="AH870" s="26" t="inlineStr">
        <is>
          <t>Requirements for application : To hold a first year of master (60 ECTS) in computer science or applied mathematics or Engineering or an equivalent degree with Operations Research, Algorithms and Programming courses. Engl</t>
        </is>
      </c>
      <c r="AI870" s="28" t="inlineStr">
        <is>
          <t>Open in EEF</t>
        </is>
      </c>
    </row>
    <row r="871" ht="22.35" customHeight="1" s="19">
      <c r="A871" s="25" t="n">
        <v>870</v>
      </c>
      <c r="B871" s="25" t="inlineStr">
        <is>
          <t>★★★☆☆</t>
        </is>
      </c>
      <c r="C871" s="25" t="inlineStr">
        <is>
          <t>3 – Adjacent (AI/data/CS/cyber/energy)</t>
        </is>
      </c>
      <c r="D871" s="25" t="inlineStr">
        <is>
          <t>Computer science / Software</t>
        </is>
      </c>
      <c r="E871" s="26" t="inlineStr">
        <is>
          <t>Master indifférencié (recherche et professionnel) Sciences, technologies, santé mention informatique parcours Systèmes intelligents et applications</t>
        </is>
      </c>
      <c r="F871" s="26" t="inlineStr">
        <is>
          <t>Science, Technology, Health (STS) – major: Computer Science – track: Systems Intelligent &amp; Applications</t>
        </is>
      </c>
      <c r="G871" s="25" t="inlineStr">
        <is>
          <t>Master indifférencié (recherche et professionnel)</t>
        </is>
      </c>
      <c r="H871" s="25" t="inlineStr">
        <is>
          <t>Institut d'électronique et d'informatique Gaspard Monge</t>
        </is>
      </c>
      <c r="I871" s="25" t="inlineStr">
        <is>
          <t>Université Gustave Eiffel</t>
        </is>
      </c>
      <c r="J871" s="25" t="inlineStr">
        <is>
          <t>Site de Champs-sur-Marne</t>
        </is>
      </c>
      <c r="K871" s="25" t="n"/>
      <c r="L871" s="25" t="inlineStr">
        <is>
          <t>Public school / institute</t>
        </is>
      </c>
      <c r="M871" s="25" t="inlineStr">
        <is>
          <t>English</t>
        </is>
      </c>
      <c r="N871" s="25" t="inlineStr">
        <is>
          <t>General</t>
        </is>
      </c>
      <c r="O871" s="25" t="inlineStr">
        <is>
          <t>Bac +5</t>
        </is>
      </c>
      <c r="P871" s="26" t="inlineStr">
        <is>
          <t>Requires Bac+5 (Master) – likely not eligible; ask if 4-yr BS + experience accepted</t>
        </is>
      </c>
      <c r="Q871" s="25" t="inlineStr">
        <is>
          <t>2</t>
        </is>
      </c>
      <c r="R871" s="25" t="n"/>
      <c r="S871" s="27" t="n">
        <v>3950</v>
      </c>
      <c r="T871" s="27" t="n">
        <v>255</v>
      </c>
      <c r="U871" s="25" t="n">
        <v>1</v>
      </c>
      <c r="V871" s="27">
        <f>IF(S871="","",S871*U871)</f>
        <v/>
      </c>
      <c r="W871" s="26" t="inlineStr">
        <is>
          <t>Not in catalogue. Public national master → 2026-27 differentiated fee €3,950; exemption to ~€254-255 depends on university quota (25% cap in 2027-28).</t>
        </is>
      </c>
      <c r="X871" s="25" t="inlineStr">
        <is>
          <t>Medium</t>
        </is>
      </c>
      <c r="Y871" s="25" t="n"/>
      <c r="Z871" s="26" t="n"/>
      <c r="AA871" s="26" t="n"/>
      <c r="AB871" s="25" t="n"/>
      <c r="AC871" s="25" t="inlineStr">
        <is>
          <t>Open</t>
        </is>
      </c>
      <c r="AD871" s="25" t="inlineStr">
        <is>
          <t>2026-10-01</t>
        </is>
      </c>
      <c r="AE871" s="25" t="inlineStr">
        <is>
          <t>2027-03-15</t>
        </is>
      </c>
      <c r="AF871" s="25" t="inlineStr">
        <is>
          <t>No</t>
        </is>
      </c>
      <c r="AG871" s="28" t="inlineStr">
        <is>
          <t>https://igm.univ-gustave-eiffel.fr/</t>
        </is>
      </c>
      <c r="AH871" s="26" t="inlineStr">
        <is>
          <t>The student must have validated a M1 in Computer Science or an engineering degree. English level C1 The school can issue an accredited certificate.</t>
        </is>
      </c>
      <c r="AI871" s="28" t="inlineStr">
        <is>
          <t>Open in EEF</t>
        </is>
      </c>
    </row>
    <row r="872" ht="32.8" customHeight="1" s="19">
      <c r="A872" s="25" t="n">
        <v>871</v>
      </c>
      <c r="B872" s="25" t="inlineStr">
        <is>
          <t>★★★☆☆</t>
        </is>
      </c>
      <c r="C872" s="25" t="inlineStr">
        <is>
          <t>3 – Adjacent (AI/data/CS/cyber/energy)</t>
        </is>
      </c>
      <c r="D872" s="25" t="inlineStr">
        <is>
          <t>Computer science / Software</t>
        </is>
      </c>
      <c r="E872" s="26" t="inlineStr">
        <is>
          <t>Master indifférencié (recherche et professionnel) Sciences, technologies, santé mention mathématiques et applications parcours Logique mathématique et fondements de l'informatique</t>
        </is>
      </c>
      <c r="F872" s="26" t="inlineStr">
        <is>
          <t>Science, Technology, Health (STS) – major: Mathematics &amp; Applications – track: Logic Mathematical &amp; Foundations of Computer Science</t>
        </is>
      </c>
      <c r="G872" s="25" t="inlineStr">
        <is>
          <t>Master indifférencié (recherche et professionnel)</t>
        </is>
      </c>
      <c r="H872" s="25" t="inlineStr">
        <is>
          <t>UFR Mathématiques</t>
        </is>
      </c>
      <c r="I872" s="25" t="inlineStr">
        <is>
          <t>Université Paris Cité</t>
        </is>
      </c>
      <c r="J872" s="25" t="inlineStr">
        <is>
          <t>Site de Paris</t>
        </is>
      </c>
      <c r="K872" s="25" t="inlineStr">
        <is>
          <t>75013 Paris</t>
        </is>
      </c>
      <c r="L872" s="25" t="inlineStr">
        <is>
          <t>Public university</t>
        </is>
      </c>
      <c r="M872" s="25" t="inlineStr">
        <is>
          <t>English</t>
        </is>
      </c>
      <c r="N872" s="25" t="inlineStr">
        <is>
          <t>General</t>
        </is>
      </c>
      <c r="O872" s="25" t="inlineStr">
        <is>
          <t>Bac +5</t>
        </is>
      </c>
      <c r="P872" s="26" t="inlineStr">
        <is>
          <t>Requires Bac+5 (Master) – likely not eligible; ask if 4-yr BS + experience accepted</t>
        </is>
      </c>
      <c r="Q872" s="25" t="inlineStr">
        <is>
          <t>2</t>
        </is>
      </c>
      <c r="R872" s="25" t="n"/>
      <c r="S872" s="27" t="n">
        <v>3950</v>
      </c>
      <c r="T872" s="27" t="n">
        <v>255</v>
      </c>
      <c r="U872" s="25" t="n">
        <v>1</v>
      </c>
      <c r="V872" s="27">
        <f>IF(S872="","",S872*U872)</f>
        <v/>
      </c>
      <c r="W872" s="26" t="inlineStr">
        <is>
          <t>Not in catalogue. Public national master → 2026-27 differentiated fee €3,950; exemption to ~€254-255 depends on university quota (25% cap in 2027-28).</t>
        </is>
      </c>
      <c r="X872" s="25" t="inlineStr">
        <is>
          <t>Medium</t>
        </is>
      </c>
      <c r="Y872" s="25" t="n"/>
      <c r="Z872" s="26" t="n"/>
      <c r="AA872" s="26" t="inlineStr">
        <is>
          <t>Paris Cité historically exempted non-EU master students (paid EU rate). 2026-27/2027-28 policy not yet published – confirm.</t>
        </is>
      </c>
      <c r="AB872" s="28" t="inlineStr">
        <is>
          <t>https://u-paris.fr/droits-dinscription-tarifs-exonerations/</t>
        </is>
      </c>
      <c r="AC872" s="25" t="inlineStr">
        <is>
          <t>Open</t>
        </is>
      </c>
      <c r="AD872" s="25" t="inlineStr">
        <is>
          <t>2026-10-01</t>
        </is>
      </c>
      <c r="AE872" s="25" t="inlineStr">
        <is>
          <t>2027-03-15</t>
        </is>
      </c>
      <c r="AF872" s="25" t="inlineStr">
        <is>
          <t>No</t>
        </is>
      </c>
      <c r="AG872" s="28" t="inlineStr">
        <is>
          <t>https://www.math.u-paris.fr/</t>
        </is>
      </c>
      <c r="AH872" s="26" t="inlineStr">
        <is>
          <t>https://odf.u-paris.fr/fr/offre-de-formation/master-XB/sciences-technologies-sante-STS/mathematiques-et-applications-K2VO47PM.html Droits d’inscriptions différenciés 2027-2028, pour plus d’informations : https://u-parisc</t>
        </is>
      </c>
      <c r="AI872" s="28" t="inlineStr">
        <is>
          <t>Open in EEF</t>
        </is>
      </c>
    </row>
    <row r="873" ht="32.8" customHeight="1" s="19">
      <c r="A873" s="25" t="n">
        <v>872</v>
      </c>
      <c r="B873" s="25" t="inlineStr">
        <is>
          <t>★★★☆☆</t>
        </is>
      </c>
      <c r="C873" s="25" t="inlineStr">
        <is>
          <t>3 – Adjacent (AI/data/CS/cyber/energy)</t>
        </is>
      </c>
      <c r="D873" s="25" t="inlineStr">
        <is>
          <t>Computer science / Software</t>
        </is>
      </c>
      <c r="E873" s="26" t="inlineStr">
        <is>
          <t>Master Sciences, technologies, santé, mention Informatique parcours Algorithms, Models and Verification</t>
        </is>
      </c>
      <c r="F873" s="26" t="inlineStr">
        <is>
          <t>Master Science, Technology, Health (STS), – major: Computer Science – track: Algorithms, Models and Verification</t>
        </is>
      </c>
      <c r="G873" s="25" t="inlineStr">
        <is>
          <t>Master indifférencié (recherche et professionnel)</t>
        </is>
      </c>
      <c r="H873" s="25" t="inlineStr">
        <is>
          <t>Unité de formation d'informatique</t>
        </is>
      </c>
      <c r="I873" s="25" t="inlineStr">
        <is>
          <t>Université de Bordeaux</t>
        </is>
      </c>
      <c r="J873" s="25" t="inlineStr">
        <is>
          <t>Site de Talence</t>
        </is>
      </c>
      <c r="K873" s="25" t="n"/>
      <c r="L873" s="25" t="inlineStr">
        <is>
          <t>Public university</t>
        </is>
      </c>
      <c r="M873" s="25" t="inlineStr">
        <is>
          <t>English</t>
        </is>
      </c>
      <c r="N873" s="25" t="inlineStr">
        <is>
          <t>General</t>
        </is>
      </c>
      <c r="O873" s="25" t="inlineStr">
        <is>
          <t>Bac +5</t>
        </is>
      </c>
      <c r="P873" s="26" t="inlineStr">
        <is>
          <t>Requires Bac+5 (Master) – likely not eligible; ask if 4-yr BS + experience accepted</t>
        </is>
      </c>
      <c r="Q873" s="25" t="inlineStr">
        <is>
          <t>2</t>
        </is>
      </c>
      <c r="R873" s="25" t="n"/>
      <c r="S873" s="27" t="n">
        <v>3950</v>
      </c>
      <c r="T873" s="27" t="n">
        <v>255</v>
      </c>
      <c r="U873" s="25" t="n">
        <v>1</v>
      </c>
      <c r="V873" s="27">
        <f>IF(S873="","",S873*U873)</f>
        <v/>
      </c>
      <c r="W873" s="26" t="inlineStr">
        <is>
          <t>Not in catalogue. Public national master → 2026-27 differentiated fee €3,950; exemption to ~€254-255 depends on university quota (25% cap in 2027-28).</t>
        </is>
      </c>
      <c r="X873" s="25" t="inlineStr">
        <is>
          <t>Medium</t>
        </is>
      </c>
      <c r="Y873" s="25" t="n"/>
      <c r="Z873" s="26" t="n"/>
      <c r="AA873" s="26" t="n"/>
      <c r="AB873" s="25" t="n"/>
      <c r="AC873" s="25" t="inlineStr">
        <is>
          <t>Open</t>
        </is>
      </c>
      <c r="AD873" s="25" t="inlineStr">
        <is>
          <t>2026-10-01</t>
        </is>
      </c>
      <c r="AE873" s="25" t="inlineStr">
        <is>
          <t>2027-03-15</t>
        </is>
      </c>
      <c r="AF873" s="25" t="inlineStr">
        <is>
          <t>No</t>
        </is>
      </c>
      <c r="AG873" s="28" t="inlineStr">
        <is>
          <t>https://formations.u-bordeaux.fr/details-formation?type=formation&amp;id=125</t>
        </is>
      </c>
      <c r="AH873" s="26" t="inlineStr">
        <is>
          <t>Candidates must hold a Bachelor’s degree with honors or an equivalent of 240 ECTS in computer sciences or mathematics with a focus on theoretical computer sciences or discrete mathematics. For non-native English speakers</t>
        </is>
      </c>
      <c r="AI873" s="28" t="inlineStr">
        <is>
          <t>Open in EEF</t>
        </is>
      </c>
    </row>
    <row r="874" ht="22.35" customHeight="1" s="19">
      <c r="A874" s="25" t="n">
        <v>873</v>
      </c>
      <c r="B874" s="25" t="inlineStr">
        <is>
          <t>★★★☆☆</t>
        </is>
      </c>
      <c r="C874" s="25" t="inlineStr">
        <is>
          <t>3 – Adjacent (AI/data/CS/cyber/energy)</t>
        </is>
      </c>
      <c r="D874" s="25" t="inlineStr">
        <is>
          <t>Other engineering / maths</t>
        </is>
      </c>
      <c r="E874" s="26" t="inlineStr">
        <is>
          <t>mention Physique parcours Systèmes Complexes</t>
        </is>
      </c>
      <c r="F874" s="26" t="inlineStr">
        <is>
          <t>major: Physics – track: Systems Complex</t>
        </is>
      </c>
      <c r="G874" s="25" t="inlineStr">
        <is>
          <t>Master indifférencié (recherche et professionnel)</t>
        </is>
      </c>
      <c r="H874" s="25" t="inlineStr">
        <is>
          <t>Sciences et Ingénierie</t>
        </is>
      </c>
      <c r="I874" s="25" t="inlineStr">
        <is>
          <t>Sorbonne Université</t>
        </is>
      </c>
      <c r="J874" s="25" t="inlineStr">
        <is>
          <t>Site de Paris</t>
        </is>
      </c>
      <c r="K874" s="25" t="n"/>
      <c r="L874" s="25" t="inlineStr">
        <is>
          <t>Public university</t>
        </is>
      </c>
      <c r="M874" s="25" t="inlineStr">
        <is>
          <t>English</t>
        </is>
      </c>
      <c r="N874" s="25" t="inlineStr">
        <is>
          <t>Taught in English</t>
        </is>
      </c>
      <c r="O874" s="25" t="inlineStr">
        <is>
          <t>Bac +5</t>
        </is>
      </c>
      <c r="P874" s="26" t="inlineStr">
        <is>
          <t>Requires Bac+5 (Master) – likely not eligible; ask if 4-yr BS + experience accepted</t>
        </is>
      </c>
      <c r="Q874" s="25" t="inlineStr">
        <is>
          <t>2</t>
        </is>
      </c>
      <c r="R874" s="25" t="n"/>
      <c r="S874" s="27" t="n">
        <v>3950</v>
      </c>
      <c r="T874" s="27" t="n">
        <v>255</v>
      </c>
      <c r="U874" s="25" t="n">
        <v>1</v>
      </c>
      <c r="V874" s="27">
        <f>IF(S874="","",S874*U874)</f>
        <v/>
      </c>
      <c r="W874" s="26" t="inlineStr">
        <is>
          <t>Not in catalogue. Public national master → 2026-27 differentiated fee €3,950; exemption to ~€254-255 depends on university quota (25% cap in 2027-28).</t>
        </is>
      </c>
      <c r="X874" s="25" t="inlineStr">
        <is>
          <t>Medium</t>
        </is>
      </c>
      <c r="Y874" s="25" t="n"/>
      <c r="Z874" s="26" t="n"/>
      <c r="AA874" s="26" t="inlineStr">
        <is>
          <t>Board vote 7 Jul 2026: Sorbonne Université says it can exempt all eligible non-EU applicants (pay same as EU, ~€254) for 2026-27.</t>
        </is>
      </c>
      <c r="AB874" s="28" t="inlineStr">
        <is>
          <t>https://www.sorbonne-universite.fr/actualites/le-conseil-dadministration-de-sorbonne-universite-vote-lunanimite-le-7-juillet-2026-sa</t>
        </is>
      </c>
      <c r="AC874" s="25" t="inlineStr">
        <is>
          <t>Open</t>
        </is>
      </c>
      <c r="AD874" s="25" t="inlineStr">
        <is>
          <t>2026-10-01</t>
        </is>
      </c>
      <c r="AE874" s="25" t="inlineStr">
        <is>
          <t>2027-03-15</t>
        </is>
      </c>
      <c r="AF874" s="25" t="inlineStr">
        <is>
          <t>No</t>
        </is>
      </c>
      <c r="AG874" s="28" t="inlineStr">
        <is>
          <t>https://sciences.sorbonne-universite.fr/formation-sciences/masters/master-physique-fondamentale-et-applications/m2-parcours-systemes</t>
        </is>
      </c>
      <c r="AH874" s="26" t="inlineStr">
        <is>
          <t>OUI</t>
        </is>
      </c>
      <c r="AI874" s="28" t="inlineStr">
        <is>
          <t>Open in EEF</t>
        </is>
      </c>
    </row>
    <row r="875" ht="32.8" customHeight="1" s="19">
      <c r="A875" s="25" t="n">
        <v>874</v>
      </c>
      <c r="B875" s="25" t="inlineStr">
        <is>
          <t>★★★☆☆</t>
        </is>
      </c>
      <c r="C875" s="25" t="inlineStr">
        <is>
          <t>3 – Adjacent (AI/data/CS/cyber/energy)</t>
        </is>
      </c>
      <c r="D875" s="25" t="inlineStr">
        <is>
          <t>AI / Data science</t>
        </is>
      </c>
      <c r="E875" s="26" t="inlineStr">
        <is>
          <t>Master indifférencié (recherche et professionnel) Sciences, technologies, santé mention informatique et ingénièrie des systèmes complexes parcours Data Sciences &amp; Machine Learning</t>
        </is>
      </c>
      <c r="F875" s="26" t="inlineStr">
        <is>
          <t>Science, Technology, Health (STS) – major: Computer Science &amp; Engineering of Systems Complex – track: Data Sciences &amp; Machine Learning</t>
        </is>
      </c>
      <c r="G875" s="25" t="inlineStr">
        <is>
          <t>Master indifférencié (recherche et professionnel)</t>
        </is>
      </c>
      <c r="H875" s="25" t="inlineStr">
        <is>
          <t>UFR des Sciences et techniques</t>
        </is>
      </c>
      <c r="I875" s="25" t="inlineStr">
        <is>
          <t>CY Cergy Paris Université</t>
        </is>
      </c>
      <c r="J875" s="25" t="inlineStr">
        <is>
          <t>Site de Cergy</t>
        </is>
      </c>
      <c r="K875" s="25" t="n"/>
      <c r="L875" s="25" t="inlineStr">
        <is>
          <t>Public university</t>
        </is>
      </c>
      <c r="M875" s="25" t="inlineStr">
        <is>
          <t>French &amp; English</t>
        </is>
      </c>
      <c r="N875" s="25" t="inlineStr">
        <is>
          <t>General</t>
        </is>
      </c>
      <c r="O875" s="25" t="inlineStr">
        <is>
          <t>Bac +5</t>
        </is>
      </c>
      <c r="P875" s="26" t="inlineStr">
        <is>
          <t>Requires Bac+5 (Master) – likely not eligible; ask if 4-yr BS + experience accepted</t>
        </is>
      </c>
      <c r="Q875" s="25" t="inlineStr">
        <is>
          <t>2</t>
        </is>
      </c>
      <c r="R875" s="25" t="inlineStr">
        <is>
          <t>10</t>
        </is>
      </c>
      <c r="S875" s="27" t="n">
        <v>3950</v>
      </c>
      <c r="T875" s="27" t="n">
        <v>255</v>
      </c>
      <c r="U875" s="25" t="n">
        <v>1</v>
      </c>
      <c r="V875" s="27">
        <f>IF(S875="","",S875*U875)</f>
        <v/>
      </c>
      <c r="W875" s="26" t="inlineStr">
        <is>
          <t>Catalogue: €3,950. = national differentiated master fee (2026-27: €3,950). Exemption to ~€255 possible (university quota).</t>
        </is>
      </c>
      <c r="X875" s="25" t="inlineStr">
        <is>
          <t>High</t>
        </is>
      </c>
      <c r="Y875" s="25" t="inlineStr">
        <is>
          <t>3950</t>
        </is>
      </c>
      <c r="Z875" s="26" t="n"/>
      <c r="AA875" s="26" t="n"/>
      <c r="AB875" s="25" t="n"/>
      <c r="AC875" s="25" t="inlineStr">
        <is>
          <t>Open</t>
        </is>
      </c>
      <c r="AD875" s="25" t="inlineStr">
        <is>
          <t>2026-10-01</t>
        </is>
      </c>
      <c r="AE875" s="25" t="inlineStr">
        <is>
          <t>2027-03-15</t>
        </is>
      </c>
      <c r="AF875" s="25" t="inlineStr">
        <is>
          <t>No</t>
        </is>
      </c>
      <c r="AG875" s="28" t="inlineStr">
        <is>
          <t>https://www.cyu.fr/master-informatique-et-ingenierie-des-systemes-complexes-data-science-et-machine-learning</t>
        </is>
      </c>
      <c r="AH875" s="26" t="inlineStr">
        <is>
          <t>• Bon niveau scientifique général • Très bon niveau en informatique (bases de données, algorithmique) • Bon niveau en mathématiques appliquées • formation par la recherche • Niveau d'anglais : B2 • Niveau de français : B</t>
        </is>
      </c>
      <c r="AI875" s="28" t="inlineStr">
        <is>
          <t>Open in EEF</t>
        </is>
      </c>
    </row>
    <row r="876" ht="32.8" customHeight="1" s="19">
      <c r="A876" s="25" t="n">
        <v>875</v>
      </c>
      <c r="B876" s="25" t="inlineStr">
        <is>
          <t>★★★☆☆</t>
        </is>
      </c>
      <c r="C876" s="25" t="inlineStr">
        <is>
          <t>3 – Adjacent (AI/data/CS/cyber/energy)</t>
        </is>
      </c>
      <c r="D876" s="25" t="inlineStr">
        <is>
          <t>Computer science / Software</t>
        </is>
      </c>
      <c r="E876" s="26" t="inlineStr">
        <is>
          <t>Master indifférencié (recherche et professionnel) Sciences, technologies, santé mention Informatique parcours Informatique</t>
        </is>
      </c>
      <c r="F876" s="26" t="inlineStr">
        <is>
          <t>Science, Technology, Health (STS) – major: Computer Science – track: Computer Science</t>
        </is>
      </c>
      <c r="G876" s="25" t="inlineStr">
        <is>
          <t>Master indifférencié (recherche et professionnel)</t>
        </is>
      </c>
      <c r="H876" s="25" t="inlineStr">
        <is>
          <t>Sciences</t>
        </is>
      </c>
      <c r="I876" s="25" t="inlineStr">
        <is>
          <t>Université Côte d'Azur</t>
        </is>
      </c>
      <c r="J876" s="25" t="inlineStr">
        <is>
          <t>Site de Sophia Tech</t>
        </is>
      </c>
      <c r="K876" s="25" t="n"/>
      <c r="L876" s="25" t="inlineStr">
        <is>
          <t>Public university</t>
        </is>
      </c>
      <c r="M876" s="25" t="inlineStr">
        <is>
          <t>French &amp; English</t>
        </is>
      </c>
      <c r="N876" s="25" t="inlineStr">
        <is>
          <t>General</t>
        </is>
      </c>
      <c r="O876" s="25" t="inlineStr">
        <is>
          <t>Bac +5</t>
        </is>
      </c>
      <c r="P876" s="26" t="inlineStr">
        <is>
          <t>Requires Bac+5 (Master) – likely not eligible; ask if 4-yr BS + experience accepted</t>
        </is>
      </c>
      <c r="Q876" s="25" t="inlineStr">
        <is>
          <t>2</t>
        </is>
      </c>
      <c r="R876" s="25" t="inlineStr">
        <is>
          <t>12</t>
        </is>
      </c>
      <c r="S876" s="27" t="n">
        <v>3950</v>
      </c>
      <c r="T876" s="27" t="n">
        <v>255</v>
      </c>
      <c r="U876" s="25" t="n">
        <v>1</v>
      </c>
      <c r="V876" s="27">
        <f>IF(S876="","",S876*U876)</f>
        <v/>
      </c>
      <c r="W876" s="26" t="inlineStr">
        <is>
          <t>Catalogue: €3,950. = national differentiated master fee (2026-27: €3,950). Exemption to ~€255 possible (university quota).</t>
        </is>
      </c>
      <c r="X876" s="25" t="inlineStr">
        <is>
          <t>High</t>
        </is>
      </c>
      <c r="Y876" s="25" t="inlineStr">
        <is>
          <t>3950</t>
        </is>
      </c>
      <c r="Z876" s="26" t="inlineStr">
        <is>
          <t>AUX ETUDIANTS EXTRACOMMUNAUTAIRES Pour l’année universitaire 2026-2027 : Licence : 2 902 € M</t>
        </is>
      </c>
      <c r="AA876" s="26" t="n"/>
      <c r="AB876" s="25" t="n"/>
      <c r="AC876" s="25" t="inlineStr">
        <is>
          <t>Open</t>
        </is>
      </c>
      <c r="AD876" s="25" t="inlineStr">
        <is>
          <t>2026-10-01</t>
        </is>
      </c>
      <c r="AE876" s="25" t="inlineStr">
        <is>
          <t>2027-03-15</t>
        </is>
      </c>
      <c r="AF876" s="25" t="inlineStr">
        <is>
          <t>No</t>
        </is>
      </c>
      <c r="AG876" s="28" t="inlineStr">
        <is>
          <t>https://univ-cotedazur.fr/formation/offre-de-formation/parcours-de-master/master-informatique-m2-parcours-ingenierie-informatique</t>
        </is>
      </c>
      <c r="AH876" s="26" t="inlineStr">
        <is>
          <t>Notre parcours étant organisé en mineures, il est demandé de spécifier la(les) mineure(s) à laquelle (auxquelles) vous candidatez et d'argumenter votre (vos) candidature(s) dans une lettre de motivation. Les mineures son</t>
        </is>
      </c>
      <c r="AI876" s="28" t="inlineStr">
        <is>
          <t>Open in EEF</t>
        </is>
      </c>
    </row>
    <row r="877" ht="22.35" customHeight="1" s="19">
      <c r="A877" s="25" t="n">
        <v>876</v>
      </c>
      <c r="B877" s="25" t="inlineStr">
        <is>
          <t>★★★☆☆</t>
        </is>
      </c>
      <c r="C877" s="25" t="inlineStr">
        <is>
          <t>3 – Adjacent (AI/data/CS/cyber/energy)</t>
        </is>
      </c>
      <c r="D877" s="25" t="inlineStr">
        <is>
          <t>Computer science / Software</t>
        </is>
      </c>
      <c r="E877" s="26" t="inlineStr">
        <is>
          <t>Master Informatique parcours 2ème année de Master - Parcours Modélisation, Optimisation, Décision et Organisation</t>
        </is>
      </c>
      <c r="F877" s="26" t="inlineStr">
        <is>
          <t>Master Computer Science – track: Master Year 2 - – track: Modelling, Optimisation, Decision &amp; Organisation</t>
        </is>
      </c>
      <c r="G877" s="25" t="inlineStr">
        <is>
          <t>Master indifférencié (recherche et professionnel)</t>
        </is>
      </c>
      <c r="H877" s="25" t="inlineStr">
        <is>
          <t>Département MIDO (mathématiques et informatique de la décision et des organisations)</t>
        </is>
      </c>
      <c r="I877" s="25" t="inlineStr">
        <is>
          <t>Université Paris-Dauphine</t>
        </is>
      </c>
      <c r="J877" s="25" t="inlineStr">
        <is>
          <t>Site de Paris Dauphine - PSL</t>
        </is>
      </c>
      <c r="K877" s="25" t="n"/>
      <c r="L877" s="25" t="inlineStr">
        <is>
          <t>Public university</t>
        </is>
      </c>
      <c r="M877" s="25" t="inlineStr">
        <is>
          <t>French &amp; English</t>
        </is>
      </c>
      <c r="N877" s="25" t="inlineStr">
        <is>
          <t>General</t>
        </is>
      </c>
      <c r="O877" s="25" t="inlineStr">
        <is>
          <t>Bac +5</t>
        </is>
      </c>
      <c r="P877" s="26" t="inlineStr">
        <is>
          <t>Requires Bac+5 (Master) – likely not eligible; ask if 4-yr BS + experience accepted</t>
        </is>
      </c>
      <c r="Q877" s="25" t="inlineStr">
        <is>
          <t>2</t>
        </is>
      </c>
      <c r="R877" s="25" t="n"/>
      <c r="S877" s="27" t="n">
        <v>3950</v>
      </c>
      <c r="T877" s="27" t="n">
        <v>255</v>
      </c>
      <c r="U877" s="25" t="n">
        <v>1</v>
      </c>
      <c r="V877" s="27">
        <f>IF(S877="","",S877*U877)</f>
        <v/>
      </c>
      <c r="W877" s="26" t="inlineStr">
        <is>
          <t>Not in catalogue. Public national master → 2026-27 differentiated fee €3,950; exemption to ~€254-255 depends on university quota (25% cap in 2027-28).</t>
        </is>
      </c>
      <c r="X877" s="25" t="inlineStr">
        <is>
          <t>Medium</t>
        </is>
      </c>
      <c r="Y877" s="25" t="n"/>
      <c r="Z877" s="26" t="n"/>
      <c r="AA877" s="26" t="n"/>
      <c r="AB877" s="25" t="n"/>
      <c r="AC877" s="25" t="inlineStr">
        <is>
          <t>Open</t>
        </is>
      </c>
      <c r="AD877" s="25" t="inlineStr">
        <is>
          <t>2026-10-01</t>
        </is>
      </c>
      <c r="AE877" s="25" t="inlineStr">
        <is>
          <t>2027-03-15</t>
        </is>
      </c>
      <c r="AF877" s="25" t="inlineStr">
        <is>
          <t>No</t>
        </is>
      </c>
      <c r="AG877" s="25" t="n"/>
      <c r="AH877" s="26" t="n"/>
      <c r="AI877" s="28" t="inlineStr">
        <is>
          <t>Open in EEF</t>
        </is>
      </c>
    </row>
    <row r="878" ht="22.35" customHeight="1" s="19">
      <c r="A878" s="25" t="n">
        <v>877</v>
      </c>
      <c r="B878" s="25" t="inlineStr">
        <is>
          <t>★★★☆☆</t>
        </is>
      </c>
      <c r="C878" s="25" t="inlineStr">
        <is>
          <t>3 – Adjacent (AI/data/CS/cyber/energy)</t>
        </is>
      </c>
      <c r="D878" s="25" t="inlineStr">
        <is>
          <t>AI / Data science</t>
        </is>
      </c>
      <c r="E878" s="26" t="inlineStr">
        <is>
          <t>Master Sciences, technologies, santé mention Biologie moléculaire et cellulaire parcours Artificial Intelligence and Data analysis - AIDA</t>
        </is>
      </c>
      <c r="F878" s="26" t="inlineStr">
        <is>
          <t>Master Science, Technology, Health (STS) – major: Biology Molecular &amp; Cellular – track: Artificial Intelligence and Data analysis - AIDA</t>
        </is>
      </c>
      <c r="G878" s="25" t="inlineStr">
        <is>
          <t>Master indifférencié (recherche et professionnel)</t>
        </is>
      </c>
      <c r="H878" s="25" t="inlineStr">
        <is>
          <t>Sciences et Ingénierie</t>
        </is>
      </c>
      <c r="I878" s="25" t="inlineStr">
        <is>
          <t>Sorbonne Université</t>
        </is>
      </c>
      <c r="J878" s="25" t="inlineStr">
        <is>
          <t>Site de Paris</t>
        </is>
      </c>
      <c r="K878" s="25" t="n"/>
      <c r="L878" s="25" t="inlineStr">
        <is>
          <t>Public university</t>
        </is>
      </c>
      <c r="M878" s="25" t="inlineStr">
        <is>
          <t>French &amp; English</t>
        </is>
      </c>
      <c r="N878" s="25" t="inlineStr">
        <is>
          <t>General</t>
        </is>
      </c>
      <c r="O878" s="25" t="inlineStr">
        <is>
          <t>Bac +5</t>
        </is>
      </c>
      <c r="P878" s="26" t="inlineStr">
        <is>
          <t>Requires Bac+5 (Master) – likely not eligible; ask if 4-yr BS + experience accepted</t>
        </is>
      </c>
      <c r="Q878" s="25" t="inlineStr">
        <is>
          <t>2</t>
        </is>
      </c>
      <c r="R878" s="25" t="n"/>
      <c r="S878" s="27" t="n">
        <v>3950</v>
      </c>
      <c r="T878" s="27" t="n">
        <v>255</v>
      </c>
      <c r="U878" s="25" t="n">
        <v>1</v>
      </c>
      <c r="V878" s="27">
        <f>IF(S878="","",S878*U878)</f>
        <v/>
      </c>
      <c r="W878" s="26" t="inlineStr">
        <is>
          <t>Not in catalogue. Public national master → 2026-27 differentiated fee €3,950; exemption to ~€254-255 depends on university quota (25% cap in 2027-28).</t>
        </is>
      </c>
      <c r="X878" s="25" t="inlineStr">
        <is>
          <t>Medium</t>
        </is>
      </c>
      <c r="Y878" s="25" t="n"/>
      <c r="Z878" s="26" t="n"/>
      <c r="AA878" s="26" t="inlineStr">
        <is>
          <t>Board vote 7 Jul 2026: Sorbonne Université says it can exempt all eligible non-EU applicants (pay same as EU, ~€254) for 2026-27.</t>
        </is>
      </c>
      <c r="AB878" s="28" t="inlineStr">
        <is>
          <t>https://www.sorbonne-universite.fr/actualites/le-conseil-dadministration-de-sorbonne-universite-vote-lunanimite-le-7-juillet-2026-sa</t>
        </is>
      </c>
      <c r="AC878" s="25" t="inlineStr">
        <is>
          <t>Open</t>
        </is>
      </c>
      <c r="AD878" s="25" t="inlineStr">
        <is>
          <t>2026-10-01</t>
        </is>
      </c>
      <c r="AE878" s="25" t="inlineStr">
        <is>
          <t>2027-03-15</t>
        </is>
      </c>
      <c r="AF878" s="25" t="inlineStr">
        <is>
          <t>No</t>
        </is>
      </c>
      <c r="AG878" s="28" t="inlineStr">
        <is>
          <t>https://sciences.sorbonne-universite.fr/formation-sciences/offre-de-formation/masters/master-biologie-moleculaire-et-cellulaire-bmc</t>
        </is>
      </c>
      <c r="AH878" s="26" t="inlineStr">
        <is>
          <t>OUI</t>
        </is>
      </c>
      <c r="AI878" s="28" t="inlineStr">
        <is>
          <t>Open in EEF</t>
        </is>
      </c>
    </row>
    <row r="879" ht="32.8" customHeight="1" s="19">
      <c r="A879" s="25" t="n">
        <v>878</v>
      </c>
      <c r="B879" s="25" t="inlineStr">
        <is>
          <t>★★★☆☆</t>
        </is>
      </c>
      <c r="C879" s="25" t="inlineStr">
        <is>
          <t>3 – Adjacent (AI/data/CS/cyber/energy)</t>
        </is>
      </c>
      <c r="D879" s="25" t="inlineStr">
        <is>
          <t>AI / Data science</t>
        </is>
      </c>
      <c r="E879" s="26" t="inlineStr">
        <is>
          <t>Master indifférencié (recherche et professionnel) Sciences, technologies, santé mention Actuariat parcours Data Science pour l'Actuariat</t>
        </is>
      </c>
      <c r="F879" s="26" t="inlineStr">
        <is>
          <t>Science, Technology, Health (STS) – major: Actuariat – track: Data Science for l'Actuariat</t>
        </is>
      </c>
      <c r="G879" s="25" t="inlineStr">
        <is>
          <t>Master indifférencié (recherche et professionnel)</t>
        </is>
      </c>
      <c r="H879" s="25" t="inlineStr">
        <is>
          <t>UFR de sciences et techniques</t>
        </is>
      </c>
      <c r="I879" s="25" t="inlineStr">
        <is>
          <t>Le Mans Université</t>
        </is>
      </c>
      <c r="J879" s="25" t="inlineStr">
        <is>
          <t>UFR STS - Le Mans</t>
        </is>
      </c>
      <c r="K879" s="25" t="inlineStr">
        <is>
          <t>72085 LE MANS CEDEX</t>
        </is>
      </c>
      <c r="L879" s="25" t="inlineStr">
        <is>
          <t>Public university</t>
        </is>
      </c>
      <c r="M879" s="25" t="inlineStr">
        <is>
          <t>French</t>
        </is>
      </c>
      <c r="N879" s="25" t="inlineStr">
        <is>
          <t>General</t>
        </is>
      </c>
      <c r="O879" s="25" t="inlineStr">
        <is>
          <t>Bac +5</t>
        </is>
      </c>
      <c r="P879" s="26" t="inlineStr">
        <is>
          <t>Requires Bac+5 (Master) – likely not eligible; ask if 4-yr BS + experience accepted</t>
        </is>
      </c>
      <c r="Q879" s="25" t="inlineStr">
        <is>
          <t>2</t>
        </is>
      </c>
      <c r="R879" s="25" t="inlineStr">
        <is>
          <t>12</t>
        </is>
      </c>
      <c r="S879" s="27" t="n">
        <v>3950</v>
      </c>
      <c r="T879" s="27" t="n">
        <v>255</v>
      </c>
      <c r="U879" s="25" t="n">
        <v>1</v>
      </c>
      <c r="V879" s="27">
        <f>IF(S879="","",S879*U879)</f>
        <v/>
      </c>
      <c r="W879" s="26" t="inlineStr">
        <is>
          <t>Catalogue: €3,950. = national differentiated master fee (2026-27: €3,950). Exemption to ~€255 possible (university quota).</t>
        </is>
      </c>
      <c r="X879" s="25" t="inlineStr">
        <is>
          <t>High</t>
        </is>
      </c>
      <c r="Y879" s="25" t="inlineStr">
        <is>
          <t>3950</t>
        </is>
      </c>
      <c r="Z879" s="26" t="n"/>
      <c r="AA879" s="26" t="inlineStr">
        <is>
          <t>Le Mans governance formally opposed the decree; exemption policy not published.</t>
        </is>
      </c>
      <c r="AB879" s="28" t="inlineStr">
        <is>
          <t>https://www.letudiant.fr/educpros/actualite/droits-d-inscription-majores-pour-les-etudiants-etrangers-pourquoi-l-application-du-decret-met-en-difficulte-de-nombreuses-universites.html</t>
        </is>
      </c>
      <c r="AC879" s="25" t="inlineStr">
        <is>
          <t>Open</t>
        </is>
      </c>
      <c r="AD879" s="25" t="inlineStr">
        <is>
          <t>2026-10-01</t>
        </is>
      </c>
      <c r="AE879" s="25" t="inlineStr">
        <is>
          <t>2027-03-15</t>
        </is>
      </c>
      <c r="AF879" s="25" t="inlineStr">
        <is>
          <t>No</t>
        </is>
      </c>
      <c r="AG879" s="28" t="inlineStr">
        <is>
          <t>http://sciences.univ-lemans.fr</t>
        </is>
      </c>
      <c r="AH879" s="26" t="inlineStr">
        <is>
          <t>TCF B2 Minimum Très bons dossiers de Licence de Mathématiques ou niveau équivalent d'écoles d'ingénieurs avec compétences développées en probabilités statistiques et outils informatiques poussés. Des compétences et acqui</t>
        </is>
      </c>
      <c r="AI879" s="28" t="inlineStr">
        <is>
          <t>Open in EEF</t>
        </is>
      </c>
    </row>
    <row r="880" ht="32.8" customHeight="1" s="19">
      <c r="A880" s="25" t="n">
        <v>879</v>
      </c>
      <c r="B880" s="25" t="inlineStr">
        <is>
          <t>★★★☆☆</t>
        </is>
      </c>
      <c r="C880" s="25" t="inlineStr">
        <is>
          <t>3 – Adjacent (AI/data/CS/cyber/energy)</t>
        </is>
      </c>
      <c r="D880" s="25" t="inlineStr">
        <is>
          <t>AI / Data science</t>
        </is>
      </c>
      <c r="E880" s="26" t="inlineStr">
        <is>
          <t>Master indifférencié (recherche et professionnel) Sciences, technologies, santé mention Econométrie, statistiques parcours Data et Sécurité et Informatique</t>
        </is>
      </c>
      <c r="F880" s="26" t="inlineStr">
        <is>
          <t>Science, Technology, Health (STS) – major: Econométrie, statistiques – track: Data &amp; Security &amp; Computer Science</t>
        </is>
      </c>
      <c r="G880" s="25" t="inlineStr">
        <is>
          <t>Master indifférencié (recherche et professionnel)</t>
        </is>
      </c>
      <c r="H880" s="25" t="inlineStr">
        <is>
          <t>Institut de science financière et d'assurances</t>
        </is>
      </c>
      <c r="I880" s="25" t="inlineStr">
        <is>
          <t>Université Claude Bernard - Lyon 1</t>
        </is>
      </c>
      <c r="J880" s="25" t="inlineStr">
        <is>
          <t>Site de Lyon</t>
        </is>
      </c>
      <c r="K880" s="25" t="n"/>
      <c r="L880" s="25" t="inlineStr">
        <is>
          <t>Public school / institute</t>
        </is>
      </c>
      <c r="M880" s="25" t="inlineStr">
        <is>
          <t>French</t>
        </is>
      </c>
      <c r="N880" s="25" t="inlineStr">
        <is>
          <t>General</t>
        </is>
      </c>
      <c r="O880" s="25" t="inlineStr">
        <is>
          <t>Bac +5</t>
        </is>
      </c>
      <c r="P880" s="26" t="inlineStr">
        <is>
          <t>Requires Bac+5 (Master) – likely not eligible; ask if 4-yr BS + experience accepted</t>
        </is>
      </c>
      <c r="Q880" s="25" t="inlineStr">
        <is>
          <t>2</t>
        </is>
      </c>
      <c r="R880" s="25" t="n"/>
      <c r="S880" s="27" t="n">
        <v>3950</v>
      </c>
      <c r="T880" s="27" t="n">
        <v>255</v>
      </c>
      <c r="U880" s="25" t="n">
        <v>1</v>
      </c>
      <c r="V880" s="27">
        <f>IF(S880="","",S880*U880)</f>
        <v/>
      </c>
      <c r="W880" s="26" t="inlineStr">
        <is>
          <t>Catalogue: €3,950. = national differentiated master fee (2026-27: €3,950). Exemption to ~€255 possible (university quota).</t>
        </is>
      </c>
      <c r="X880" s="25" t="inlineStr">
        <is>
          <t>High</t>
        </is>
      </c>
      <c r="Y880" s="25" t="inlineStr">
        <is>
          <t>3950</t>
        </is>
      </c>
      <c r="Z880" s="26" t="n"/>
      <c r="AA880" s="26" t="inlineStr">
        <is>
          <t>Lyon 1: individual exemptions within the 30% quota (2026-27), apply via eCandidat.</t>
        </is>
      </c>
      <c r="AB880" s="28" t="inlineStr">
        <is>
          <t>https://www.univ-lyon1.fr/formation/inscription-et-scolarite/etudiantes-et-etudiants-internationaux-droits-dinscription-differencies-et-exonerations</t>
        </is>
      </c>
      <c r="AC880" s="25" t="inlineStr">
        <is>
          <t>Open</t>
        </is>
      </c>
      <c r="AD880" s="25" t="inlineStr">
        <is>
          <t>2026-10-01</t>
        </is>
      </c>
      <c r="AE880" s="25" t="inlineStr">
        <is>
          <t>2027-03-15</t>
        </is>
      </c>
      <c r="AF880" s="25" t="inlineStr">
        <is>
          <t>No</t>
        </is>
      </c>
      <c r="AG880" s="28" t="inlineStr">
        <is>
          <t>http://isfa.fr</t>
        </is>
      </c>
      <c r="AH880" s="26" t="inlineStr">
        <is>
          <t>Niveau de langue française requis (obligatoire mais non suffisant pour l'accès à l'Université) L'Université Claude Bernard Lyon 1 exige le justificatif du niveau de langue française B2 minimum, validé par Campusfrance et</t>
        </is>
      </c>
      <c r="AI880" s="28" t="inlineStr">
        <is>
          <t>Open in EEF</t>
        </is>
      </c>
    </row>
    <row r="881" ht="32.8" customHeight="1" s="19">
      <c r="A881" s="25" t="n">
        <v>880</v>
      </c>
      <c r="B881" s="25" t="inlineStr">
        <is>
          <t>★★★☆☆</t>
        </is>
      </c>
      <c r="C881" s="25" t="inlineStr">
        <is>
          <t>3 – Adjacent (AI/data/CS/cyber/energy)</t>
        </is>
      </c>
      <c r="D881" s="25" t="inlineStr">
        <is>
          <t>Computer science / Software</t>
        </is>
      </c>
      <c r="E881" s="26" t="inlineStr">
        <is>
          <t>Master indifférencié (recherche et professionnel) Sciences, technologies, santé mention Informatique parcours Cloud Computing and Mobility</t>
        </is>
      </c>
      <c r="F881" s="26" t="inlineStr">
        <is>
          <t>Science, Technology, Health (STS) – major: Computer Science – track: Cloud Computing and Mobility</t>
        </is>
      </c>
      <c r="G881" s="25" t="inlineStr">
        <is>
          <t>Master indifférencié (recherche et professionnel)</t>
        </is>
      </c>
      <c r="H881" s="25" t="inlineStr">
        <is>
          <t>Institut supérieur des sciences et techniques</t>
        </is>
      </c>
      <c r="I881" s="25" t="inlineStr">
        <is>
          <t>Université Picardie Jules Verne Amiens</t>
        </is>
      </c>
      <c r="J881" s="25" t="inlineStr">
        <is>
          <t>Site de Saint-Quentin</t>
        </is>
      </c>
      <c r="K881" s="25" t="inlineStr">
        <is>
          <t>02315 Saint Quentin cedex</t>
        </is>
      </c>
      <c r="L881" s="25" t="inlineStr">
        <is>
          <t>Public school / institute</t>
        </is>
      </c>
      <c r="M881" s="25" t="inlineStr">
        <is>
          <t>French</t>
        </is>
      </c>
      <c r="N881" s="25" t="inlineStr">
        <is>
          <t>General</t>
        </is>
      </c>
      <c r="O881" s="25" t="inlineStr">
        <is>
          <t>Bac +5</t>
        </is>
      </c>
      <c r="P881" s="26" t="inlineStr">
        <is>
          <t>Requires Bac+5 (Master) – likely not eligible; ask if 4-yr BS + experience accepted</t>
        </is>
      </c>
      <c r="Q881" s="25" t="inlineStr">
        <is>
          <t>2</t>
        </is>
      </c>
      <c r="R881" s="25" t="inlineStr">
        <is>
          <t>12</t>
        </is>
      </c>
      <c r="S881" s="27" t="n">
        <v>3950</v>
      </c>
      <c r="T881" s="27" t="n">
        <v>255</v>
      </c>
      <c r="U881" s="25" t="n">
        <v>1</v>
      </c>
      <c r="V881" s="27">
        <f>IF(S881="","",S881*U881)</f>
        <v/>
      </c>
      <c r="W881" s="26" t="inlineStr">
        <is>
          <t>Catalogue: €3,950. = national differentiated master fee (2026-27: €3,950). Exemption to ~€255 possible (university quota).</t>
        </is>
      </c>
      <c r="X881" s="25" t="inlineStr">
        <is>
          <t>High</t>
        </is>
      </c>
      <c r="Y881" s="25" t="inlineStr">
        <is>
          <t>3950</t>
        </is>
      </c>
      <c r="Z881" s="26" t="n"/>
      <c r="AA881" s="26" t="n"/>
      <c r="AB881" s="25" t="n"/>
      <c r="AC881" s="25" t="inlineStr">
        <is>
          <t>Open</t>
        </is>
      </c>
      <c r="AD881" s="25" t="inlineStr">
        <is>
          <t>2026-10-01</t>
        </is>
      </c>
      <c r="AE881" s="25" t="inlineStr">
        <is>
          <t>2027-03-15</t>
        </is>
      </c>
      <c r="AF881" s="25" t="inlineStr">
        <is>
          <t>No</t>
        </is>
      </c>
      <c r="AG881" s="28" t="inlineStr">
        <is>
          <t>https://www.insset.u-picardie.fr/</t>
        </is>
      </c>
      <c r="AH881" s="26" t="inlineStr">
        <is>
          <t>Niveau de test de compétence en Francais requis B2 Pré-requis en développement Full-Stack, Git, CI/CD, Android, GCP, Openstack, adminstration des SE Le tarif indiqué est celui de l'année universitaire 2026/2027 et, est s</t>
        </is>
      </c>
      <c r="AI881" s="28" t="inlineStr">
        <is>
          <t>Open in EEF</t>
        </is>
      </c>
    </row>
    <row r="882" ht="32.8" customHeight="1" s="19">
      <c r="A882" s="25" t="n">
        <v>881</v>
      </c>
      <c r="B882" s="25" t="inlineStr">
        <is>
          <t>★★★☆☆</t>
        </is>
      </c>
      <c r="C882" s="25" t="inlineStr">
        <is>
          <t>3 – Adjacent (AI/data/CS/cyber/energy)</t>
        </is>
      </c>
      <c r="D882" s="25" t="inlineStr">
        <is>
          <t>Computer science / Software</t>
        </is>
      </c>
      <c r="E882" s="26" t="inlineStr">
        <is>
          <t>Master indifférencié (recherche et professionnel) Sciences, technologies, santé mention informatique parcours DOSI : Développement lOgiciel des Systèmes d'Information</t>
        </is>
      </c>
      <c r="F882" s="26" t="inlineStr">
        <is>
          <t>Science, Technology, Health (STS) – major: Computer Science – track: DOSI : Development Software of Information Systems</t>
        </is>
      </c>
      <c r="G882" s="25" t="inlineStr">
        <is>
          <t>Master indifférencié (recherche et professionnel)</t>
        </is>
      </c>
      <c r="H882" s="25" t="inlineStr">
        <is>
          <t>UFR sciences et techniques</t>
        </is>
      </c>
      <c r="I882" s="25" t="inlineStr">
        <is>
          <t>Université de Bretagne Occidentale</t>
        </is>
      </c>
      <c r="J882" s="25" t="inlineStr">
        <is>
          <t>Site de Brest</t>
        </is>
      </c>
      <c r="K882" s="25" t="n"/>
      <c r="L882" s="25" t="inlineStr">
        <is>
          <t>Public university</t>
        </is>
      </c>
      <c r="M882" s="25" t="inlineStr">
        <is>
          <t>French</t>
        </is>
      </c>
      <c r="N882" s="25" t="inlineStr">
        <is>
          <t>General</t>
        </is>
      </c>
      <c r="O882" s="25" t="inlineStr">
        <is>
          <t>Bac +5</t>
        </is>
      </c>
      <c r="P882" s="26" t="inlineStr">
        <is>
          <t>Requires Bac+5 (Master) – likely not eligible; ask if 4-yr BS + experience accepted</t>
        </is>
      </c>
      <c r="Q882" s="25" t="inlineStr">
        <is>
          <t>2</t>
        </is>
      </c>
      <c r="R882" s="25" t="n"/>
      <c r="S882" s="27" t="n">
        <v>3950</v>
      </c>
      <c r="T882" s="27" t="n">
        <v>255</v>
      </c>
      <c r="U882" s="25" t="n">
        <v>1</v>
      </c>
      <c r="V882" s="27">
        <f>IF(S882="","",S882*U882)</f>
        <v/>
      </c>
      <c r="W882" s="26" t="inlineStr">
        <is>
          <t>Catalogue: €3,950. = national differentiated master fee (2026-27: €3,950). Exemption to ~€255 possible (university quota).</t>
        </is>
      </c>
      <c r="X882" s="25" t="inlineStr">
        <is>
          <t>High</t>
        </is>
      </c>
      <c r="Y882" s="25" t="inlineStr">
        <is>
          <t>3950</t>
        </is>
      </c>
      <c r="Z882" s="26" t="n"/>
      <c r="AA882" s="26" t="n"/>
      <c r="AB882" s="25" t="n"/>
      <c r="AC882" s="25" t="inlineStr">
        <is>
          <t>Open</t>
        </is>
      </c>
      <c r="AD882" s="25" t="inlineStr">
        <is>
          <t>2026-10-01</t>
        </is>
      </c>
      <c r="AE882" s="25" t="inlineStr">
        <is>
          <t>2027-03-15</t>
        </is>
      </c>
      <c r="AF882" s="25" t="inlineStr">
        <is>
          <t>No</t>
        </is>
      </c>
      <c r="AG882" s="28" t="inlineStr">
        <is>
          <t>http://www.univ-brest.fr/ufr-sciences</t>
        </is>
      </c>
      <c r="AH882" s="26" t="inlineStr">
        <is>
          <t>L'université de Bretagne occidentale demande de présenter un Test de connaissance en français pour tous les candidats dont une des langues officielles n'est pas le français. Pour les pays où le français n'est pas la seul</t>
        </is>
      </c>
      <c r="AI882" s="28" t="inlineStr">
        <is>
          <t>Open in EEF</t>
        </is>
      </c>
    </row>
    <row r="883" ht="32.8" customHeight="1" s="19">
      <c r="A883" s="25" t="n">
        <v>882</v>
      </c>
      <c r="B883" s="25" t="inlineStr">
        <is>
          <t>★★★☆☆</t>
        </is>
      </c>
      <c r="C883" s="25" t="inlineStr">
        <is>
          <t>3 – Adjacent (AI/data/CS/cyber/energy)</t>
        </is>
      </c>
      <c r="D883" s="25" t="inlineStr">
        <is>
          <t>Computer science / Software</t>
        </is>
      </c>
      <c r="E883" s="26" t="inlineStr">
        <is>
          <t>Master indifférencié (recherche et professionnel) Sciences, technologies, santé mention informatique parcours Génie Informatique et Interaction Humain-Machine (G2IHM) orientation Interaction Humain-Machine (IHM)</t>
        </is>
      </c>
      <c r="F883" s="26" t="inlineStr">
        <is>
          <t>Science, Technology, Health (STS) – major: Computer Science – track: Engineering Computer Science &amp; Human-Machine Interaction (G2IHM) – option: Human-Machine Interaction (IHM)</t>
        </is>
      </c>
      <c r="G883" s="25" t="inlineStr">
        <is>
          <t>Master indifférencié (recherche et professionnel)</t>
        </is>
      </c>
      <c r="H883" s="25" t="inlineStr">
        <is>
          <t>UFR Mathématiques, informatique, mécanique</t>
        </is>
      </c>
      <c r="I883" s="25" t="inlineStr">
        <is>
          <t>Université de Lorraine</t>
        </is>
      </c>
      <c r="J883" s="25" t="inlineStr">
        <is>
          <t>Site de Metz</t>
        </is>
      </c>
      <c r="K883" s="25" t="n"/>
      <c r="L883" s="25" t="inlineStr">
        <is>
          <t>Public university</t>
        </is>
      </c>
      <c r="M883" s="25" t="inlineStr">
        <is>
          <t>French</t>
        </is>
      </c>
      <c r="N883" s="25" t="inlineStr">
        <is>
          <t>General</t>
        </is>
      </c>
      <c r="O883" s="25" t="inlineStr">
        <is>
          <t>Bac +5</t>
        </is>
      </c>
      <c r="P883" s="26" t="inlineStr">
        <is>
          <t>Requires Bac+5 (Master) – likely not eligible; ask if 4-yr BS + experience accepted</t>
        </is>
      </c>
      <c r="Q883" s="25" t="inlineStr">
        <is>
          <t>2</t>
        </is>
      </c>
      <c r="R883" s="25" t="n"/>
      <c r="S883" s="27" t="n">
        <v>3950</v>
      </c>
      <c r="T883" s="27" t="n">
        <v>255</v>
      </c>
      <c r="U883" s="25" t="n">
        <v>1</v>
      </c>
      <c r="V883" s="27">
        <f>IF(S883="","",S883*U883)</f>
        <v/>
      </c>
      <c r="W883" s="26" t="inlineStr">
        <is>
          <t>Catalogue: €3,950. = national differentiated master fee (2026-27: €3,950). Exemption to ~€255 possible (university quota).</t>
        </is>
      </c>
      <c r="X883" s="25" t="inlineStr">
        <is>
          <t>High</t>
        </is>
      </c>
      <c r="Y883" s="25" t="inlineStr">
        <is>
          <t>3950</t>
        </is>
      </c>
      <c r="Z883" s="26" t="inlineStr">
        <is>
          <t>e-a-l-universite-de-lorraine/ Montants des droits différenciés (2026-2027) Master : 3 950 € par an</t>
        </is>
      </c>
      <c r="AA883" s="26" t="n"/>
      <c r="AB883" s="25" t="n"/>
      <c r="AC883" s="25" t="inlineStr">
        <is>
          <t>Open</t>
        </is>
      </c>
      <c r="AD883" s="25" t="inlineStr">
        <is>
          <t>2026-10-01</t>
        </is>
      </c>
      <c r="AE883" s="25" t="inlineStr">
        <is>
          <t>2027-03-15</t>
        </is>
      </c>
      <c r="AF883" s="25" t="inlineStr">
        <is>
          <t>No</t>
        </is>
      </c>
      <c r="AG883" s="28" t="inlineStr">
        <is>
          <t>https://mim.univ-lorraine.fr/</t>
        </is>
      </c>
      <c r="AH883" s="26" t="inlineStr">
        <is>
          <t>MASTER Informatique Parcours type : Génie Informatique et Interaction Humain-Machine Diplôme(s) pré requis conseillé(s) à l'entrée en M2 : M1 d'informatique ou M1 à dominante informatique Date limite de transmission du d</t>
        </is>
      </c>
      <c r="AI883" s="28" t="inlineStr">
        <is>
          <t>Open in EEF</t>
        </is>
      </c>
    </row>
    <row r="884" ht="32.8" customHeight="1" s="19">
      <c r="A884" s="25" t="n">
        <v>883</v>
      </c>
      <c r="B884" s="25" t="inlineStr">
        <is>
          <t>★★★☆☆</t>
        </is>
      </c>
      <c r="C884" s="25" t="inlineStr">
        <is>
          <t>3 – Adjacent (AI/data/CS/cyber/energy)</t>
        </is>
      </c>
      <c r="D884" s="25" t="inlineStr">
        <is>
          <t>Computer science / Software</t>
        </is>
      </c>
      <c r="E884" s="26" t="inlineStr">
        <is>
          <t>Master indifférencié (recherche et professionnel) Sciences, technologies, santé mention informatique parcours Informatique Décisionnelle (ID) orientation Systèmes d'Information Décisionnels (SID)</t>
        </is>
      </c>
      <c r="F884" s="26" t="inlineStr">
        <is>
          <t>Science, Technology, Health (STS) – major: Computer Science – track: Computer Science Decision (ID) – option: Information Systems Décisionnels (SID)</t>
        </is>
      </c>
      <c r="G884" s="25" t="inlineStr">
        <is>
          <t>Master indifférencié (recherche et professionnel)</t>
        </is>
      </c>
      <c r="H884" s="25" t="inlineStr">
        <is>
          <t>UFR Mathématiques, informatique, mécanique</t>
        </is>
      </c>
      <c r="I884" s="25" t="inlineStr">
        <is>
          <t>Université de Lorraine</t>
        </is>
      </c>
      <c r="J884" s="25" t="inlineStr">
        <is>
          <t>Site de Metz</t>
        </is>
      </c>
      <c r="K884" s="25" t="n"/>
      <c r="L884" s="25" t="inlineStr">
        <is>
          <t>Public university</t>
        </is>
      </c>
      <c r="M884" s="25" t="inlineStr">
        <is>
          <t>French</t>
        </is>
      </c>
      <c r="N884" s="25" t="inlineStr">
        <is>
          <t>General</t>
        </is>
      </c>
      <c r="O884" s="25" t="inlineStr">
        <is>
          <t>Bac +5</t>
        </is>
      </c>
      <c r="P884" s="26" t="inlineStr">
        <is>
          <t>Requires Bac+5 (Master) – likely not eligible; ask if 4-yr BS + experience accepted</t>
        </is>
      </c>
      <c r="Q884" s="25" t="inlineStr">
        <is>
          <t>2</t>
        </is>
      </c>
      <c r="R884" s="25" t="n"/>
      <c r="S884" s="27" t="n">
        <v>3950</v>
      </c>
      <c r="T884" s="27" t="n">
        <v>255</v>
      </c>
      <c r="U884" s="25" t="n">
        <v>1</v>
      </c>
      <c r="V884" s="27">
        <f>IF(S884="","",S884*U884)</f>
        <v/>
      </c>
      <c r="W884" s="26" t="inlineStr">
        <is>
          <t>Catalogue: €3,950. = national differentiated master fee (2026-27: €3,950). Exemption to ~€255 possible (university quota).</t>
        </is>
      </c>
      <c r="X884" s="25" t="inlineStr">
        <is>
          <t>High</t>
        </is>
      </c>
      <c r="Y884" s="25" t="inlineStr">
        <is>
          <t>3950</t>
        </is>
      </c>
      <c r="Z884" s="26" t="inlineStr">
        <is>
          <t>e-a-l-universite-de-lorraine/ Montants des droits différenciés (2026-2027) Master : 3 950 € par an</t>
        </is>
      </c>
      <c r="AA884" s="26" t="n"/>
      <c r="AB884" s="25" t="n"/>
      <c r="AC884" s="25" t="inlineStr">
        <is>
          <t>Open</t>
        </is>
      </c>
      <c r="AD884" s="25" t="inlineStr">
        <is>
          <t>2026-10-01</t>
        </is>
      </c>
      <c r="AE884" s="25" t="inlineStr">
        <is>
          <t>2027-03-15</t>
        </is>
      </c>
      <c r="AF884" s="25" t="inlineStr">
        <is>
          <t>No</t>
        </is>
      </c>
      <c r="AG884" s="28" t="inlineStr">
        <is>
          <t>https://mim.univ-lorraine.fr/</t>
        </is>
      </c>
      <c r="AH884" s="26" t="inlineStr">
        <is>
          <t>MASTER Informatique Parcours type : Informatique Décisionnelle Diplôme(s) pré requis conseillé(s) à l'entrée en M2 : M1 d'informatique ou M1 à dominante informatique Date limite de transmission du dossier de candidature</t>
        </is>
      </c>
      <c r="AI884" s="28" t="inlineStr">
        <is>
          <t>Open in EEF</t>
        </is>
      </c>
    </row>
    <row r="885" ht="32.8" customHeight="1" s="19">
      <c r="A885" s="25" t="n">
        <v>884</v>
      </c>
      <c r="B885" s="25" t="inlineStr">
        <is>
          <t>★★★☆☆</t>
        </is>
      </c>
      <c r="C885" s="25" t="inlineStr">
        <is>
          <t>3 – Adjacent (AI/data/CS/cyber/energy)</t>
        </is>
      </c>
      <c r="D885" s="25" t="inlineStr">
        <is>
          <t>IoT / Telecom / Networks</t>
        </is>
      </c>
      <c r="E885" s="26" t="inlineStr">
        <is>
          <t>Master indifférencié (recherche et professionnel) Sciences, technologies, santé mention Informatique parcours Ingenierie du web, des objets communicants, systemes complexes</t>
        </is>
      </c>
      <c r="F885" s="26" t="inlineStr">
        <is>
          <t>Science, Technology, Health (STS) – major: Computer Science – track: Ingenierie of web, of Objects Communicating, systemes Complex</t>
        </is>
      </c>
      <c r="G885" s="25" t="inlineStr">
        <is>
          <t>Master indifférencié (recherche et professionnel)</t>
        </is>
      </c>
      <c r="H885" s="25" t="inlineStr">
        <is>
          <t>UFR des sciences et techniques</t>
        </is>
      </c>
      <c r="I885" s="25" t="inlineStr">
        <is>
          <t>Université du Havre</t>
        </is>
      </c>
      <c r="J885" s="25" t="inlineStr">
        <is>
          <t>Site de Le Havre</t>
        </is>
      </c>
      <c r="K885" s="25" t="n"/>
      <c r="L885" s="25" t="inlineStr">
        <is>
          <t>Public university</t>
        </is>
      </c>
      <c r="M885" s="25" t="inlineStr">
        <is>
          <t>French</t>
        </is>
      </c>
      <c r="N885" s="25" t="inlineStr">
        <is>
          <t>General</t>
        </is>
      </c>
      <c r="O885" s="25" t="inlineStr">
        <is>
          <t>Bac +5</t>
        </is>
      </c>
      <c r="P885" s="26" t="inlineStr">
        <is>
          <t>Requires Bac+5 (Master) – likely not eligible; ask if 4-yr BS + experience accepted</t>
        </is>
      </c>
      <c r="Q885" s="25" t="inlineStr">
        <is>
          <t>2</t>
        </is>
      </c>
      <c r="R885" s="25" t="n"/>
      <c r="S885" s="27" t="n">
        <v>3950</v>
      </c>
      <c r="T885" s="27" t="n">
        <v>255</v>
      </c>
      <c r="U885" s="25" t="n">
        <v>1</v>
      </c>
      <c r="V885" s="27">
        <f>IF(S885="","",S885*U885)</f>
        <v/>
      </c>
      <c r="W885" s="26" t="inlineStr">
        <is>
          <t>Catalogue: €3,950. = national differentiated master fee (2026-27: €3,950). Exemption to ~€255 possible (university quota).</t>
        </is>
      </c>
      <c r="X885" s="25" t="inlineStr">
        <is>
          <t>High</t>
        </is>
      </c>
      <c r="Y885" s="25" t="inlineStr">
        <is>
          <t>3950</t>
        </is>
      </c>
      <c r="Z885" s="26" t="n"/>
      <c r="AA885" s="26" t="n"/>
      <c r="AB885" s="25" t="n"/>
      <c r="AC885" s="25" t="inlineStr">
        <is>
          <t>Open</t>
        </is>
      </c>
      <c r="AD885" s="25" t="inlineStr">
        <is>
          <t>2026-10-01</t>
        </is>
      </c>
      <c r="AE885" s="25" t="inlineStr">
        <is>
          <t>2027-03-15</t>
        </is>
      </c>
      <c r="AF885" s="25" t="inlineStr">
        <is>
          <t>No</t>
        </is>
      </c>
      <c r="AG885" s="28" t="inlineStr">
        <is>
          <t>https://ufr-st.univ-lehavre.fr</t>
        </is>
      </c>
      <c r="AH885" s="26" t="inlineStr">
        <is>
          <t>La carte des formations de l’UFR ainsi que leurs contacts figurent sur le site web de l'UFR https://ufr-st.univ-lehavre.fr/, notamment sur ce lien https://ufr-st.univ-lehavre.fr/spip.php?article5. Les fiches des formatio</t>
        </is>
      </c>
      <c r="AI885" s="28" t="inlineStr">
        <is>
          <t>Open in EEF</t>
        </is>
      </c>
    </row>
    <row r="886" ht="32.8" customHeight="1" s="19">
      <c r="A886" s="25" t="n">
        <v>885</v>
      </c>
      <c r="B886" s="25" t="inlineStr">
        <is>
          <t>★★★☆☆</t>
        </is>
      </c>
      <c r="C886" s="25" t="inlineStr">
        <is>
          <t>3 – Adjacent (AI/data/CS/cyber/energy)</t>
        </is>
      </c>
      <c r="D886" s="25" t="inlineStr">
        <is>
          <t>Computer science / Software</t>
        </is>
      </c>
      <c r="E886" s="26" t="inlineStr">
        <is>
          <t>Master indifférencié (recherche et professionnel) Sciences, technologies, santé mention informatique parcours Ingénierie des logiciels (IL) orientation Méthodes formelles pour des systèmes sûrs (MFLS)</t>
        </is>
      </c>
      <c r="F886" s="26" t="inlineStr">
        <is>
          <t>Science, Technology, Health (STS) – major: Computer Science – track: Engineering of Software (it) – option: Methods formelles for of Systems Safe (MFLS)</t>
        </is>
      </c>
      <c r="G886" s="25" t="inlineStr">
        <is>
          <t>Master indifférencié (recherche et professionnel)</t>
        </is>
      </c>
      <c r="H886" s="25" t="inlineStr">
        <is>
          <t>Faculté des Sciences et Technologies</t>
        </is>
      </c>
      <c r="I886" s="25" t="inlineStr">
        <is>
          <t>Université de Lorraine</t>
        </is>
      </c>
      <c r="J886" s="25" t="inlineStr">
        <is>
          <t>Site de Vandoeuvre-lès-Nancy</t>
        </is>
      </c>
      <c r="K886" s="25" t="n"/>
      <c r="L886" s="25" t="inlineStr">
        <is>
          <t>Public university</t>
        </is>
      </c>
      <c r="M886" s="25" t="inlineStr">
        <is>
          <t>French</t>
        </is>
      </c>
      <c r="N886" s="25" t="inlineStr">
        <is>
          <t>General</t>
        </is>
      </c>
      <c r="O886" s="25" t="inlineStr">
        <is>
          <t>Bac +5</t>
        </is>
      </c>
      <c r="P886" s="26" t="inlineStr">
        <is>
          <t>Requires Bac+5 (Master) – likely not eligible; ask if 4-yr BS + experience accepted</t>
        </is>
      </c>
      <c r="Q886" s="25" t="inlineStr">
        <is>
          <t>2</t>
        </is>
      </c>
      <c r="R886" s="25" t="n"/>
      <c r="S886" s="27" t="n">
        <v>3950</v>
      </c>
      <c r="T886" s="27" t="n">
        <v>255</v>
      </c>
      <c r="U886" s="25" t="n">
        <v>1</v>
      </c>
      <c r="V886" s="27">
        <f>IF(S886="","",S886*U886)</f>
        <v/>
      </c>
      <c r="W886" s="26" t="inlineStr">
        <is>
          <t>Catalogue: €3,950. = national differentiated master fee (2026-27: €3,950). Exemption to ~€255 possible (university quota).</t>
        </is>
      </c>
      <c r="X886" s="25" t="inlineStr">
        <is>
          <t>High</t>
        </is>
      </c>
      <c r="Y886" s="25" t="inlineStr">
        <is>
          <t>3950</t>
        </is>
      </c>
      <c r="Z886" s="26" t="n"/>
      <c r="AA886" s="26" t="n"/>
      <c r="AB886" s="25" t="n"/>
      <c r="AC886" s="25" t="inlineStr">
        <is>
          <t>Open</t>
        </is>
      </c>
      <c r="AD886" s="25" t="inlineStr">
        <is>
          <t>2026-10-01</t>
        </is>
      </c>
      <c r="AE886" s="25" t="inlineStr">
        <is>
          <t>2027-03-15</t>
        </is>
      </c>
      <c r="AF886" s="25" t="inlineStr">
        <is>
          <t>No</t>
        </is>
      </c>
      <c r="AG886" s="28" t="inlineStr">
        <is>
          <t>https://fst.univ-lorraine.fr/formations/</t>
        </is>
      </c>
      <c r="AH886" s="26" t="inlineStr">
        <is>
          <t>Projet professionnel en adéquation avec la formation. Compétences ou acquis de connaissances validés en : - Algorithmique, Calculabilité et Complexité - Analyse et Conception des Logiciels - Logique, Sémantique et Vérifi</t>
        </is>
      </c>
      <c r="AI886" s="28" t="inlineStr">
        <is>
          <t>Open in EEF</t>
        </is>
      </c>
    </row>
    <row r="887" ht="32.8" customHeight="1" s="19">
      <c r="A887" s="25" t="n">
        <v>886</v>
      </c>
      <c r="B887" s="25" t="inlineStr">
        <is>
          <t>★★★☆☆</t>
        </is>
      </c>
      <c r="C887" s="25" t="inlineStr">
        <is>
          <t>3 – Adjacent (AI/data/CS/cyber/energy)</t>
        </is>
      </c>
      <c r="D887" s="25" t="inlineStr">
        <is>
          <t>Computer science / Software</t>
        </is>
      </c>
      <c r="E887" s="26" t="inlineStr">
        <is>
          <t>Master indifférencié (recherche et professionnel) Sciences, technologies, santé mention informatique parcours Ingénierie des logiciels (IL) orientation Ingénierie logicielle (IL)</t>
        </is>
      </c>
      <c r="F887" s="26" t="inlineStr">
        <is>
          <t>Science, Technology, Health (STS) – major: Computer Science – track: Engineering of Software (it) – option: Engineering Software (it)</t>
        </is>
      </c>
      <c r="G887" s="25" t="inlineStr">
        <is>
          <t>Master indifférencié (recherche et professionnel)</t>
        </is>
      </c>
      <c r="H887" s="25" t="inlineStr">
        <is>
          <t>Faculté des Sciences et Technologies</t>
        </is>
      </c>
      <c r="I887" s="25" t="inlineStr">
        <is>
          <t>Université de Lorraine</t>
        </is>
      </c>
      <c r="J887" s="25" t="inlineStr">
        <is>
          <t>Site de Vandoeuvre-lès-Nancy</t>
        </is>
      </c>
      <c r="K887" s="25" t="n"/>
      <c r="L887" s="25" t="inlineStr">
        <is>
          <t>Public university</t>
        </is>
      </c>
      <c r="M887" s="25" t="inlineStr">
        <is>
          <t>French</t>
        </is>
      </c>
      <c r="N887" s="25" t="inlineStr">
        <is>
          <t>General</t>
        </is>
      </c>
      <c r="O887" s="25" t="inlineStr">
        <is>
          <t>Bac +5</t>
        </is>
      </c>
      <c r="P887" s="26" t="inlineStr">
        <is>
          <t>Requires Bac+5 (Master) – likely not eligible; ask if 4-yr BS + experience accepted</t>
        </is>
      </c>
      <c r="Q887" s="25" t="inlineStr">
        <is>
          <t>2</t>
        </is>
      </c>
      <c r="R887" s="25" t="n"/>
      <c r="S887" s="27" t="n">
        <v>3950</v>
      </c>
      <c r="T887" s="27" t="n">
        <v>255</v>
      </c>
      <c r="U887" s="25" t="n">
        <v>1</v>
      </c>
      <c r="V887" s="27">
        <f>IF(S887="","",S887*U887)</f>
        <v/>
      </c>
      <c r="W887" s="26" t="inlineStr">
        <is>
          <t>Catalogue: €3,950. = national differentiated master fee (2026-27: €3,950). Exemption to ~€255 possible (university quota).</t>
        </is>
      </c>
      <c r="X887" s="25" t="inlineStr">
        <is>
          <t>High</t>
        </is>
      </c>
      <c r="Y887" s="25" t="inlineStr">
        <is>
          <t>3950</t>
        </is>
      </c>
      <c r="Z887" s="26" t="n"/>
      <c r="AA887" s="26" t="n"/>
      <c r="AB887" s="25" t="n"/>
      <c r="AC887" s="25" t="inlineStr">
        <is>
          <t>Open</t>
        </is>
      </c>
      <c r="AD887" s="25" t="inlineStr">
        <is>
          <t>2026-10-01</t>
        </is>
      </c>
      <c r="AE887" s="25" t="inlineStr">
        <is>
          <t>2027-03-15</t>
        </is>
      </c>
      <c r="AF887" s="25" t="inlineStr">
        <is>
          <t>No</t>
        </is>
      </c>
      <c r="AG887" s="28" t="inlineStr">
        <is>
          <t>https://fst.univ-lorraine.fr/formations/</t>
        </is>
      </c>
      <c r="AH887" s="26" t="inlineStr">
        <is>
          <t>Projet professionnel en adéquation avec la formation. Compétences ou acquis de connaissances validés en : - Algorithmique, Complexité - Analyse et Conception des Logiciels - Modélisation et Vérification des Logiciels. -</t>
        </is>
      </c>
      <c r="AI887" s="28" t="inlineStr">
        <is>
          <t>Open in EEF</t>
        </is>
      </c>
    </row>
    <row r="888" ht="22.35" customHeight="1" s="19">
      <c r="A888" s="25" t="n">
        <v>887</v>
      </c>
      <c r="B888" s="25" t="inlineStr">
        <is>
          <t>★★★☆☆</t>
        </is>
      </c>
      <c r="C888" s="25" t="inlineStr">
        <is>
          <t>3 – Adjacent (AI/data/CS/cyber/energy)</t>
        </is>
      </c>
      <c r="D888" s="25" t="inlineStr">
        <is>
          <t>Computer science / Software</t>
        </is>
      </c>
      <c r="E888" s="26" t="inlineStr">
        <is>
          <t>Master indifférencié (recherche et professionnel) Sciences, technologies, santé mention Informatique parcours Ingénierie logicielle pour les jeux</t>
        </is>
      </c>
      <c r="F888" s="26" t="inlineStr">
        <is>
          <t>Science, Technology, Health (STS) – major: Computer Science – track: Engineering Software for the jeux</t>
        </is>
      </c>
      <c r="G888" s="25" t="inlineStr">
        <is>
          <t>Master indifférencié (recherche et professionnel)</t>
        </is>
      </c>
      <c r="H888" s="25" t="inlineStr">
        <is>
          <t>Faculté des sciences Jean Perrin</t>
        </is>
      </c>
      <c r="I888" s="25" t="inlineStr">
        <is>
          <t>Université d'Artois</t>
        </is>
      </c>
      <c r="J888" s="25" t="inlineStr">
        <is>
          <t>Site de Lens</t>
        </is>
      </c>
      <c r="K888" s="25" t="n"/>
      <c r="L888" s="25" t="inlineStr">
        <is>
          <t>Public university</t>
        </is>
      </c>
      <c r="M888" s="25" t="inlineStr">
        <is>
          <t>French</t>
        </is>
      </c>
      <c r="N888" s="25" t="inlineStr">
        <is>
          <t>General</t>
        </is>
      </c>
      <c r="O888" s="25" t="inlineStr">
        <is>
          <t>Bac +5</t>
        </is>
      </c>
      <c r="P888" s="26" t="inlineStr">
        <is>
          <t>Requires Bac+5 (Master) – likely not eligible; ask if 4-yr BS + experience accepted</t>
        </is>
      </c>
      <c r="Q888" s="25" t="inlineStr">
        <is>
          <t>2</t>
        </is>
      </c>
      <c r="R888" s="25" t="n"/>
      <c r="S888" s="27" t="n">
        <v>3950</v>
      </c>
      <c r="T888" s="27" t="n">
        <v>255</v>
      </c>
      <c r="U888" s="25" t="n">
        <v>1</v>
      </c>
      <c r="V888" s="27">
        <f>IF(S888="","",S888*U888)</f>
        <v/>
      </c>
      <c r="W888" s="26" t="inlineStr">
        <is>
          <t>Catalogue: €3,950. = national differentiated master fee (2026-27: €3,950). Exemption to ~€255 possible (university quota).</t>
        </is>
      </c>
      <c r="X888" s="25" t="inlineStr">
        <is>
          <t>High</t>
        </is>
      </c>
      <c r="Y888" s="25" t="inlineStr">
        <is>
          <t>3950</t>
        </is>
      </c>
      <c r="Z888" s="26" t="n"/>
      <c r="AA888" s="26" t="n"/>
      <c r="AB888" s="25" t="n"/>
      <c r="AC888" s="25" t="inlineStr">
        <is>
          <t>Open</t>
        </is>
      </c>
      <c r="AD888" s="25" t="inlineStr">
        <is>
          <t>2026-10-01</t>
        </is>
      </c>
      <c r="AE888" s="25" t="inlineStr">
        <is>
          <t>2027-03-15</t>
        </is>
      </c>
      <c r="AF888" s="25" t="inlineStr">
        <is>
          <t>No</t>
        </is>
      </c>
      <c r="AG888" s="28" t="inlineStr">
        <is>
          <t>https://www.sciences.univ-artois.fr/</t>
        </is>
      </c>
      <c r="AH888" s="26" t="inlineStr">
        <is>
          <t>Niveau de connaissance en langue française: B2 du cadre européen</t>
        </is>
      </c>
      <c r="AI888" s="28" t="inlineStr">
        <is>
          <t>Open in EEF</t>
        </is>
      </c>
    </row>
    <row r="889" ht="32.8" customHeight="1" s="19">
      <c r="A889" s="25" t="n">
        <v>888</v>
      </c>
      <c r="B889" s="25" t="inlineStr">
        <is>
          <t>★★★☆☆</t>
        </is>
      </c>
      <c r="C889" s="25" t="inlineStr">
        <is>
          <t>3 – Adjacent (AI/data/CS/cyber/energy)</t>
        </is>
      </c>
      <c r="D889" s="25" t="inlineStr">
        <is>
          <t>AI / Data science</t>
        </is>
      </c>
      <c r="E889" s="26" t="inlineStr">
        <is>
          <t>Master indifférencié (recherche et professionnel) Sciences, technologies, santé mention informatique parcours MALIA - Machine Learning for Artificial Intelligence</t>
        </is>
      </c>
      <c r="F889" s="26" t="inlineStr">
        <is>
          <t>Science, Technology, Health (STS) – major: Computer Science – track: MALIA - Machine Learning for Artificial Intelligence</t>
        </is>
      </c>
      <c r="G889" s="25" t="inlineStr">
        <is>
          <t>Master indifférencié (recherche et professionnel)</t>
        </is>
      </c>
      <c r="H889" s="25" t="inlineStr">
        <is>
          <t>Institut de la communication</t>
        </is>
      </c>
      <c r="I889" s="25" t="inlineStr">
        <is>
          <t>Université Lumière - Lyon 2</t>
        </is>
      </c>
      <c r="J889" s="25" t="inlineStr">
        <is>
          <t>Site de Bron</t>
        </is>
      </c>
      <c r="K889" s="25" t="n"/>
      <c r="L889" s="25" t="inlineStr">
        <is>
          <t>Public school / institute</t>
        </is>
      </c>
      <c r="M889" s="25" t="inlineStr">
        <is>
          <t>French</t>
        </is>
      </c>
      <c r="N889" s="25" t="inlineStr">
        <is>
          <t>General</t>
        </is>
      </c>
      <c r="O889" s="25" t="inlineStr">
        <is>
          <t>Bac +5</t>
        </is>
      </c>
      <c r="P889" s="26" t="inlineStr">
        <is>
          <t>Requires Bac+5 (Master) – likely not eligible; ask if 4-yr BS + experience accepted</t>
        </is>
      </c>
      <c r="Q889" s="25" t="inlineStr">
        <is>
          <t>2</t>
        </is>
      </c>
      <c r="R889" s="25" t="n"/>
      <c r="S889" s="27" t="n">
        <v>3950</v>
      </c>
      <c r="T889" s="27" t="n">
        <v>255</v>
      </c>
      <c r="U889" s="25" t="n">
        <v>1</v>
      </c>
      <c r="V889" s="27">
        <f>IF(S889="","",S889*U889)</f>
        <v/>
      </c>
      <c r="W889" s="26" t="inlineStr">
        <is>
          <t>Catalogue: €3,950. = national differentiated master fee (2026-27: €3,950). Exemption to ~€255 possible (university quota).</t>
        </is>
      </c>
      <c r="X889" s="25" t="inlineStr">
        <is>
          <t>High</t>
        </is>
      </c>
      <c r="Y889" s="25" t="inlineStr">
        <is>
          <t>3950</t>
        </is>
      </c>
      <c r="Z889" s="26" t="n"/>
      <c r="AA889" s="26" t="n"/>
      <c r="AB889" s="25" t="n"/>
      <c r="AC889" s="25" t="inlineStr">
        <is>
          <t>Open</t>
        </is>
      </c>
      <c r="AD889" s="25" t="inlineStr">
        <is>
          <t>2026-10-01</t>
        </is>
      </c>
      <c r="AE889" s="25" t="inlineStr">
        <is>
          <t>2027-03-15</t>
        </is>
      </c>
      <c r="AF889" s="25" t="inlineStr">
        <is>
          <t>No</t>
        </is>
      </c>
      <c r="AG889" s="28" t="inlineStr">
        <is>
          <t>https://www.univ-lyon2.fr/catalogue-des-formations/master-informatique</t>
        </is>
      </c>
      <c r="AH889" s="26" t="inlineStr">
        <is>
          <t>C1 en français exigé. Les étudiants provenant des pays où le français est la ou l'une des langues officielles ne sont pas dispensés du test de français. Excellent niveau en Mathématiques</t>
        </is>
      </c>
      <c r="AI889" s="28" t="inlineStr">
        <is>
          <t>Open in EEF</t>
        </is>
      </c>
    </row>
    <row r="890" ht="43.25" customHeight="1" s="19">
      <c r="A890" s="25" t="n">
        <v>889</v>
      </c>
      <c r="B890" s="25" t="inlineStr">
        <is>
          <t>★★★☆☆</t>
        </is>
      </c>
      <c r="C890" s="25" t="inlineStr">
        <is>
          <t>3 – Adjacent (AI/data/CS/cyber/energy)</t>
        </is>
      </c>
      <c r="D890" s="25" t="inlineStr">
        <is>
          <t>Computer science / Software</t>
        </is>
      </c>
      <c r="E890" s="26" t="inlineStr">
        <is>
          <t>Master indifférencié (recherche et professionnel) Sciences, technologies, santé mention informatique parcours Parcours Système d'informations avancées - SIA site Anglet</t>
        </is>
      </c>
      <c r="F890" s="26" t="inlineStr">
        <is>
          <t>Science, Technology, Health (STS) – major: Computer Science – track: track: System Information Advanced - SIA site Anglet</t>
        </is>
      </c>
      <c r="G890" s="25" t="inlineStr">
        <is>
          <t>Master indifférencié (recherche et professionnel)</t>
        </is>
      </c>
      <c r="H890" s="25" t="inlineStr">
        <is>
          <t>Collège STEE - Sciences et Technologies pour l'Energie et l'Environnement</t>
        </is>
      </c>
      <c r="I890" s="25" t="inlineStr">
        <is>
          <t>Université Pau et Pays de l'Adour</t>
        </is>
      </c>
      <c r="J890" s="25" t="inlineStr">
        <is>
          <t>Collège STEE - site d'Anglet</t>
        </is>
      </c>
      <c r="K890" s="25" t="n"/>
      <c r="L890" s="25" t="inlineStr">
        <is>
          <t>Public university</t>
        </is>
      </c>
      <c r="M890" s="25" t="inlineStr">
        <is>
          <t>French</t>
        </is>
      </c>
      <c r="N890" s="25" t="inlineStr">
        <is>
          <t>General</t>
        </is>
      </c>
      <c r="O890" s="25" t="inlineStr">
        <is>
          <t>Bac +1</t>
        </is>
      </c>
      <c r="P890" s="26" t="inlineStr">
        <is>
          <t>Entry is at undergraduate level (Bac+1/2) – not a fit for you</t>
        </is>
      </c>
      <c r="Q890" s="25" t="inlineStr">
        <is>
          <t>1</t>
        </is>
      </c>
      <c r="R890" s="25" t="n"/>
      <c r="S890" s="27" t="n">
        <v>3950</v>
      </c>
      <c r="T890" s="27" t="n">
        <v>255</v>
      </c>
      <c r="U890" s="25" t="n">
        <v>2</v>
      </c>
      <c r="V890" s="27">
        <f>IF(S890="","",S890*U890)</f>
        <v/>
      </c>
      <c r="W890" s="26" t="inlineStr">
        <is>
          <t>Catalogue: €3,950. = national differentiated master fee (2026-27: €3,950). Exemption to ~€255 possible (university quota).</t>
        </is>
      </c>
      <c r="X890" s="25" t="inlineStr">
        <is>
          <t>High</t>
        </is>
      </c>
      <c r="Y890" s="25" t="inlineStr">
        <is>
          <t>3950</t>
        </is>
      </c>
      <c r="Z890" s="26" t="inlineStr">
        <is>
          <t>oits d'inscription nationaux pour une inscription en formation initiale s'élèvent à 3 950 € / an (les droits différenciés sont appliqués aux … ployeur, par exemple) doivent payer des droits spécifiques , s'élevant au mi</t>
        </is>
      </c>
      <c r="AA890" s="26" t="n"/>
      <c r="AB890" s="25" t="n"/>
      <c r="AC890" s="25" t="inlineStr">
        <is>
          <t>Open</t>
        </is>
      </c>
      <c r="AD890" s="25" t="inlineStr">
        <is>
          <t>2026-10-01</t>
        </is>
      </c>
      <c r="AE890" s="25" t="inlineStr">
        <is>
          <t>2027-03-15</t>
        </is>
      </c>
      <c r="AF890" s="25" t="inlineStr">
        <is>
          <t>No</t>
        </is>
      </c>
      <c r="AG890" s="25" t="n"/>
      <c r="AH890" s="26" t="inlineStr">
        <is>
          <t>Diplôme obligatoire : être titulaire d’un Bachelor en informatique ou d’un diplôme étranger de niveau équivalent à une Licence française (bac+3), sanctionnant au moins trois années d’études supérieures en informatique. L</t>
        </is>
      </c>
      <c r="AI890" s="28" t="inlineStr">
        <is>
          <t>Open in EEF</t>
        </is>
      </c>
    </row>
    <row r="891" ht="32.8" customHeight="1" s="19">
      <c r="A891" s="25" t="n">
        <v>890</v>
      </c>
      <c r="B891" s="25" t="inlineStr">
        <is>
          <t>★★★☆☆</t>
        </is>
      </c>
      <c r="C891" s="25" t="inlineStr">
        <is>
          <t>3 – Adjacent (AI/data/CS/cyber/energy)</t>
        </is>
      </c>
      <c r="D891" s="25" t="inlineStr">
        <is>
          <t>Cybersecurity</t>
        </is>
      </c>
      <c r="E891" s="26" t="inlineStr">
        <is>
          <t>Master indifférencié (recherche et professionnel) Sciences, technologies, santé mention informatique parcours Programmation sûreté et sécurité</t>
        </is>
      </c>
      <c r="F891" s="26" t="inlineStr">
        <is>
          <t>Science, Technology, Health (STS) – major: Computer Science – track: Programmation Safety &amp; Security</t>
        </is>
      </c>
      <c r="G891" s="25" t="inlineStr">
        <is>
          <t>Master indifférencié (recherche et professionnel)</t>
        </is>
      </c>
      <c r="H891" s="25" t="inlineStr">
        <is>
          <t>Institut Galilée</t>
        </is>
      </c>
      <c r="I891" s="25" t="inlineStr">
        <is>
          <t>Université Sorbonne Paris Nord</t>
        </is>
      </c>
      <c r="J891" s="25" t="inlineStr">
        <is>
          <t>Site de Villetaneuse</t>
        </is>
      </c>
      <c r="K891" s="25" t="n"/>
      <c r="L891" s="25" t="inlineStr">
        <is>
          <t>Public school / institute</t>
        </is>
      </c>
      <c r="M891" s="25" t="inlineStr">
        <is>
          <t>French</t>
        </is>
      </c>
      <c r="N891" s="25" t="inlineStr">
        <is>
          <t>General</t>
        </is>
      </c>
      <c r="O891" s="25" t="inlineStr">
        <is>
          <t>Bac +5</t>
        </is>
      </c>
      <c r="P891" s="26" t="inlineStr">
        <is>
          <t>Requires Bac+5 (Master) – likely not eligible; ask if 4-yr BS + experience accepted</t>
        </is>
      </c>
      <c r="Q891" s="25" t="inlineStr">
        <is>
          <t>2</t>
        </is>
      </c>
      <c r="R891" s="25" t="inlineStr">
        <is>
          <t>12</t>
        </is>
      </c>
      <c r="S891" s="27" t="n">
        <v>3950</v>
      </c>
      <c r="T891" s="27" t="n">
        <v>255</v>
      </c>
      <c r="U891" s="25" t="n">
        <v>1</v>
      </c>
      <c r="V891" s="27">
        <f>IF(S891="","",S891*U891)</f>
        <v/>
      </c>
      <c r="W891" s="26" t="inlineStr">
        <is>
          <t>Catalogue: €3,950. = national differentiated master fee (2026-27: €3,950). Exemption to ~€255 possible (university quota).</t>
        </is>
      </c>
      <c r="X891" s="25" t="inlineStr">
        <is>
          <t>High</t>
        </is>
      </c>
      <c r="Y891" s="25" t="inlineStr">
        <is>
          <t>3950</t>
        </is>
      </c>
      <c r="Z891" s="26" t="n"/>
      <c r="AA891" s="26" t="n"/>
      <c r="AB891" s="25" t="n"/>
      <c r="AC891" s="25" t="inlineStr">
        <is>
          <t>Open</t>
        </is>
      </c>
      <c r="AD891" s="25" t="inlineStr">
        <is>
          <t>2026-10-01</t>
        </is>
      </c>
      <c r="AE891" s="25" t="inlineStr">
        <is>
          <t>2027-03-15</t>
        </is>
      </c>
      <c r="AF891" s="25" t="inlineStr">
        <is>
          <t>No</t>
        </is>
      </c>
      <c r="AG891" s="28" t="inlineStr">
        <is>
          <t>http://www-galilee.univ-paris13.fr/</t>
        </is>
      </c>
      <c r="AH891" s="26" t="inlineStr">
        <is>
          <t>Niveau TCF Minimun B2 bon niveau d'anglais bon niveau en programmation, probabilités statistiques, logique. Entrée en Master 2 : Etre titulaire d'un Master 1ére année Informatique</t>
        </is>
      </c>
      <c r="AI891" s="28" t="inlineStr">
        <is>
          <t>Open in EEF</t>
        </is>
      </c>
    </row>
    <row r="892" ht="43.25" customHeight="1" s="19">
      <c r="A892" s="25" t="n">
        <v>891</v>
      </c>
      <c r="B892" s="25" t="inlineStr">
        <is>
          <t>★★★☆☆</t>
        </is>
      </c>
      <c r="C892" s="25" t="inlineStr">
        <is>
          <t>3 – Adjacent (AI/data/CS/cyber/energy)</t>
        </is>
      </c>
      <c r="D892" s="25" t="inlineStr">
        <is>
          <t>Computer science / Software</t>
        </is>
      </c>
      <c r="E892" s="26" t="inlineStr">
        <is>
          <t>Master indifférencié (recherche et professionnel) Sciences, technologies, santé mention informatique parcours science informatique</t>
        </is>
      </c>
      <c r="F892" s="26" t="inlineStr">
        <is>
          <t>Science, Technology, Health (STS) – major: Computer Science – track: Science Computer Science</t>
        </is>
      </c>
      <c r="G892" s="25" t="inlineStr">
        <is>
          <t>Master indifférencié (recherche et professionnel)</t>
        </is>
      </c>
      <c r="H892" s="25" t="inlineStr">
        <is>
          <t>Institut national des sciences appliquées de Rennes</t>
        </is>
      </c>
      <c r="I892" s="25" t="n"/>
      <c r="J892" s="25" t="inlineStr">
        <is>
          <t>Site de Rennes</t>
        </is>
      </c>
      <c r="K892" s="25" t="n"/>
      <c r="L892" s="25" t="inlineStr">
        <is>
          <t>Public school / institute</t>
        </is>
      </c>
      <c r="M892" s="25" t="inlineStr">
        <is>
          <t>French</t>
        </is>
      </c>
      <c r="N892" s="25" t="inlineStr">
        <is>
          <t>General</t>
        </is>
      </c>
      <c r="O892" s="25" t="inlineStr">
        <is>
          <t>Bac +5</t>
        </is>
      </c>
      <c r="P892" s="26" t="inlineStr">
        <is>
          <t>Requires Bac+5 (Master) – likely not eligible; ask if 4-yr BS + experience accepted</t>
        </is>
      </c>
      <c r="Q892" s="25" t="inlineStr">
        <is>
          <t>2</t>
        </is>
      </c>
      <c r="R892" s="25" t="n"/>
      <c r="S892" s="27" t="n">
        <v>3950</v>
      </c>
      <c r="T892" s="27" t="n">
        <v>255</v>
      </c>
      <c r="U892" s="25" t="n">
        <v>1</v>
      </c>
      <c r="V892" s="27">
        <f>IF(S892="","",S892*U892)</f>
        <v/>
      </c>
      <c r="W892" s="26" t="inlineStr">
        <is>
          <t>Catalogue: €3,950. = national differentiated master fee (2026-27: €3,950). Exemption to ~€255 possible (university quota).</t>
        </is>
      </c>
      <c r="X892" s="25" t="inlineStr">
        <is>
          <t>High</t>
        </is>
      </c>
      <c r="Y892" s="25" t="inlineStr">
        <is>
          <t>3950</t>
        </is>
      </c>
      <c r="Z892" s="26" t="n"/>
      <c r="AA892" s="26" t="n"/>
      <c r="AB892" s="25" t="n"/>
      <c r="AC892" s="25" t="inlineStr">
        <is>
          <t>Open</t>
        </is>
      </c>
      <c r="AD892" s="25" t="inlineStr">
        <is>
          <t>2026-10-01</t>
        </is>
      </c>
      <c r="AE892" s="25" t="inlineStr">
        <is>
          <t>2027-03-15</t>
        </is>
      </c>
      <c r="AF892" s="25" t="inlineStr">
        <is>
          <t>No</t>
        </is>
      </c>
      <c r="AG892" s="28" t="inlineStr">
        <is>
          <t>https://www.insa-rennes.fr/master-informatique.html</t>
        </is>
      </c>
      <c r="AH892" s="26" t="inlineStr">
        <is>
          <t>Mention : Master Informatique - parcours Science Informatique (SIF) Fiche RNCP : RNCP39278 Nom de l'établissement certificateur : INSA Rennes Localisation des enseignements : Rennes Langue de formation : Français (Le niv</t>
        </is>
      </c>
      <c r="AI892" s="28" t="inlineStr">
        <is>
          <t>Open in EEF</t>
        </is>
      </c>
    </row>
    <row r="893" ht="32.8" customHeight="1" s="19">
      <c r="A893" s="25" t="n">
        <v>892</v>
      </c>
      <c r="B893" s="25" t="inlineStr">
        <is>
          <t>★★★☆☆</t>
        </is>
      </c>
      <c r="C893" s="25" t="inlineStr">
        <is>
          <t>3 – Adjacent (AI/data/CS/cyber/energy)</t>
        </is>
      </c>
      <c r="D893" s="25" t="inlineStr">
        <is>
          <t>Cybersecurity</t>
        </is>
      </c>
      <c r="E893" s="26" t="inlineStr">
        <is>
          <t>Master indifférencié (recherche et professionnel) Sciences, technologies, santé mention informatique parcours Sécurité de l'Information et des Systèmes (SIS) orientation Sécurité des Systèmes d'Information (SSI)</t>
        </is>
      </c>
      <c r="F893" s="26" t="inlineStr">
        <is>
          <t>Science, Technology, Health (STS) – major: Computer Science – track: Security of Information &amp; of Systems (SIS) – option: Security of Information Systems (SSI)</t>
        </is>
      </c>
      <c r="G893" s="25" t="inlineStr">
        <is>
          <t>Master indifférencié (recherche et professionnel)</t>
        </is>
      </c>
      <c r="H893" s="25" t="inlineStr">
        <is>
          <t>UFR Mathématiques, informatique, mécanique</t>
        </is>
      </c>
      <c r="I893" s="25" t="inlineStr">
        <is>
          <t>Université de Lorraine</t>
        </is>
      </c>
      <c r="J893" s="25" t="inlineStr">
        <is>
          <t>Site de Metz</t>
        </is>
      </c>
      <c r="K893" s="25" t="n"/>
      <c r="L893" s="25" t="inlineStr">
        <is>
          <t>Public university</t>
        </is>
      </c>
      <c r="M893" s="25" t="inlineStr">
        <is>
          <t>French</t>
        </is>
      </c>
      <c r="N893" s="25" t="inlineStr">
        <is>
          <t>General</t>
        </is>
      </c>
      <c r="O893" s="25" t="inlineStr">
        <is>
          <t>Bac +5</t>
        </is>
      </c>
      <c r="P893" s="26" t="inlineStr">
        <is>
          <t>Requires Bac+5 (Master) – likely not eligible; ask if 4-yr BS + experience accepted</t>
        </is>
      </c>
      <c r="Q893" s="25" t="inlineStr">
        <is>
          <t>2</t>
        </is>
      </c>
      <c r="R893" s="25" t="n"/>
      <c r="S893" s="27" t="n">
        <v>3950</v>
      </c>
      <c r="T893" s="27" t="n">
        <v>255</v>
      </c>
      <c r="U893" s="25" t="n">
        <v>1</v>
      </c>
      <c r="V893" s="27">
        <f>IF(S893="","",S893*U893)</f>
        <v/>
      </c>
      <c r="W893" s="26" t="inlineStr">
        <is>
          <t>Catalogue: €3,950. = national differentiated master fee (2026-27: €3,950). Exemption to ~€255 possible (university quota).</t>
        </is>
      </c>
      <c r="X893" s="25" t="inlineStr">
        <is>
          <t>High</t>
        </is>
      </c>
      <c r="Y893" s="25" t="inlineStr">
        <is>
          <t>3950</t>
        </is>
      </c>
      <c r="Z893" s="26" t="inlineStr">
        <is>
          <t>e-a-l-universite-de-lorraine/ Montants des droits différenciés (2026-2027) Master : 3 950 € par an</t>
        </is>
      </c>
      <c r="AA893" s="26" t="n"/>
      <c r="AB893" s="25" t="n"/>
      <c r="AC893" s="25" t="inlineStr">
        <is>
          <t>Open</t>
        </is>
      </c>
      <c r="AD893" s="25" t="inlineStr">
        <is>
          <t>2026-10-01</t>
        </is>
      </c>
      <c r="AE893" s="25" t="inlineStr">
        <is>
          <t>2027-03-15</t>
        </is>
      </c>
      <c r="AF893" s="25" t="inlineStr">
        <is>
          <t>No</t>
        </is>
      </c>
      <c r="AG893" s="28" t="inlineStr">
        <is>
          <t>https://mim.univ-lorraine.fr/</t>
        </is>
      </c>
      <c r="AH893" s="26" t="inlineStr">
        <is>
          <t>MASTER Informatique Parcours type : Sécurité de l'Information et des Systèmes Industriels Diplôme(s) pré requis conseillé(s) à l'entrée en M2 : M1 d'informatique ou M1 à dominante informatique Date limite de transmission</t>
        </is>
      </c>
      <c r="AI893" s="28" t="inlineStr">
        <is>
          <t>Open in EEF</t>
        </is>
      </c>
    </row>
    <row r="894" ht="32.8" customHeight="1" s="19">
      <c r="A894" s="25" t="n">
        <v>893</v>
      </c>
      <c r="B894" s="25" t="inlineStr">
        <is>
          <t>★★★☆☆</t>
        </is>
      </c>
      <c r="C894" s="25" t="inlineStr">
        <is>
          <t>3 – Adjacent (AI/data/CS/cyber/energy)</t>
        </is>
      </c>
      <c r="D894" s="25" t="inlineStr">
        <is>
          <t>IoT / Telecom / Networks</t>
        </is>
      </c>
      <c r="E894" s="26" t="inlineStr">
        <is>
          <t>Master indifférencié (recherche et professionnel) Sciences, technologies, santé mention informatique parcours Sécurité de l'Information et des Systèmes (SIS) orientation Sécurité informatique, Réseaux er Architectures Virtuelles (SIRAV)</t>
        </is>
      </c>
      <c r="F894" s="26" t="inlineStr">
        <is>
          <t>Science, Technology, Health (STS) – major: Computer Science – track: Security of Information &amp; of Systems (SIS) – option: Computer Security, Networks er Architectures Virtuelles (SIRAV)</t>
        </is>
      </c>
      <c r="G894" s="25" t="inlineStr">
        <is>
          <t>Master indifférencié (recherche et professionnel)</t>
        </is>
      </c>
      <c r="H894" s="25" t="inlineStr">
        <is>
          <t>Faculté des Sciences et Technologies</t>
        </is>
      </c>
      <c r="I894" s="25" t="inlineStr">
        <is>
          <t>Université de Lorraine</t>
        </is>
      </c>
      <c r="J894" s="25" t="inlineStr">
        <is>
          <t>Site de Vandoeuvre-lès-Nancy</t>
        </is>
      </c>
      <c r="K894" s="25" t="n"/>
      <c r="L894" s="25" t="inlineStr">
        <is>
          <t>Public university</t>
        </is>
      </c>
      <c r="M894" s="25" t="inlineStr">
        <is>
          <t>French</t>
        </is>
      </c>
      <c r="N894" s="25" t="inlineStr">
        <is>
          <t>General</t>
        </is>
      </c>
      <c r="O894" s="25" t="inlineStr">
        <is>
          <t>Bac +5</t>
        </is>
      </c>
      <c r="P894" s="26" t="inlineStr">
        <is>
          <t>Requires Bac+5 (Master) – likely not eligible; ask if 4-yr BS + experience accepted</t>
        </is>
      </c>
      <c r="Q894" s="25" t="inlineStr">
        <is>
          <t>2</t>
        </is>
      </c>
      <c r="R894" s="25" t="n"/>
      <c r="S894" s="27" t="n">
        <v>3950</v>
      </c>
      <c r="T894" s="27" t="n">
        <v>255</v>
      </c>
      <c r="U894" s="25" t="n">
        <v>1</v>
      </c>
      <c r="V894" s="27">
        <f>IF(S894="","",S894*U894)</f>
        <v/>
      </c>
      <c r="W894" s="26" t="inlineStr">
        <is>
          <t>Catalogue: €3,950. = national differentiated master fee (2026-27: €3,950). Exemption to ~€255 possible (university quota).</t>
        </is>
      </c>
      <c r="X894" s="25" t="inlineStr">
        <is>
          <t>High</t>
        </is>
      </c>
      <c r="Y894" s="25" t="inlineStr">
        <is>
          <t>3950</t>
        </is>
      </c>
      <c r="Z894" s="26" t="n"/>
      <c r="AA894" s="26" t="n"/>
      <c r="AB894" s="25" t="n"/>
      <c r="AC894" s="25" t="inlineStr">
        <is>
          <t>Open</t>
        </is>
      </c>
      <c r="AD894" s="25" t="inlineStr">
        <is>
          <t>2026-10-01</t>
        </is>
      </c>
      <c r="AE894" s="25" t="inlineStr">
        <is>
          <t>2027-03-15</t>
        </is>
      </c>
      <c r="AF894" s="25" t="inlineStr">
        <is>
          <t>No</t>
        </is>
      </c>
      <c r="AG894" s="28" t="inlineStr">
        <is>
          <t>https://fst.univ-lorraine.fr/formations/</t>
        </is>
      </c>
      <c r="AH894" s="26" t="inlineStr">
        <is>
          <t>Projet professionnel en adéquation avec la formation Compétences ou acquis d’apprentissage validés en : - Algorithmique - Réseaux, Systèmes communicants - Architectures distribuées - Applications distribuées et Web - Cry</t>
        </is>
      </c>
      <c r="AI894" s="28" t="inlineStr">
        <is>
          <t>Open in EEF</t>
        </is>
      </c>
    </row>
    <row r="895" ht="32.8" customHeight="1" s="19">
      <c r="A895" s="25" t="n">
        <v>894</v>
      </c>
      <c r="B895" s="25" t="inlineStr">
        <is>
          <t>★★★☆☆</t>
        </is>
      </c>
      <c r="C895" s="25" t="inlineStr">
        <is>
          <t>3 – Adjacent (AI/data/CS/cyber/energy)</t>
        </is>
      </c>
      <c r="D895" s="25" t="inlineStr">
        <is>
          <t>AI / Data science</t>
        </is>
      </c>
      <c r="E895" s="26" t="inlineStr">
        <is>
          <t>Master indifférencié (recherche et professionnel) Sciences, technologies, santé mention informatique parcours statistique et informatique (SISE)</t>
        </is>
      </c>
      <c r="F895" s="26" t="inlineStr">
        <is>
          <t>Science, Technology, Health (STS) – major: Computer Science – track: Statistics &amp; Computer Science (SISE)</t>
        </is>
      </c>
      <c r="G895" s="25" t="inlineStr">
        <is>
          <t>Master indifférencié (recherche et professionnel)</t>
        </is>
      </c>
      <c r="H895" s="25" t="inlineStr">
        <is>
          <t>Institut de la communication</t>
        </is>
      </c>
      <c r="I895" s="25" t="inlineStr">
        <is>
          <t>Université Lumière - Lyon 2</t>
        </is>
      </c>
      <c r="J895" s="25" t="inlineStr">
        <is>
          <t>Site de Bron</t>
        </is>
      </c>
      <c r="K895" s="25" t="n"/>
      <c r="L895" s="25" t="inlineStr">
        <is>
          <t>Public school / institute</t>
        </is>
      </c>
      <c r="M895" s="25" t="inlineStr">
        <is>
          <t>French</t>
        </is>
      </c>
      <c r="N895" s="25" t="inlineStr">
        <is>
          <t>General</t>
        </is>
      </c>
      <c r="O895" s="25" t="inlineStr">
        <is>
          <t>Bac +5</t>
        </is>
      </c>
      <c r="P895" s="26" t="inlineStr">
        <is>
          <t>Requires Bac+5 (Master) – likely not eligible; ask if 4-yr BS + experience accepted</t>
        </is>
      </c>
      <c r="Q895" s="25" t="inlineStr">
        <is>
          <t>2</t>
        </is>
      </c>
      <c r="R895" s="25" t="n"/>
      <c r="S895" s="27" t="n">
        <v>3950</v>
      </c>
      <c r="T895" s="27" t="n">
        <v>255</v>
      </c>
      <c r="U895" s="25" t="n">
        <v>1</v>
      </c>
      <c r="V895" s="27">
        <f>IF(S895="","",S895*U895)</f>
        <v/>
      </c>
      <c r="W895" s="26" t="inlineStr">
        <is>
          <t>Catalogue: €3,950. = national differentiated master fee (2026-27: €3,950). Exemption to ~€255 possible (university quota).</t>
        </is>
      </c>
      <c r="X895" s="25" t="inlineStr">
        <is>
          <t>High</t>
        </is>
      </c>
      <c r="Y895" s="25" t="inlineStr">
        <is>
          <t>3950</t>
        </is>
      </c>
      <c r="Z895" s="26" t="n"/>
      <c r="AA895" s="26" t="n"/>
      <c r="AB895" s="25" t="n"/>
      <c r="AC895" s="25" t="inlineStr">
        <is>
          <t>Open</t>
        </is>
      </c>
      <c r="AD895" s="25" t="inlineStr">
        <is>
          <t>2026-10-01</t>
        </is>
      </c>
      <c r="AE895" s="25" t="inlineStr">
        <is>
          <t>2027-03-15</t>
        </is>
      </c>
      <c r="AF895" s="25" t="inlineStr">
        <is>
          <t>No</t>
        </is>
      </c>
      <c r="AG895" s="28" t="inlineStr">
        <is>
          <t>https://www.univ-lyon2.fr/catalogue-des-formations/master-informatique</t>
        </is>
      </c>
      <c r="AH895" s="26" t="inlineStr">
        <is>
          <t>C1 en français Les étudiants provenant des pays où le français est la ou l'une des langues officielles ne sont pas dispensés du test de français. Excellent niveau en informatique et en statistique</t>
        </is>
      </c>
      <c r="AI895" s="28" t="inlineStr">
        <is>
          <t>Open in EEF</t>
        </is>
      </c>
    </row>
    <row r="896" ht="32.8" customHeight="1" s="19">
      <c r="A896" s="25" t="n">
        <v>895</v>
      </c>
      <c r="B896" s="25" t="inlineStr">
        <is>
          <t>★★★☆☆</t>
        </is>
      </c>
      <c r="C896" s="25" t="inlineStr">
        <is>
          <t>3 – Adjacent (AI/data/CS/cyber/energy)</t>
        </is>
      </c>
      <c r="D896" s="25" t="inlineStr">
        <is>
          <t>Computer science / Software</t>
        </is>
      </c>
      <c r="E896" s="26" t="inlineStr">
        <is>
          <t>Master indifférencié (recherche et professionnel) Sciences, technologies, santé mention informatique parcours organisation et protection des systèmes d'informations en entreprise (OPSIE)</t>
        </is>
      </c>
      <c r="F896" s="26" t="inlineStr">
        <is>
          <t>Science, Technology, Health (STS) – major: Computer Science – track: Organisation &amp; Protection of Information Systemss in entreprise (OPSIE)</t>
        </is>
      </c>
      <c r="G896" s="25" t="inlineStr">
        <is>
          <t>Master indifférencié (recherche et professionnel)</t>
        </is>
      </c>
      <c r="H896" s="25" t="inlineStr">
        <is>
          <t>Institut de la communication</t>
        </is>
      </c>
      <c r="I896" s="25" t="inlineStr">
        <is>
          <t>Université Lumière - Lyon 2</t>
        </is>
      </c>
      <c r="J896" s="25" t="inlineStr">
        <is>
          <t>Site de Bron</t>
        </is>
      </c>
      <c r="K896" s="25" t="n"/>
      <c r="L896" s="25" t="inlineStr">
        <is>
          <t>Public school / institute</t>
        </is>
      </c>
      <c r="M896" s="25" t="inlineStr">
        <is>
          <t>French</t>
        </is>
      </c>
      <c r="N896" s="25" t="inlineStr">
        <is>
          <t>General</t>
        </is>
      </c>
      <c r="O896" s="25" t="inlineStr">
        <is>
          <t>Bac +5</t>
        </is>
      </c>
      <c r="P896" s="26" t="inlineStr">
        <is>
          <t>Requires Bac+5 (Master) – likely not eligible; ask if 4-yr BS + experience accepted</t>
        </is>
      </c>
      <c r="Q896" s="25" t="inlineStr">
        <is>
          <t>2</t>
        </is>
      </c>
      <c r="R896" s="25" t="n"/>
      <c r="S896" s="27" t="n">
        <v>3950</v>
      </c>
      <c r="T896" s="27" t="n">
        <v>255</v>
      </c>
      <c r="U896" s="25" t="n">
        <v>1</v>
      </c>
      <c r="V896" s="27">
        <f>IF(S896="","",S896*U896)</f>
        <v/>
      </c>
      <c r="W896" s="26" t="inlineStr">
        <is>
          <t>Catalogue: €3,950. = national differentiated master fee (2026-27: €3,950). Exemption to ~€255 possible (university quota).</t>
        </is>
      </c>
      <c r="X896" s="25" t="inlineStr">
        <is>
          <t>High</t>
        </is>
      </c>
      <c r="Y896" s="25" t="inlineStr">
        <is>
          <t>3950</t>
        </is>
      </c>
      <c r="Z896" s="26" t="n"/>
      <c r="AA896" s="26" t="n"/>
      <c r="AB896" s="25" t="n"/>
      <c r="AC896" s="25" t="inlineStr">
        <is>
          <t>Open</t>
        </is>
      </c>
      <c r="AD896" s="25" t="inlineStr">
        <is>
          <t>2026-10-01</t>
        </is>
      </c>
      <c r="AE896" s="25" t="inlineStr">
        <is>
          <t>2027-03-15</t>
        </is>
      </c>
      <c r="AF896" s="25" t="inlineStr">
        <is>
          <t>No</t>
        </is>
      </c>
      <c r="AG896" s="28" t="inlineStr">
        <is>
          <t>https://www.univ-lyon2.fr/catalogue-des-formations/master-informatique</t>
        </is>
      </c>
      <c r="AH896" s="26" t="inlineStr">
        <is>
          <t>B2 en français Les étudiants provenant des pays où le français est la ou l'une des langues officielles ne sont pas dispensés du test de français. Très bon niveau en informatique</t>
        </is>
      </c>
      <c r="AI896" s="28" t="inlineStr">
        <is>
          <t>Open in EEF</t>
        </is>
      </c>
    </row>
    <row r="897" ht="32.8" customHeight="1" s="19">
      <c r="A897" s="25" t="n">
        <v>896</v>
      </c>
      <c r="B897" s="25" t="inlineStr">
        <is>
          <t>★★★☆☆</t>
        </is>
      </c>
      <c r="C897" s="25" t="inlineStr">
        <is>
          <t>3 – Adjacent (AI/data/CS/cyber/energy)</t>
        </is>
      </c>
      <c r="D897" s="25" t="inlineStr">
        <is>
          <t>Other engineering / maths</t>
        </is>
      </c>
      <c r="E897" s="26" t="inlineStr">
        <is>
          <t>Master indifférencié (recherche et professionnel) Sciences, technologies, santé mention Ingénierie des systèmes complexes parcours Modélisation pour la biologie et la santé</t>
        </is>
      </c>
      <c r="F897" s="26" t="inlineStr">
        <is>
          <t>Science, Technology, Health (STS) – major: Complex Systems Engineering – track: Modelling for the Biology &amp; the Health</t>
        </is>
      </c>
      <c r="G897" s="25" t="inlineStr">
        <is>
          <t>Master indifférencié (recherche et professionnel)</t>
        </is>
      </c>
      <c r="H897" s="25" t="inlineStr">
        <is>
          <t>UFR des sciences - Pôle scientifique Saint Leu</t>
        </is>
      </c>
      <c r="I897" s="25" t="inlineStr">
        <is>
          <t>Université Picardie Jules Verne Amiens</t>
        </is>
      </c>
      <c r="J897" s="25" t="inlineStr">
        <is>
          <t>Site de Amiens</t>
        </is>
      </c>
      <c r="K897" s="25" t="inlineStr">
        <is>
          <t>80000 Amiens</t>
        </is>
      </c>
      <c r="L897" s="25" t="inlineStr">
        <is>
          <t>Public university</t>
        </is>
      </c>
      <c r="M897" s="25" t="inlineStr">
        <is>
          <t>French</t>
        </is>
      </c>
      <c r="N897" s="25" t="inlineStr">
        <is>
          <t>General</t>
        </is>
      </c>
      <c r="O897" s="25" t="inlineStr">
        <is>
          <t>Bac +5</t>
        </is>
      </c>
      <c r="P897" s="26" t="inlineStr">
        <is>
          <t>Requires Bac+5 (Master) – likely not eligible; ask if 4-yr BS + experience accepted</t>
        </is>
      </c>
      <c r="Q897" s="25" t="inlineStr">
        <is>
          <t>2</t>
        </is>
      </c>
      <c r="R897" s="25" t="inlineStr">
        <is>
          <t>12</t>
        </is>
      </c>
      <c r="S897" s="27" t="n">
        <v>3950</v>
      </c>
      <c r="T897" s="27" t="n">
        <v>255</v>
      </c>
      <c r="U897" s="25" t="n">
        <v>1</v>
      </c>
      <c r="V897" s="27">
        <f>IF(S897="","",S897*U897)</f>
        <v/>
      </c>
      <c r="W897" s="26" t="inlineStr">
        <is>
          <t>Catalogue: €3,950. = national differentiated master fee (2026-27: €3,950). Exemption to ~€255 possible (university quota).</t>
        </is>
      </c>
      <c r="X897" s="25" t="inlineStr">
        <is>
          <t>High</t>
        </is>
      </c>
      <c r="Y897" s="25" t="inlineStr">
        <is>
          <t>3950</t>
        </is>
      </c>
      <c r="Z897" s="26" t="n"/>
      <c r="AA897" s="26" t="n"/>
      <c r="AB897" s="25" t="n"/>
      <c r="AC897" s="25" t="inlineStr">
        <is>
          <t>Open</t>
        </is>
      </c>
      <c r="AD897" s="25" t="inlineStr">
        <is>
          <t>2026-10-01</t>
        </is>
      </c>
      <c r="AE897" s="25" t="inlineStr">
        <is>
          <t>2027-03-15</t>
        </is>
      </c>
      <c r="AF897" s="25" t="inlineStr">
        <is>
          <t>No</t>
        </is>
      </c>
      <c r="AG897" s="28" t="inlineStr">
        <is>
          <t>https://sciences.u-picardie.fr/accueil-ufr-sciences</t>
        </is>
      </c>
      <c r="AH897" s="26" t="inlineStr">
        <is>
          <t>Niveau de français requis : B2 Le tarif indiqué est celui de l'année universitaire 2026/2027 et, est susceptible d'être modifié pour l'année universitaire 2027/2028.</t>
        </is>
      </c>
      <c r="AI897" s="28" t="inlineStr">
        <is>
          <t>Open in EEF</t>
        </is>
      </c>
    </row>
    <row r="898" ht="32.8" customHeight="1" s="19">
      <c r="A898" s="25" t="n">
        <v>897</v>
      </c>
      <c r="B898" s="25" t="inlineStr">
        <is>
          <t>★★★☆☆</t>
        </is>
      </c>
      <c r="C898" s="25" t="inlineStr">
        <is>
          <t>3 – Adjacent (AI/data/CS/cyber/energy)</t>
        </is>
      </c>
      <c r="D898" s="25" t="inlineStr">
        <is>
          <t>Other engineering / maths</t>
        </is>
      </c>
      <c r="E898" s="26" t="inlineStr">
        <is>
          <t>Master indifférencié (recherche et professionnel) Sciences, technologies, santé mention Ingénierie des systèmes complexes parcours Optimisation et Sûreté des Systèmes (OSS)</t>
        </is>
      </c>
      <c r="F898" s="26" t="inlineStr">
        <is>
          <t>Science, Technology, Health (STS) – major: Complex Systems Engineering – track: Optimisation &amp; Safety of Systems (OSS)</t>
        </is>
      </c>
      <c r="G898" s="25" t="inlineStr">
        <is>
          <t>Master indifférencié (recherche et professionnel)</t>
        </is>
      </c>
      <c r="H898" s="25" t="inlineStr">
        <is>
          <t>Université de technologie de Troyes</t>
        </is>
      </c>
      <c r="I898" s="25" t="n"/>
      <c r="J898" s="25" t="inlineStr">
        <is>
          <t>Site de Troyes</t>
        </is>
      </c>
      <c r="K898" s="25" t="n"/>
      <c r="L898" s="25" t="inlineStr">
        <is>
          <t>Public university</t>
        </is>
      </c>
      <c r="M898" s="25" t="inlineStr">
        <is>
          <t>French</t>
        </is>
      </c>
      <c r="N898" s="25" t="inlineStr">
        <is>
          <t>General</t>
        </is>
      </c>
      <c r="O898" s="25" t="inlineStr">
        <is>
          <t>Bac +5</t>
        </is>
      </c>
      <c r="P898" s="26" t="inlineStr">
        <is>
          <t>Requires Bac+5 (Master) – likely not eligible; ask if 4-yr BS + experience accepted</t>
        </is>
      </c>
      <c r="Q898" s="25" t="inlineStr">
        <is>
          <t>2</t>
        </is>
      </c>
      <c r="R898" s="25" t="inlineStr">
        <is>
          <t>12</t>
        </is>
      </c>
      <c r="S898" s="27" t="n">
        <v>3950</v>
      </c>
      <c r="T898" s="27" t="n">
        <v>255</v>
      </c>
      <c r="U898" s="25" t="n">
        <v>1</v>
      </c>
      <c r="V898" s="27">
        <f>IF(S898="","",S898*U898)</f>
        <v/>
      </c>
      <c r="W898" s="26" t="inlineStr">
        <is>
          <t>Catalogue: €3,941. = national differentiated master fee (2026-27: €3,950). Exemption to ~€255 possible (university quota).</t>
        </is>
      </c>
      <c r="X898" s="25" t="inlineStr">
        <is>
          <t>High</t>
        </is>
      </c>
      <c r="Y898" s="25" t="inlineStr">
        <is>
          <t>3941</t>
        </is>
      </c>
      <c r="Z898" s="26" t="n"/>
      <c r="AA898" s="26" t="n"/>
      <c r="AB898" s="25" t="n"/>
      <c r="AC898" s="25" t="inlineStr">
        <is>
          <t>Open</t>
        </is>
      </c>
      <c r="AD898" s="25" t="inlineStr">
        <is>
          <t>2026-10-01</t>
        </is>
      </c>
      <c r="AE898" s="25" t="inlineStr">
        <is>
          <t>2027-03-15</t>
        </is>
      </c>
      <c r="AF898" s="25" t="inlineStr">
        <is>
          <t>Yes</t>
        </is>
      </c>
      <c r="AG898" s="28" t="inlineStr">
        <is>
          <t>https://www.utt.fr/formations/master/optimisation-et-surete-des-systemes</t>
        </is>
      </c>
      <c r="AH898" s="26" t="inlineStr">
        <is>
          <t>Admission en 1ère année de master : La formation est ouverte, en première année, aux titulaires d’un diplôme national conférant le grade de licence, d'un titre étranger ou français admis par équivalence, ou par validatio</t>
        </is>
      </c>
      <c r="AI898" s="28" t="inlineStr">
        <is>
          <t>Open in EEF</t>
        </is>
      </c>
    </row>
    <row r="899" ht="32.8" customHeight="1" s="19">
      <c r="A899" s="25" t="n">
        <v>898</v>
      </c>
      <c r="B899" s="25" t="inlineStr">
        <is>
          <t>★★★☆☆</t>
        </is>
      </c>
      <c r="C899" s="25" t="inlineStr">
        <is>
          <t>3 – Adjacent (AI/data/CS/cyber/energy)</t>
        </is>
      </c>
      <c r="D899" s="25" t="inlineStr">
        <is>
          <t>Cybersecurity</t>
        </is>
      </c>
      <c r="E899" s="26" t="inlineStr">
        <is>
          <t>Master indifférencié (recherche et professionnel) Sciences, technologies, santé mention Ingénierie des systèmes complexes parcours Sécurité des Systèmes d'Information (SSI)</t>
        </is>
      </c>
      <c r="F899" s="26" t="inlineStr">
        <is>
          <t>Science, Technology, Health (STS) – major: Complex Systems Engineering – track: Security of Information Systems (SSI)</t>
        </is>
      </c>
      <c r="G899" s="25" t="inlineStr">
        <is>
          <t>Master indifférencié (recherche et professionnel)</t>
        </is>
      </c>
      <c r="H899" s="25" t="inlineStr">
        <is>
          <t>Université de technologie de Troyes</t>
        </is>
      </c>
      <c r="I899" s="25" t="n"/>
      <c r="J899" s="25" t="inlineStr">
        <is>
          <t>Site de Troyes</t>
        </is>
      </c>
      <c r="K899" s="25" t="n"/>
      <c r="L899" s="25" t="inlineStr">
        <is>
          <t>Public university</t>
        </is>
      </c>
      <c r="M899" s="25" t="inlineStr">
        <is>
          <t>French</t>
        </is>
      </c>
      <c r="N899" s="25" t="inlineStr">
        <is>
          <t>General</t>
        </is>
      </c>
      <c r="O899" s="25" t="inlineStr">
        <is>
          <t>Bac +5</t>
        </is>
      </c>
      <c r="P899" s="26" t="inlineStr">
        <is>
          <t>Requires Bac+5 (Master) – likely not eligible; ask if 4-yr BS + experience accepted</t>
        </is>
      </c>
      <c r="Q899" s="25" t="inlineStr">
        <is>
          <t>2</t>
        </is>
      </c>
      <c r="R899" s="25" t="inlineStr">
        <is>
          <t>12</t>
        </is>
      </c>
      <c r="S899" s="27" t="n">
        <v>3950</v>
      </c>
      <c r="T899" s="27" t="n">
        <v>255</v>
      </c>
      <c r="U899" s="25" t="n">
        <v>1</v>
      </c>
      <c r="V899" s="27">
        <f>IF(S899="","",S899*U899)</f>
        <v/>
      </c>
      <c r="W899" s="26" t="inlineStr">
        <is>
          <t>Catalogue: €3,941. = national differentiated master fee (2026-27: €3,950). Exemption to ~€255 possible (university quota).</t>
        </is>
      </c>
      <c r="X899" s="25" t="inlineStr">
        <is>
          <t>High</t>
        </is>
      </c>
      <c r="Y899" s="25" t="inlineStr">
        <is>
          <t>3941</t>
        </is>
      </c>
      <c r="Z899" s="26" t="n"/>
      <c r="AA899" s="26" t="n"/>
      <c r="AB899" s="25" t="n"/>
      <c r="AC899" s="25" t="inlineStr">
        <is>
          <t>Open</t>
        </is>
      </c>
      <c r="AD899" s="25" t="inlineStr">
        <is>
          <t>2026-10-01</t>
        </is>
      </c>
      <c r="AE899" s="25" t="inlineStr">
        <is>
          <t>2027-03-15</t>
        </is>
      </c>
      <c r="AF899" s="25" t="inlineStr">
        <is>
          <t>Yes</t>
        </is>
      </c>
      <c r="AG899" s="28" t="inlineStr">
        <is>
          <t>https://www.utt.fr/formations/master/securite-des-systemes-d-information/master-securite-des-systemes-d-information-9047.kjsp</t>
        </is>
      </c>
      <c r="AH899" s="26" t="inlineStr">
        <is>
          <t>Admission en 1ère année de master : La formation est ouverte, en première année, aux titulaires d’un diplôme national conférant le grade de licence, d'un titre étranger ou français admis par équivalence, ou par validatio</t>
        </is>
      </c>
      <c r="AI899" s="28" t="inlineStr">
        <is>
          <t>Open in EEF</t>
        </is>
      </c>
    </row>
    <row r="900" ht="32.8" customHeight="1" s="19">
      <c r="A900" s="25" t="n">
        <v>899</v>
      </c>
      <c r="B900" s="25" t="inlineStr">
        <is>
          <t>★★★☆☆</t>
        </is>
      </c>
      <c r="C900" s="25" t="inlineStr">
        <is>
          <t>3 – Adjacent (AI/data/CS/cyber/energy)</t>
        </is>
      </c>
      <c r="D900" s="25" t="inlineStr">
        <is>
          <t>AI / Data science</t>
        </is>
      </c>
      <c r="E900" s="26" t="inlineStr">
        <is>
          <t>Master indifférencié (recherche et professionnel) Sciences, technologies, santé mention Ingénierie mathématique pour la science des données (IMSD)</t>
        </is>
      </c>
      <c r="F900" s="26" t="inlineStr">
        <is>
          <t>Science, Technology, Health (STS) – major: Engineering Mathematical for the Data Science (IMSD)</t>
        </is>
      </c>
      <c r="G900" s="25" t="inlineStr">
        <is>
          <t>Master indifférencié (recherche et professionnel)</t>
        </is>
      </c>
      <c r="H900" s="25" t="inlineStr">
        <is>
          <t>Faculté des Sciences et Technologies</t>
        </is>
      </c>
      <c r="I900" s="25" t="inlineStr">
        <is>
          <t>Université de Lorraine</t>
        </is>
      </c>
      <c r="J900" s="25" t="inlineStr">
        <is>
          <t>Site de Vandoeuvre-lès-Nancy</t>
        </is>
      </c>
      <c r="K900" s="25" t="n"/>
      <c r="L900" s="25" t="inlineStr">
        <is>
          <t>Public university</t>
        </is>
      </c>
      <c r="M900" s="25" t="inlineStr">
        <is>
          <t>French</t>
        </is>
      </c>
      <c r="N900" s="25" t="inlineStr">
        <is>
          <t>General</t>
        </is>
      </c>
      <c r="O900" s="25" t="inlineStr">
        <is>
          <t>Bac +5</t>
        </is>
      </c>
      <c r="P900" s="26" t="inlineStr">
        <is>
          <t>Requires Bac+5 (Master) – likely not eligible; ask if 4-yr BS + experience accepted</t>
        </is>
      </c>
      <c r="Q900" s="25" t="inlineStr">
        <is>
          <t>2</t>
        </is>
      </c>
      <c r="R900" s="25" t="n"/>
      <c r="S900" s="27" t="n">
        <v>3950</v>
      </c>
      <c r="T900" s="27" t="n">
        <v>255</v>
      </c>
      <c r="U900" s="25" t="n">
        <v>1</v>
      </c>
      <c r="V900" s="27">
        <f>IF(S900="","",S900*U900)</f>
        <v/>
      </c>
      <c r="W900" s="26" t="inlineStr">
        <is>
          <t>Catalogue: €3,950. = national differentiated master fee (2026-27: €3,950). Exemption to ~€255 possible (university quota).</t>
        </is>
      </c>
      <c r="X900" s="25" t="inlineStr">
        <is>
          <t>High</t>
        </is>
      </c>
      <c r="Y900" s="25" t="inlineStr">
        <is>
          <t>3950</t>
        </is>
      </c>
      <c r="Z900" s="26" t="n"/>
      <c r="AA900" s="26" t="n"/>
      <c r="AB900" s="25" t="n"/>
      <c r="AC900" s="25" t="inlineStr">
        <is>
          <t>Open</t>
        </is>
      </c>
      <c r="AD900" s="25" t="inlineStr">
        <is>
          <t>2026-10-01</t>
        </is>
      </c>
      <c r="AE900" s="25" t="inlineStr">
        <is>
          <t>2027-03-15</t>
        </is>
      </c>
      <c r="AF900" s="25" t="inlineStr">
        <is>
          <t>No</t>
        </is>
      </c>
      <c r="AG900" s="28" t="inlineStr">
        <is>
          <t>https://fst.univ-lorraine.fr/formations/</t>
        </is>
      </c>
      <c r="AH900" s="26" t="inlineStr">
        <is>
          <t>Master 1 de mathématiques ou mathématiques appliquées ou niveau équivalent demandé. Niveau B2 en langue française exigé. Aucun dossier transmis en dehors de la campagne d'ouverture de Campus France ne sera accepté. Un or</t>
        </is>
      </c>
      <c r="AI900" s="28" t="inlineStr">
        <is>
          <t>Open in EEF</t>
        </is>
      </c>
    </row>
    <row r="901" ht="32.8" customHeight="1" s="19">
      <c r="A901" s="25" t="n">
        <v>900</v>
      </c>
      <c r="B901" s="25" t="inlineStr">
        <is>
          <t>★★★☆☆</t>
        </is>
      </c>
      <c r="C901" s="25" t="inlineStr">
        <is>
          <t>3 – Adjacent (AI/data/CS/cyber/energy)</t>
        </is>
      </c>
      <c r="D901" s="25" t="inlineStr">
        <is>
          <t>AI / Data science</t>
        </is>
      </c>
      <c r="E901" s="26" t="inlineStr">
        <is>
          <t>Master indifférencié (recherche et professionnel) Sciences, technologies, santé mention Mathématiques appliquées, statistique parcours Data sciences pour la Biologie</t>
        </is>
      </c>
      <c r="F901" s="26" t="inlineStr">
        <is>
          <t>Science, Technology, Health (STS) – major: Applied Mathematics, Statistics – track: Data Sciences for the Biology</t>
        </is>
      </c>
      <c r="G901" s="25" t="inlineStr">
        <is>
          <t>Master indifférencié (recherche et professionnel)</t>
        </is>
      </c>
      <c r="H901" s="25" t="inlineStr">
        <is>
          <t>Institut Agro Rennes-Angers</t>
        </is>
      </c>
      <c r="I901" s="25" t="inlineStr">
        <is>
          <t>Institut Agro Rennes-Angers</t>
        </is>
      </c>
      <c r="J901" s="25" t="inlineStr">
        <is>
          <t>Campus de Rennes</t>
        </is>
      </c>
      <c r="K901" s="25" t="n"/>
      <c r="L901" s="25" t="inlineStr">
        <is>
          <t>Public school / institute</t>
        </is>
      </c>
      <c r="M901" s="25" t="inlineStr">
        <is>
          <t>French</t>
        </is>
      </c>
      <c r="N901" s="25" t="inlineStr">
        <is>
          <t>General</t>
        </is>
      </c>
      <c r="O901" s="25" t="inlineStr">
        <is>
          <t>Bac +5</t>
        </is>
      </c>
      <c r="P901" s="26" t="inlineStr">
        <is>
          <t>Requires Bac+5 (Master) – likely not eligible; ask if 4-yr BS + experience accepted</t>
        </is>
      </c>
      <c r="Q901" s="25" t="inlineStr">
        <is>
          <t>2</t>
        </is>
      </c>
      <c r="R901" s="25" t="n"/>
      <c r="S901" s="27" t="n">
        <v>3950</v>
      </c>
      <c r="T901" s="27" t="n">
        <v>255</v>
      </c>
      <c r="U901" s="25" t="n">
        <v>1</v>
      </c>
      <c r="V901" s="27">
        <f>IF(S901="","",S901*U901)</f>
        <v/>
      </c>
      <c r="W901" s="26" t="inlineStr">
        <is>
          <t>Catalogue: €3,950. = national differentiated master fee (2026-27: €3,950). Exemption to ~€255 possible (university quota).</t>
        </is>
      </c>
      <c r="X901" s="25" t="inlineStr">
        <is>
          <t>High</t>
        </is>
      </c>
      <c r="Y901" s="25" t="inlineStr">
        <is>
          <t>3950</t>
        </is>
      </c>
      <c r="Z901" s="26" t="n"/>
      <c r="AA901" s="26" t="n"/>
      <c r="AB901" s="25" t="n"/>
      <c r="AC901" s="25" t="inlineStr">
        <is>
          <t>Open</t>
        </is>
      </c>
      <c r="AD901" s="25" t="inlineStr">
        <is>
          <t>2026-10-01</t>
        </is>
      </c>
      <c r="AE901" s="25" t="inlineStr">
        <is>
          <t>2027-03-15</t>
        </is>
      </c>
      <c r="AF901" s="25" t="inlineStr">
        <is>
          <t>No</t>
        </is>
      </c>
      <c r="AG901" s="28" t="inlineStr">
        <is>
          <t>https://www.institut-agro-rennes-angers.fr</t>
        </is>
      </c>
      <c r="AH901" s="26" t="inlineStr">
        <is>
          <t>Veillez à ce que les pièces notées, ci-dessous, figurent bien dans votre dossier en ligne sur votre espace Etudes en France : - Lettre de motivation adressée à M. le Directeur de l'Institut Agro Rennes-Angers (préciser s</t>
        </is>
      </c>
      <c r="AI901" s="28" t="inlineStr">
        <is>
          <t>Open in EEF</t>
        </is>
      </c>
    </row>
    <row r="902" ht="32.8" customHeight="1" s="19">
      <c r="A902" s="25" t="n">
        <v>901</v>
      </c>
      <c r="B902" s="25" t="inlineStr">
        <is>
          <t>★★★☆☆</t>
        </is>
      </c>
      <c r="C902" s="25" t="inlineStr">
        <is>
          <t>3 – Adjacent (AI/data/CS/cyber/energy)</t>
        </is>
      </c>
      <c r="D902" s="25" t="inlineStr">
        <is>
          <t>Cybersecurity</t>
        </is>
      </c>
      <c r="E902" s="26" t="inlineStr">
        <is>
          <t>Master indifférencié (recherche et professionnel) Sciences, technologies, santé mention Mathématiques et Applications parcours Mathématiques de l'information, cryptographie</t>
        </is>
      </c>
      <c r="F902" s="26" t="inlineStr">
        <is>
          <t>Science, Technology, Health (STS) – major: Mathematics &amp; Applications – track: Mathematics of Information, Cryptography</t>
        </is>
      </c>
      <c r="G902" s="25" t="inlineStr">
        <is>
          <t>Master indifférencié (recherche et professionnel)</t>
        </is>
      </c>
      <c r="H902" s="25" t="inlineStr">
        <is>
          <t>Institut national des sciences appliquées de Rennes</t>
        </is>
      </c>
      <c r="I902" s="25" t="n"/>
      <c r="J902" s="25" t="inlineStr">
        <is>
          <t>Site de Rennes</t>
        </is>
      </c>
      <c r="K902" s="25" t="n"/>
      <c r="L902" s="25" t="inlineStr">
        <is>
          <t>Public school / institute</t>
        </is>
      </c>
      <c r="M902" s="25" t="inlineStr">
        <is>
          <t>French</t>
        </is>
      </c>
      <c r="N902" s="25" t="inlineStr">
        <is>
          <t>General</t>
        </is>
      </c>
      <c r="O902" s="25" t="inlineStr">
        <is>
          <t>Bac +5</t>
        </is>
      </c>
      <c r="P902" s="26" t="inlineStr">
        <is>
          <t>Requires Bac+5 (Master) – likely not eligible; ask if 4-yr BS + experience accepted</t>
        </is>
      </c>
      <c r="Q902" s="25" t="inlineStr">
        <is>
          <t>2</t>
        </is>
      </c>
      <c r="R902" s="25" t="n"/>
      <c r="S902" s="27" t="n">
        <v>3950</v>
      </c>
      <c r="T902" s="27" t="n">
        <v>255</v>
      </c>
      <c r="U902" s="25" t="n">
        <v>1</v>
      </c>
      <c r="V902" s="27">
        <f>IF(S902="","",S902*U902)</f>
        <v/>
      </c>
      <c r="W902" s="26" t="inlineStr">
        <is>
          <t>Catalogue: €3,950. = national differentiated master fee (2026-27: €3,950). Exemption to ~€255 possible (university quota).</t>
        </is>
      </c>
      <c r="X902" s="25" t="inlineStr">
        <is>
          <t>High</t>
        </is>
      </c>
      <c r="Y902" s="25" t="inlineStr">
        <is>
          <t>3950</t>
        </is>
      </c>
      <c r="Z902" s="26" t="n"/>
      <c r="AA902" s="26" t="n"/>
      <c r="AB902" s="25" t="n"/>
      <c r="AC902" s="25" t="inlineStr">
        <is>
          <t>Open</t>
        </is>
      </c>
      <c r="AD902" s="25" t="inlineStr">
        <is>
          <t>2026-10-01</t>
        </is>
      </c>
      <c r="AE902" s="25" t="inlineStr">
        <is>
          <t>2027-03-15</t>
        </is>
      </c>
      <c r="AF902" s="25" t="inlineStr">
        <is>
          <t>No</t>
        </is>
      </c>
      <c r="AG902" s="28" t="inlineStr">
        <is>
          <t>https://www.insa-rennes.fr/master-mathematiques-et-applications.html</t>
        </is>
      </c>
      <c r="AH902" s="26" t="inlineStr">
        <is>
          <t>Mention : Master Mathématiques et applications Parcours Mathématiques de l'information, cryptographie Fiche RNCP : RNCP39416 Nom de l'établissement certificateur : INSA Rennes Localisation des enseignements : Rennes Lang</t>
        </is>
      </c>
      <c r="AI902" s="28" t="inlineStr">
        <is>
          <t>Open in EEF</t>
        </is>
      </c>
    </row>
    <row r="903" ht="32.8" customHeight="1" s="19">
      <c r="A903" s="25" t="n">
        <v>902</v>
      </c>
      <c r="B903" s="25" t="inlineStr">
        <is>
          <t>★★★☆☆</t>
        </is>
      </c>
      <c r="C903" s="25" t="inlineStr">
        <is>
          <t>3 – Adjacent (AI/data/CS/cyber/energy)</t>
        </is>
      </c>
      <c r="D903" s="25" t="inlineStr">
        <is>
          <t>Computer science / Software</t>
        </is>
      </c>
      <c r="E903" s="26" t="inlineStr">
        <is>
          <t>Master indifférencié (recherche et professionnel) Sciences, technologies, santé mention santé publique parcours Systèmes d'information et technologies informatiques pour la santé</t>
        </is>
      </c>
      <c r="F903" s="26" t="inlineStr">
        <is>
          <t>Science, Technology, Health (STS) – major: Health Public – track: Information Systems &amp; Technologies informatiques for the Health</t>
        </is>
      </c>
      <c r="G903" s="25" t="inlineStr">
        <is>
          <t>Master indifférencié (recherche et professionnel)</t>
        </is>
      </c>
      <c r="H903" s="25" t="inlineStr">
        <is>
          <t>Institut de santé publique, d'épidémiologie et de développement</t>
        </is>
      </c>
      <c r="I903" s="25" t="inlineStr">
        <is>
          <t>Université de Bordeaux</t>
        </is>
      </c>
      <c r="J903" s="25" t="inlineStr">
        <is>
          <t>Site de Bordeaux - Carreire</t>
        </is>
      </c>
      <c r="K903" s="25" t="inlineStr">
        <is>
          <t>33076 Bordeaux</t>
        </is>
      </c>
      <c r="L903" s="25" t="inlineStr">
        <is>
          <t>Public school / institute</t>
        </is>
      </c>
      <c r="M903" s="25" t="inlineStr">
        <is>
          <t>French</t>
        </is>
      </c>
      <c r="N903" s="25" t="inlineStr">
        <is>
          <t>General</t>
        </is>
      </c>
      <c r="O903" s="25" t="inlineStr">
        <is>
          <t>Bac +5</t>
        </is>
      </c>
      <c r="P903" s="26" t="inlineStr">
        <is>
          <t>Requires Bac+5 (Master) – likely not eligible; ask if 4-yr BS + experience accepted</t>
        </is>
      </c>
      <c r="Q903" s="25" t="inlineStr">
        <is>
          <t>2</t>
        </is>
      </c>
      <c r="R903" s="25" t="n"/>
      <c r="S903" s="27" t="n">
        <v>3950</v>
      </c>
      <c r="T903" s="27" t="n">
        <v>255</v>
      </c>
      <c r="U903" s="25" t="n">
        <v>1</v>
      </c>
      <c r="V903" s="27">
        <f>IF(S903="","",S903*U903)</f>
        <v/>
      </c>
      <c r="W903" s="26" t="inlineStr">
        <is>
          <t>Catalogue: €3,950. = national differentiated master fee (2026-27: €3,950). Exemption to ~€255 possible (university quota).</t>
        </is>
      </c>
      <c r="X903" s="25" t="inlineStr">
        <is>
          <t>High</t>
        </is>
      </c>
      <c r="Y903" s="25" t="inlineStr">
        <is>
          <t>3950</t>
        </is>
      </c>
      <c r="Z903" s="26" t="n"/>
      <c r="AA903" s="26" t="n"/>
      <c r="AB903" s="25" t="n"/>
      <c r="AC903" s="25" t="inlineStr">
        <is>
          <t>Open</t>
        </is>
      </c>
      <c r="AD903" s="25" t="inlineStr">
        <is>
          <t>2026-10-01</t>
        </is>
      </c>
      <c r="AE903" s="25" t="inlineStr">
        <is>
          <t>2027-03-15</t>
        </is>
      </c>
      <c r="AF903" s="25" t="inlineStr">
        <is>
          <t>No</t>
        </is>
      </c>
      <c r="AG903" s="28" t="inlineStr">
        <is>
          <t>https://www.isped.u-bordeaux.fr/FORMATION/Formations-propos%C3%A9es/Les-Masters/Master-2-Syst%C3%A8mes-dinformation-et-technologies-informatiques-pour-la-sant%C3%A9</t>
        </is>
      </c>
      <c r="AH903" s="26" t="inlineStr">
        <is>
          <t>Ce master forme des spécialistes de haut niveau en informatique de santé, ayant de solides bases théoriques sur les systèmes d'information et capables de les appliquer. Il permet d'acquérir une réelle maïtrise des aspect</t>
        </is>
      </c>
      <c r="AI903" s="28" t="inlineStr">
        <is>
          <t>Open in EEF</t>
        </is>
      </c>
    </row>
    <row r="904" ht="32.8" customHeight="1" s="19">
      <c r="A904" s="25" t="n">
        <v>903</v>
      </c>
      <c r="B904" s="25" t="inlineStr">
        <is>
          <t>★★★☆☆</t>
        </is>
      </c>
      <c r="C904" s="25" t="inlineStr">
        <is>
          <t>3 – Adjacent (AI/data/CS/cyber/energy)</t>
        </is>
      </c>
      <c r="D904" s="25" t="inlineStr">
        <is>
          <t>Neuroscience / Neuro-engineering</t>
        </is>
      </c>
      <c r="E904" s="26" t="inlineStr">
        <is>
          <t>Master indifférencié (recherche et professionnel) Sciences, technologies, santé mention Sciences cognitives parcours Intelligence Artificielle Centrée Humain (IACH)</t>
        </is>
      </c>
      <c r="F904" s="26" t="inlineStr">
        <is>
          <t>Science, Technology, Health (STS) – major: Cognitive Science – track: Artificial Intelligence Centrée Human (IACH)</t>
        </is>
      </c>
      <c r="G904" s="25" t="inlineStr">
        <is>
          <t>Master indifférencié (recherche et professionnel)</t>
        </is>
      </c>
      <c r="H904" s="25" t="inlineStr">
        <is>
          <t>Institut des Sciences du Digital, Management et Cognition</t>
        </is>
      </c>
      <c r="I904" s="25" t="inlineStr">
        <is>
          <t>Université de Lorraine</t>
        </is>
      </c>
      <c r="J904" s="25" t="inlineStr">
        <is>
          <t>Site de Nancy</t>
        </is>
      </c>
      <c r="K904" s="25" t="n"/>
      <c r="L904" s="25" t="inlineStr">
        <is>
          <t>Public school / institute</t>
        </is>
      </c>
      <c r="M904" s="25" t="inlineStr">
        <is>
          <t>French</t>
        </is>
      </c>
      <c r="N904" s="25" t="inlineStr">
        <is>
          <t>General</t>
        </is>
      </c>
      <c r="O904" s="25" t="inlineStr">
        <is>
          <t>Bac +5</t>
        </is>
      </c>
      <c r="P904" s="26" t="inlineStr">
        <is>
          <t>Requires Bac+5 (Master) – likely not eligible; ask if 4-yr BS + experience accepted</t>
        </is>
      </c>
      <c r="Q904" s="25" t="inlineStr">
        <is>
          <t>2</t>
        </is>
      </c>
      <c r="R904" s="25" t="n"/>
      <c r="S904" s="27" t="n">
        <v>3950</v>
      </c>
      <c r="T904" s="27" t="n">
        <v>255</v>
      </c>
      <c r="U904" s="25" t="n">
        <v>1</v>
      </c>
      <c r="V904" s="27">
        <f>IF(S904="","",S904*U904)</f>
        <v/>
      </c>
      <c r="W904" s="26" t="inlineStr">
        <is>
          <t>Catalogue: €3,950. = national differentiated master fee (2026-27: €3,950). Exemption to ~€255 possible (university quota).</t>
        </is>
      </c>
      <c r="X904" s="25" t="inlineStr">
        <is>
          <t>High</t>
        </is>
      </c>
      <c r="Y904" s="25" t="inlineStr">
        <is>
          <t>3950</t>
        </is>
      </c>
      <c r="Z904" s="26" t="inlineStr">
        <is>
          <t>Date limite d'arrivée: 01 septembre 2027 Les frais d'inscription en Master 2 sont de 3950€ + La Contribution vie étudiante et de campus (CVE … C) qui était de 105€ en 2026/2027</t>
        </is>
      </c>
      <c r="AA904" s="26" t="n"/>
      <c r="AB904" s="25" t="n"/>
      <c r="AC904" s="25" t="inlineStr">
        <is>
          <t>Open</t>
        </is>
      </c>
      <c r="AD904" s="25" t="inlineStr">
        <is>
          <t>2026-10-01</t>
        </is>
      </c>
      <c r="AE904" s="25" t="inlineStr">
        <is>
          <t>2027-03-15</t>
        </is>
      </c>
      <c r="AF904" s="25" t="inlineStr">
        <is>
          <t>No</t>
        </is>
      </c>
      <c r="AG904" s="28" t="inlineStr">
        <is>
          <t>https://idmc.univ-lorraine.fr/courses/master-2-sciences-cognitives/</t>
        </is>
      </c>
      <c r="AH904" s="26" t="inlineStr">
        <is>
          <t>Date limite de transmission du dossier de candidature : A déterminer par l'ambassade Date limite d'arrivée: 01 septembre 2027 Niveau de langue exigé : B2 en français Prérequis: M1 en sciences cognitives (240 ECTS) ou aut</t>
        </is>
      </c>
      <c r="AI904" s="28" t="inlineStr">
        <is>
          <t>Open in EEF</t>
        </is>
      </c>
    </row>
    <row r="905" ht="43.25" customHeight="1" s="19">
      <c r="A905" s="25" t="n">
        <v>904</v>
      </c>
      <c r="B905" s="25" t="inlineStr">
        <is>
          <t>★★★☆☆</t>
        </is>
      </c>
      <c r="C905" s="25" t="inlineStr">
        <is>
          <t>3 – Adjacent (AI/data/CS/cyber/energy)</t>
        </is>
      </c>
      <c r="D905" s="25" t="inlineStr">
        <is>
          <t>Computer science / Software</t>
        </is>
      </c>
      <c r="E905" s="26" t="inlineStr">
        <is>
          <t>Master Sciences, technologies, santé mention informatique parcours Génie Informatique et Interaction Humain-Machine (G2IHM) orientation Génie Informatique (GI)</t>
        </is>
      </c>
      <c r="F905" s="26" t="inlineStr">
        <is>
          <t>Master Science, Technology, Health (STS) – major: Computer Science – track: Engineering Computer Science &amp; Human-Machine Interaction (G2IHM) – option: Engineering Computer Science (GI)</t>
        </is>
      </c>
      <c r="G905" s="25" t="inlineStr">
        <is>
          <t>Master indifférencié (recherche et professionnel)</t>
        </is>
      </c>
      <c r="H905" s="25" t="inlineStr">
        <is>
          <t>UFR Mathématiques, informatique, mécanique</t>
        </is>
      </c>
      <c r="I905" s="25" t="inlineStr">
        <is>
          <t>Université de Lorraine</t>
        </is>
      </c>
      <c r="J905" s="25" t="inlineStr">
        <is>
          <t>Site de Metz</t>
        </is>
      </c>
      <c r="K905" s="25" t="n"/>
      <c r="L905" s="25" t="inlineStr">
        <is>
          <t>Public university</t>
        </is>
      </c>
      <c r="M905" s="25" t="inlineStr">
        <is>
          <t>French</t>
        </is>
      </c>
      <c r="N905" s="25" t="inlineStr">
        <is>
          <t>General</t>
        </is>
      </c>
      <c r="O905" s="25" t="inlineStr">
        <is>
          <t>Bac +5</t>
        </is>
      </c>
      <c r="P905" s="26" t="inlineStr">
        <is>
          <t>Requires Bac+5 (Master) – likely not eligible; ask if 4-yr BS + experience accepted</t>
        </is>
      </c>
      <c r="Q905" s="25" t="inlineStr">
        <is>
          <t>2</t>
        </is>
      </c>
      <c r="R905" s="25" t="n"/>
      <c r="S905" s="27" t="n">
        <v>3950</v>
      </c>
      <c r="T905" s="27" t="n">
        <v>255</v>
      </c>
      <c r="U905" s="25" t="n">
        <v>1</v>
      </c>
      <c r="V905" s="27">
        <f>IF(S905="","",S905*U905)</f>
        <v/>
      </c>
      <c r="W905" s="26" t="inlineStr">
        <is>
          <t>Catalogue: €3,950. = national differentiated master fee (2026-27: €3,950). Exemption to ~€255 possible (university quota).</t>
        </is>
      </c>
      <c r="X905" s="25" t="inlineStr">
        <is>
          <t>High</t>
        </is>
      </c>
      <c r="Y905" s="25" t="inlineStr">
        <is>
          <t>3950</t>
        </is>
      </c>
      <c r="Z905" s="26" t="inlineStr">
        <is>
          <t>e-a-l-universite-de-lorraine/ Montants des droits différenciés (2026-2027) Master : 3 950 € par an</t>
        </is>
      </c>
      <c r="AA905" s="26" t="n"/>
      <c r="AB905" s="25" t="n"/>
      <c r="AC905" s="25" t="inlineStr">
        <is>
          <t>Open</t>
        </is>
      </c>
      <c r="AD905" s="25" t="inlineStr">
        <is>
          <t>2026-10-01</t>
        </is>
      </c>
      <c r="AE905" s="25" t="inlineStr">
        <is>
          <t>2027-03-15</t>
        </is>
      </c>
      <c r="AF905" s="25" t="inlineStr">
        <is>
          <t>No</t>
        </is>
      </c>
      <c r="AG905" s="28" t="inlineStr">
        <is>
          <t>https://mim.univ-lorraine.fr/</t>
        </is>
      </c>
      <c r="AH905" s="26" t="inlineStr">
        <is>
          <t>MASTER Informatique Parcours type : Génie Informatique et Interaction Humain-Machine Orientation : Génie Informatique Diplôme(s) pré requis conseillé(s) à l'entrée en M2 : M1 d'informatique ou M1 à dominante informatique</t>
        </is>
      </c>
      <c r="AI905" s="28" t="inlineStr">
        <is>
          <t>Open in EEF</t>
        </is>
      </c>
    </row>
    <row r="906" ht="22.35" customHeight="1" s="19">
      <c r="A906" s="25" t="n">
        <v>905</v>
      </c>
      <c r="B906" s="25" t="inlineStr">
        <is>
          <t>★★★☆☆</t>
        </is>
      </c>
      <c r="C906" s="25" t="inlineStr">
        <is>
          <t>3 – Adjacent (AI/data/CS/cyber/energy)</t>
        </is>
      </c>
      <c r="D906" s="25" t="inlineStr">
        <is>
          <t>Computer science / Software</t>
        </is>
      </c>
      <c r="E906" s="26" t="inlineStr">
        <is>
          <t>Master Sciences, technologies, santé mention Informatique parcours Ingénierie logicielle pour l'internet</t>
        </is>
      </c>
      <c r="F906" s="26" t="inlineStr">
        <is>
          <t>Master Science, Technology, Health (STS) – major: Computer Science – track: Engineering Software for the Internet</t>
        </is>
      </c>
      <c r="G906" s="25" t="inlineStr">
        <is>
          <t>Master indifférencié (recherche et professionnel)</t>
        </is>
      </c>
      <c r="H906" s="25" t="inlineStr">
        <is>
          <t>Faculté des sciences Jean Perrin</t>
        </is>
      </c>
      <c r="I906" s="25" t="inlineStr">
        <is>
          <t>Université d'Artois</t>
        </is>
      </c>
      <c r="J906" s="25" t="inlineStr">
        <is>
          <t>Site de Lens</t>
        </is>
      </c>
      <c r="K906" s="25" t="n"/>
      <c r="L906" s="25" t="inlineStr">
        <is>
          <t>Public university</t>
        </is>
      </c>
      <c r="M906" s="25" t="inlineStr">
        <is>
          <t>French</t>
        </is>
      </c>
      <c r="N906" s="25" t="inlineStr">
        <is>
          <t>General</t>
        </is>
      </c>
      <c r="O906" s="25" t="inlineStr">
        <is>
          <t>Bac +5</t>
        </is>
      </c>
      <c r="P906" s="26" t="inlineStr">
        <is>
          <t>Requires Bac+5 (Master) – likely not eligible; ask if 4-yr BS + experience accepted</t>
        </is>
      </c>
      <c r="Q906" s="25" t="inlineStr">
        <is>
          <t>2</t>
        </is>
      </c>
      <c r="R906" s="25" t="n"/>
      <c r="S906" s="27" t="n">
        <v>3950</v>
      </c>
      <c r="T906" s="27" t="n">
        <v>255</v>
      </c>
      <c r="U906" s="25" t="n">
        <v>1</v>
      </c>
      <c r="V906" s="27">
        <f>IF(S906="","",S906*U906)</f>
        <v/>
      </c>
      <c r="W906" s="26" t="inlineStr">
        <is>
          <t>Catalogue: €3,950. = national differentiated master fee (2026-27: €3,950). Exemption to ~€255 possible (university quota).</t>
        </is>
      </c>
      <c r="X906" s="25" t="inlineStr">
        <is>
          <t>High</t>
        </is>
      </c>
      <c r="Y906" s="25" t="inlineStr">
        <is>
          <t>3950</t>
        </is>
      </c>
      <c r="Z906" s="26" t="n"/>
      <c r="AA906" s="26" t="n"/>
      <c r="AB906" s="25" t="n"/>
      <c r="AC906" s="25" t="inlineStr">
        <is>
          <t>Open</t>
        </is>
      </c>
      <c r="AD906" s="25" t="inlineStr">
        <is>
          <t>2026-10-01</t>
        </is>
      </c>
      <c r="AE906" s="25" t="inlineStr">
        <is>
          <t>2027-03-15</t>
        </is>
      </c>
      <c r="AF906" s="25" t="inlineStr">
        <is>
          <t>No</t>
        </is>
      </c>
      <c r="AG906" s="28" t="inlineStr">
        <is>
          <t>https://www.sciences.univ-artois.fr/</t>
        </is>
      </c>
      <c r="AH906" s="26" t="inlineStr">
        <is>
          <t>Niveau de connaissance en langue française: B2 du cadre européen</t>
        </is>
      </c>
      <c r="AI906" s="28" t="inlineStr">
        <is>
          <t>Open in EEF</t>
        </is>
      </c>
    </row>
    <row r="907" ht="22.35" customHeight="1" s="19">
      <c r="A907" s="25" t="n">
        <v>906</v>
      </c>
      <c r="B907" s="25" t="inlineStr">
        <is>
          <t>★★★☆☆</t>
        </is>
      </c>
      <c r="C907" s="25" t="inlineStr">
        <is>
          <t>3 – Adjacent (AI/data/CS/cyber/energy)</t>
        </is>
      </c>
      <c r="D907" s="25" t="inlineStr">
        <is>
          <t>AI / Data science</t>
        </is>
      </c>
      <c r="E907" s="26" t="inlineStr">
        <is>
          <t>Master Sciences, technologies, santé mention informatique parcours Intelligence Artificielle et Sciences des Données</t>
        </is>
      </c>
      <c r="F907" s="26" t="inlineStr">
        <is>
          <t>Master Science, Technology, Health (STS) – major: Computer Science – track: Artificial Intelligence &amp; Data Science</t>
        </is>
      </c>
      <c r="G907" s="25" t="inlineStr">
        <is>
          <t>Master indifférencié (recherche et professionnel)</t>
        </is>
      </c>
      <c r="H907" s="25" t="inlineStr">
        <is>
          <t>Faculté des sciences exactes et naturelles</t>
        </is>
      </c>
      <c r="I907" s="25" t="inlineStr">
        <is>
          <t>Université des Antilles</t>
        </is>
      </c>
      <c r="J907" s="25" t="inlineStr">
        <is>
          <t>Site par défaut</t>
        </is>
      </c>
      <c r="K907" s="25" t="n"/>
      <c r="L907" s="25" t="inlineStr">
        <is>
          <t>Public university</t>
        </is>
      </c>
      <c r="M907" s="25" t="inlineStr">
        <is>
          <t>French</t>
        </is>
      </c>
      <c r="N907" s="25" t="inlineStr">
        <is>
          <t>General</t>
        </is>
      </c>
      <c r="O907" s="25" t="inlineStr">
        <is>
          <t>Bac +5</t>
        </is>
      </c>
      <c r="P907" s="26" t="inlineStr">
        <is>
          <t>Requires Bac+5 (Master) – likely not eligible; ask if 4-yr BS + experience accepted</t>
        </is>
      </c>
      <c r="Q907" s="25" t="inlineStr">
        <is>
          <t>5</t>
        </is>
      </c>
      <c r="R907" s="25" t="inlineStr">
        <is>
          <t>10</t>
        </is>
      </c>
      <c r="S907" s="27" t="n">
        <v>3950</v>
      </c>
      <c r="T907" s="27" t="n">
        <v>255</v>
      </c>
      <c r="U907" s="25" t="n">
        <v>1</v>
      </c>
      <c r="V907" s="27">
        <f>IF(S907="","",S907*U907)</f>
        <v/>
      </c>
      <c r="W907" s="26" t="inlineStr">
        <is>
          <t>Catalogue: €3,950. = national differentiated master fee (2026-27: €3,950). Exemption to ~€255 possible (university quota).</t>
        </is>
      </c>
      <c r="X907" s="25" t="inlineStr">
        <is>
          <t>High</t>
        </is>
      </c>
      <c r="Y907" s="25" t="inlineStr">
        <is>
          <t>3950</t>
        </is>
      </c>
      <c r="Z907" s="26" t="n"/>
      <c r="AA907" s="26" t="n"/>
      <c r="AB907" s="25" t="n"/>
      <c r="AC907" s="25" t="inlineStr">
        <is>
          <t>Open</t>
        </is>
      </c>
      <c r="AD907" s="25" t="inlineStr">
        <is>
          <t>2026-10-01</t>
        </is>
      </c>
      <c r="AE907" s="25" t="inlineStr">
        <is>
          <t>2027-03-15</t>
        </is>
      </c>
      <c r="AF907" s="25" t="inlineStr">
        <is>
          <t>No</t>
        </is>
      </c>
      <c r="AG907" s="28" t="inlineStr">
        <is>
          <t>http://www.univ-antilles.fr</t>
        </is>
      </c>
      <c r="AH907" s="26" t="n"/>
      <c r="AI907" s="28" t="inlineStr">
        <is>
          <t>Open in EEF</t>
        </is>
      </c>
    </row>
    <row r="908" ht="32.8" customHeight="1" s="19">
      <c r="A908" s="25" t="n">
        <v>907</v>
      </c>
      <c r="B908" s="25" t="inlineStr">
        <is>
          <t>★★★☆☆</t>
        </is>
      </c>
      <c r="C908" s="25" t="inlineStr">
        <is>
          <t>3 – Adjacent (AI/data/CS/cyber/energy)</t>
        </is>
      </c>
      <c r="D908" s="25" t="inlineStr">
        <is>
          <t>AI / Data science</t>
        </is>
      </c>
      <c r="E908" s="26" t="inlineStr">
        <is>
          <t>Master Sciences, technologies, santé mention informatique spécialité exploration informatique des données et décisionnel</t>
        </is>
      </c>
      <c r="F908" s="26" t="inlineStr">
        <is>
          <t>Master Science, Technology, Health (STS) – major: Computer Science – specialisation: exploration Computer Science of Data &amp; décisionnel</t>
        </is>
      </c>
      <c r="G908" s="25" t="inlineStr">
        <is>
          <t>Master indifférencié (recherche et professionnel)</t>
        </is>
      </c>
      <c r="H908" s="25" t="inlineStr">
        <is>
          <t>Institut Galilée</t>
        </is>
      </c>
      <c r="I908" s="25" t="inlineStr">
        <is>
          <t>Université Sorbonne Paris Nord</t>
        </is>
      </c>
      <c r="J908" s="25" t="inlineStr">
        <is>
          <t>Site de Villetaneuse</t>
        </is>
      </c>
      <c r="K908" s="25" t="n"/>
      <c r="L908" s="25" t="inlineStr">
        <is>
          <t>Public school / institute</t>
        </is>
      </c>
      <c r="M908" s="25" t="inlineStr">
        <is>
          <t>French</t>
        </is>
      </c>
      <c r="N908" s="25" t="inlineStr">
        <is>
          <t>General</t>
        </is>
      </c>
      <c r="O908" s="25" t="inlineStr">
        <is>
          <t>Bac +5</t>
        </is>
      </c>
      <c r="P908" s="26" t="inlineStr">
        <is>
          <t>Requires Bac+5 (Master) – likely not eligible; ask if 4-yr BS + experience accepted</t>
        </is>
      </c>
      <c r="Q908" s="25" t="inlineStr">
        <is>
          <t>2</t>
        </is>
      </c>
      <c r="R908" s="25" t="inlineStr">
        <is>
          <t>12</t>
        </is>
      </c>
      <c r="S908" s="27" t="n">
        <v>3950</v>
      </c>
      <c r="T908" s="27" t="n">
        <v>255</v>
      </c>
      <c r="U908" s="25" t="n">
        <v>1</v>
      </c>
      <c r="V908" s="27">
        <f>IF(S908="","",S908*U908)</f>
        <v/>
      </c>
      <c r="W908" s="26" t="inlineStr">
        <is>
          <t>Catalogue: €3,950. = national differentiated master fee (2026-27: €3,950). Exemption to ~€255 possible (university quota).</t>
        </is>
      </c>
      <c r="X908" s="25" t="inlineStr">
        <is>
          <t>High</t>
        </is>
      </c>
      <c r="Y908" s="25" t="inlineStr">
        <is>
          <t>3950</t>
        </is>
      </c>
      <c r="Z908" s="26" t="n"/>
      <c r="AA908" s="26" t="n"/>
      <c r="AB908" s="25" t="n"/>
      <c r="AC908" s="25" t="inlineStr">
        <is>
          <t>Open</t>
        </is>
      </c>
      <c r="AD908" s="25" t="inlineStr">
        <is>
          <t>2026-10-01</t>
        </is>
      </c>
      <c r="AE908" s="25" t="inlineStr">
        <is>
          <t>2027-03-15</t>
        </is>
      </c>
      <c r="AF908" s="25" t="inlineStr">
        <is>
          <t>No</t>
        </is>
      </c>
      <c r="AG908" s="28" t="inlineStr">
        <is>
          <t>http://www-galilee.univ-paris13.fr/</t>
        </is>
      </c>
      <c r="AH908" s="26" t="inlineStr">
        <is>
          <t>Niveau TCF Minimun B2 bon niveau d'anglais bon niveau en programmation, algorithmique, logique. Entrée en Master 2 : Etre titulaire d'un Master 1ére année Informatique</t>
        </is>
      </c>
      <c r="AI908" s="28" t="inlineStr">
        <is>
          <t>Open in EEF</t>
        </is>
      </c>
    </row>
    <row r="909" ht="22.35" customHeight="1" s="19">
      <c r="A909" s="25" t="n">
        <v>908</v>
      </c>
      <c r="B909" s="25" t="inlineStr">
        <is>
          <t>★★★☆☆</t>
        </is>
      </c>
      <c r="C909" s="25" t="inlineStr">
        <is>
          <t>3 – Adjacent (AI/data/CS/cyber/energy)</t>
        </is>
      </c>
      <c r="D909" s="25" t="inlineStr">
        <is>
          <t>Computer science / Software</t>
        </is>
      </c>
      <c r="E909" s="26" t="inlineStr">
        <is>
          <t>Master Sciences, technologies, santé, mention Mathématiques et Applications parcours mathematique et informatique</t>
        </is>
      </c>
      <c r="F909" s="26" t="inlineStr">
        <is>
          <t>Master Science, Technology, Health (STS), – major: Mathematics &amp; Applications – track: mathematique &amp; Computer Science</t>
        </is>
      </c>
      <c r="G909" s="25" t="inlineStr">
        <is>
          <t>Master indifférencié (recherche et professionnel)</t>
        </is>
      </c>
      <c r="H909" s="25" t="inlineStr">
        <is>
          <t>UFR des sciences et technologie</t>
        </is>
      </c>
      <c r="I909" s="25" t="inlineStr">
        <is>
          <t>Université Paris-Est Créteil Val-de-Marne</t>
        </is>
      </c>
      <c r="J909" s="25" t="inlineStr">
        <is>
          <t>Site de Créteil</t>
        </is>
      </c>
      <c r="K909" s="25" t="n"/>
      <c r="L909" s="25" t="inlineStr">
        <is>
          <t>Public university</t>
        </is>
      </c>
      <c r="M909" s="25" t="inlineStr">
        <is>
          <t>French</t>
        </is>
      </c>
      <c r="N909" s="25" t="inlineStr">
        <is>
          <t>General</t>
        </is>
      </c>
      <c r="O909" s="25" t="inlineStr">
        <is>
          <t>Bac +5</t>
        </is>
      </c>
      <c r="P909" s="26" t="inlineStr">
        <is>
          <t>Requires Bac+5 (Master) – likely not eligible; ask if 4-yr BS + experience accepted</t>
        </is>
      </c>
      <c r="Q909" s="25" t="inlineStr">
        <is>
          <t>2</t>
        </is>
      </c>
      <c r="R909" s="25" t="n"/>
      <c r="S909" s="27" t="n">
        <v>3950</v>
      </c>
      <c r="T909" s="27" t="n">
        <v>255</v>
      </c>
      <c r="U909" s="25" t="n">
        <v>1</v>
      </c>
      <c r="V909" s="27">
        <f>IF(S909="","",S909*U909)</f>
        <v/>
      </c>
      <c r="W909" s="26" t="inlineStr">
        <is>
          <t>Catalogue: €3,950. = national differentiated master fee (2026-27: €3,950). Exemption to ~€255 possible (university quota).</t>
        </is>
      </c>
      <c r="X909" s="25" t="inlineStr">
        <is>
          <t>High</t>
        </is>
      </c>
      <c r="Y909" s="25" t="inlineStr">
        <is>
          <t>3950</t>
        </is>
      </c>
      <c r="Z909" s="26" t="n"/>
      <c r="AA909" s="26" t="n"/>
      <c r="AB909" s="25" t="n"/>
      <c r="AC909" s="25" t="inlineStr">
        <is>
          <t>Open</t>
        </is>
      </c>
      <c r="AD909" s="25" t="inlineStr">
        <is>
          <t>2026-10-01</t>
        </is>
      </c>
      <c r="AE909" s="25" t="inlineStr">
        <is>
          <t>2027-03-15</t>
        </is>
      </c>
      <c r="AF909" s="25" t="inlineStr">
        <is>
          <t>No</t>
        </is>
      </c>
      <c r="AG909" s="25" t="n"/>
      <c r="AH909" s="26" t="n"/>
      <c r="AI909" s="28" t="inlineStr">
        <is>
          <t>Open in EEF</t>
        </is>
      </c>
    </row>
    <row r="910" ht="32.8" customHeight="1" s="19">
      <c r="A910" s="25" t="n">
        <v>909</v>
      </c>
      <c r="B910" s="25" t="inlineStr">
        <is>
          <t>★★★☆☆</t>
        </is>
      </c>
      <c r="C910" s="25" t="inlineStr">
        <is>
          <t>3 – Adjacent (AI/data/CS/cyber/energy)</t>
        </is>
      </c>
      <c r="D910" s="25" t="inlineStr">
        <is>
          <t>AI / Data science</t>
        </is>
      </c>
      <c r="E910" s="26" t="inlineStr">
        <is>
          <t>Master Sciences, technologies, santé mention santé publique Santé publique prcs Biostatistics, Bio-informatics, Artificial Intelligence, Epidemiology</t>
        </is>
      </c>
      <c r="F910" s="26" t="inlineStr">
        <is>
          <t>Master Science, Technology, Health (STS) – major: Health Public Health Public prcs Biostatistics, Bio-informatics, Artificial Intelligence, Epidemiology</t>
        </is>
      </c>
      <c r="G910" s="25" t="inlineStr">
        <is>
          <t>Master indifférencié (recherche et professionnel)</t>
        </is>
      </c>
      <c r="H910" s="25" t="inlineStr">
        <is>
          <t>Faculté de Médecine Lyon-Est - Service des Etudes interdisciplinaires en Santé (SEIS)</t>
        </is>
      </c>
      <c r="I910" s="25" t="inlineStr">
        <is>
          <t>Université Claude Bernard - Lyon 1</t>
        </is>
      </c>
      <c r="J910" s="25" t="inlineStr">
        <is>
          <t>Site de Lyon</t>
        </is>
      </c>
      <c r="K910" s="25" t="n"/>
      <c r="L910" s="25" t="inlineStr">
        <is>
          <t>Public university</t>
        </is>
      </c>
      <c r="M910" s="25" t="inlineStr">
        <is>
          <t>French</t>
        </is>
      </c>
      <c r="N910" s="25" t="inlineStr">
        <is>
          <t>General</t>
        </is>
      </c>
      <c r="O910" s="25" t="inlineStr">
        <is>
          <t>Bac +5</t>
        </is>
      </c>
      <c r="P910" s="26" t="inlineStr">
        <is>
          <t>Requires Bac+5 (Master) – likely not eligible; ask if 4-yr BS + experience accepted</t>
        </is>
      </c>
      <c r="Q910" s="25" t="inlineStr">
        <is>
          <t>2</t>
        </is>
      </c>
      <c r="R910" s="25" t="n"/>
      <c r="S910" s="27" t="n">
        <v>3950</v>
      </c>
      <c r="T910" s="27" t="n">
        <v>255</v>
      </c>
      <c r="U910" s="25" t="n">
        <v>1</v>
      </c>
      <c r="V910" s="27">
        <f>IF(S910="","",S910*U910)</f>
        <v/>
      </c>
      <c r="W910" s="26" t="inlineStr">
        <is>
          <t>Catalogue: €3,950. = national differentiated master fee (2026-27: €3,950). Exemption to ~€255 possible (university quota).</t>
        </is>
      </c>
      <c r="X910" s="25" t="inlineStr">
        <is>
          <t>High</t>
        </is>
      </c>
      <c r="Y910" s="25" t="inlineStr">
        <is>
          <t>3950</t>
        </is>
      </c>
      <c r="Z910" s="26" t="n"/>
      <c r="AA910" s="26" t="inlineStr">
        <is>
          <t>Lyon 1: individual exemptions within the 30% quota (2026-27), apply via eCandidat.</t>
        </is>
      </c>
      <c r="AB910" s="28" t="inlineStr">
        <is>
          <t>https://www.univ-lyon1.fr/formation/inscription-et-scolarite/etudiantes-et-etudiants-internationaux-droits-dinscription-differencies-et-exonerations</t>
        </is>
      </c>
      <c r="AC910" s="25" t="inlineStr">
        <is>
          <t>Open</t>
        </is>
      </c>
      <c r="AD910" s="25" t="inlineStr">
        <is>
          <t>2026-10-01</t>
        </is>
      </c>
      <c r="AE910" s="25" t="inlineStr">
        <is>
          <t>2027-03-15</t>
        </is>
      </c>
      <c r="AF910" s="25" t="inlineStr">
        <is>
          <t>No</t>
        </is>
      </c>
      <c r="AG910" s="25" t="n"/>
      <c r="AH910" s="26" t="n"/>
      <c r="AI910" s="28" t="inlineStr">
        <is>
          <t>Open in EEF</t>
        </is>
      </c>
    </row>
    <row r="911" ht="32.8" customHeight="1" s="19">
      <c r="A911" s="25" t="n">
        <v>910</v>
      </c>
      <c r="B911" s="25" t="inlineStr">
        <is>
          <t>★★★☆☆</t>
        </is>
      </c>
      <c r="C911" s="25" t="inlineStr">
        <is>
          <t>3 – Adjacent (AI/data/CS/cyber/energy)</t>
        </is>
      </c>
      <c r="D911" s="25" t="inlineStr">
        <is>
          <t>AI / Data science</t>
        </is>
      </c>
      <c r="E911" s="26" t="inlineStr">
        <is>
          <t>Master indifférencié (recherche et professionnel) Sciences et technologies mention Biologie structurale, génomique parcours Génomique et analyses bio-informatiques des données</t>
        </is>
      </c>
      <c r="F911" s="26" t="inlineStr">
        <is>
          <t>Science &amp; Technology – major: Biology Structural, Genomics – track: Genomics &amp; Analyses bio-informatiques of Data</t>
        </is>
      </c>
      <c r="G911" s="25" t="inlineStr">
        <is>
          <t>Master indifférencié (recherche et professionnel)</t>
        </is>
      </c>
      <c r="H911" s="25" t="inlineStr">
        <is>
          <t>UFR Sciences</t>
        </is>
      </c>
      <c r="I911" s="25" t="inlineStr">
        <is>
          <t>Université d'Aix-Marseille</t>
        </is>
      </c>
      <c r="J911" s="25" t="inlineStr">
        <is>
          <t>Site de Marseille - Luminy</t>
        </is>
      </c>
      <c r="K911" s="25" t="n"/>
      <c r="L911" s="25" t="inlineStr">
        <is>
          <t>Public university</t>
        </is>
      </c>
      <c r="M911" s="25" t="inlineStr">
        <is>
          <t>French</t>
        </is>
      </c>
      <c r="N911" s="25" t="inlineStr">
        <is>
          <t>General</t>
        </is>
      </c>
      <c r="O911" s="25" t="inlineStr">
        <is>
          <t>Bac +5</t>
        </is>
      </c>
      <c r="P911" s="26" t="inlineStr">
        <is>
          <t>Requires Bac+5 (Master) – likely not eligible; ask if 4-yr BS + experience accepted</t>
        </is>
      </c>
      <c r="Q911" s="25" t="inlineStr">
        <is>
          <t>2</t>
        </is>
      </c>
      <c r="R911" s="25" t="inlineStr">
        <is>
          <t>12</t>
        </is>
      </c>
      <c r="S911" s="27" t="n">
        <v>3950</v>
      </c>
      <c r="T911" s="27" t="n">
        <v>255</v>
      </c>
      <c r="U911" s="25" t="n">
        <v>1</v>
      </c>
      <c r="V911" s="27">
        <f>IF(S911="","",S911*U911)</f>
        <v/>
      </c>
      <c r="W911" s="26" t="inlineStr">
        <is>
          <t>Not in catalogue. Public national master → 2026-27 differentiated fee €3,950; exemption to ~€254-255 depends on university quota (25% cap in 2027-28).</t>
        </is>
      </c>
      <c r="X911" s="25" t="inlineStr">
        <is>
          <t>Medium</t>
        </is>
      </c>
      <c r="Y911" s="25" t="n"/>
      <c r="Z911" s="26" t="n"/>
      <c r="AA911" s="26" t="inlineStr">
        <is>
          <t>AMU 2026-27: limited exemptions (≈1,800 of 5,500 students) – priority to continuing students, conflict zones, excellence scholarships. New master entrants usually pay €3,950.</t>
        </is>
      </c>
      <c r="AB911" s="28" t="inlineStr">
        <is>
          <t>https://www.univ-amu.fr/fr/actualites/aix-marseille-universite-mobilise-pleinement-capacite-dexoneration-continuer-accueillir</t>
        </is>
      </c>
      <c r="AC911" s="25" t="inlineStr">
        <is>
          <t>Open</t>
        </is>
      </c>
      <c r="AD911" s="25" t="inlineStr">
        <is>
          <t>2026-10-01</t>
        </is>
      </c>
      <c r="AE911" s="25" t="inlineStr">
        <is>
          <t>2027-03-15</t>
        </is>
      </c>
      <c r="AF911" s="25" t="inlineStr">
        <is>
          <t>No</t>
        </is>
      </c>
      <c r="AG911" s="28" t="inlineStr">
        <is>
          <t>https://formations.univ-amu.fr/fr/master/5SBG/PRSBG5C2</t>
        </is>
      </c>
      <c r="AH911" s="26" t="inlineStr">
        <is>
          <t>Nous attirons votre attention sur 2 points importants pour votre candidature : Votre dossier doit être complet et validé par l’Espace Etudes en France La faculté des sciences examinera les dossiers de candidature en cohé</t>
        </is>
      </c>
      <c r="AI911" s="28" t="inlineStr">
        <is>
          <t>Open in EEF</t>
        </is>
      </c>
    </row>
    <row r="912" ht="32.8" customHeight="1" s="19">
      <c r="A912" s="25" t="n">
        <v>911</v>
      </c>
      <c r="B912" s="25" t="inlineStr">
        <is>
          <t>★★★☆☆</t>
        </is>
      </c>
      <c r="C912" s="25" t="inlineStr">
        <is>
          <t>3 – Adjacent (AI/data/CS/cyber/energy)</t>
        </is>
      </c>
      <c r="D912" s="25" t="inlineStr">
        <is>
          <t>Computer science / Software</t>
        </is>
      </c>
      <c r="E912" s="26" t="inlineStr">
        <is>
          <t>Master indifférencié (recherche et professionnel) Sciences et technologies mention Mathématiques et applications parcours Informatique et mathématiques discrètes</t>
        </is>
      </c>
      <c r="F912" s="26" t="inlineStr">
        <is>
          <t>Science &amp; Technology – major: Mathematics &amp; Applications – track: Computer Science &amp; Mathematics Discrete</t>
        </is>
      </c>
      <c r="G912" s="25" t="inlineStr">
        <is>
          <t>Master indifférencié (recherche et professionnel)</t>
        </is>
      </c>
      <c r="H912" s="25" t="inlineStr">
        <is>
          <t>UFR Sciences</t>
        </is>
      </c>
      <c r="I912" s="25" t="inlineStr">
        <is>
          <t>Université d'Aix-Marseille</t>
        </is>
      </c>
      <c r="J912" s="25" t="inlineStr">
        <is>
          <t>Site de Marseille - Luminy</t>
        </is>
      </c>
      <c r="K912" s="25" t="n"/>
      <c r="L912" s="25" t="inlineStr">
        <is>
          <t>Public university</t>
        </is>
      </c>
      <c r="M912" s="25" t="inlineStr">
        <is>
          <t>French</t>
        </is>
      </c>
      <c r="N912" s="25" t="inlineStr">
        <is>
          <t>General</t>
        </is>
      </c>
      <c r="O912" s="25" t="inlineStr">
        <is>
          <t>Bac +5</t>
        </is>
      </c>
      <c r="P912" s="26" t="inlineStr">
        <is>
          <t>Requires Bac+5 (Master) – likely not eligible; ask if 4-yr BS + experience accepted</t>
        </is>
      </c>
      <c r="Q912" s="25" t="inlineStr">
        <is>
          <t>2</t>
        </is>
      </c>
      <c r="R912" s="25" t="inlineStr">
        <is>
          <t>12</t>
        </is>
      </c>
      <c r="S912" s="27" t="n">
        <v>3950</v>
      </c>
      <c r="T912" s="27" t="n">
        <v>255</v>
      </c>
      <c r="U912" s="25" t="n">
        <v>1</v>
      </c>
      <c r="V912" s="27">
        <f>IF(S912="","",S912*U912)</f>
        <v/>
      </c>
      <c r="W912" s="26" t="inlineStr">
        <is>
          <t>Not in catalogue. Public national master → 2026-27 differentiated fee €3,950; exemption to ~€254-255 depends on university quota (25% cap in 2027-28).</t>
        </is>
      </c>
      <c r="X912" s="25" t="inlineStr">
        <is>
          <t>Medium</t>
        </is>
      </c>
      <c r="Y912" s="25" t="n"/>
      <c r="Z912" s="26" t="n"/>
      <c r="AA912" s="26" t="inlineStr">
        <is>
          <t>AMU 2026-27: limited exemptions (≈1,800 of 5,500 students) – priority to continuing students, conflict zones, excellence scholarships. New master entrants usually pay €3,950.</t>
        </is>
      </c>
      <c r="AB912" s="28" t="inlineStr">
        <is>
          <t>https://www.univ-amu.fr/fr/actualites/aix-marseille-universite-mobilise-pleinement-capacite-dexoneration-continuer-accueillir</t>
        </is>
      </c>
      <c r="AC912" s="25" t="inlineStr">
        <is>
          <t>Open</t>
        </is>
      </c>
      <c r="AD912" s="25" t="inlineStr">
        <is>
          <t>2026-10-01</t>
        </is>
      </c>
      <c r="AE912" s="25" t="inlineStr">
        <is>
          <t>2027-03-15</t>
        </is>
      </c>
      <c r="AF912" s="25" t="inlineStr">
        <is>
          <t>No</t>
        </is>
      </c>
      <c r="AG912" s="28" t="inlineStr">
        <is>
          <t>https://formations.univ-amu.fr/fr/master/5SMA/PRSMA5C5</t>
        </is>
      </c>
      <c r="AH912" s="26" t="inlineStr">
        <is>
          <t>Nous attirons votre attention sur 2 points importants pour votre candidature : Votre dossier doit être complet et validé par l’Espace Etudes en France La faculté des sciences examinera les dossiers de candidature en cohé</t>
        </is>
      </c>
      <c r="AI912" s="28" t="inlineStr">
        <is>
          <t>Open in EEF</t>
        </is>
      </c>
    </row>
    <row r="913" ht="32.8" customHeight="1" s="19">
      <c r="A913" s="25" t="n">
        <v>912</v>
      </c>
      <c r="B913" s="25" t="inlineStr">
        <is>
          <t>★★★☆☆</t>
        </is>
      </c>
      <c r="C913" s="25" t="inlineStr">
        <is>
          <t>3 – Adjacent (AI/data/CS/cyber/energy)</t>
        </is>
      </c>
      <c r="D913" s="25" t="inlineStr">
        <is>
          <t>AI / Data science</t>
        </is>
      </c>
      <c r="E913" s="26" t="inlineStr">
        <is>
          <t>Master indifférencié (recherche et professionnel) Sciences, technologies et santé mention Informatique parcours Parcours Big Data (M2)</t>
        </is>
      </c>
      <c r="F913" s="26" t="inlineStr">
        <is>
          <t>Sciences, Technologies &amp; Health – major: Computer Science – track: track: Big Data (M2)</t>
        </is>
      </c>
      <c r="G913" s="25" t="inlineStr">
        <is>
          <t>Master indifférencié (recherche et professionnel)</t>
        </is>
      </c>
      <c r="H913" s="25" t="inlineStr">
        <is>
          <t>UFR Mathématiques, informatique, technologies, sciences de l'information et de la communication</t>
        </is>
      </c>
      <c r="I913" s="25" t="inlineStr">
        <is>
          <t>Université Vincennes-Saint-Denis</t>
        </is>
      </c>
      <c r="J913" s="25" t="inlineStr">
        <is>
          <t>Site de Saint-Denis</t>
        </is>
      </c>
      <c r="K913" s="25" t="inlineStr">
        <is>
          <t>93526 Saint-Denis cedex</t>
        </is>
      </c>
      <c r="L913" s="25" t="inlineStr">
        <is>
          <t>Public university</t>
        </is>
      </c>
      <c r="M913" s="25" t="inlineStr">
        <is>
          <t>French</t>
        </is>
      </c>
      <c r="N913" s="25" t="inlineStr">
        <is>
          <t>General</t>
        </is>
      </c>
      <c r="O913" s="25" t="inlineStr">
        <is>
          <t>Bac +5</t>
        </is>
      </c>
      <c r="P913" s="26" t="inlineStr">
        <is>
          <t>Requires Bac+5 (Master) – likely not eligible; ask if 4-yr BS + experience accepted</t>
        </is>
      </c>
      <c r="Q913" s="25" t="inlineStr">
        <is>
          <t>2</t>
        </is>
      </c>
      <c r="R913" s="25" t="n"/>
      <c r="S913" s="27" t="n">
        <v>3950</v>
      </c>
      <c r="T913" s="27" t="n">
        <v>255</v>
      </c>
      <c r="U913" s="25" t="n">
        <v>1</v>
      </c>
      <c r="V913" s="27">
        <f>IF(S913="","",S913*U913)</f>
        <v/>
      </c>
      <c r="W913" s="26" t="inlineStr">
        <is>
          <t>Not in catalogue. Public national master → 2026-27 differentiated fee €3,950; exemption to ~€254-255 depends on university quota (25% cap in 2027-28).</t>
        </is>
      </c>
      <c r="X913" s="25" t="inlineStr">
        <is>
          <t>Medium</t>
        </is>
      </c>
      <c r="Y913" s="25" t="n"/>
      <c r="Z913" s="26" t="n"/>
      <c r="AA913" s="26" t="n"/>
      <c r="AB913" s="25" t="n"/>
      <c r="AC913" s="25" t="inlineStr">
        <is>
          <t>Open</t>
        </is>
      </c>
      <c r="AD913" s="25" t="inlineStr">
        <is>
          <t>2026-10-01</t>
        </is>
      </c>
      <c r="AE913" s="25" t="inlineStr">
        <is>
          <t>2027-03-15</t>
        </is>
      </c>
      <c r="AF913" s="25" t="inlineStr">
        <is>
          <t>No</t>
        </is>
      </c>
      <c r="AG913" s="28" t="inlineStr">
        <is>
          <t>https://www.univ-paris8.fr/-Master-Big-Data-BD-</t>
        </is>
      </c>
      <c r="AH913" s="26" t="inlineStr">
        <is>
          <t>maîtrise de plusieurs langages de programmation dont langages tels que C/C++ pratique de plusieurs paradigmes de programmation pratique de l’algorithmique et bases en complexité et IA maîtrise des environnements et des o</t>
        </is>
      </c>
      <c r="AI913" s="28" t="inlineStr">
        <is>
          <t>Open in EEF</t>
        </is>
      </c>
    </row>
    <row r="914" ht="32.8" customHeight="1" s="19">
      <c r="A914" s="25" t="n">
        <v>913</v>
      </c>
      <c r="B914" s="25" t="inlineStr">
        <is>
          <t>★★★☆☆</t>
        </is>
      </c>
      <c r="C914" s="25" t="inlineStr">
        <is>
          <t>3 – Adjacent (AI/data/CS/cyber/energy)</t>
        </is>
      </c>
      <c r="D914" s="25" t="inlineStr">
        <is>
          <t>Computer science / Software</t>
        </is>
      </c>
      <c r="E914" s="26" t="inlineStr">
        <is>
          <t>Master indifférencié (recherche et professionnel) Sciences, technologies et santé mention Informatique parcours Parcours Conduite de projets informatiques (M2)</t>
        </is>
      </c>
      <c r="F914" s="26" t="inlineStr">
        <is>
          <t>Sciences, Technologies &amp; Health – major: Computer Science – track: track: Operation of Projects informatiques (M2)</t>
        </is>
      </c>
      <c r="G914" s="25" t="inlineStr">
        <is>
          <t>Master indifférencié (recherche et professionnel)</t>
        </is>
      </c>
      <c r="H914" s="25" t="inlineStr">
        <is>
          <t>UFR Mathématiques, informatique, technologies, sciences de l'information et de la communication</t>
        </is>
      </c>
      <c r="I914" s="25" t="inlineStr">
        <is>
          <t>Université Vincennes-Saint-Denis</t>
        </is>
      </c>
      <c r="J914" s="25" t="inlineStr">
        <is>
          <t>Site de Saint-Denis</t>
        </is>
      </c>
      <c r="K914" s="25" t="inlineStr">
        <is>
          <t>93526 Saint-Denis cedex</t>
        </is>
      </c>
      <c r="L914" s="25" t="inlineStr">
        <is>
          <t>Public university</t>
        </is>
      </c>
      <c r="M914" s="25" t="inlineStr">
        <is>
          <t>French</t>
        </is>
      </c>
      <c r="N914" s="25" t="inlineStr">
        <is>
          <t>General</t>
        </is>
      </c>
      <c r="O914" s="25" t="inlineStr">
        <is>
          <t>Bac +5</t>
        </is>
      </c>
      <c r="P914" s="26" t="inlineStr">
        <is>
          <t>Requires Bac+5 (Master) – likely not eligible; ask if 4-yr BS + experience accepted</t>
        </is>
      </c>
      <c r="Q914" s="25" t="inlineStr">
        <is>
          <t>2</t>
        </is>
      </c>
      <c r="R914" s="25" t="n"/>
      <c r="S914" s="27" t="n">
        <v>3950</v>
      </c>
      <c r="T914" s="27" t="n">
        <v>255</v>
      </c>
      <c r="U914" s="25" t="n">
        <v>1</v>
      </c>
      <c r="V914" s="27">
        <f>IF(S914="","",S914*U914)</f>
        <v/>
      </c>
      <c r="W914" s="26" t="inlineStr">
        <is>
          <t>Not in catalogue. Public national master → 2026-27 differentiated fee €3,950; exemption to ~€254-255 depends on university quota (25% cap in 2027-28).</t>
        </is>
      </c>
      <c r="X914" s="25" t="inlineStr">
        <is>
          <t>Medium</t>
        </is>
      </c>
      <c r="Y914" s="25" t="n"/>
      <c r="Z914" s="26" t="n"/>
      <c r="AA914" s="26" t="n"/>
      <c r="AB914" s="25" t="n"/>
      <c r="AC914" s="25" t="inlineStr">
        <is>
          <t>Open</t>
        </is>
      </c>
      <c r="AD914" s="25" t="inlineStr">
        <is>
          <t>2026-10-01</t>
        </is>
      </c>
      <c r="AE914" s="25" t="inlineStr">
        <is>
          <t>2027-03-15</t>
        </is>
      </c>
      <c r="AF914" s="25" t="inlineStr">
        <is>
          <t>No</t>
        </is>
      </c>
      <c r="AG914" s="28" t="inlineStr">
        <is>
          <t>https://www.univ-paris8.fr/-Master-Conduite-de-Projets-Informatiques-</t>
        </is>
      </c>
      <c r="AH914" s="26" t="inlineStr">
        <is>
          <t>Les étudiants non francophones devront présenter le DALF d'un niveau B2 ou le TCF (comprenant la partie obligatoire et la partie complémentaire d'expression écrite) d'un niveau B2.</t>
        </is>
      </c>
      <c r="AI914" s="28" t="inlineStr">
        <is>
          <t>Open in EEF</t>
        </is>
      </c>
    </row>
    <row r="915" ht="32.8" customHeight="1" s="19">
      <c r="A915" s="25" t="n">
        <v>914</v>
      </c>
      <c r="B915" s="25" t="inlineStr">
        <is>
          <t>★★★☆☆</t>
        </is>
      </c>
      <c r="C915" s="25" t="inlineStr">
        <is>
          <t>3 – Adjacent (AI/data/CS/cyber/energy)</t>
        </is>
      </c>
      <c r="D915" s="25" t="inlineStr">
        <is>
          <t>Computer science / Software</t>
        </is>
      </c>
      <c r="E915" s="26" t="inlineStr">
        <is>
          <t>Master indifférencié (recherche et professionnel) Sciences, technologies et santé mention Informatique parcours Parcours Technologies de l'Hypermédia (THYP) (M2)</t>
        </is>
      </c>
      <c r="F915" s="26" t="inlineStr">
        <is>
          <t>Sciences, Technologies &amp; Health – major: Computer Science – track: track: Technologies of l'Hypermédia (THYP) (M2)</t>
        </is>
      </c>
      <c r="G915" s="25" t="inlineStr">
        <is>
          <t>Master indifférencié (recherche et professionnel)</t>
        </is>
      </c>
      <c r="H915" s="25" t="inlineStr">
        <is>
          <t>UFR Mathématiques, informatique, technologies, sciences de l'information et de la communication</t>
        </is>
      </c>
      <c r="I915" s="25" t="inlineStr">
        <is>
          <t>Université Vincennes-Saint-Denis</t>
        </is>
      </c>
      <c r="J915" s="25" t="inlineStr">
        <is>
          <t>Site de Saint-Denis</t>
        </is>
      </c>
      <c r="K915" s="25" t="inlineStr">
        <is>
          <t>93526 Saint-Denis cedex</t>
        </is>
      </c>
      <c r="L915" s="25" t="inlineStr">
        <is>
          <t>Public university</t>
        </is>
      </c>
      <c r="M915" s="25" t="inlineStr">
        <is>
          <t>French</t>
        </is>
      </c>
      <c r="N915" s="25" t="inlineStr">
        <is>
          <t>General</t>
        </is>
      </c>
      <c r="O915" s="25" t="inlineStr">
        <is>
          <t>Bac +5</t>
        </is>
      </c>
      <c r="P915" s="26" t="inlineStr">
        <is>
          <t>Requires Bac+5 (Master) – likely not eligible; ask if 4-yr BS + experience accepted</t>
        </is>
      </c>
      <c r="Q915" s="25" t="inlineStr">
        <is>
          <t>2</t>
        </is>
      </c>
      <c r="R915" s="25" t="n"/>
      <c r="S915" s="27" t="n">
        <v>3950</v>
      </c>
      <c r="T915" s="27" t="n">
        <v>255</v>
      </c>
      <c r="U915" s="25" t="n">
        <v>1</v>
      </c>
      <c r="V915" s="27">
        <f>IF(S915="","",S915*U915)</f>
        <v/>
      </c>
      <c r="W915" s="26" t="inlineStr">
        <is>
          <t>Not in catalogue. Public national master → 2026-27 differentiated fee €3,950; exemption to ~€254-255 depends on university quota (25% cap in 2027-28).</t>
        </is>
      </c>
      <c r="X915" s="25" t="inlineStr">
        <is>
          <t>Medium</t>
        </is>
      </c>
      <c r="Y915" s="25" t="n"/>
      <c r="Z915" s="26" t="n"/>
      <c r="AA915" s="26" t="n"/>
      <c r="AB915" s="25" t="n"/>
      <c r="AC915" s="25" t="inlineStr">
        <is>
          <t>Open</t>
        </is>
      </c>
      <c r="AD915" s="25" t="inlineStr">
        <is>
          <t>2026-10-01</t>
        </is>
      </c>
      <c r="AE915" s="25" t="inlineStr">
        <is>
          <t>2027-03-15</t>
        </is>
      </c>
      <c r="AF915" s="25" t="inlineStr">
        <is>
          <t>No</t>
        </is>
      </c>
      <c r="AG915" s="28" t="inlineStr">
        <is>
          <t>https://www.univ-paris8.fr/-Master-Technologies-de-l-Hypermedia-678-</t>
        </is>
      </c>
      <c r="AH915" s="26" t="inlineStr">
        <is>
          <t>Les étudiants non francophones devront présenter le DALF d'un niveau B2 ou le TCF (comprenant la partie obligatoire et la partie complémentaire d'expression écrite) d'un niveau B2.</t>
        </is>
      </c>
      <c r="AI915" s="28" t="inlineStr">
        <is>
          <t>Open in EEF</t>
        </is>
      </c>
    </row>
    <row r="916" ht="32.8" customHeight="1" s="19">
      <c r="A916" s="25" t="n">
        <v>915</v>
      </c>
      <c r="B916" s="25" t="inlineStr">
        <is>
          <t>★★★☆☆</t>
        </is>
      </c>
      <c r="C916" s="25" t="inlineStr">
        <is>
          <t>3 – Adjacent (AI/data/CS/cyber/energy)</t>
        </is>
      </c>
      <c r="D916" s="25" t="inlineStr">
        <is>
          <t>Bioinformatics</t>
        </is>
      </c>
      <c r="E916" s="26" t="inlineStr">
        <is>
          <t>Master indifférencié (recherche et professionnel) Sciences, technologies, santé mention Bio-informatique parcours Biologie-informatique</t>
        </is>
      </c>
      <c r="F916" s="26" t="inlineStr">
        <is>
          <t>Science, Technology, Health (STS) – major: Bioinformatics – track: Biology-Computing</t>
        </is>
      </c>
      <c r="G916" s="25" t="inlineStr">
        <is>
          <t>Master indifférencié (recherche et professionnel)</t>
        </is>
      </c>
      <c r="H916" s="25" t="inlineStr">
        <is>
          <t>UFR Sciences du vivant</t>
        </is>
      </c>
      <c r="I916" s="25" t="inlineStr">
        <is>
          <t>Université Paris Cité</t>
        </is>
      </c>
      <c r="J916" s="25" t="inlineStr">
        <is>
          <t>Site de Paris</t>
        </is>
      </c>
      <c r="K916" s="25" t="inlineStr">
        <is>
          <t>75013 Paris</t>
        </is>
      </c>
      <c r="L916" s="25" t="inlineStr">
        <is>
          <t>Public university</t>
        </is>
      </c>
      <c r="M916" s="25" t="inlineStr">
        <is>
          <t>French</t>
        </is>
      </c>
      <c r="N916" s="25" t="inlineStr">
        <is>
          <t>General</t>
        </is>
      </c>
      <c r="O916" s="25" t="inlineStr">
        <is>
          <t>Bac +5</t>
        </is>
      </c>
      <c r="P916" s="26" t="inlineStr">
        <is>
          <t>Requires Bac+5 (Master) – likely not eligible; ask if 4-yr BS + experience accepted</t>
        </is>
      </c>
      <c r="Q916" s="25" t="inlineStr">
        <is>
          <t>2</t>
        </is>
      </c>
      <c r="R916" s="25" t="n"/>
      <c r="S916" s="27" t="n">
        <v>3950</v>
      </c>
      <c r="T916" s="27" t="n">
        <v>255</v>
      </c>
      <c r="U916" s="25" t="n">
        <v>1</v>
      </c>
      <c r="V916" s="27">
        <f>IF(S916="","",S916*U916)</f>
        <v/>
      </c>
      <c r="W916" s="26" t="inlineStr">
        <is>
          <t>Not in catalogue. Public national master → 2026-27 differentiated fee €3,950; exemption to ~€254-255 depends on university quota (25% cap in 2027-28).</t>
        </is>
      </c>
      <c r="X916" s="25" t="inlineStr">
        <is>
          <t>Medium</t>
        </is>
      </c>
      <c r="Y916" s="25" t="n"/>
      <c r="Z916" s="26" t="n"/>
      <c r="AA916" s="26" t="inlineStr">
        <is>
          <t>Paris Cité historically exempted non-EU master students (paid EU rate). 2026-27/2027-28 policy not yet published – confirm.</t>
        </is>
      </c>
      <c r="AB916" s="28" t="inlineStr">
        <is>
          <t>https://u-paris.fr/droits-dinscription-tarifs-exonerations/</t>
        </is>
      </c>
      <c r="AC916" s="25" t="inlineStr">
        <is>
          <t>Open</t>
        </is>
      </c>
      <c r="AD916" s="25" t="inlineStr">
        <is>
          <t>2026-10-01</t>
        </is>
      </c>
      <c r="AE916" s="25" t="inlineStr">
        <is>
          <t>2027-03-15</t>
        </is>
      </c>
      <c r="AF916" s="25" t="inlineStr">
        <is>
          <t>No</t>
        </is>
      </c>
      <c r="AG916" s="28" t="inlineStr">
        <is>
          <t>https://sdv.u-paris.fr</t>
        </is>
      </c>
      <c r="AH916" s="26" t="inlineStr">
        <is>
          <t>https://odf.u-paris.fr/fr/offre-de-formation/master-XB/sciences-technologies-sante-STS/bio-informatique-K2VO60MU.html Droits d’inscriptions différenciés 2027-2028, pour plus d’informations : https://u-pariscite.fr/droits</t>
        </is>
      </c>
      <c r="AI916" s="28" t="inlineStr">
        <is>
          <t>Open in EEF</t>
        </is>
      </c>
    </row>
    <row r="917" ht="43.25" customHeight="1" s="19">
      <c r="A917" s="25" t="n">
        <v>916</v>
      </c>
      <c r="B917" s="25" t="inlineStr">
        <is>
          <t>★★★☆☆</t>
        </is>
      </c>
      <c r="C917" s="25" t="inlineStr">
        <is>
          <t>3 – Adjacent (AI/data/CS/cyber/energy)</t>
        </is>
      </c>
      <c r="D917" s="25" t="inlineStr">
        <is>
          <t>Other engineering / maths</t>
        </is>
      </c>
      <c r="E917" s="26" t="inlineStr">
        <is>
          <t>Master indifférencié (recherche et professionnel) Sciences, technologies, santé mention Biotechnologies parcours Ingénierie des Systèmes Biologiques</t>
        </is>
      </c>
      <c r="F917" s="26" t="inlineStr">
        <is>
          <t>Science, Technology, Health (STS) – major: Biotechnologies – track: Engineering of Systems Biological</t>
        </is>
      </c>
      <c r="G917" s="25" t="inlineStr">
        <is>
          <t>Master indifférencié (recherche et professionnel)</t>
        </is>
      </c>
      <c r="H917" s="25" t="inlineStr">
        <is>
          <t>Faculté des Sciences et d'Ingénierie</t>
        </is>
      </c>
      <c r="I917" s="25" t="inlineStr">
        <is>
          <t>Université de Toulouse</t>
        </is>
      </c>
      <c r="J917" s="25" t="inlineStr">
        <is>
          <t>Site de Toulouse</t>
        </is>
      </c>
      <c r="K917" s="25" t="n"/>
      <c r="L917" s="25" t="inlineStr">
        <is>
          <t>Public university</t>
        </is>
      </c>
      <c r="M917" s="25" t="inlineStr">
        <is>
          <t>French</t>
        </is>
      </c>
      <c r="N917" s="25" t="inlineStr">
        <is>
          <t>General</t>
        </is>
      </c>
      <c r="O917" s="25" t="inlineStr">
        <is>
          <t>Bac +5</t>
        </is>
      </c>
      <c r="P917" s="26" t="inlineStr">
        <is>
          <t>Requires Bac+5 (Master) – likely not eligible; ask if 4-yr BS + experience accepted</t>
        </is>
      </c>
      <c r="Q917" s="25" t="inlineStr">
        <is>
          <t>2</t>
        </is>
      </c>
      <c r="R917" s="25" t="n"/>
      <c r="S917" s="27" t="n">
        <v>3950</v>
      </c>
      <c r="T917" s="27" t="n">
        <v>255</v>
      </c>
      <c r="U917" s="25" t="n">
        <v>1</v>
      </c>
      <c r="V917" s="27">
        <f>IF(S917="","",S917*U917)</f>
        <v/>
      </c>
      <c r="W917" s="26" t="inlineStr">
        <is>
          <t>Not in catalogue. Public national master → 2026-27 differentiated fee €3,950; exemption to ~€254-255 depends on university quota (25% cap in 2027-28).</t>
        </is>
      </c>
      <c r="X917" s="25" t="inlineStr">
        <is>
          <t>Medium</t>
        </is>
      </c>
      <c r="Y917" s="25" t="n"/>
      <c r="Z917" s="26" t="n"/>
      <c r="AA917" s="26" t="inlineStr">
        <is>
          <t>Board decision (Feb 2026, pre-decree): partial exemption for ALL non-EU students subject to differentiated fees, until end of cycle. Re-check for 2027-28.</t>
        </is>
      </c>
      <c r="AB917" s="28" t="inlineStr">
        <is>
          <t>https://www.utoulouse.fr/medias/fichier/2026-02-ca-075_1774430647495-pdf</t>
        </is>
      </c>
      <c r="AC917" s="25" t="inlineStr">
        <is>
          <t>Open</t>
        </is>
      </c>
      <c r="AD917" s="25" t="inlineStr">
        <is>
          <t>2026-10-01</t>
        </is>
      </c>
      <c r="AE917" s="25" t="inlineStr">
        <is>
          <t>2027-03-15</t>
        </is>
      </c>
      <c r="AF917" s="25" t="inlineStr">
        <is>
          <t>No</t>
        </is>
      </c>
      <c r="AG917" s="28" t="inlineStr">
        <is>
          <t>http://www.univ-tlse3.fr/</t>
        </is>
      </c>
      <c r="AH917" s="26" t="inlineStr">
        <is>
          <t>https://www.utoulouse.fr/decouvrir-nos-diplomes/master-mention-biotechnologies Si vous ne maîtrisez pas encore le français au niveau exigé pour intégrer une formation en France, le DU FUSEE (Diplôme Universitaire de Fran</t>
        </is>
      </c>
      <c r="AI917" s="28" t="inlineStr">
        <is>
          <t>Open in EEF</t>
        </is>
      </c>
    </row>
    <row r="918" ht="22.35" customHeight="1" s="19">
      <c r="A918" s="25" t="n">
        <v>917</v>
      </c>
      <c r="B918" s="25" t="inlineStr">
        <is>
          <t>★★★☆☆</t>
        </is>
      </c>
      <c r="C918" s="25" t="inlineStr">
        <is>
          <t>3 – Adjacent (AI/data/CS/cyber/energy)</t>
        </is>
      </c>
      <c r="D918" s="25" t="inlineStr">
        <is>
          <t>Computer science / Software</t>
        </is>
      </c>
      <c r="E918" s="26" t="inlineStr">
        <is>
          <t>Master indifférencié (recherche et professionnel) Sciences, technologies, santé mention Géomatique parcours Technologies des Systèmes d'Information (M2)</t>
        </is>
      </c>
      <c r="F918" s="26" t="inlineStr">
        <is>
          <t>Science, Technology, Health (STS) – major: Géomatique – track: Technologies of Information Systems (M2)</t>
        </is>
      </c>
      <c r="G918" s="25" t="inlineStr">
        <is>
          <t>Master indifférencié (recherche et professionnel)</t>
        </is>
      </c>
      <c r="H918" s="25" t="inlineStr">
        <is>
          <t>Institut d'électronique et d'informatique Gaspard Monge</t>
        </is>
      </c>
      <c r="I918" s="25" t="inlineStr">
        <is>
          <t>Université Gustave Eiffel</t>
        </is>
      </c>
      <c r="J918" s="25" t="inlineStr">
        <is>
          <t>Site de Champs-sur-Marne</t>
        </is>
      </c>
      <c r="K918" s="25" t="n"/>
      <c r="L918" s="25" t="inlineStr">
        <is>
          <t>Public school / institute</t>
        </is>
      </c>
      <c r="M918" s="25" t="inlineStr">
        <is>
          <t>French</t>
        </is>
      </c>
      <c r="N918" s="25" t="inlineStr">
        <is>
          <t>General</t>
        </is>
      </c>
      <c r="O918" s="25" t="inlineStr">
        <is>
          <t>Bac +5</t>
        </is>
      </c>
      <c r="P918" s="26" t="inlineStr">
        <is>
          <t>Requires Bac+5 (Master) – likely not eligible; ask if 4-yr BS + experience accepted</t>
        </is>
      </c>
      <c r="Q918" s="25" t="inlineStr">
        <is>
          <t>2</t>
        </is>
      </c>
      <c r="R918" s="25" t="n"/>
      <c r="S918" s="27" t="n">
        <v>3950</v>
      </c>
      <c r="T918" s="27" t="n">
        <v>255</v>
      </c>
      <c r="U918" s="25" t="n">
        <v>1</v>
      </c>
      <c r="V918" s="27">
        <f>IF(S918="","",S918*U918)</f>
        <v/>
      </c>
      <c r="W918" s="26" t="inlineStr">
        <is>
          <t>Not in catalogue. Public national master → 2026-27 differentiated fee €3,950; exemption to ~€254-255 depends on university quota (25% cap in 2027-28).</t>
        </is>
      </c>
      <c r="X918" s="25" t="inlineStr">
        <is>
          <t>Medium</t>
        </is>
      </c>
      <c r="Y918" s="25" t="n"/>
      <c r="Z918" s="26" t="n"/>
      <c r="AA918" s="26" t="n"/>
      <c r="AB918" s="25" t="n"/>
      <c r="AC918" s="25" t="inlineStr">
        <is>
          <t>Open</t>
        </is>
      </c>
      <c r="AD918" s="25" t="inlineStr">
        <is>
          <t>2026-10-01</t>
        </is>
      </c>
      <c r="AE918" s="25" t="inlineStr">
        <is>
          <t>2027-03-15</t>
        </is>
      </c>
      <c r="AF918" s="25" t="inlineStr">
        <is>
          <t>No</t>
        </is>
      </c>
      <c r="AG918" s="28" t="inlineStr">
        <is>
          <t>https://igm.univ-gustave-eiffel.fr/</t>
        </is>
      </c>
      <c r="AH918" s="26" t="inlineStr">
        <is>
          <t>Niveau de français requis: C1 Niveau d'anglais requis: B2</t>
        </is>
      </c>
      <c r="AI918" s="28" t="inlineStr">
        <is>
          <t>Open in EEF</t>
        </is>
      </c>
    </row>
    <row r="919" ht="32.8" customHeight="1" s="19">
      <c r="A919" s="25" t="n">
        <v>918</v>
      </c>
      <c r="B919" s="25" t="inlineStr">
        <is>
          <t>★★★☆☆</t>
        </is>
      </c>
      <c r="C919" s="25" t="inlineStr">
        <is>
          <t>3 – Adjacent (AI/data/CS/cyber/energy)</t>
        </is>
      </c>
      <c r="D919" s="25" t="inlineStr">
        <is>
          <t>Computer science / Software</t>
        </is>
      </c>
      <c r="E919" s="26" t="inlineStr">
        <is>
          <t>Master indifférencié (recherche et professionnel) Sciences, technologies, santé mention informatique parcours Compétences Complémentaires en Informatique</t>
        </is>
      </c>
      <c r="F919" s="26" t="inlineStr">
        <is>
          <t>Science, Technology, Health (STS) – major: Computer Science – track: Compétences Complémentaires in Computer Science</t>
        </is>
      </c>
      <c r="G919" s="25" t="inlineStr">
        <is>
          <t>Master indifférencié (recherche et professionnel)</t>
        </is>
      </c>
      <c r="H919" s="25" t="inlineStr">
        <is>
          <t>UFR d'informatique, mathématiques et mathématiques appliquées</t>
        </is>
      </c>
      <c r="I919" s="25" t="inlineStr">
        <is>
          <t>Université de Grenoble Alpes</t>
        </is>
      </c>
      <c r="J919" s="25" t="inlineStr">
        <is>
          <t>Site de Grenoble - Campus de Saint Martin d'Hères</t>
        </is>
      </c>
      <c r="K919" s="25" t="n"/>
      <c r="L919" s="25" t="inlineStr">
        <is>
          <t>Public university</t>
        </is>
      </c>
      <c r="M919" s="25" t="inlineStr">
        <is>
          <t>French</t>
        </is>
      </c>
      <c r="N919" s="25" t="inlineStr">
        <is>
          <t>General</t>
        </is>
      </c>
      <c r="O919" s="25" t="inlineStr">
        <is>
          <t>Bac +5</t>
        </is>
      </c>
      <c r="P919" s="26" t="inlineStr">
        <is>
          <t>Requires Bac+5 (Master) – likely not eligible; ask if 4-yr BS + experience accepted</t>
        </is>
      </c>
      <c r="Q919" s="25" t="inlineStr">
        <is>
          <t>2</t>
        </is>
      </c>
      <c r="R919" s="25" t="n"/>
      <c r="S919" s="27" t="n">
        <v>3950</v>
      </c>
      <c r="T919" s="27" t="n">
        <v>255</v>
      </c>
      <c r="U919" s="25" t="n">
        <v>1</v>
      </c>
      <c r="V919" s="27">
        <f>IF(S919="","",S919*U919)</f>
        <v/>
      </c>
      <c r="W919" s="26" t="inlineStr">
        <is>
          <t>Not in catalogue. Public national master → 2026-27 differentiated fee €3,950; exemption to ~€254-255 depends on university quota (25% cap in 2027-28).</t>
        </is>
      </c>
      <c r="X919" s="25" t="inlineStr">
        <is>
          <t>Medium</t>
        </is>
      </c>
      <c r="Y919" s="25" t="n"/>
      <c r="Z919" s="26" t="n"/>
      <c r="AA919" s="26" t="inlineStr">
        <is>
          <t>UGA (incl. Grenoble INP masters): 2026-27 broad exemptions on request (pay national €254). From 2027-28 the decree caps apply; exemptions based on resources.</t>
        </is>
      </c>
      <c r="AB919" s="28" t="inlineStr">
        <is>
          <t>https://www.univ-grenoble-alpes.fr/actualites/a-la-une/actualites-universite/etudiants-internationaux-ce-que-change-le-nouveau-decret-sur-les-droits-d-inscription-a-l-uga-1775870.kjsp</t>
        </is>
      </c>
      <c r="AC919" s="25" t="inlineStr">
        <is>
          <t>Open</t>
        </is>
      </c>
      <c r="AD919" s="25" t="inlineStr">
        <is>
          <t>2026-10-01</t>
        </is>
      </c>
      <c r="AE919" s="25" t="inlineStr">
        <is>
          <t>2027-03-15</t>
        </is>
      </c>
      <c r="AF919" s="25" t="inlineStr">
        <is>
          <t>No</t>
        </is>
      </c>
      <c r="AG919" s="28" t="inlineStr">
        <is>
          <t>https://im2ag.univ-grenoble-alpes.fr/parcours-competences-complementaires-en-informatique-cci-2e-annee/master-informatique-parcours-competences-complementaires-en-informatique-cci-2e-annee-111068.kjsp</t>
        </is>
      </c>
      <c r="AH919" s="26" t="inlineStr">
        <is>
          <t>Prérequis : - Titulaire d'au moins un niveau M1, d'un diplôme de master ou d'ingénieur dans une discipline scientifique AUTRE QUE L'INFORMATIQUE. - Avoir un niveau C1 en français. Objectifs : La formation Compétences Com</t>
        </is>
      </c>
      <c r="AI919" s="28" t="inlineStr">
        <is>
          <t>Open in EEF</t>
        </is>
      </c>
    </row>
    <row r="920" ht="32.8" customHeight="1" s="19">
      <c r="A920" s="25" t="n">
        <v>919</v>
      </c>
      <c r="B920" s="25" t="inlineStr">
        <is>
          <t>★★★☆☆</t>
        </is>
      </c>
      <c r="C920" s="25" t="inlineStr">
        <is>
          <t>3 – Adjacent (AI/data/CS/cyber/energy)</t>
        </is>
      </c>
      <c r="D920" s="25" t="inlineStr">
        <is>
          <t>Computer science / Software</t>
        </is>
      </c>
      <c r="E920" s="26" t="inlineStr">
        <is>
          <t>Master indifférencié (recherche et professionnel) Sciences, technologies, santé mention informatique parcours Génie Informatique</t>
        </is>
      </c>
      <c r="F920" s="26" t="inlineStr">
        <is>
          <t>Science, Technology, Health (STS) – major: Computer Science – track: Engineering Computer Science</t>
        </is>
      </c>
      <c r="G920" s="25" t="inlineStr">
        <is>
          <t>Master indifférencié (recherche et professionnel)</t>
        </is>
      </c>
      <c r="H920" s="25" t="inlineStr">
        <is>
          <t>UFR d'informatique, mathématiques et mathématiques appliquées</t>
        </is>
      </c>
      <c r="I920" s="25" t="inlineStr">
        <is>
          <t>Université de Grenoble Alpes</t>
        </is>
      </c>
      <c r="J920" s="25" t="inlineStr">
        <is>
          <t>Site de Grenoble - Campus de Saint Martin d'Hères</t>
        </is>
      </c>
      <c r="K920" s="25" t="n"/>
      <c r="L920" s="25" t="inlineStr">
        <is>
          <t>Public university</t>
        </is>
      </c>
      <c r="M920" s="25" t="inlineStr">
        <is>
          <t>French</t>
        </is>
      </c>
      <c r="N920" s="25" t="inlineStr">
        <is>
          <t>General</t>
        </is>
      </c>
      <c r="O920" s="25" t="inlineStr">
        <is>
          <t>Bac +5</t>
        </is>
      </c>
      <c r="P920" s="26" t="inlineStr">
        <is>
          <t>Requires Bac+5 (Master) – likely not eligible; ask if 4-yr BS + experience accepted</t>
        </is>
      </c>
      <c r="Q920" s="25" t="inlineStr">
        <is>
          <t>2</t>
        </is>
      </c>
      <c r="R920" s="25" t="n"/>
      <c r="S920" s="27" t="n">
        <v>3950</v>
      </c>
      <c r="T920" s="27" t="n">
        <v>255</v>
      </c>
      <c r="U920" s="25" t="n">
        <v>1</v>
      </c>
      <c r="V920" s="27">
        <f>IF(S920="","",S920*U920)</f>
        <v/>
      </c>
      <c r="W920" s="26" t="inlineStr">
        <is>
          <t>Not in catalogue. Public national master → 2026-27 differentiated fee €3,950; exemption to ~€254-255 depends on university quota (25% cap in 2027-28).</t>
        </is>
      </c>
      <c r="X920" s="25" t="inlineStr">
        <is>
          <t>Medium</t>
        </is>
      </c>
      <c r="Y920" s="25" t="n"/>
      <c r="Z920" s="26" t="n"/>
      <c r="AA920" s="26" t="inlineStr">
        <is>
          <t>UGA (incl. Grenoble INP masters): 2026-27 broad exemptions on request (pay national €254). From 2027-28 the decree caps apply; exemptions based on resources.</t>
        </is>
      </c>
      <c r="AB920" s="28" t="inlineStr">
        <is>
          <t>https://www.univ-grenoble-alpes.fr/actualites/a-la-une/actualites-universite/etudiants-internationaux-ce-que-change-le-nouveau-decret-sur-les-droits-d-inscription-a-l-uga-1775870.kjsp</t>
        </is>
      </c>
      <c r="AC920" s="25" t="inlineStr">
        <is>
          <t>Open</t>
        </is>
      </c>
      <c r="AD920" s="25" t="inlineStr">
        <is>
          <t>2026-10-01</t>
        </is>
      </c>
      <c r="AE920" s="25" t="inlineStr">
        <is>
          <t>2027-03-15</t>
        </is>
      </c>
      <c r="AF920" s="25" t="inlineStr">
        <is>
          <t>No</t>
        </is>
      </c>
      <c r="AG920" s="28" t="inlineStr">
        <is>
          <t>https://formations.univ-grenoble-alpes.fr/fr/catalogue-2021/master-XB/master-informatique-IAQK9B8Z/parcours-genie-informatique-2e-annee-IGM7ZRCJ.html</t>
        </is>
      </c>
      <c r="AH920" s="26" t="inlineStr">
        <is>
          <t>Présentation : Le parcours Génie Informatique est une formation à vocation professionnelle vers le métier d'ingénieur logiciel généraliste. La formation comprends un tronc commun axé sur le Développement d'applications f</t>
        </is>
      </c>
      <c r="AI920" s="28" t="inlineStr">
        <is>
          <t>Open in EEF</t>
        </is>
      </c>
    </row>
    <row r="921" ht="32.8" customHeight="1" s="19">
      <c r="A921" s="25" t="n">
        <v>920</v>
      </c>
      <c r="B921" s="25" t="inlineStr">
        <is>
          <t>★★★☆☆</t>
        </is>
      </c>
      <c r="C921" s="25" t="inlineStr">
        <is>
          <t>3 – Adjacent (AI/data/CS/cyber/energy)</t>
        </is>
      </c>
      <c r="D921" s="25" t="inlineStr">
        <is>
          <t>AI / Data science</t>
        </is>
      </c>
      <c r="E921" s="26" t="inlineStr">
        <is>
          <t>Master indifférencié (recherche et professionnel) Sciences, technologies, santé mention informatique parcours INTELLIGENCE ARTIFICIELLE ET SCIENCE DES DONNEES</t>
        </is>
      </c>
      <c r="F921" s="26" t="inlineStr">
        <is>
          <t>Science, Technology, Health (STS) – major: Computer Science – track: Artificial Intelligence &amp; Data Science</t>
        </is>
      </c>
      <c r="G921" s="25" t="inlineStr">
        <is>
          <t>Master indifférencié (recherche et professionnel)</t>
        </is>
      </c>
      <c r="H921" s="25" t="inlineStr">
        <is>
          <t>UFR des Sciences de Montpellier</t>
        </is>
      </c>
      <c r="I921" s="25" t="inlineStr">
        <is>
          <t>Université de Montpellier</t>
        </is>
      </c>
      <c r="J921" s="25" t="inlineStr">
        <is>
          <t>Site de Montpellier</t>
        </is>
      </c>
      <c r="K921" s="25" t="n"/>
      <c r="L921" s="25" t="inlineStr">
        <is>
          <t>Public university</t>
        </is>
      </c>
      <c r="M921" s="25" t="inlineStr">
        <is>
          <t>French</t>
        </is>
      </c>
      <c r="N921" s="25" t="inlineStr">
        <is>
          <t>General</t>
        </is>
      </c>
      <c r="O921" s="25" t="inlineStr">
        <is>
          <t>Bac +5</t>
        </is>
      </c>
      <c r="P921" s="26" t="inlineStr">
        <is>
          <t>Requires Bac+5 (Master) – likely not eligible; ask if 4-yr BS + experience accepted</t>
        </is>
      </c>
      <c r="Q921" s="25" t="inlineStr">
        <is>
          <t>2</t>
        </is>
      </c>
      <c r="R921" s="25" t="n"/>
      <c r="S921" s="27" t="n">
        <v>3950</v>
      </c>
      <c r="T921" s="27" t="n">
        <v>255</v>
      </c>
      <c r="U921" s="25" t="n">
        <v>1</v>
      </c>
      <c r="V921" s="27">
        <f>IF(S921="","",S921*U921)</f>
        <v/>
      </c>
      <c r="W921" s="26" t="inlineStr">
        <is>
          <t>Not in catalogue. Public national master → 2026-27 differentiated fee €3,950; exemption to ~€254-255 depends on university quota (25% cap in 2027-28).</t>
        </is>
      </c>
      <c r="X921" s="25" t="inlineStr">
        <is>
          <t>Medium</t>
        </is>
      </c>
      <c r="Y921" s="25" t="n"/>
      <c r="Z921" s="26" t="n"/>
      <c r="AA921" s="26" t="inlineStr">
        <is>
          <t>Montpellier 2026-27: new non-EU entrants pay the differentiated fee unless individual exemption (limited).</t>
        </is>
      </c>
      <c r="AB921" s="28" t="inlineStr">
        <is>
          <t>https://www.umontpellier.fr/en/international/etudier-a-letranger/etudiants-internationaux-annee-universitaire-2026-2027/</t>
        </is>
      </c>
      <c r="AC921" s="25" t="inlineStr">
        <is>
          <t>Open</t>
        </is>
      </c>
      <c r="AD921" s="25" t="inlineStr">
        <is>
          <t>2026-10-01</t>
        </is>
      </c>
      <c r="AE921" s="25" t="inlineStr">
        <is>
          <t>2027-03-15</t>
        </is>
      </c>
      <c r="AF921" s="25" t="inlineStr">
        <is>
          <t>No</t>
        </is>
      </c>
      <c r="AG921" s="28" t="inlineStr">
        <is>
          <t>http://www.fdsweb.univ-montp2.fr/etudier-a-la-fds/catalogue-de-formation-675</t>
        </is>
      </c>
      <c r="AH921" s="26" t="inlineStr">
        <is>
          <t>Les prérequis pour suivre la 2e année de IA-SD sont: Programmation impérative et objet, Algorithmique et structures de données, Bases de données (SQL, dépendances et formes normales), Logique du premier ordre (calcul des</t>
        </is>
      </c>
      <c r="AI921" s="28" t="inlineStr">
        <is>
          <t>Open in EEF</t>
        </is>
      </c>
    </row>
    <row r="922" ht="32.8" customHeight="1" s="19">
      <c r="A922" s="25" t="n">
        <v>921</v>
      </c>
      <c r="B922" s="25" t="inlineStr">
        <is>
          <t>★★★☆☆</t>
        </is>
      </c>
      <c r="C922" s="25" t="inlineStr">
        <is>
          <t>3 – Adjacent (AI/data/CS/cyber/energy)</t>
        </is>
      </c>
      <c r="D922" s="25" t="inlineStr">
        <is>
          <t>AI / Data science</t>
        </is>
      </c>
      <c r="E922" s="26" t="inlineStr">
        <is>
          <t>Master indifférencié (recherche et professionnel) Sciences, technologies, santé mention informatique parcours Interactions de l’Informatique et des Mathématiques pour l’Intelligence Artificielle (IMA)</t>
        </is>
      </c>
      <c r="F922" s="26" t="inlineStr">
        <is>
          <t>Science, Technology, Health (STS) – major: Computer Science – track: Interactions of Computer Science &amp; of Mathematics for l’Artificial Intelligence (IMA)</t>
        </is>
      </c>
      <c r="G922" s="25" t="inlineStr">
        <is>
          <t>Master indifférencié (recherche et professionnel)</t>
        </is>
      </c>
      <c r="H922" s="25" t="inlineStr">
        <is>
          <t>Faculté des Sciences et d'Ingénierie</t>
        </is>
      </c>
      <c r="I922" s="25" t="inlineStr">
        <is>
          <t>Université de Toulouse</t>
        </is>
      </c>
      <c r="J922" s="25" t="inlineStr">
        <is>
          <t>Site de Toulouse</t>
        </is>
      </c>
      <c r="K922" s="25" t="n"/>
      <c r="L922" s="25" t="inlineStr">
        <is>
          <t>Public university</t>
        </is>
      </c>
      <c r="M922" s="25" t="inlineStr">
        <is>
          <t>French</t>
        </is>
      </c>
      <c r="N922" s="25" t="inlineStr">
        <is>
          <t>General</t>
        </is>
      </c>
      <c r="O922" s="25" t="inlineStr">
        <is>
          <t>Bac +5</t>
        </is>
      </c>
      <c r="P922" s="26" t="inlineStr">
        <is>
          <t>Requires Bac+5 (Master) – likely not eligible; ask if 4-yr BS + experience accepted</t>
        </is>
      </c>
      <c r="Q922" s="25" t="inlineStr">
        <is>
          <t>2</t>
        </is>
      </c>
      <c r="R922" s="25" t="n"/>
      <c r="S922" s="27" t="n">
        <v>3950</v>
      </c>
      <c r="T922" s="27" t="n">
        <v>255</v>
      </c>
      <c r="U922" s="25" t="n">
        <v>1</v>
      </c>
      <c r="V922" s="27">
        <f>IF(S922="","",S922*U922)</f>
        <v/>
      </c>
      <c r="W922" s="26" t="inlineStr">
        <is>
          <t>Not in catalogue. Public national master → 2026-27 differentiated fee €3,950; exemption to ~€254-255 depends on university quota (25% cap in 2027-28).</t>
        </is>
      </c>
      <c r="X922" s="25" t="inlineStr">
        <is>
          <t>Medium</t>
        </is>
      </c>
      <c r="Y922" s="25" t="n"/>
      <c r="Z922" s="26" t="n"/>
      <c r="AA922" s="26" t="inlineStr">
        <is>
          <t>Board decision (Feb 2026, pre-decree): partial exemption for ALL non-EU students subject to differentiated fees, until end of cycle. Re-check for 2027-28.</t>
        </is>
      </c>
      <c r="AB922" s="28" t="inlineStr">
        <is>
          <t>https://www.utoulouse.fr/medias/fichier/2026-02-ca-075_1774430647495-pdf</t>
        </is>
      </c>
      <c r="AC922" s="25" t="inlineStr">
        <is>
          <t>Open</t>
        </is>
      </c>
      <c r="AD922" s="25" t="inlineStr">
        <is>
          <t>2026-10-01</t>
        </is>
      </c>
      <c r="AE922" s="25" t="inlineStr">
        <is>
          <t>2027-03-15</t>
        </is>
      </c>
      <c r="AF922" s="25" t="inlineStr">
        <is>
          <t>No</t>
        </is>
      </c>
      <c r="AG922" s="28" t="inlineStr">
        <is>
          <t>http://www.univ-tlse3.fr/</t>
        </is>
      </c>
      <c r="AH922" s="26" t="inlineStr">
        <is>
          <t>https://www.univ-tlse3.fr/master-parcours-interactions-de-linformatique-et-des-mathematiques-pour-lintelligence-artificielle-ima</t>
        </is>
      </c>
      <c r="AI922" s="28" t="inlineStr">
        <is>
          <t>Open in EEF</t>
        </is>
      </c>
    </row>
    <row r="923" ht="22.35" customHeight="1" s="19">
      <c r="A923" s="25" t="n">
        <v>922</v>
      </c>
      <c r="B923" s="25" t="inlineStr">
        <is>
          <t>★★★☆☆</t>
        </is>
      </c>
      <c r="C923" s="25" t="inlineStr">
        <is>
          <t>3 – Adjacent (AI/data/CS/cyber/energy)</t>
        </is>
      </c>
      <c r="D923" s="25" t="inlineStr">
        <is>
          <t>AI / Data science</t>
        </is>
      </c>
      <c r="E923" s="26" t="inlineStr">
        <is>
          <t>Master indifférencié (recherche et professionnel) Sciences, technologies, santé mention informatique parcours Logiciel et ingénierie des données</t>
        </is>
      </c>
      <c r="F923" s="26" t="inlineStr">
        <is>
          <t>Science, Technology, Health (STS) – major: Computer Science – track: Software &amp; Engineering of Data</t>
        </is>
      </c>
      <c r="G923" s="25" t="inlineStr">
        <is>
          <t>Master indifférencié (recherche et professionnel)</t>
        </is>
      </c>
      <c r="H923" s="25" t="inlineStr">
        <is>
          <t>Institut d'électronique et d'informatique Gaspard Monge</t>
        </is>
      </c>
      <c r="I923" s="25" t="inlineStr">
        <is>
          <t>Université Gustave Eiffel</t>
        </is>
      </c>
      <c r="J923" s="25" t="inlineStr">
        <is>
          <t>Site de Champs-sur-Marne</t>
        </is>
      </c>
      <c r="K923" s="25" t="n"/>
      <c r="L923" s="25" t="inlineStr">
        <is>
          <t>Public school / institute</t>
        </is>
      </c>
      <c r="M923" s="25" t="inlineStr">
        <is>
          <t>French</t>
        </is>
      </c>
      <c r="N923" s="25" t="inlineStr">
        <is>
          <t>General</t>
        </is>
      </c>
      <c r="O923" s="25" t="inlineStr">
        <is>
          <t>Bac +5</t>
        </is>
      </c>
      <c r="P923" s="26" t="inlineStr">
        <is>
          <t>Requires Bac+5 (Master) – likely not eligible; ask if 4-yr BS + experience accepted</t>
        </is>
      </c>
      <c r="Q923" s="25" t="inlineStr">
        <is>
          <t>2</t>
        </is>
      </c>
      <c r="R923" s="25" t="n"/>
      <c r="S923" s="27" t="n">
        <v>3950</v>
      </c>
      <c r="T923" s="27" t="n">
        <v>255</v>
      </c>
      <c r="U923" s="25" t="n">
        <v>1</v>
      </c>
      <c r="V923" s="27">
        <f>IF(S923="","",S923*U923)</f>
        <v/>
      </c>
      <c r="W923" s="26" t="inlineStr">
        <is>
          <t>Not in catalogue. Public national master → 2026-27 differentiated fee €3,950; exemption to ~€254-255 depends on university quota (25% cap in 2027-28).</t>
        </is>
      </c>
      <c r="X923" s="25" t="inlineStr">
        <is>
          <t>Medium</t>
        </is>
      </c>
      <c r="Y923" s="25" t="n"/>
      <c r="Z923" s="26" t="n"/>
      <c r="AA923" s="26" t="n"/>
      <c r="AB923" s="25" t="n"/>
      <c r="AC923" s="25" t="inlineStr">
        <is>
          <t>Open</t>
        </is>
      </c>
      <c r="AD923" s="25" t="inlineStr">
        <is>
          <t>2026-10-01</t>
        </is>
      </c>
      <c r="AE923" s="25" t="inlineStr">
        <is>
          <t>2027-03-15</t>
        </is>
      </c>
      <c r="AF923" s="25" t="inlineStr">
        <is>
          <t>No</t>
        </is>
      </c>
      <c r="AG923" s="28" t="inlineStr">
        <is>
          <t>https://igm.univ-gustave-eiffel.fr/</t>
        </is>
      </c>
      <c r="AH923" s="26" t="inlineStr">
        <is>
          <t>Diplôme équivalent à un master 1 en informatique. Français C1 Anglais B2</t>
        </is>
      </c>
      <c r="AI923" s="28" t="inlineStr">
        <is>
          <t>Open in EEF</t>
        </is>
      </c>
    </row>
    <row r="924" ht="22.35" customHeight="1" s="19">
      <c r="A924" s="25" t="n">
        <v>923</v>
      </c>
      <c r="B924" s="25" t="inlineStr">
        <is>
          <t>★★★☆☆</t>
        </is>
      </c>
      <c r="C924" s="25" t="inlineStr">
        <is>
          <t>3 – Adjacent (AI/data/CS/cyber/energy)</t>
        </is>
      </c>
      <c r="D924" s="25" t="inlineStr">
        <is>
          <t>AI / Data science</t>
        </is>
      </c>
      <c r="E924" s="26" t="inlineStr">
        <is>
          <t>Master indifférencié (recherche et professionnel) Sciences, technologies, santé mention informatique parcours Master Données et Systèmes Connectés</t>
        </is>
      </c>
      <c r="F924" s="26" t="inlineStr">
        <is>
          <t>Science, Technology, Health (STS) – major: Computer Science – track: Master Data &amp; Systems Connected</t>
        </is>
      </c>
      <c r="G924" s="25" t="inlineStr">
        <is>
          <t>Master indifférencié (recherche et professionnel)</t>
        </is>
      </c>
      <c r="H924" s="25" t="inlineStr">
        <is>
          <t>Ecole nationale supérieure des mines de Saint-Etienne</t>
        </is>
      </c>
      <c r="I924" s="25" t="n"/>
      <c r="J924" s="25" t="inlineStr">
        <is>
          <t>Site de Saint-Etienne</t>
        </is>
      </c>
      <c r="K924" s="25" t="n"/>
      <c r="L924" s="25" t="inlineStr">
        <is>
          <t>Public school / institute</t>
        </is>
      </c>
      <c r="M924" s="25" t="inlineStr">
        <is>
          <t>French</t>
        </is>
      </c>
      <c r="N924" s="25" t="inlineStr">
        <is>
          <t>General</t>
        </is>
      </c>
      <c r="O924" s="25" t="inlineStr">
        <is>
          <t>Bac +5</t>
        </is>
      </c>
      <c r="P924" s="26" t="inlineStr">
        <is>
          <t>Requires Bac+5 (Master) – likely not eligible; ask if 4-yr BS + experience accepted</t>
        </is>
      </c>
      <c r="Q924" s="25" t="inlineStr">
        <is>
          <t>2</t>
        </is>
      </c>
      <c r="R924" s="25" t="inlineStr">
        <is>
          <t>12</t>
        </is>
      </c>
      <c r="S924" s="27" t="n">
        <v>3950</v>
      </c>
      <c r="T924" s="27" t="n">
        <v>255</v>
      </c>
      <c r="U924" s="25" t="n">
        <v>1</v>
      </c>
      <c r="V924" s="27">
        <f>IF(S924="","",S924*U924)</f>
        <v/>
      </c>
      <c r="W924" s="26" t="inlineStr">
        <is>
          <t>Not in catalogue. Public national master → 2026-27 differentiated fee €3,950; exemption to ~€254-255 depends on university quota (25% cap in 2027-28).</t>
        </is>
      </c>
      <c r="X924" s="25" t="inlineStr">
        <is>
          <t>Medium</t>
        </is>
      </c>
      <c r="Y924" s="25" t="n"/>
      <c r="Z924" s="26" t="n"/>
      <c r="AA924" s="26" t="n"/>
      <c r="AB924" s="25" t="n"/>
      <c r="AC924" s="25" t="inlineStr">
        <is>
          <t>Open</t>
        </is>
      </c>
      <c r="AD924" s="25" t="inlineStr">
        <is>
          <t>2026-10-01</t>
        </is>
      </c>
      <c r="AE924" s="25" t="inlineStr">
        <is>
          <t>2027-03-15</t>
        </is>
      </c>
      <c r="AF924" s="25" t="inlineStr">
        <is>
          <t>Yes</t>
        </is>
      </c>
      <c r="AG924" s="28" t="inlineStr">
        <is>
          <t>http://www.mines-stetienne.fr/formation-mines-saint-etienne/</t>
        </is>
      </c>
      <c r="AH924" s="26" t="n"/>
      <c r="AI924" s="28" t="inlineStr">
        <is>
          <t>Open in EEF</t>
        </is>
      </c>
    </row>
    <row r="925" ht="22.35" customHeight="1" s="19">
      <c r="A925" s="25" t="n">
        <v>924</v>
      </c>
      <c r="B925" s="25" t="inlineStr">
        <is>
          <t>★★★☆☆</t>
        </is>
      </c>
      <c r="C925" s="25" t="inlineStr">
        <is>
          <t>3 – Adjacent (AI/data/CS/cyber/energy)</t>
        </is>
      </c>
      <c r="D925" s="25" t="inlineStr">
        <is>
          <t>Computer science / Software</t>
        </is>
      </c>
      <c r="E925" s="26" t="inlineStr">
        <is>
          <t>Master indifférencié (recherche et professionnel) Sciences, technologies, santé mention informatique parcours Mathématique Informatique</t>
        </is>
      </c>
      <c r="F925" s="26" t="inlineStr">
        <is>
          <t>Science, Technology, Health (STS) – major: Computer Science – track: Mathematical Computer Science</t>
        </is>
      </c>
      <c r="G925" s="25" t="inlineStr">
        <is>
          <t>Master indifférencié (recherche et professionnel)</t>
        </is>
      </c>
      <c r="H925" s="25" t="inlineStr">
        <is>
          <t>Institut d'électronique et d'informatique Gaspard Monge</t>
        </is>
      </c>
      <c r="I925" s="25" t="inlineStr">
        <is>
          <t>Université Gustave Eiffel</t>
        </is>
      </c>
      <c r="J925" s="25" t="inlineStr">
        <is>
          <t>Site de Champs-sur-Marne</t>
        </is>
      </c>
      <c r="K925" s="25" t="n"/>
      <c r="L925" s="25" t="inlineStr">
        <is>
          <t>Public school / institute</t>
        </is>
      </c>
      <c r="M925" s="25" t="inlineStr">
        <is>
          <t>French</t>
        </is>
      </c>
      <c r="N925" s="25" t="inlineStr">
        <is>
          <t>General</t>
        </is>
      </c>
      <c r="O925" s="25" t="inlineStr">
        <is>
          <t>Bac +5</t>
        </is>
      </c>
      <c r="P925" s="26" t="inlineStr">
        <is>
          <t>Requires Bac+5 (Master) – likely not eligible; ask if 4-yr BS + experience accepted</t>
        </is>
      </c>
      <c r="Q925" s="25" t="inlineStr">
        <is>
          <t>2</t>
        </is>
      </c>
      <c r="R925" s="25" t="n"/>
      <c r="S925" s="27" t="n">
        <v>3950</v>
      </c>
      <c r="T925" s="27" t="n">
        <v>255</v>
      </c>
      <c r="U925" s="25" t="n">
        <v>1</v>
      </c>
      <c r="V925" s="27">
        <f>IF(S925="","",S925*U925)</f>
        <v/>
      </c>
      <c r="W925" s="26" t="inlineStr">
        <is>
          <t>Not in catalogue. Public national master → 2026-27 differentiated fee €3,950; exemption to ~€254-255 depends on university quota (25% cap in 2027-28).</t>
        </is>
      </c>
      <c r="X925" s="25" t="inlineStr">
        <is>
          <t>Medium</t>
        </is>
      </c>
      <c r="Y925" s="25" t="n"/>
      <c r="Z925" s="26" t="n"/>
      <c r="AA925" s="26" t="n"/>
      <c r="AB925" s="25" t="n"/>
      <c r="AC925" s="25" t="inlineStr">
        <is>
          <t>Open</t>
        </is>
      </c>
      <c r="AD925" s="25" t="inlineStr">
        <is>
          <t>2026-10-01</t>
        </is>
      </c>
      <c r="AE925" s="25" t="inlineStr">
        <is>
          <t>2027-03-15</t>
        </is>
      </c>
      <c r="AF925" s="25" t="inlineStr">
        <is>
          <t>No</t>
        </is>
      </c>
      <c r="AG925" s="28" t="inlineStr">
        <is>
          <t>https://igm.univ-gustave-eiffel.fr/</t>
        </is>
      </c>
      <c r="AH925" s="26" t="inlineStr">
        <is>
          <t>The student must have validated a M1 in Computer Science or Mathematics. English level B2</t>
        </is>
      </c>
      <c r="AI925" s="28" t="inlineStr">
        <is>
          <t>Open in EEF</t>
        </is>
      </c>
    </row>
    <row r="926" ht="22.35" customHeight="1" s="19">
      <c r="A926" s="25" t="n">
        <v>925</v>
      </c>
      <c r="B926" s="25" t="inlineStr">
        <is>
          <t>★★★☆☆</t>
        </is>
      </c>
      <c r="C926" s="25" t="inlineStr">
        <is>
          <t>3 – Adjacent (AI/data/CS/cyber/energy)</t>
        </is>
      </c>
      <c r="D926" s="25" t="inlineStr">
        <is>
          <t>Computer science / Software</t>
        </is>
      </c>
      <c r="E926" s="26" t="inlineStr">
        <is>
          <t>Master indifférencié (recherche et professionnel) Sciences, technologies, santé mention Informatique parcours Recherche opérationnelle (RO)</t>
        </is>
      </c>
      <c r="F926" s="26" t="inlineStr">
        <is>
          <t>Science, Technology, Health (STS) – major: Computer Science – track: Research Operational (RO)</t>
        </is>
      </c>
      <c r="G926" s="25" t="inlineStr">
        <is>
          <t>Master indifférencié (recherche et professionnel)</t>
        </is>
      </c>
      <c r="H926" s="25" t="inlineStr">
        <is>
          <t>École nationale supérieure d'électrotechnique, d'électronique, d'informatique, d'hydraulique et des télécommunications</t>
        </is>
      </c>
      <c r="I926" s="25" t="inlineStr">
        <is>
          <t>Institut national polytechnique de Toulouse</t>
        </is>
      </c>
      <c r="J926" s="25" t="inlineStr">
        <is>
          <t>Site de Toulouse</t>
        </is>
      </c>
      <c r="K926" s="25" t="inlineStr">
        <is>
          <t>31071 Toulouse Cedex</t>
        </is>
      </c>
      <c r="L926" s="25" t="inlineStr">
        <is>
          <t>Public school / institute</t>
        </is>
      </c>
      <c r="M926" s="25" t="inlineStr">
        <is>
          <t>French</t>
        </is>
      </c>
      <c r="N926" s="25" t="inlineStr">
        <is>
          <t>General</t>
        </is>
      </c>
      <c r="O926" s="25" t="inlineStr">
        <is>
          <t>Bac +5</t>
        </is>
      </c>
      <c r="P926" s="26" t="inlineStr">
        <is>
          <t>Requires Bac+5 (Master) – likely not eligible; ask if 4-yr BS + experience accepted</t>
        </is>
      </c>
      <c r="Q926" s="25" t="inlineStr">
        <is>
          <t>2</t>
        </is>
      </c>
      <c r="R926" s="25" t="inlineStr">
        <is>
          <t>12</t>
        </is>
      </c>
      <c r="S926" s="27" t="n">
        <v>3950</v>
      </c>
      <c r="T926" s="27" t="n">
        <v>255</v>
      </c>
      <c r="U926" s="25" t="n">
        <v>1</v>
      </c>
      <c r="V926" s="27">
        <f>IF(S926="","",S926*U926)</f>
        <v/>
      </c>
      <c r="W926" s="26" t="inlineStr">
        <is>
          <t>Not in catalogue. Public national master → 2026-27 differentiated fee €3,950; exemption to ~€254-255 depends on university quota (25% cap in 2027-28).</t>
        </is>
      </c>
      <c r="X926" s="25" t="inlineStr">
        <is>
          <t>Medium</t>
        </is>
      </c>
      <c r="Y926" s="25" t="n"/>
      <c r="Z926" s="26" t="n"/>
      <c r="AA926" s="26" t="n"/>
      <c r="AB926" s="25" t="n"/>
      <c r="AC926" s="25" t="inlineStr">
        <is>
          <t>Open</t>
        </is>
      </c>
      <c r="AD926" s="25" t="inlineStr">
        <is>
          <t>2026-10-01</t>
        </is>
      </c>
      <c r="AE926" s="25" t="inlineStr">
        <is>
          <t>2027-03-15</t>
        </is>
      </c>
      <c r="AF926" s="25" t="inlineStr">
        <is>
          <t>Yes</t>
        </is>
      </c>
      <c r="AG926" s="28" t="inlineStr">
        <is>
          <t>http://www.enseeiht.fr</t>
        </is>
      </c>
      <c r="AH926" s="26" t="inlineStr">
        <is>
          <t>Niveau M1 ou équivalent.</t>
        </is>
      </c>
      <c r="AI926" s="28" t="inlineStr">
        <is>
          <t>Open in EEF</t>
        </is>
      </c>
    </row>
    <row r="927" ht="32.8" customHeight="1" s="19">
      <c r="A927" s="25" t="n">
        <v>926</v>
      </c>
      <c r="B927" s="25" t="inlineStr">
        <is>
          <t>★★★☆☆</t>
        </is>
      </c>
      <c r="C927" s="25" t="inlineStr">
        <is>
          <t>3 – Adjacent (AI/data/CS/cyber/energy)</t>
        </is>
      </c>
      <c r="D927" s="25" t="inlineStr">
        <is>
          <t>Cybersecurity</t>
        </is>
      </c>
      <c r="E927" s="26" t="inlineStr">
        <is>
          <t>Master indifférencié (recherche et professionnel) Sciences, technologies, santé mention mathématiques et applications parcours Mathématiques, Informatique et application à la Cryptologie</t>
        </is>
      </c>
      <c r="F927" s="26" t="inlineStr">
        <is>
          <t>Science, Technology, Health (STS) – major: Mathematics &amp; Applications – track: Mathematics, Computer Science &amp; Application at the Cryptology</t>
        </is>
      </c>
      <c r="G927" s="25" t="inlineStr">
        <is>
          <t>Master indifférencié (recherche et professionnel)</t>
        </is>
      </c>
      <c r="H927" s="25" t="inlineStr">
        <is>
          <t>UFR Mathématiques</t>
        </is>
      </c>
      <c r="I927" s="25" t="inlineStr">
        <is>
          <t>Université Paris Cité</t>
        </is>
      </c>
      <c r="J927" s="25" t="inlineStr">
        <is>
          <t>Site de Paris</t>
        </is>
      </c>
      <c r="K927" s="25" t="inlineStr">
        <is>
          <t>75013 Paris</t>
        </is>
      </c>
      <c r="L927" s="25" t="inlineStr">
        <is>
          <t>Public university</t>
        </is>
      </c>
      <c r="M927" s="25" t="inlineStr">
        <is>
          <t>French</t>
        </is>
      </c>
      <c r="N927" s="25" t="inlineStr">
        <is>
          <t>General</t>
        </is>
      </c>
      <c r="O927" s="25" t="inlineStr">
        <is>
          <t>Bac +5</t>
        </is>
      </c>
      <c r="P927" s="26" t="inlineStr">
        <is>
          <t>Requires Bac+5 (Master) – likely not eligible; ask if 4-yr BS + experience accepted</t>
        </is>
      </c>
      <c r="Q927" s="25" t="inlineStr">
        <is>
          <t>2</t>
        </is>
      </c>
      <c r="R927" s="25" t="n"/>
      <c r="S927" s="27" t="n">
        <v>3950</v>
      </c>
      <c r="T927" s="27" t="n">
        <v>255</v>
      </c>
      <c r="U927" s="25" t="n">
        <v>1</v>
      </c>
      <c r="V927" s="27">
        <f>IF(S927="","",S927*U927)</f>
        <v/>
      </c>
      <c r="W927" s="26" t="inlineStr">
        <is>
          <t>Not in catalogue. Public national master → 2026-27 differentiated fee €3,950; exemption to ~€254-255 depends on university quota (25% cap in 2027-28).</t>
        </is>
      </c>
      <c r="X927" s="25" t="inlineStr">
        <is>
          <t>Medium</t>
        </is>
      </c>
      <c r="Y927" s="25" t="n"/>
      <c r="Z927" s="26" t="n"/>
      <c r="AA927" s="26" t="inlineStr">
        <is>
          <t>Paris Cité historically exempted non-EU master students (paid EU rate). 2026-27/2027-28 policy not yet published – confirm.</t>
        </is>
      </c>
      <c r="AB927" s="28" t="inlineStr">
        <is>
          <t>https://u-paris.fr/droits-dinscription-tarifs-exonerations/</t>
        </is>
      </c>
      <c r="AC927" s="25" t="inlineStr">
        <is>
          <t>Open</t>
        </is>
      </c>
      <c r="AD927" s="25" t="inlineStr">
        <is>
          <t>2026-10-01</t>
        </is>
      </c>
      <c r="AE927" s="25" t="inlineStr">
        <is>
          <t>2027-03-15</t>
        </is>
      </c>
      <c r="AF927" s="25" t="inlineStr">
        <is>
          <t>No</t>
        </is>
      </c>
      <c r="AG927" s="28" t="inlineStr">
        <is>
          <t>https://www.math.u-paris.fr/</t>
        </is>
      </c>
      <c r="AH927" s="26" t="inlineStr">
        <is>
          <t>https://odf.u-paris.fr/fr/offre-de-formation/master-XB/sciences-technologies-sante-STS/mathematiques-et-applications-K2VO47PM.html Droits d’inscriptions différenciés 2027-2028, pour plus d’informations : https://u-parisc</t>
        </is>
      </c>
      <c r="AI927" s="28" t="inlineStr">
        <is>
          <t>Open in EEF</t>
        </is>
      </c>
    </row>
    <row r="928" ht="32.8" customHeight="1" s="19">
      <c r="A928" s="25" t="n">
        <v>927</v>
      </c>
      <c r="B928" s="25" t="inlineStr">
        <is>
          <t>★★★☆☆</t>
        </is>
      </c>
      <c r="C928" s="25" t="inlineStr">
        <is>
          <t>3 – Adjacent (AI/data/CS/cyber/energy)</t>
        </is>
      </c>
      <c r="D928" s="25" t="inlineStr">
        <is>
          <t>AI / Data science</t>
        </is>
      </c>
      <c r="E928" s="26" t="inlineStr">
        <is>
          <t>Master indifférencié (recherche et professionnel) Sciences, technologies, santé mention Santé publique parcours Statistique, modélisation et science des données en santé</t>
        </is>
      </c>
      <c r="F928" s="26" t="inlineStr">
        <is>
          <t>Science, Technology, Health (STS) – major: Health Public – track: Statistics, Modelling &amp; Data Science in Health</t>
        </is>
      </c>
      <c r="G928" s="25" t="inlineStr">
        <is>
          <t>Master indifférencié (recherche et professionnel)</t>
        </is>
      </c>
      <c r="H928" s="25" t="inlineStr">
        <is>
          <t>Médecine</t>
        </is>
      </c>
      <c r="I928" s="25" t="inlineStr">
        <is>
          <t>Sorbonne Université</t>
        </is>
      </c>
      <c r="J928" s="25" t="inlineStr">
        <is>
          <t>Site de Paris</t>
        </is>
      </c>
      <c r="K928" s="25" t="n"/>
      <c r="L928" s="25" t="inlineStr">
        <is>
          <t>Public university</t>
        </is>
      </c>
      <c r="M928" s="25" t="inlineStr">
        <is>
          <t>French</t>
        </is>
      </c>
      <c r="N928" s="25" t="inlineStr">
        <is>
          <t>General</t>
        </is>
      </c>
      <c r="O928" s="25" t="inlineStr">
        <is>
          <t>Bac +5</t>
        </is>
      </c>
      <c r="P928" s="26" t="inlineStr">
        <is>
          <t>Requires Bac+5 (Master) – likely not eligible; ask if 4-yr BS + experience accepted</t>
        </is>
      </c>
      <c r="Q928" s="25" t="inlineStr">
        <is>
          <t>2</t>
        </is>
      </c>
      <c r="R928" s="25" t="n"/>
      <c r="S928" s="27" t="n">
        <v>3950</v>
      </c>
      <c r="T928" s="27" t="n">
        <v>255</v>
      </c>
      <c r="U928" s="25" t="n">
        <v>1</v>
      </c>
      <c r="V928" s="27">
        <f>IF(S928="","",S928*U928)</f>
        <v/>
      </c>
      <c r="W928" s="26" t="inlineStr">
        <is>
          <t>Not in catalogue. Public national master → 2026-27 differentiated fee €3,950; exemption to ~€254-255 depends on university quota (25% cap in 2027-28).</t>
        </is>
      </c>
      <c r="X928" s="25" t="inlineStr">
        <is>
          <t>Medium</t>
        </is>
      </c>
      <c r="Y928" s="25" t="n"/>
      <c r="Z928" s="26" t="n"/>
      <c r="AA928" s="26" t="inlineStr">
        <is>
          <t>Board vote 7 Jul 2026: Sorbonne Université says it can exempt all eligible non-EU applicants (pay same as EU, ~€254) for 2026-27.</t>
        </is>
      </c>
      <c r="AB928" s="28" t="inlineStr">
        <is>
          <t>https://www.sorbonne-universite.fr/actualites/le-conseil-dadministration-de-sorbonne-universite-vote-lunanimite-le-7-juillet-2026-sa</t>
        </is>
      </c>
      <c r="AC928" s="25" t="inlineStr">
        <is>
          <t>Open</t>
        </is>
      </c>
      <c r="AD928" s="25" t="inlineStr">
        <is>
          <t>2026-10-01</t>
        </is>
      </c>
      <c r="AE928" s="25" t="inlineStr">
        <is>
          <t>2027-03-15</t>
        </is>
      </c>
      <c r="AF928" s="25" t="inlineStr">
        <is>
          <t>No</t>
        </is>
      </c>
      <c r="AG928" s="28" t="inlineStr">
        <is>
          <t>http://master.sante.sorbonne-universite.fr/fr/index.html</t>
        </is>
      </c>
      <c r="AH928" s="26" t="inlineStr">
        <is>
          <t>Cette formation s'adresse aux étudiants ayant validé une première année de Master en Santé Publique avec une forte composante en statistique ou mathématique ou formation équivalente.</t>
        </is>
      </c>
      <c r="AI928" s="28" t="inlineStr">
        <is>
          <t>Open in EEF</t>
        </is>
      </c>
    </row>
    <row r="929" ht="43.25" customHeight="1" s="19">
      <c r="A929" s="25" t="n">
        <v>928</v>
      </c>
      <c r="B929" s="25" t="inlineStr">
        <is>
          <t>★★★☆☆</t>
        </is>
      </c>
      <c r="C929" s="25" t="inlineStr">
        <is>
          <t>3 – Adjacent (AI/data/CS/cyber/energy)</t>
        </is>
      </c>
      <c r="D929" s="25" t="inlineStr">
        <is>
          <t>AI / Data science</t>
        </is>
      </c>
      <c r="E929" s="26" t="inlineStr">
        <is>
          <t>Master indifférencié (recherche et professionnel) Sciences, technologies, santé mention Santé publique parcours Statistique, modélisation et sciences des données en santé</t>
        </is>
      </c>
      <c r="F929" s="26" t="inlineStr">
        <is>
          <t>Science, Technology, Health (STS) – major: Health Public – track: Statistics, Modelling &amp; Data Science in Health</t>
        </is>
      </c>
      <c r="G929" s="25" t="inlineStr">
        <is>
          <t>Master indifférencié (recherche et professionnel)</t>
        </is>
      </c>
      <c r="H929" s="25" t="inlineStr">
        <is>
          <t>UFR de Médecine</t>
        </is>
      </c>
      <c r="I929" s="25" t="inlineStr">
        <is>
          <t>Université Paris Cité</t>
        </is>
      </c>
      <c r="J929" s="25" t="inlineStr">
        <is>
          <t>Site de Paris *</t>
        </is>
      </c>
      <c r="K929" s="25" t="inlineStr">
        <is>
          <t>75006 PARIS</t>
        </is>
      </c>
      <c r="L929" s="25" t="inlineStr">
        <is>
          <t>Public university</t>
        </is>
      </c>
      <c r="M929" s="25" t="inlineStr">
        <is>
          <t>French</t>
        </is>
      </c>
      <c r="N929" s="25" t="inlineStr">
        <is>
          <t>General</t>
        </is>
      </c>
      <c r="O929" s="25" t="inlineStr">
        <is>
          <t>Bac +5</t>
        </is>
      </c>
      <c r="P929" s="26" t="inlineStr">
        <is>
          <t>Requires Bac+5 (Master) – likely not eligible; ask if 4-yr BS + experience accepted</t>
        </is>
      </c>
      <c r="Q929" s="25" t="inlineStr">
        <is>
          <t>2</t>
        </is>
      </c>
      <c r="R929" s="25" t="n"/>
      <c r="S929" s="27" t="n">
        <v>3950</v>
      </c>
      <c r="T929" s="27" t="n">
        <v>255</v>
      </c>
      <c r="U929" s="25" t="n">
        <v>1</v>
      </c>
      <c r="V929" s="27">
        <f>IF(S929="","",S929*U929)</f>
        <v/>
      </c>
      <c r="W929" s="26" t="inlineStr">
        <is>
          <t>Not in catalogue. Public national master → 2026-27 differentiated fee €3,950; exemption to ~€254-255 depends on university quota (25% cap in 2027-28).</t>
        </is>
      </c>
      <c r="X929" s="25" t="inlineStr">
        <is>
          <t>Medium</t>
        </is>
      </c>
      <c r="Y929" s="25" t="n"/>
      <c r="Z929" s="26" t="n"/>
      <c r="AA929" s="26" t="inlineStr">
        <is>
          <t>Paris Cité historically exempted non-EU master students (paid EU rate). 2026-27/2027-28 policy not yet published – confirm.</t>
        </is>
      </c>
      <c r="AB929" s="28" t="inlineStr">
        <is>
          <t>https://u-paris.fr/droits-dinscription-tarifs-exonerations/</t>
        </is>
      </c>
      <c r="AC929" s="25" t="inlineStr">
        <is>
          <t>Open</t>
        </is>
      </c>
      <c r="AD929" s="25" t="inlineStr">
        <is>
          <t>2026-10-01</t>
        </is>
      </c>
      <c r="AE929" s="25" t="inlineStr">
        <is>
          <t>2027-03-15</t>
        </is>
      </c>
      <c r="AF929" s="25" t="inlineStr">
        <is>
          <t>No</t>
        </is>
      </c>
      <c r="AG929" s="28" t="inlineStr">
        <is>
          <t>https://u-paris.fr/medecine/formation-initiale/masters/</t>
        </is>
      </c>
      <c r="AH929" s="26" t="inlineStr">
        <is>
          <t>https://odf.u-paris.fr/fr/offre-de-formation/master-XB/sciences-technologies-sante-STS/sante-publique-K2NDGZO3//master-sante-publique-parcours-statistique-modelisation-et-sciences-des-donnees-en-sante-JS4OQ8D8.html Droit</t>
        </is>
      </c>
      <c r="AI929" s="28" t="inlineStr">
        <is>
          <t>Open in EEF</t>
        </is>
      </c>
    </row>
    <row r="930" ht="32.8" customHeight="1" s="19">
      <c r="A930" s="25" t="n">
        <v>929</v>
      </c>
      <c r="B930" s="25" t="inlineStr">
        <is>
          <t>★★★☆☆</t>
        </is>
      </c>
      <c r="C930" s="25" t="inlineStr">
        <is>
          <t>3 – Adjacent (AI/data/CS/cyber/energy)</t>
        </is>
      </c>
      <c r="D930" s="25" t="inlineStr">
        <is>
          <t>Biomedical / Health tech</t>
        </is>
      </c>
      <c r="E930" s="26" t="inlineStr">
        <is>
          <t>Master Sciences de la santé mention Santé publique parcours Artificial Intelligence for Public Health</t>
        </is>
      </c>
      <c r="F930" s="26" t="inlineStr">
        <is>
          <t>Master Sciences of the Health – major: Health Public – track: Artificial Intelligence for Public Health</t>
        </is>
      </c>
      <c r="G930" s="25" t="inlineStr">
        <is>
          <t>Master indifférencié (recherche et professionnel)</t>
        </is>
      </c>
      <c r="H930" s="25" t="inlineStr">
        <is>
          <t>Faculté des Sciences médicales et paramédicales</t>
        </is>
      </c>
      <c r="I930" s="25" t="inlineStr">
        <is>
          <t>Université d'Aix-Marseille</t>
        </is>
      </c>
      <c r="J930" s="25" t="inlineStr">
        <is>
          <t>Site de Marseille</t>
        </is>
      </c>
      <c r="K930" s="25" t="n"/>
      <c r="L930" s="25" t="inlineStr">
        <is>
          <t>Public university</t>
        </is>
      </c>
      <c r="M930" s="25" t="inlineStr">
        <is>
          <t>French</t>
        </is>
      </c>
      <c r="N930" s="25" t="inlineStr">
        <is>
          <t>General</t>
        </is>
      </c>
      <c r="O930" s="25" t="inlineStr">
        <is>
          <t>Bac +5</t>
        </is>
      </c>
      <c r="P930" s="26" t="inlineStr">
        <is>
          <t>Requires Bac+5 (Master) – likely not eligible; ask if 4-yr BS + experience accepted</t>
        </is>
      </c>
      <c r="Q930" s="25" t="inlineStr">
        <is>
          <t>2</t>
        </is>
      </c>
      <c r="R930" s="25" t="n"/>
      <c r="S930" s="27" t="n">
        <v>3950</v>
      </c>
      <c r="T930" s="27" t="n">
        <v>255</v>
      </c>
      <c r="U930" s="25" t="n">
        <v>1</v>
      </c>
      <c r="V930" s="27">
        <f>IF(S930="","",S930*U930)</f>
        <v/>
      </c>
      <c r="W930" s="26" t="inlineStr">
        <is>
          <t>Not in catalogue. Public national master → 2026-27 differentiated fee €3,950; exemption to ~€254-255 depends on university quota (25% cap in 2027-28).</t>
        </is>
      </c>
      <c r="X930" s="25" t="inlineStr">
        <is>
          <t>Medium</t>
        </is>
      </c>
      <c r="Y930" s="25" t="n"/>
      <c r="Z930" s="26" t="n"/>
      <c r="AA930" s="26" t="inlineStr">
        <is>
          <t>AMU 2026-27: limited exemptions (≈1,800 of 5,500 students) – priority to continuing students, conflict zones, excellence scholarships. New master entrants usually pay €3,950.</t>
        </is>
      </c>
      <c r="AB930" s="28" t="inlineStr">
        <is>
          <t>https://www.univ-amu.fr/fr/actualites/aix-marseille-universite-mobilise-pleinement-capacite-dexoneration-continuer-accueillir</t>
        </is>
      </c>
      <c r="AC930" s="25" t="inlineStr">
        <is>
          <t>Open</t>
        </is>
      </c>
      <c r="AD930" s="25" t="inlineStr">
        <is>
          <t>2026-10-01</t>
        </is>
      </c>
      <c r="AE930" s="25" t="inlineStr">
        <is>
          <t>2027-03-15</t>
        </is>
      </c>
      <c r="AF930" s="25" t="inlineStr">
        <is>
          <t>No</t>
        </is>
      </c>
      <c r="AG930" s="28" t="inlineStr">
        <is>
          <t>https://smpm.univ-amu.fr/</t>
        </is>
      </c>
      <c r="AH930" s="26" t="inlineStr">
        <is>
          <t>Étudiants internationaux, préparez votre départ ! Prenez connaissance des droits d’inscription : https://url.univ-amu.fr/fraisdifferencies et connectez-vous à nos webinaires dès Mai 2027 : https://url.univ-amu.fr/confere</t>
        </is>
      </c>
      <c r="AI930" s="28" t="inlineStr">
        <is>
          <t>Open in EEF</t>
        </is>
      </c>
    </row>
    <row r="931" ht="32.8" customHeight="1" s="19">
      <c r="A931" s="25" t="n">
        <v>930</v>
      </c>
      <c r="B931" s="25" t="inlineStr">
        <is>
          <t>★★★☆☆</t>
        </is>
      </c>
      <c r="C931" s="25" t="inlineStr">
        <is>
          <t>3 – Adjacent (AI/data/CS/cyber/energy)</t>
        </is>
      </c>
      <c r="D931" s="25" t="inlineStr">
        <is>
          <t>AI / Data science</t>
        </is>
      </c>
      <c r="E931" s="26" t="inlineStr">
        <is>
          <t>Master Sciences et technologies mention informatique parcours Sciences et ingénierie des données (SID)</t>
        </is>
      </c>
      <c r="F931" s="26" t="inlineStr">
        <is>
          <t>Master Science &amp; Technology – major: Computer Science – track: Science &amp; Engineering of Data (SID)</t>
        </is>
      </c>
      <c r="G931" s="25" t="inlineStr">
        <is>
          <t>Master indifférencié (recherche et professionnel)</t>
        </is>
      </c>
      <c r="H931" s="25" t="inlineStr">
        <is>
          <t>UFR Sciences</t>
        </is>
      </c>
      <c r="I931" s="25" t="inlineStr">
        <is>
          <t>Université d'Aix-Marseille</t>
        </is>
      </c>
      <c r="J931" s="25" t="inlineStr">
        <is>
          <t>Site de Marseille - St Jérôme</t>
        </is>
      </c>
      <c r="K931" s="25" t="n"/>
      <c r="L931" s="25" t="inlineStr">
        <is>
          <t>Public university</t>
        </is>
      </c>
      <c r="M931" s="25" t="inlineStr">
        <is>
          <t>French</t>
        </is>
      </c>
      <c r="N931" s="25" t="inlineStr">
        <is>
          <t>General</t>
        </is>
      </c>
      <c r="O931" s="25" t="inlineStr">
        <is>
          <t>Bac +5</t>
        </is>
      </c>
      <c r="P931" s="26" t="inlineStr">
        <is>
          <t>Requires Bac+5 (Master) – likely not eligible; ask if 4-yr BS + experience accepted</t>
        </is>
      </c>
      <c r="Q931" s="25" t="inlineStr">
        <is>
          <t>2</t>
        </is>
      </c>
      <c r="R931" s="25" t="inlineStr">
        <is>
          <t>12</t>
        </is>
      </c>
      <c r="S931" s="27" t="n">
        <v>3950</v>
      </c>
      <c r="T931" s="27" t="n">
        <v>255</v>
      </c>
      <c r="U931" s="25" t="n">
        <v>1</v>
      </c>
      <c r="V931" s="27">
        <f>IF(S931="","",S931*U931)</f>
        <v/>
      </c>
      <c r="W931" s="26" t="inlineStr">
        <is>
          <t>Not in catalogue. Public national master → 2026-27 differentiated fee €3,950; exemption to ~€254-255 depends on university quota (25% cap in 2027-28).</t>
        </is>
      </c>
      <c r="X931" s="25" t="inlineStr">
        <is>
          <t>Medium</t>
        </is>
      </c>
      <c r="Y931" s="25" t="n"/>
      <c r="Z931" s="26" t="n"/>
      <c r="AA931" s="26" t="inlineStr">
        <is>
          <t>AMU 2026-27: limited exemptions (≈1,800 of 5,500 students) – priority to continuing students, conflict zones, excellence scholarships. New master entrants usually pay €3,950.</t>
        </is>
      </c>
      <c r="AB931" s="28" t="inlineStr">
        <is>
          <t>https://www.univ-amu.fr/fr/actualites/aix-marseille-universite-mobilise-pleinement-capacite-dexoneration-continuer-accueillir</t>
        </is>
      </c>
      <c r="AC931" s="25" t="inlineStr">
        <is>
          <t>Open</t>
        </is>
      </c>
      <c r="AD931" s="25" t="inlineStr">
        <is>
          <t>2026-10-01</t>
        </is>
      </c>
      <c r="AE931" s="25" t="inlineStr">
        <is>
          <t>2027-03-15</t>
        </is>
      </c>
      <c r="AF931" s="25" t="inlineStr">
        <is>
          <t>No</t>
        </is>
      </c>
      <c r="AG931" s="28" t="inlineStr">
        <is>
          <t>https://formations.univ-amu.fr/fr/master/5SIN/PRSIN5C6</t>
        </is>
      </c>
      <c r="AH931" s="26" t="inlineStr">
        <is>
          <t>Nous attirons votre attention sur 4 points importants pour votre candidature : Votre dossier doit être complet et validé par l’Espace Etudes en France La faculté des sciences examinera les dossiers de candidature en cohé</t>
        </is>
      </c>
      <c r="AI931" s="28" t="inlineStr">
        <is>
          <t>Open in EEF</t>
        </is>
      </c>
    </row>
    <row r="932" ht="32.8" customHeight="1" s="19">
      <c r="A932" s="25" t="n">
        <v>931</v>
      </c>
      <c r="B932" s="25" t="inlineStr">
        <is>
          <t>★★★☆☆</t>
        </is>
      </c>
      <c r="C932" s="25" t="inlineStr">
        <is>
          <t>3 – Adjacent (AI/data/CS/cyber/energy)</t>
        </is>
      </c>
      <c r="D932" s="25" t="inlineStr">
        <is>
          <t>Bioinformatics</t>
        </is>
      </c>
      <c r="E932" s="26" t="inlineStr">
        <is>
          <t>Master Sciences, technologies, santé, mention Bio-informatique parcours Ingénierie de Plateforme en Biologie</t>
        </is>
      </c>
      <c r="F932" s="26" t="inlineStr">
        <is>
          <t>Master Science, Technology, Health (STS), – major: Bioinformatics – track: Engineering of Platform in Biology</t>
        </is>
      </c>
      <c r="G932" s="25" t="inlineStr">
        <is>
          <t>Master indifférencié (recherche et professionnel)</t>
        </is>
      </c>
      <c r="H932" s="25" t="inlineStr">
        <is>
          <t>UFR Sciences du vivant</t>
        </is>
      </c>
      <c r="I932" s="25" t="inlineStr">
        <is>
          <t>Université Paris Cité</t>
        </is>
      </c>
      <c r="J932" s="25" t="inlineStr">
        <is>
          <t>Site de Paris</t>
        </is>
      </c>
      <c r="K932" s="25" t="inlineStr">
        <is>
          <t>75013 Paris</t>
        </is>
      </c>
      <c r="L932" s="25" t="inlineStr">
        <is>
          <t>Public university</t>
        </is>
      </c>
      <c r="M932" s="25" t="inlineStr">
        <is>
          <t>French</t>
        </is>
      </c>
      <c r="N932" s="25" t="inlineStr">
        <is>
          <t>General</t>
        </is>
      </c>
      <c r="O932" s="25" t="inlineStr">
        <is>
          <t>Bac +5</t>
        </is>
      </c>
      <c r="P932" s="26" t="inlineStr">
        <is>
          <t>Requires Bac+5 (Master) – likely not eligible; ask if 4-yr BS + experience accepted</t>
        </is>
      </c>
      <c r="Q932" s="25" t="inlineStr">
        <is>
          <t>2</t>
        </is>
      </c>
      <c r="R932" s="25" t="n"/>
      <c r="S932" s="27" t="n">
        <v>3950</v>
      </c>
      <c r="T932" s="27" t="n">
        <v>255</v>
      </c>
      <c r="U932" s="25" t="n">
        <v>1</v>
      </c>
      <c r="V932" s="27">
        <f>IF(S932="","",S932*U932)</f>
        <v/>
      </c>
      <c r="W932" s="26" t="inlineStr">
        <is>
          <t>Not in catalogue. Public national master → 2026-27 differentiated fee €3,950; exemption to ~€254-255 depends on university quota (25% cap in 2027-28).</t>
        </is>
      </c>
      <c r="X932" s="25" t="inlineStr">
        <is>
          <t>Medium</t>
        </is>
      </c>
      <c r="Y932" s="25" t="n"/>
      <c r="Z932" s="26" t="n"/>
      <c r="AA932" s="26" t="inlineStr">
        <is>
          <t>Paris Cité historically exempted non-EU master students (paid EU rate). 2026-27/2027-28 policy not yet published – confirm.</t>
        </is>
      </c>
      <c r="AB932" s="28" t="inlineStr">
        <is>
          <t>https://u-paris.fr/droits-dinscription-tarifs-exonerations/</t>
        </is>
      </c>
      <c r="AC932" s="25" t="inlineStr">
        <is>
          <t>Open</t>
        </is>
      </c>
      <c r="AD932" s="25" t="inlineStr">
        <is>
          <t>2026-10-01</t>
        </is>
      </c>
      <c r="AE932" s="25" t="inlineStr">
        <is>
          <t>2027-03-15</t>
        </is>
      </c>
      <c r="AF932" s="25" t="inlineStr">
        <is>
          <t>No</t>
        </is>
      </c>
      <c r="AG932" s="28" t="inlineStr">
        <is>
          <t>https://sdv.u-paris.fr/</t>
        </is>
      </c>
      <c r="AH932" s="26" t="inlineStr">
        <is>
          <t>https://odf.u-paris.fr/fr/offre-de-formation/master-XB/sciences-technologies-sante-STS/bio-informatique-K2VO60MU.html Droits d’inscriptions différenciés 2027-2028, pour plus d’informations : https://u-pariscite.fr/droits</t>
        </is>
      </c>
      <c r="AI932" s="28" t="inlineStr">
        <is>
          <t>Open in EEF</t>
        </is>
      </c>
    </row>
    <row r="933" ht="22.35" customHeight="1" s="19">
      <c r="A933" s="25" t="n">
        <v>932</v>
      </c>
      <c r="B933" s="25" t="inlineStr">
        <is>
          <t>★★★☆☆</t>
        </is>
      </c>
      <c r="C933" s="25" t="inlineStr">
        <is>
          <t>3 – Adjacent (AI/data/CS/cyber/energy)</t>
        </is>
      </c>
      <c r="D933" s="25" t="inlineStr">
        <is>
          <t>AI / Data science</t>
        </is>
      </c>
      <c r="E933" s="26" t="inlineStr">
        <is>
          <t>Master Sciences, technologies, santé, mention Biologie intégrative et physiologie parcours Artificial Intelligence and Data analysis (AIDA)</t>
        </is>
      </c>
      <c r="F933" s="26" t="inlineStr">
        <is>
          <t>Master Science, Technology, Health (STS), – major: Biology Integrative &amp; Physiology – track: Artificial Intelligence and Data analysis (AIDA)</t>
        </is>
      </c>
      <c r="G933" s="25" t="inlineStr">
        <is>
          <t>Master indifférencié (recherche et professionnel)</t>
        </is>
      </c>
      <c r="H933" s="25" t="inlineStr">
        <is>
          <t>Sciences et Ingénierie</t>
        </is>
      </c>
      <c r="I933" s="25" t="inlineStr">
        <is>
          <t>Sorbonne Université</t>
        </is>
      </c>
      <c r="J933" s="25" t="inlineStr">
        <is>
          <t>Site de Paris</t>
        </is>
      </c>
      <c r="K933" s="25" t="n"/>
      <c r="L933" s="25" t="inlineStr">
        <is>
          <t>Public university</t>
        </is>
      </c>
      <c r="M933" s="25" t="inlineStr">
        <is>
          <t>French</t>
        </is>
      </c>
      <c r="N933" s="25" t="inlineStr">
        <is>
          <t>General</t>
        </is>
      </c>
      <c r="O933" s="25" t="inlineStr">
        <is>
          <t>Bac +5</t>
        </is>
      </c>
      <c r="P933" s="26" t="inlineStr">
        <is>
          <t>Requires Bac+5 (Master) – likely not eligible; ask if 4-yr BS + experience accepted</t>
        </is>
      </c>
      <c r="Q933" s="25" t="inlineStr">
        <is>
          <t>2</t>
        </is>
      </c>
      <c r="R933" s="25" t="n"/>
      <c r="S933" s="27" t="n">
        <v>3950</v>
      </c>
      <c r="T933" s="27" t="n">
        <v>255</v>
      </c>
      <c r="U933" s="25" t="n">
        <v>1</v>
      </c>
      <c r="V933" s="27">
        <f>IF(S933="","",S933*U933)</f>
        <v/>
      </c>
      <c r="W933" s="26" t="inlineStr">
        <is>
          <t>Not in catalogue. Public national master → 2026-27 differentiated fee €3,950; exemption to ~€254-255 depends on university quota (25% cap in 2027-28).</t>
        </is>
      </c>
      <c r="X933" s="25" t="inlineStr">
        <is>
          <t>Medium</t>
        </is>
      </c>
      <c r="Y933" s="25" t="n"/>
      <c r="Z933" s="26" t="n"/>
      <c r="AA933" s="26" t="inlineStr">
        <is>
          <t>Board vote 7 Jul 2026: Sorbonne Université says it can exempt all eligible non-EU applicants (pay same as EU, ~€254) for 2026-27.</t>
        </is>
      </c>
      <c r="AB933" s="28" t="inlineStr">
        <is>
          <t>https://www.sorbonne-universite.fr/actualites/le-conseil-dadministration-de-sorbonne-universite-vote-lunanimite-le-7-juillet-2026-sa</t>
        </is>
      </c>
      <c r="AC933" s="25" t="inlineStr">
        <is>
          <t>Open</t>
        </is>
      </c>
      <c r="AD933" s="25" t="inlineStr">
        <is>
          <t>2026-10-01</t>
        </is>
      </c>
      <c r="AE933" s="25" t="inlineStr">
        <is>
          <t>2027-03-15</t>
        </is>
      </c>
      <c r="AF933" s="25" t="inlineStr">
        <is>
          <t>No</t>
        </is>
      </c>
      <c r="AG933" s="28" t="inlineStr">
        <is>
          <t>https://sciences.sorbonne-universite.fr/formation-sciences/offre-de-formation/masters/master-bip-biologie-integrative-et-physiologie</t>
        </is>
      </c>
      <c r="AH933" s="26" t="n"/>
      <c r="AI933" s="28" t="inlineStr">
        <is>
          <t>Open in EEF</t>
        </is>
      </c>
    </row>
    <row r="934" ht="32.8" customHeight="1" s="19">
      <c r="A934" s="25" t="n">
        <v>933</v>
      </c>
      <c r="B934" s="25" t="inlineStr">
        <is>
          <t>★★★☆☆</t>
        </is>
      </c>
      <c r="C934" s="25" t="inlineStr">
        <is>
          <t>3 – Adjacent (AI/data/CS/cyber/energy)</t>
        </is>
      </c>
      <c r="D934" s="25" t="inlineStr">
        <is>
          <t>AI / Data science</t>
        </is>
      </c>
      <c r="E934" s="26" t="inlineStr">
        <is>
          <t>Master Sciences, technologies, santé mention génie industriel parcours Données et Intelligence Artificielle en Génie Industriel</t>
        </is>
      </c>
      <c r="F934" s="26" t="inlineStr">
        <is>
          <t>Master Science, Technology, Health (STS) – major: Industrial Engineering – track: Data &amp; Artificial Intelligence in Industrial Engineering</t>
        </is>
      </c>
      <c r="G934" s="25" t="inlineStr">
        <is>
          <t>Master indifférencié (recherche et professionnel)</t>
        </is>
      </c>
      <c r="H934" s="25" t="inlineStr">
        <is>
          <t>ISIMA</t>
        </is>
      </c>
      <c r="I934" s="25" t="inlineStr">
        <is>
          <t>Université Clermont Auvergne</t>
        </is>
      </c>
      <c r="J934" s="25" t="inlineStr">
        <is>
          <t>Site de Aubière</t>
        </is>
      </c>
      <c r="K934" s="25" t="n"/>
      <c r="L934" s="25" t="inlineStr">
        <is>
          <t>Public university</t>
        </is>
      </c>
      <c r="M934" s="25" t="inlineStr">
        <is>
          <t>French</t>
        </is>
      </c>
      <c r="N934" s="25" t="inlineStr">
        <is>
          <t>General</t>
        </is>
      </c>
      <c r="O934" s="25" t="inlineStr">
        <is>
          <t>Bac +5</t>
        </is>
      </c>
      <c r="P934" s="26" t="inlineStr">
        <is>
          <t>Requires Bac+5 (Master) – likely not eligible; ask if 4-yr BS + experience accepted</t>
        </is>
      </c>
      <c r="Q934" s="25" t="inlineStr">
        <is>
          <t>2</t>
        </is>
      </c>
      <c r="R934" s="25" t="inlineStr">
        <is>
          <t>10</t>
        </is>
      </c>
      <c r="S934" s="27" t="n">
        <v>3950</v>
      </c>
      <c r="T934" s="27" t="n">
        <v>255</v>
      </c>
      <c r="U934" s="25" t="n">
        <v>1</v>
      </c>
      <c r="V934" s="27">
        <f>IF(S934="","",S934*U934)</f>
        <v/>
      </c>
      <c r="W934" s="26" t="inlineStr">
        <is>
          <t>Not in catalogue. Public national master → 2026-27 differentiated fee €3,950; exemption to ~€254-255 depends on university quota (25% cap in 2027-28).</t>
        </is>
      </c>
      <c r="X934" s="25" t="inlineStr">
        <is>
          <t>Medium</t>
        </is>
      </c>
      <c r="Y934" s="25" t="n"/>
      <c r="Z934" s="26" t="n"/>
      <c r="AA934" s="26" t="inlineStr">
        <is>
          <t>UCA board (Dec 2025) kept its partial-exemption framework for 2026-27 (pre-decree; re-check).</t>
        </is>
      </c>
      <c r="AB934" s="28" t="inlineStr">
        <is>
          <t>https://www.uca.fr/medias/fichier/delib-ca-20251205-15-tarifs-differencies_1765204050111-pdf</t>
        </is>
      </c>
      <c r="AC934" s="25" t="inlineStr">
        <is>
          <t>Open</t>
        </is>
      </c>
      <c r="AD934" s="25" t="inlineStr">
        <is>
          <t>2026-10-01</t>
        </is>
      </c>
      <c r="AE934" s="25" t="inlineStr">
        <is>
          <t>2027-03-15</t>
        </is>
      </c>
      <c r="AF934" s="25" t="inlineStr">
        <is>
          <t>No</t>
        </is>
      </c>
      <c r="AG934" s="28" t="inlineStr">
        <is>
          <t>https://www.uca.fr/formation/nos-formations/par-ufr-ecoles-et-iut/institut-dinformatique/master/master-genie-industriel</t>
        </is>
      </c>
      <c r="AH934" s="26" t="inlineStr">
        <is>
          <t>Niveau en Français B2 recommandé Minimum Master 1 dans une formation scientifique avec des bases solides en automatique et automatisme industriel et un goût pour l'informatique et l'IA en milieu industriel</t>
        </is>
      </c>
      <c r="AI934" s="28" t="inlineStr">
        <is>
          <t>Open in EEF</t>
        </is>
      </c>
    </row>
    <row r="935" ht="22.35" customHeight="1" s="19">
      <c r="A935" s="25" t="n">
        <v>934</v>
      </c>
      <c r="B935" s="25" t="inlineStr">
        <is>
          <t>★★★☆☆</t>
        </is>
      </c>
      <c r="C935" s="25" t="inlineStr">
        <is>
          <t>3 – Adjacent (AI/data/CS/cyber/energy)</t>
        </is>
      </c>
      <c r="D935" s="25" t="inlineStr">
        <is>
          <t>Computer science / Software</t>
        </is>
      </c>
      <c r="E935" s="26" t="inlineStr">
        <is>
          <t>Master Sciences, technologies, santé mention informatique</t>
        </is>
      </c>
      <c r="F935" s="26" t="inlineStr">
        <is>
          <t>Master Science, Technology, Health (STS) – major: Computer Science</t>
        </is>
      </c>
      <c r="G935" s="25" t="inlineStr">
        <is>
          <t>Master indifférencié (recherche et professionnel)</t>
        </is>
      </c>
      <c r="H935" s="25" t="inlineStr">
        <is>
          <t>Ecole nationale supérieure des mines de Saint-Etienne</t>
        </is>
      </c>
      <c r="I935" s="25" t="n"/>
      <c r="J935" s="25" t="inlineStr">
        <is>
          <t>Site de Saint-Etienne</t>
        </is>
      </c>
      <c r="K935" s="25" t="n"/>
      <c r="L935" s="25" t="inlineStr">
        <is>
          <t>Public school / institute</t>
        </is>
      </c>
      <c r="M935" s="25" t="inlineStr">
        <is>
          <t>French</t>
        </is>
      </c>
      <c r="N935" s="25" t="inlineStr">
        <is>
          <t>General</t>
        </is>
      </c>
      <c r="O935" s="25" t="inlineStr">
        <is>
          <t>Bac +5</t>
        </is>
      </c>
      <c r="P935" s="26" t="inlineStr">
        <is>
          <t>Requires Bac+5 (Master) – likely not eligible; ask if 4-yr BS + experience accepted</t>
        </is>
      </c>
      <c r="Q935" s="25" t="inlineStr">
        <is>
          <t>2</t>
        </is>
      </c>
      <c r="R935" s="25" t="inlineStr">
        <is>
          <t>12</t>
        </is>
      </c>
      <c r="S935" s="27" t="n">
        <v>3950</v>
      </c>
      <c r="T935" s="27" t="n">
        <v>255</v>
      </c>
      <c r="U935" s="25" t="n">
        <v>1</v>
      </c>
      <c r="V935" s="27">
        <f>IF(S935="","",S935*U935)</f>
        <v/>
      </c>
      <c r="W935" s="26" t="inlineStr">
        <is>
          <t>Not in catalogue. Public national master → 2026-27 differentiated fee €3,950; exemption to ~€254-255 depends on university quota (25% cap in 2027-28).</t>
        </is>
      </c>
      <c r="X935" s="25" t="inlineStr">
        <is>
          <t>Medium</t>
        </is>
      </c>
      <c r="Y935" s="25" t="n"/>
      <c r="Z935" s="26" t="n"/>
      <c r="AA935" s="26" t="n"/>
      <c r="AB935" s="25" t="n"/>
      <c r="AC935" s="25" t="inlineStr">
        <is>
          <t>Open</t>
        </is>
      </c>
      <c r="AD935" s="25" t="inlineStr">
        <is>
          <t>2026-10-01</t>
        </is>
      </c>
      <c r="AE935" s="25" t="inlineStr">
        <is>
          <t>2027-03-15</t>
        </is>
      </c>
      <c r="AF935" s="25" t="inlineStr">
        <is>
          <t>Yes</t>
        </is>
      </c>
      <c r="AG935" s="28" t="inlineStr">
        <is>
          <t>http://www.mines-stetienne.fr/formation-mines-saint-etienne/</t>
        </is>
      </c>
      <c r="AH935" s="26" t="n"/>
      <c r="AI935" s="28" t="inlineStr">
        <is>
          <t>Open in EEF</t>
        </is>
      </c>
    </row>
    <row r="936" ht="32.8" customHeight="1" s="19">
      <c r="A936" s="25" t="n">
        <v>935</v>
      </c>
      <c r="B936" s="25" t="inlineStr">
        <is>
          <t>★★★☆☆</t>
        </is>
      </c>
      <c r="C936" s="25" t="inlineStr">
        <is>
          <t>3 – Adjacent (AI/data/CS/cyber/energy)</t>
        </is>
      </c>
      <c r="D936" s="25" t="inlineStr">
        <is>
          <t>Computer science / Software</t>
        </is>
      </c>
      <c r="E936" s="26" t="inlineStr">
        <is>
          <t>Master Sciences, technologies, santé mention informatique, haute performance et simulation spécialité simulation haute performance</t>
        </is>
      </c>
      <c r="F936" s="26" t="inlineStr">
        <is>
          <t>Master Science, Technology, Health (STS) – major: Computer Science, High Performance &amp; Simulation – specialisation: Simulation High Performance</t>
        </is>
      </c>
      <c r="G936" s="25" t="inlineStr">
        <is>
          <t>Master indifférencié (recherche et professionnel)</t>
        </is>
      </c>
      <c r="H936" s="25" t="inlineStr">
        <is>
          <t>Ecole normale supérieure de Cachan</t>
        </is>
      </c>
      <c r="I936" s="25" t="n"/>
      <c r="J936" s="25" t="inlineStr">
        <is>
          <t>Site de Cachan</t>
        </is>
      </c>
      <c r="K936" s="25" t="n"/>
      <c r="L936" s="25" t="inlineStr">
        <is>
          <t>Public school / institute</t>
        </is>
      </c>
      <c r="M936" s="25" t="inlineStr">
        <is>
          <t>French</t>
        </is>
      </c>
      <c r="N936" s="25" t="inlineStr">
        <is>
          <t>General</t>
        </is>
      </c>
      <c r="O936" s="25" t="inlineStr">
        <is>
          <t>Bac +5</t>
        </is>
      </c>
      <c r="P936" s="26" t="inlineStr">
        <is>
          <t>Requires Bac+5 (Master) – likely not eligible; ask if 4-yr BS + experience accepted</t>
        </is>
      </c>
      <c r="Q936" s="25" t="inlineStr">
        <is>
          <t>2</t>
        </is>
      </c>
      <c r="R936" s="25" t="n"/>
      <c r="S936" s="27" t="n">
        <v>3950</v>
      </c>
      <c r="T936" s="27" t="n">
        <v>255</v>
      </c>
      <c r="U936" s="25" t="n">
        <v>1</v>
      </c>
      <c r="V936" s="27">
        <f>IF(S936="","",S936*U936)</f>
        <v/>
      </c>
      <c r="W936" s="26" t="inlineStr">
        <is>
          <t>Not in catalogue. Public national master → 2026-27 differentiated fee €3,950; exemption to ~€254-255 depends on university quota (25% cap in 2027-28).</t>
        </is>
      </c>
      <c r="X936" s="25" t="inlineStr">
        <is>
          <t>Medium</t>
        </is>
      </c>
      <c r="Y936" s="25" t="n"/>
      <c r="Z936" s="26" t="n"/>
      <c r="AA936" s="26" t="n"/>
      <c r="AB936" s="25" t="n"/>
      <c r="AC936" s="25" t="inlineStr">
        <is>
          <t>Closed</t>
        </is>
      </c>
      <c r="AD936" s="25" t="n"/>
      <c r="AE936" s="25" t="n"/>
      <c r="AF936" s="25" t="inlineStr">
        <is>
          <t>No</t>
        </is>
      </c>
      <c r="AG936" s="28" t="inlineStr">
        <is>
          <t>http://www.ens-cachan.fr</t>
        </is>
      </c>
      <c r="AH936" s="26" t="n"/>
      <c r="AI936" s="28" t="inlineStr">
        <is>
          <t>Open in EEF</t>
        </is>
      </c>
    </row>
    <row r="937" ht="22.35" customHeight="1" s="19">
      <c r="A937" s="25" t="n">
        <v>936</v>
      </c>
      <c r="B937" s="25" t="inlineStr">
        <is>
          <t>★★★☆☆</t>
        </is>
      </c>
      <c r="C937" s="25" t="inlineStr">
        <is>
          <t>3 – Adjacent (AI/data/CS/cyber/energy)</t>
        </is>
      </c>
      <c r="D937" s="25" t="inlineStr">
        <is>
          <t>Other engineering / maths</t>
        </is>
      </c>
      <c r="E937" s="26" t="inlineStr">
        <is>
          <t>Master Sciences, technologies, santé mention mathématiques et applications spécialité ingénierie mathématique</t>
        </is>
      </c>
      <c r="F937" s="26" t="inlineStr">
        <is>
          <t>Master Science, Technology, Health (STS) – major: Mathematics &amp; Applications – specialisation: Engineering Mathematical</t>
        </is>
      </c>
      <c r="G937" s="25" t="inlineStr">
        <is>
          <t>Master indifférencié (recherche et professionnel)</t>
        </is>
      </c>
      <c r="H937" s="25" t="inlineStr">
        <is>
          <t>Sciences et Ingénierie</t>
        </is>
      </c>
      <c r="I937" s="25" t="inlineStr">
        <is>
          <t>Sorbonne Université</t>
        </is>
      </c>
      <c r="J937" s="25" t="inlineStr">
        <is>
          <t>Site de Paris</t>
        </is>
      </c>
      <c r="K937" s="25" t="n"/>
      <c r="L937" s="25" t="inlineStr">
        <is>
          <t>Public university</t>
        </is>
      </c>
      <c r="M937" s="25" t="inlineStr">
        <is>
          <t>French</t>
        </is>
      </c>
      <c r="N937" s="25" t="inlineStr">
        <is>
          <t>General</t>
        </is>
      </c>
      <c r="O937" s="25" t="inlineStr">
        <is>
          <t>Bac +5</t>
        </is>
      </c>
      <c r="P937" s="26" t="inlineStr">
        <is>
          <t>Requires Bac+5 (Master) – likely not eligible; ask if 4-yr BS + experience accepted</t>
        </is>
      </c>
      <c r="Q937" s="25" t="inlineStr">
        <is>
          <t>2</t>
        </is>
      </c>
      <c r="R937" s="25" t="n"/>
      <c r="S937" s="27" t="n">
        <v>3950</v>
      </c>
      <c r="T937" s="27" t="n">
        <v>255</v>
      </c>
      <c r="U937" s="25" t="n">
        <v>1</v>
      </c>
      <c r="V937" s="27">
        <f>IF(S937="","",S937*U937)</f>
        <v/>
      </c>
      <c r="W937" s="26" t="inlineStr">
        <is>
          <t>Not in catalogue. Public national master → 2026-27 differentiated fee €3,950; exemption to ~€254-255 depends on university quota (25% cap in 2027-28).</t>
        </is>
      </c>
      <c r="X937" s="25" t="inlineStr">
        <is>
          <t>Medium</t>
        </is>
      </c>
      <c r="Y937" s="25" t="n"/>
      <c r="Z937" s="26" t="n"/>
      <c r="AA937" s="26" t="inlineStr">
        <is>
          <t>Board vote 7 Jul 2026: Sorbonne Université says it can exempt all eligible non-EU applicants (pay same as EU, ~€254) for 2026-27.</t>
        </is>
      </c>
      <c r="AB937" s="28" t="inlineStr">
        <is>
          <t>https://www.sorbonne-universite.fr/actualites/le-conseil-dadministration-de-sorbonne-universite-vote-lunanimite-le-7-juillet-2026-sa</t>
        </is>
      </c>
      <c r="AC937" s="25" t="inlineStr">
        <is>
          <t>Open</t>
        </is>
      </c>
      <c r="AD937" s="25" t="inlineStr">
        <is>
          <t>2026-10-01</t>
        </is>
      </c>
      <c r="AE937" s="25" t="inlineStr">
        <is>
          <t>2027-03-15</t>
        </is>
      </c>
      <c r="AF937" s="25" t="inlineStr">
        <is>
          <t>No</t>
        </is>
      </c>
      <c r="AG937" s="28" t="inlineStr">
        <is>
          <t>https://sciences.sorbonne-universite.fr/masters/master-mathematiques-et-applications</t>
        </is>
      </c>
      <c r="AH937" s="26" t="n"/>
      <c r="AI937" s="28" t="inlineStr">
        <is>
          <t>Open in EEF</t>
        </is>
      </c>
    </row>
    <row r="938" ht="22.35" customHeight="1" s="19">
      <c r="A938" s="25" t="n">
        <v>937</v>
      </c>
      <c r="B938" s="25" t="inlineStr">
        <is>
          <t>★★★☆☆</t>
        </is>
      </c>
      <c r="C938" s="25" t="inlineStr">
        <is>
          <t>3 – Adjacent (AI/data/CS/cyber/energy)</t>
        </is>
      </c>
      <c r="D938" s="25" t="inlineStr">
        <is>
          <t>Other engineering / maths</t>
        </is>
      </c>
      <c r="E938" s="26" t="inlineStr">
        <is>
          <t>Master Sciences, technologies, santé mention mathématiques et applications spécialité mathématiques de la modélisation</t>
        </is>
      </c>
      <c r="F938" s="26" t="inlineStr">
        <is>
          <t>Master Science, Technology, Health (STS) – major: Mathematics &amp; Applications – specialisation: Mathematics of the Modelling</t>
        </is>
      </c>
      <c r="G938" s="25" t="inlineStr">
        <is>
          <t>Master indifférencié (recherche et professionnel)</t>
        </is>
      </c>
      <c r="H938" s="25" t="inlineStr">
        <is>
          <t>Ecole normale supérieure</t>
        </is>
      </c>
      <c r="I938" s="25" t="n"/>
      <c r="J938" s="25" t="inlineStr">
        <is>
          <t>Site de Paris</t>
        </is>
      </c>
      <c r="K938" s="25" t="n"/>
      <c r="L938" s="25" t="inlineStr">
        <is>
          <t>Public school / institute</t>
        </is>
      </c>
      <c r="M938" s="25" t="inlineStr">
        <is>
          <t>French</t>
        </is>
      </c>
      <c r="N938" s="25" t="inlineStr">
        <is>
          <t>General</t>
        </is>
      </c>
      <c r="O938" s="25" t="inlineStr">
        <is>
          <t>Bac +5</t>
        </is>
      </c>
      <c r="P938" s="26" t="inlineStr">
        <is>
          <t>Requires Bac+5 (Master) – likely not eligible; ask if 4-yr BS + experience accepted</t>
        </is>
      </c>
      <c r="Q938" s="25" t="inlineStr">
        <is>
          <t>2</t>
        </is>
      </c>
      <c r="R938" s="25" t="n"/>
      <c r="S938" s="27" t="n">
        <v>3950</v>
      </c>
      <c r="T938" s="27" t="n">
        <v>255</v>
      </c>
      <c r="U938" s="25" t="n">
        <v>1</v>
      </c>
      <c r="V938" s="27">
        <f>IF(S938="","",S938*U938)</f>
        <v/>
      </c>
      <c r="W938" s="26" t="inlineStr">
        <is>
          <t>Not in catalogue. Public national master → 2026-27 differentiated fee €3,950; exemption to ~€254-255 depends on university quota (25% cap in 2027-28).</t>
        </is>
      </c>
      <c r="X938" s="25" t="inlineStr">
        <is>
          <t>Medium</t>
        </is>
      </c>
      <c r="Y938" s="25" t="n"/>
      <c r="Z938" s="26" t="n"/>
      <c r="AA938" s="26" t="n"/>
      <c r="AB938" s="25" t="n"/>
      <c r="AC938" s="25" t="inlineStr">
        <is>
          <t>Closed</t>
        </is>
      </c>
      <c r="AD938" s="25" t="n"/>
      <c r="AE938" s="25" t="n"/>
      <c r="AF938" s="25" t="inlineStr">
        <is>
          <t>No</t>
        </is>
      </c>
      <c r="AG938" s="28" t="inlineStr">
        <is>
          <t>http://www.ens.fr</t>
        </is>
      </c>
      <c r="AH938" s="26" t="n"/>
      <c r="AI938" s="28" t="inlineStr">
        <is>
          <t>Open in EEF</t>
        </is>
      </c>
    </row>
    <row r="939" ht="32.8" customHeight="1" s="19">
      <c r="A939" s="25" t="n">
        <v>938</v>
      </c>
      <c r="B939" s="25" t="inlineStr">
        <is>
          <t>★★★☆☆</t>
        </is>
      </c>
      <c r="C939" s="25" t="inlineStr">
        <is>
          <t>3 – Adjacent (AI/data/CS/cyber/energy)</t>
        </is>
      </c>
      <c r="D939" s="25" t="inlineStr">
        <is>
          <t>Other engineering / maths</t>
        </is>
      </c>
      <c r="E939" s="26" t="inlineStr">
        <is>
          <t>Master Sciences, technologies, santé mention mathématiques et applications spécialité modélisation aléatoire</t>
        </is>
      </c>
      <c r="F939" s="26" t="inlineStr">
        <is>
          <t>Master Science, Technology, Health (STS) – major: Mathematics &amp; Applications – specialisation: Modelling aléatoire</t>
        </is>
      </c>
      <c r="G939" s="25" t="inlineStr">
        <is>
          <t>Master indifférencié (recherche et professionnel)</t>
        </is>
      </c>
      <c r="H939" s="25" t="inlineStr">
        <is>
          <t>UFR Mathématiques</t>
        </is>
      </c>
      <c r="I939" s="25" t="inlineStr">
        <is>
          <t>Université Paris Cité</t>
        </is>
      </c>
      <c r="J939" s="25" t="inlineStr">
        <is>
          <t>Site de Paris</t>
        </is>
      </c>
      <c r="K939" s="25" t="inlineStr">
        <is>
          <t>75013 Paris</t>
        </is>
      </c>
      <c r="L939" s="25" t="inlineStr">
        <is>
          <t>Public university</t>
        </is>
      </c>
      <c r="M939" s="25" t="inlineStr">
        <is>
          <t>French</t>
        </is>
      </c>
      <c r="N939" s="25" t="inlineStr">
        <is>
          <t>General</t>
        </is>
      </c>
      <c r="O939" s="25" t="inlineStr">
        <is>
          <t>Bac +5</t>
        </is>
      </c>
      <c r="P939" s="26" t="inlineStr">
        <is>
          <t>Requires Bac+5 (Master) – likely not eligible; ask if 4-yr BS + experience accepted</t>
        </is>
      </c>
      <c r="Q939" s="25" t="inlineStr">
        <is>
          <t>2</t>
        </is>
      </c>
      <c r="R939" s="25" t="n"/>
      <c r="S939" s="27" t="n">
        <v>3950</v>
      </c>
      <c r="T939" s="27" t="n">
        <v>255</v>
      </c>
      <c r="U939" s="25" t="n">
        <v>1</v>
      </c>
      <c r="V939" s="27">
        <f>IF(S939="","",S939*U939)</f>
        <v/>
      </c>
      <c r="W939" s="26" t="inlineStr">
        <is>
          <t>Not in catalogue. Public national master → 2026-27 differentiated fee €3,950; exemption to ~€254-255 depends on university quota (25% cap in 2027-28).</t>
        </is>
      </c>
      <c r="X939" s="25" t="inlineStr">
        <is>
          <t>Medium</t>
        </is>
      </c>
      <c r="Y939" s="25" t="n"/>
      <c r="Z939" s="26" t="n"/>
      <c r="AA939" s="26" t="inlineStr">
        <is>
          <t>Paris Cité historically exempted non-EU master students (paid EU rate). 2026-27/2027-28 policy not yet published – confirm.</t>
        </is>
      </c>
      <c r="AB939" s="28" t="inlineStr">
        <is>
          <t>https://u-paris.fr/droits-dinscription-tarifs-exonerations/</t>
        </is>
      </c>
      <c r="AC939" s="25" t="inlineStr">
        <is>
          <t>Open</t>
        </is>
      </c>
      <c r="AD939" s="25" t="inlineStr">
        <is>
          <t>2026-10-01</t>
        </is>
      </c>
      <c r="AE939" s="25" t="inlineStr">
        <is>
          <t>2027-03-15</t>
        </is>
      </c>
      <c r="AF939" s="25" t="inlineStr">
        <is>
          <t>No</t>
        </is>
      </c>
      <c r="AG939" s="28" t="inlineStr">
        <is>
          <t>https://www.math.u-paris.fr/</t>
        </is>
      </c>
      <c r="AH939" s="26" t="inlineStr">
        <is>
          <t>https://odf.u-paris.fr/fr/offre-de-formation/master-XB/sciences-technologies-sante-STS/mathematiques-et-applications-K2VO47PM.html Droits d’inscriptions différenciés 2027-2028, pour plus d’informations : https://u-parisc</t>
        </is>
      </c>
      <c r="AI939" s="28" t="inlineStr">
        <is>
          <t>Open in EEF</t>
        </is>
      </c>
    </row>
    <row r="940" ht="32.8" customHeight="1" s="19">
      <c r="A940" s="25" t="n">
        <v>939</v>
      </c>
      <c r="B940" s="25" t="inlineStr">
        <is>
          <t>★★★☆☆</t>
        </is>
      </c>
      <c r="C940" s="25" t="inlineStr">
        <is>
          <t>3 – Adjacent (AI/data/CS/cyber/energy)</t>
        </is>
      </c>
      <c r="D940" s="25" t="inlineStr">
        <is>
          <t>Computer science / Software</t>
        </is>
      </c>
      <c r="E940" s="26" t="inlineStr">
        <is>
          <t>Master Sciences, technologies, santé mention mathématiques et informatique spécialité mathématiques fondamentales et protection de l'information</t>
        </is>
      </c>
      <c r="F940" s="26" t="inlineStr">
        <is>
          <t>Master Science, Technology, Health (STS) – major: Mathematics &amp; Computer Science – specialisation: Mathematics Fundamental &amp; Protection of Information</t>
        </is>
      </c>
      <c r="G940" s="25" t="inlineStr">
        <is>
          <t>Master indifférencié (recherche et professionnel)</t>
        </is>
      </c>
      <c r="H940" s="25" t="inlineStr">
        <is>
          <t>Ecole normale supérieure</t>
        </is>
      </c>
      <c r="I940" s="25" t="n"/>
      <c r="J940" s="25" t="inlineStr">
        <is>
          <t>Site de Paris</t>
        </is>
      </c>
      <c r="K940" s="25" t="n"/>
      <c r="L940" s="25" t="inlineStr">
        <is>
          <t>Public school / institute</t>
        </is>
      </c>
      <c r="M940" s="25" t="inlineStr">
        <is>
          <t>French</t>
        </is>
      </c>
      <c r="N940" s="25" t="inlineStr">
        <is>
          <t>General</t>
        </is>
      </c>
      <c r="O940" s="25" t="inlineStr">
        <is>
          <t>Bac +5</t>
        </is>
      </c>
      <c r="P940" s="26" t="inlineStr">
        <is>
          <t>Requires Bac+5 (Master) – likely not eligible; ask if 4-yr BS + experience accepted</t>
        </is>
      </c>
      <c r="Q940" s="25" t="inlineStr">
        <is>
          <t>2</t>
        </is>
      </c>
      <c r="R940" s="25" t="n"/>
      <c r="S940" s="27" t="n">
        <v>3950</v>
      </c>
      <c r="T940" s="27" t="n">
        <v>255</v>
      </c>
      <c r="U940" s="25" t="n">
        <v>1</v>
      </c>
      <c r="V940" s="27">
        <f>IF(S940="","",S940*U940)</f>
        <v/>
      </c>
      <c r="W940" s="26" t="inlineStr">
        <is>
          <t>Not in catalogue. Public national master → 2026-27 differentiated fee €3,950; exemption to ~€254-255 depends on university quota (25% cap in 2027-28).</t>
        </is>
      </c>
      <c r="X940" s="25" t="inlineStr">
        <is>
          <t>Medium</t>
        </is>
      </c>
      <c r="Y940" s="25" t="n"/>
      <c r="Z940" s="26" t="n"/>
      <c r="AA940" s="26" t="n"/>
      <c r="AB940" s="25" t="n"/>
      <c r="AC940" s="25" t="inlineStr">
        <is>
          <t>Closed</t>
        </is>
      </c>
      <c r="AD940" s="25" t="n"/>
      <c r="AE940" s="25" t="n"/>
      <c r="AF940" s="25" t="inlineStr">
        <is>
          <t>No</t>
        </is>
      </c>
      <c r="AG940" s="28" t="inlineStr">
        <is>
          <t>http://www.ens.fr</t>
        </is>
      </c>
      <c r="AH940" s="26" t="n"/>
      <c r="AI940" s="28" t="inlineStr">
        <is>
          <t>Open in EEF</t>
        </is>
      </c>
    </row>
    <row r="941" ht="22.35" customHeight="1" s="19">
      <c r="A941" s="25" t="n">
        <v>940</v>
      </c>
      <c r="B941" s="25" t="inlineStr">
        <is>
          <t>★★★☆☆</t>
        </is>
      </c>
      <c r="C941" s="25" t="inlineStr">
        <is>
          <t>3 – Adjacent (AI/data/CS/cyber/energy)</t>
        </is>
      </c>
      <c r="D941" s="25" t="inlineStr">
        <is>
          <t>Other engineering / maths</t>
        </is>
      </c>
      <c r="E941" s="26" t="inlineStr">
        <is>
          <t>Master Sciences, technologies, santé mention physique et applications spécialité systèmes complexes</t>
        </is>
      </c>
      <c r="F941" s="26" t="inlineStr">
        <is>
          <t>Master Science, Technology, Health (STS) – major: Physics &amp; Applications – specialisation: Systems Complex</t>
        </is>
      </c>
      <c r="G941" s="25" t="inlineStr">
        <is>
          <t>Master indifférencié (recherche et professionnel)</t>
        </is>
      </c>
      <c r="H941" s="25" t="inlineStr">
        <is>
          <t>Ecole supérieure de physique et de chimie industrielles ville de Paris</t>
        </is>
      </c>
      <c r="I941" s="25" t="n"/>
      <c r="J941" s="25" t="inlineStr">
        <is>
          <t>Site de Paris</t>
        </is>
      </c>
      <c r="K941" s="25" t="n"/>
      <c r="L941" s="25" t="inlineStr">
        <is>
          <t>Public school / institute</t>
        </is>
      </c>
      <c r="M941" s="25" t="inlineStr">
        <is>
          <t>French</t>
        </is>
      </c>
      <c r="N941" s="25" t="inlineStr">
        <is>
          <t>General</t>
        </is>
      </c>
      <c r="O941" s="25" t="inlineStr">
        <is>
          <t>Bac +5</t>
        </is>
      </c>
      <c r="P941" s="26" t="inlineStr">
        <is>
          <t>Requires Bac+5 (Master) – likely not eligible; ask if 4-yr BS + experience accepted</t>
        </is>
      </c>
      <c r="Q941" s="25" t="inlineStr">
        <is>
          <t>2</t>
        </is>
      </c>
      <c r="R941" s="25" t="n"/>
      <c r="S941" s="27" t="n">
        <v>3950</v>
      </c>
      <c r="T941" s="27" t="n">
        <v>255</v>
      </c>
      <c r="U941" s="25" t="n">
        <v>1</v>
      </c>
      <c r="V941" s="27">
        <f>IF(S941="","",S941*U941)</f>
        <v/>
      </c>
      <c r="W941" s="26" t="inlineStr">
        <is>
          <t>Not in catalogue. Public national master → 2026-27 differentiated fee €3,950; exemption to ~€254-255 depends on university quota (25% cap in 2027-28).</t>
        </is>
      </c>
      <c r="X941" s="25" t="inlineStr">
        <is>
          <t>Medium</t>
        </is>
      </c>
      <c r="Y941" s="25" t="n"/>
      <c r="Z941" s="26" t="n"/>
      <c r="AA941" s="26" t="n"/>
      <c r="AB941" s="25" t="n"/>
      <c r="AC941" s="25" t="inlineStr">
        <is>
          <t>Closed</t>
        </is>
      </c>
      <c r="AD941" s="25" t="n"/>
      <c r="AE941" s="25" t="n"/>
      <c r="AF941" s="25" t="inlineStr">
        <is>
          <t>No</t>
        </is>
      </c>
      <c r="AG941" s="28" t="inlineStr">
        <is>
          <t>http://www.espci.fr</t>
        </is>
      </c>
      <c r="AH941" s="26" t="n"/>
      <c r="AI941" s="28" t="inlineStr">
        <is>
          <t>Open in EEF</t>
        </is>
      </c>
    </row>
    <row r="942" ht="32.8" customHeight="1" s="19">
      <c r="A942" s="25" t="n">
        <v>941</v>
      </c>
      <c r="B942" s="25" t="inlineStr">
        <is>
          <t>★★★☆☆</t>
        </is>
      </c>
      <c r="C942" s="25" t="inlineStr">
        <is>
          <t>3 – Adjacent (AI/data/CS/cyber/energy)</t>
        </is>
      </c>
      <c r="D942" s="25" t="inlineStr">
        <is>
          <t>Other engineering / maths</t>
        </is>
      </c>
      <c r="E942" s="26" t="inlineStr">
        <is>
          <t>Master recherche Sciences, technologies, santé mention Ingénierie des systèmes complexes parcours I-MARS</t>
        </is>
      </c>
      <c r="F942" s="26" t="inlineStr">
        <is>
          <t>Research Master Science, Technology, Health (STS) – major: Complex Systems Engineering – track: I-MARS</t>
        </is>
      </c>
      <c r="G942" s="25" t="inlineStr">
        <is>
          <t>Master recherche</t>
        </is>
      </c>
      <c r="H942" s="25" t="inlineStr">
        <is>
          <t>IMT Atlantique</t>
        </is>
      </c>
      <c r="I942" s="25" t="inlineStr">
        <is>
          <t>IMT Atlantique</t>
        </is>
      </c>
      <c r="J942" s="25" t="inlineStr">
        <is>
          <t>Campus de Brest</t>
        </is>
      </c>
      <c r="K942" s="25" t="inlineStr">
        <is>
          <t>83818</t>
        </is>
      </c>
      <c r="L942" s="25" t="inlineStr">
        <is>
          <t>Public school / institute</t>
        </is>
      </c>
      <c r="M942" s="25" t="inlineStr">
        <is>
          <t>French</t>
        </is>
      </c>
      <c r="N942" s="25" t="inlineStr">
        <is>
          <t>General</t>
        </is>
      </c>
      <c r="O942" s="25" t="inlineStr">
        <is>
          <t>Bac +5</t>
        </is>
      </c>
      <c r="P942" s="26" t="inlineStr">
        <is>
          <t>Requires Bac+5 (Master) – likely not eligible; ask if 4-yr BS + experience accepted</t>
        </is>
      </c>
      <c r="Q942" s="25" t="inlineStr">
        <is>
          <t>2</t>
        </is>
      </c>
      <c r="R942" s="25" t="n"/>
      <c r="S942" s="27" t="n">
        <v>3950</v>
      </c>
      <c r="T942" s="27" t="n">
        <v>255</v>
      </c>
      <c r="U942" s="25" t="n">
        <v>1</v>
      </c>
      <c r="V942" s="27">
        <f>IF(S942="","",S942*U942)</f>
        <v/>
      </c>
      <c r="W942" s="26" t="inlineStr">
        <is>
          <t>Not in catalogue. Public national master → 2026-27 differentiated fee €3,950; exemption to ~€254-255 depends on university quota (25% cap in 2027-28).</t>
        </is>
      </c>
      <c r="X942" s="25" t="inlineStr">
        <is>
          <t>Medium</t>
        </is>
      </c>
      <c r="Y942" s="25" t="n"/>
      <c r="Z942" s="26" t="n"/>
      <c r="AA942" s="26" t="n"/>
      <c r="AB942" s="25" t="n"/>
      <c r="AC942" s="25" t="inlineStr">
        <is>
          <t>Open</t>
        </is>
      </c>
      <c r="AD942" s="25" t="inlineStr">
        <is>
          <t>2026-10-01</t>
        </is>
      </c>
      <c r="AE942" s="25" t="inlineStr">
        <is>
          <t>2027-03-15</t>
        </is>
      </c>
      <c r="AF942" s="25" t="inlineStr">
        <is>
          <t>Yes</t>
        </is>
      </c>
      <c r="AG942" s="28" t="inlineStr">
        <is>
          <t>http://imt-atlantique.fr</t>
        </is>
      </c>
      <c r="AH942" s="26" t="inlineStr">
        <is>
          <t>Formation en Master 2 ouverte uniquement aux candidats provenant d'un établissement ayant signé un partenariat avec IMT Atlantique (se renseigner au préalable auprès de l'administration de votre établissement d'origine).</t>
        </is>
      </c>
      <c r="AI942" s="28" t="inlineStr">
        <is>
          <t>Open in EEF</t>
        </is>
      </c>
    </row>
    <row r="943" ht="22.35" customHeight="1" s="19">
      <c r="A943" s="25" t="n">
        <v>942</v>
      </c>
      <c r="B943" s="25" t="inlineStr">
        <is>
          <t>★★★☆☆</t>
        </is>
      </c>
      <c r="C943" s="25" t="inlineStr">
        <is>
          <t>3 – Adjacent (AI/data/CS/cyber/energy)</t>
        </is>
      </c>
      <c r="D943" s="25" t="inlineStr">
        <is>
          <t>Computer science / Software</t>
        </is>
      </c>
      <c r="E943" s="26" t="inlineStr">
        <is>
          <t>Master rech. Sciences de l'ingénieur mention mathématiques appliquées et sciences de l'information spécialité modélisation et simulation</t>
        </is>
      </c>
      <c r="F943" s="26" t="inlineStr">
        <is>
          <t>Research Master Sciences of Engineering – major: Applied Mathematics &amp; Sciences of Information – specialisation: Modelling &amp; Simulation</t>
        </is>
      </c>
      <c r="G943" s="25" t="inlineStr">
        <is>
          <t>Master recherche</t>
        </is>
      </c>
      <c r="H943" s="25" t="inlineStr">
        <is>
          <t>Institut national des sciences et techniques nucléaires</t>
        </is>
      </c>
      <c r="I943" s="25" t="n"/>
      <c r="J943" s="25" t="inlineStr">
        <is>
          <t>Site de Gif-sur-Yvette</t>
        </is>
      </c>
      <c r="K943" s="25" t="n"/>
      <c r="L943" s="25" t="inlineStr">
        <is>
          <t>Public school / institute</t>
        </is>
      </c>
      <c r="M943" s="25" t="inlineStr">
        <is>
          <t>French</t>
        </is>
      </c>
      <c r="N943" s="25" t="inlineStr">
        <is>
          <t>General</t>
        </is>
      </c>
      <c r="O943" s="25" t="inlineStr">
        <is>
          <t>Bac +5</t>
        </is>
      </c>
      <c r="P943" s="26" t="inlineStr">
        <is>
          <t>Requires Bac+5 (Master) – likely not eligible; ask if 4-yr BS + experience accepted</t>
        </is>
      </c>
      <c r="Q943" s="25" t="inlineStr">
        <is>
          <t>2</t>
        </is>
      </c>
      <c r="R943" s="25" t="n"/>
      <c r="S943" s="27" t="n">
        <v>3950</v>
      </c>
      <c r="T943" s="27" t="n">
        <v>255</v>
      </c>
      <c r="U943" s="25" t="n">
        <v>1</v>
      </c>
      <c r="V943" s="27">
        <f>IF(S943="","",S943*U943)</f>
        <v/>
      </c>
      <c r="W943" s="26" t="inlineStr">
        <is>
          <t>Not in catalogue. Public national master → 2026-27 differentiated fee €3,950; exemption to ~€254-255 depends on university quota (25% cap in 2027-28).</t>
        </is>
      </c>
      <c r="X943" s="25" t="inlineStr">
        <is>
          <t>Medium</t>
        </is>
      </c>
      <c r="Y943" s="25" t="n"/>
      <c r="Z943" s="26" t="n"/>
      <c r="AA943" s="26" t="n"/>
      <c r="AB943" s="25" t="n"/>
      <c r="AC943" s="25" t="inlineStr">
        <is>
          <t>Closed</t>
        </is>
      </c>
      <c r="AD943" s="25" t="n"/>
      <c r="AE943" s="25" t="n"/>
      <c r="AF943" s="25" t="inlineStr">
        <is>
          <t>No</t>
        </is>
      </c>
      <c r="AG943" s="28" t="inlineStr">
        <is>
          <t>http://www-instn.cea.fr</t>
        </is>
      </c>
      <c r="AH943" s="26" t="n"/>
      <c r="AI943" s="28" t="inlineStr">
        <is>
          <t>Open in EEF</t>
        </is>
      </c>
    </row>
    <row r="944" ht="22.35" customHeight="1" s="19">
      <c r="A944" s="25" t="n">
        <v>943</v>
      </c>
      <c r="B944" s="25" t="inlineStr">
        <is>
          <t>★★★☆☆</t>
        </is>
      </c>
      <c r="C944" s="25" t="inlineStr">
        <is>
          <t>3 – Adjacent (AI/data/CS/cyber/energy)</t>
        </is>
      </c>
      <c r="D944" s="25" t="inlineStr">
        <is>
          <t>Other engineering / maths</t>
        </is>
      </c>
      <c r="E944" s="26" t="inlineStr">
        <is>
          <t>Master rech. Sciences et technologies mention conception, industrialisation, risque, décision spécialité ingénierie numérique</t>
        </is>
      </c>
      <c r="F944" s="26" t="inlineStr">
        <is>
          <t>Research Master Science &amp; Technology – major: Design, industrialisation, risque, Decision – specialisation: Engineering Digital</t>
        </is>
      </c>
      <c r="G944" s="25" t="inlineStr">
        <is>
          <t>Master recherche</t>
        </is>
      </c>
      <c r="H944" s="25" t="inlineStr">
        <is>
          <t>Arts et Métiers ParisTech - Institut de Chalon-sur-Saône</t>
        </is>
      </c>
      <c r="I944" s="25" t="n"/>
      <c r="J944" s="25" t="inlineStr">
        <is>
          <t>Site de Chalon-sur-Saône</t>
        </is>
      </c>
      <c r="K944" s="25" t="n"/>
      <c r="L944" s="25" t="inlineStr">
        <is>
          <t>Public school / institute</t>
        </is>
      </c>
      <c r="M944" s="25" t="inlineStr">
        <is>
          <t>French</t>
        </is>
      </c>
      <c r="N944" s="25" t="inlineStr">
        <is>
          <t>General</t>
        </is>
      </c>
      <c r="O944" s="25" t="inlineStr">
        <is>
          <t>Bac +5</t>
        </is>
      </c>
      <c r="P944" s="26" t="inlineStr">
        <is>
          <t>Requires Bac+5 (Master) – likely not eligible; ask if 4-yr BS + experience accepted</t>
        </is>
      </c>
      <c r="Q944" s="25" t="inlineStr">
        <is>
          <t>2</t>
        </is>
      </c>
      <c r="R944" s="25" t="n"/>
      <c r="S944" s="27" t="n">
        <v>3950</v>
      </c>
      <c r="T944" s="27" t="n">
        <v>255</v>
      </c>
      <c r="U944" s="25" t="n">
        <v>1</v>
      </c>
      <c r="V944" s="27">
        <f>IF(S944="","",S944*U944)</f>
        <v/>
      </c>
      <c r="W944" s="26" t="inlineStr">
        <is>
          <t>Not in catalogue. Public national master → 2026-27 differentiated fee €3,950; exemption to ~€254-255 depends on university quota (25% cap in 2027-28).</t>
        </is>
      </c>
      <c r="X944" s="25" t="inlineStr">
        <is>
          <t>Medium</t>
        </is>
      </c>
      <c r="Y944" s="25" t="n"/>
      <c r="Z944" s="26" t="n"/>
      <c r="AA944" s="26" t="n"/>
      <c r="AB944" s="25" t="n"/>
      <c r="AC944" s="25" t="inlineStr">
        <is>
          <t>Closed</t>
        </is>
      </c>
      <c r="AD944" s="25" t="n"/>
      <c r="AE944" s="25" t="n"/>
      <c r="AF944" s="25" t="inlineStr">
        <is>
          <t>No</t>
        </is>
      </c>
      <c r="AG944" s="28" t="inlineStr">
        <is>
          <t>http://www.ensam.eu</t>
        </is>
      </c>
      <c r="AH944" s="26" t="n"/>
      <c r="AI944" s="28" t="inlineStr">
        <is>
          <t>Open in EEF</t>
        </is>
      </c>
    </row>
    <row r="945" ht="22.35" customHeight="1" s="19">
      <c r="A945" s="25" t="n">
        <v>944</v>
      </c>
      <c r="B945" s="25" t="inlineStr">
        <is>
          <t>★★★☆☆</t>
        </is>
      </c>
      <c r="C945" s="25" t="inlineStr">
        <is>
          <t>3 – Adjacent (AI/data/CS/cyber/energy)</t>
        </is>
      </c>
      <c r="D945" s="25" t="inlineStr">
        <is>
          <t>Other engineering / maths</t>
        </is>
      </c>
      <c r="E945" s="26" t="inlineStr">
        <is>
          <t>Master rech. Sciences et technologies mention mathématiques et applications spécialité mathématiques fondamentales</t>
        </is>
      </c>
      <c r="F945" s="26" t="inlineStr">
        <is>
          <t>Research Master Science &amp; Technology – major: Mathematics &amp; Applications – specialisation: Mathematics Fundamental</t>
        </is>
      </c>
      <c r="G945" s="25" t="inlineStr">
        <is>
          <t>Master recherche</t>
        </is>
      </c>
      <c r="H945" s="25" t="inlineStr">
        <is>
          <t>Ecole normale supérieure</t>
        </is>
      </c>
      <c r="I945" s="25" t="n"/>
      <c r="J945" s="25" t="inlineStr">
        <is>
          <t>Site de Paris</t>
        </is>
      </c>
      <c r="K945" s="25" t="n"/>
      <c r="L945" s="25" t="inlineStr">
        <is>
          <t>Public school / institute</t>
        </is>
      </c>
      <c r="M945" s="25" t="inlineStr">
        <is>
          <t>French</t>
        </is>
      </c>
      <c r="N945" s="25" t="inlineStr">
        <is>
          <t>General</t>
        </is>
      </c>
      <c r="O945" s="25" t="inlineStr">
        <is>
          <t>Bac +5</t>
        </is>
      </c>
      <c r="P945" s="26" t="inlineStr">
        <is>
          <t>Requires Bac+5 (Master) – likely not eligible; ask if 4-yr BS + experience accepted</t>
        </is>
      </c>
      <c r="Q945" s="25" t="inlineStr">
        <is>
          <t>2</t>
        </is>
      </c>
      <c r="R945" s="25" t="n"/>
      <c r="S945" s="27" t="n">
        <v>3950</v>
      </c>
      <c r="T945" s="27" t="n">
        <v>255</v>
      </c>
      <c r="U945" s="25" t="n">
        <v>1</v>
      </c>
      <c r="V945" s="27">
        <f>IF(S945="","",S945*U945)</f>
        <v/>
      </c>
      <c r="W945" s="26" t="inlineStr">
        <is>
          <t>Not in catalogue. Public national master → 2026-27 differentiated fee €3,950; exemption to ~€254-255 depends on university quota (25% cap in 2027-28).</t>
        </is>
      </c>
      <c r="X945" s="25" t="inlineStr">
        <is>
          <t>Medium</t>
        </is>
      </c>
      <c r="Y945" s="25" t="n"/>
      <c r="Z945" s="26" t="n"/>
      <c r="AA945" s="26" t="n"/>
      <c r="AB945" s="25" t="n"/>
      <c r="AC945" s="25" t="inlineStr">
        <is>
          <t>Closed</t>
        </is>
      </c>
      <c r="AD945" s="25" t="n"/>
      <c r="AE945" s="25" t="n"/>
      <c r="AF945" s="25" t="inlineStr">
        <is>
          <t>No</t>
        </is>
      </c>
      <c r="AG945" s="28" t="inlineStr">
        <is>
          <t>http://www.ens.fr</t>
        </is>
      </c>
      <c r="AH945" s="26" t="n"/>
      <c r="AI945" s="28" t="inlineStr">
        <is>
          <t>Open in EEF</t>
        </is>
      </c>
    </row>
    <row r="946" ht="32.8" customHeight="1" s="19">
      <c r="A946" s="25" t="n">
        <v>945</v>
      </c>
      <c r="B946" s="25" t="inlineStr">
        <is>
          <t>★★★☆☆</t>
        </is>
      </c>
      <c r="C946" s="25" t="inlineStr">
        <is>
          <t>3 – Adjacent (AI/data/CS/cyber/energy)</t>
        </is>
      </c>
      <c r="D946" s="25" t="inlineStr">
        <is>
          <t>Computer science / Software</t>
        </is>
      </c>
      <c r="E946" s="26" t="inlineStr">
        <is>
          <t>Master rech. Sciences, technologies, santé mention mathématiques et applications spécialité logique mathématique et fondements de l'informatique</t>
        </is>
      </c>
      <c r="F946" s="26" t="inlineStr">
        <is>
          <t>Research Master Science, Technology, Health (STS) – major: Mathematics &amp; Applications – specialisation: Logic Mathematical &amp; Foundations of Computer Science</t>
        </is>
      </c>
      <c r="G946" s="25" t="inlineStr">
        <is>
          <t>Master recherche</t>
        </is>
      </c>
      <c r="H946" s="25" t="inlineStr">
        <is>
          <t>Ecole normale supérieure</t>
        </is>
      </c>
      <c r="I946" s="25" t="n"/>
      <c r="J946" s="25" t="inlineStr">
        <is>
          <t>Site de Paris</t>
        </is>
      </c>
      <c r="K946" s="25" t="n"/>
      <c r="L946" s="25" t="inlineStr">
        <is>
          <t>Public school / institute</t>
        </is>
      </c>
      <c r="M946" s="25" t="inlineStr">
        <is>
          <t>French</t>
        </is>
      </c>
      <c r="N946" s="25" t="inlineStr">
        <is>
          <t>General</t>
        </is>
      </c>
      <c r="O946" s="25" t="inlineStr">
        <is>
          <t>Bac +5</t>
        </is>
      </c>
      <c r="P946" s="26" t="inlineStr">
        <is>
          <t>Requires Bac+5 (Master) – likely not eligible; ask if 4-yr BS + experience accepted</t>
        </is>
      </c>
      <c r="Q946" s="25" t="inlineStr">
        <is>
          <t>2</t>
        </is>
      </c>
      <c r="R946" s="25" t="n"/>
      <c r="S946" s="27" t="n">
        <v>3950</v>
      </c>
      <c r="T946" s="27" t="n">
        <v>255</v>
      </c>
      <c r="U946" s="25" t="n">
        <v>1</v>
      </c>
      <c r="V946" s="27">
        <f>IF(S946="","",S946*U946)</f>
        <v/>
      </c>
      <c r="W946" s="26" t="inlineStr">
        <is>
          <t>Not in catalogue. Public national master → 2026-27 differentiated fee €3,950; exemption to ~€254-255 depends on university quota (25% cap in 2027-28).</t>
        </is>
      </c>
      <c r="X946" s="25" t="inlineStr">
        <is>
          <t>Medium</t>
        </is>
      </c>
      <c r="Y946" s="25" t="n"/>
      <c r="Z946" s="26" t="n"/>
      <c r="AA946" s="26" t="n"/>
      <c r="AB946" s="25" t="n"/>
      <c r="AC946" s="25" t="inlineStr">
        <is>
          <t>Closed</t>
        </is>
      </c>
      <c r="AD946" s="25" t="n"/>
      <c r="AE946" s="25" t="n"/>
      <c r="AF946" s="25" t="inlineStr">
        <is>
          <t>No</t>
        </is>
      </c>
      <c r="AG946" s="28" t="inlineStr">
        <is>
          <t>http://www.ens.fr</t>
        </is>
      </c>
      <c r="AH946" s="26" t="n"/>
      <c r="AI946" s="28" t="inlineStr">
        <is>
          <t>Open in EEF</t>
        </is>
      </c>
    </row>
    <row r="947" ht="22.35" customHeight="1" s="19">
      <c r="A947" s="25" t="n">
        <v>946</v>
      </c>
      <c r="B947" s="25" t="inlineStr">
        <is>
          <t>★★★☆☆</t>
        </is>
      </c>
      <c r="C947" s="25" t="inlineStr">
        <is>
          <t>3 – Adjacent (AI/data/CS/cyber/energy)</t>
        </is>
      </c>
      <c r="D947" s="25" t="inlineStr">
        <is>
          <t>Other engineering / maths</t>
        </is>
      </c>
      <c r="E947" s="26" t="inlineStr">
        <is>
          <t>Master rech. Sciences, technologies, santé mention mathématiques et applications spécialité modélisation et simulation</t>
        </is>
      </c>
      <c r="F947" s="26" t="inlineStr">
        <is>
          <t>Research Master Science, Technology, Health (STS) – major: Mathematics &amp; Applications – specialisation: Modelling &amp; Simulation</t>
        </is>
      </c>
      <c r="G947" s="25" t="inlineStr">
        <is>
          <t>Master recherche</t>
        </is>
      </c>
      <c r="H947" s="25" t="inlineStr">
        <is>
          <t>Institut national des sciences et techniques nucléaires</t>
        </is>
      </c>
      <c r="I947" s="25" t="n"/>
      <c r="J947" s="25" t="inlineStr">
        <is>
          <t>Site de Gif-sur-Yvette</t>
        </is>
      </c>
      <c r="K947" s="25" t="n"/>
      <c r="L947" s="25" t="inlineStr">
        <is>
          <t>Public school / institute</t>
        </is>
      </c>
      <c r="M947" s="25" t="inlineStr">
        <is>
          <t>French</t>
        </is>
      </c>
      <c r="N947" s="25" t="inlineStr">
        <is>
          <t>General</t>
        </is>
      </c>
      <c r="O947" s="25" t="inlineStr">
        <is>
          <t>Bac +5</t>
        </is>
      </c>
      <c r="P947" s="26" t="inlineStr">
        <is>
          <t>Requires Bac+5 (Master) – likely not eligible; ask if 4-yr BS + experience accepted</t>
        </is>
      </c>
      <c r="Q947" s="25" t="inlineStr">
        <is>
          <t>2</t>
        </is>
      </c>
      <c r="R947" s="25" t="n"/>
      <c r="S947" s="27" t="n">
        <v>3950</v>
      </c>
      <c r="T947" s="27" t="n">
        <v>255</v>
      </c>
      <c r="U947" s="25" t="n">
        <v>1</v>
      </c>
      <c r="V947" s="27">
        <f>IF(S947="","",S947*U947)</f>
        <v/>
      </c>
      <c r="W947" s="26" t="inlineStr">
        <is>
          <t>Not in catalogue. Public national master → 2026-27 differentiated fee €3,950; exemption to ~€254-255 depends on university quota (25% cap in 2027-28).</t>
        </is>
      </c>
      <c r="X947" s="25" t="inlineStr">
        <is>
          <t>Medium</t>
        </is>
      </c>
      <c r="Y947" s="25" t="n"/>
      <c r="Z947" s="26" t="n"/>
      <c r="AA947" s="26" t="n"/>
      <c r="AB947" s="25" t="n"/>
      <c r="AC947" s="25" t="inlineStr">
        <is>
          <t>Closed</t>
        </is>
      </c>
      <c r="AD947" s="25" t="n"/>
      <c r="AE947" s="25" t="n"/>
      <c r="AF947" s="25" t="inlineStr">
        <is>
          <t>No</t>
        </is>
      </c>
      <c r="AG947" s="28" t="inlineStr">
        <is>
          <t>http://www-instn.cea.fr</t>
        </is>
      </c>
      <c r="AH947" s="26" t="n"/>
      <c r="AI947" s="28" t="inlineStr">
        <is>
          <t>Open in EEF</t>
        </is>
      </c>
    </row>
    <row r="948" ht="32.8" customHeight="1" s="19">
      <c r="A948" s="25" t="n">
        <v>947</v>
      </c>
      <c r="B948" s="25" t="inlineStr">
        <is>
          <t>★★★☆☆</t>
        </is>
      </c>
      <c r="C948" s="25" t="inlineStr">
        <is>
          <t>3 – Adjacent (AI/data/CS/cyber/energy)</t>
        </is>
      </c>
      <c r="D948" s="25" t="inlineStr">
        <is>
          <t>Computer science / Software</t>
        </is>
      </c>
      <c r="E948" s="26" t="inlineStr">
        <is>
          <t>Master rech. Sciences, technologies, santé mention mathématiques, informatique spécialité mathématiques fondamentales</t>
        </is>
      </c>
      <c r="F948" s="26" t="inlineStr">
        <is>
          <t>Research Master Science, Technology, Health (STS) – major: Mathematics, Computer Science – specialisation: Mathematics Fundamental</t>
        </is>
      </c>
      <c r="G948" s="25" t="inlineStr">
        <is>
          <t>Master recherche</t>
        </is>
      </c>
      <c r="H948" s="25" t="inlineStr">
        <is>
          <t>Ecole normale supérieure</t>
        </is>
      </c>
      <c r="I948" s="25" t="n"/>
      <c r="J948" s="25" t="inlineStr">
        <is>
          <t>Site de Paris</t>
        </is>
      </c>
      <c r="K948" s="25" t="n"/>
      <c r="L948" s="25" t="inlineStr">
        <is>
          <t>Public school / institute</t>
        </is>
      </c>
      <c r="M948" s="25" t="inlineStr">
        <is>
          <t>French</t>
        </is>
      </c>
      <c r="N948" s="25" t="inlineStr">
        <is>
          <t>General</t>
        </is>
      </c>
      <c r="O948" s="25" t="inlineStr">
        <is>
          <t>Bac +5</t>
        </is>
      </c>
      <c r="P948" s="26" t="inlineStr">
        <is>
          <t>Requires Bac+5 (Master) – likely not eligible; ask if 4-yr BS + experience accepted</t>
        </is>
      </c>
      <c r="Q948" s="25" t="inlineStr">
        <is>
          <t>2</t>
        </is>
      </c>
      <c r="R948" s="25" t="n"/>
      <c r="S948" s="27" t="n">
        <v>3950</v>
      </c>
      <c r="T948" s="27" t="n">
        <v>255</v>
      </c>
      <c r="U948" s="25" t="n">
        <v>1</v>
      </c>
      <c r="V948" s="27">
        <f>IF(S948="","",S948*U948)</f>
        <v/>
      </c>
      <c r="W948" s="26" t="inlineStr">
        <is>
          <t>Not in catalogue. Public national master → 2026-27 differentiated fee €3,950; exemption to ~€254-255 depends on university quota (25% cap in 2027-28).</t>
        </is>
      </c>
      <c r="X948" s="25" t="inlineStr">
        <is>
          <t>Medium</t>
        </is>
      </c>
      <c r="Y948" s="25" t="n"/>
      <c r="Z948" s="26" t="n"/>
      <c r="AA948" s="26" t="n"/>
      <c r="AB948" s="25" t="n"/>
      <c r="AC948" s="25" t="inlineStr">
        <is>
          <t>Closed</t>
        </is>
      </c>
      <c r="AD948" s="25" t="n"/>
      <c r="AE948" s="25" t="n"/>
      <c r="AF948" s="25" t="inlineStr">
        <is>
          <t>No</t>
        </is>
      </c>
      <c r="AG948" s="28" t="inlineStr">
        <is>
          <t>http://www.ens.fr</t>
        </is>
      </c>
      <c r="AH948" s="26" t="n"/>
      <c r="AI948" s="28" t="inlineStr">
        <is>
          <t>Open in EEF</t>
        </is>
      </c>
    </row>
    <row r="949" ht="22.35" customHeight="1" s="19">
      <c r="A949" s="25" t="n">
        <v>948</v>
      </c>
      <c r="B949" s="25" t="inlineStr">
        <is>
          <t>★★★☆☆</t>
        </is>
      </c>
      <c r="C949" s="25" t="inlineStr">
        <is>
          <t>3 – Adjacent (AI/data/CS/cyber/energy)</t>
        </is>
      </c>
      <c r="D949" s="25" t="inlineStr">
        <is>
          <t>Computer science / Software</t>
        </is>
      </c>
      <c r="E949" s="26" t="inlineStr">
        <is>
          <t>Master rech. Sciences, technologies, santé mention systèmes d'information spécialité information scientifique et technique</t>
        </is>
      </c>
      <c r="F949" s="26" t="inlineStr">
        <is>
          <t>Research Master Science, Technology, Health (STS) – major: Information Systems – specialisation: Information Scientific &amp; technique</t>
        </is>
      </c>
      <c r="G949" s="25" t="inlineStr">
        <is>
          <t>Master recherche</t>
        </is>
      </c>
      <c r="H949" s="25" t="inlineStr">
        <is>
          <t>Institut national des sciences et techniques nucléaires</t>
        </is>
      </c>
      <c r="I949" s="25" t="n"/>
      <c r="J949" s="25" t="inlineStr">
        <is>
          <t>Site de Gif-sur-Yvette</t>
        </is>
      </c>
      <c r="K949" s="25" t="n"/>
      <c r="L949" s="25" t="inlineStr">
        <is>
          <t>Public school / institute</t>
        </is>
      </c>
      <c r="M949" s="25" t="inlineStr">
        <is>
          <t>French</t>
        </is>
      </c>
      <c r="N949" s="25" t="inlineStr">
        <is>
          <t>General</t>
        </is>
      </c>
      <c r="O949" s="25" t="inlineStr">
        <is>
          <t>Bac +5</t>
        </is>
      </c>
      <c r="P949" s="26" t="inlineStr">
        <is>
          <t>Requires Bac+5 (Master) – likely not eligible; ask if 4-yr BS + experience accepted</t>
        </is>
      </c>
      <c r="Q949" s="25" t="inlineStr">
        <is>
          <t>2</t>
        </is>
      </c>
      <c r="R949" s="25" t="n"/>
      <c r="S949" s="27" t="n">
        <v>3950</v>
      </c>
      <c r="T949" s="27" t="n">
        <v>255</v>
      </c>
      <c r="U949" s="25" t="n">
        <v>1</v>
      </c>
      <c r="V949" s="27">
        <f>IF(S949="","",S949*U949)</f>
        <v/>
      </c>
      <c r="W949" s="26" t="inlineStr">
        <is>
          <t>Not in catalogue. Public national master → 2026-27 differentiated fee €3,950; exemption to ~€254-255 depends on university quota (25% cap in 2027-28).</t>
        </is>
      </c>
      <c r="X949" s="25" t="inlineStr">
        <is>
          <t>Medium</t>
        </is>
      </c>
      <c r="Y949" s="25" t="n"/>
      <c r="Z949" s="26" t="n"/>
      <c r="AA949" s="26" t="n"/>
      <c r="AB949" s="25" t="n"/>
      <c r="AC949" s="25" t="inlineStr">
        <is>
          <t>Closed</t>
        </is>
      </c>
      <c r="AD949" s="25" t="n"/>
      <c r="AE949" s="25" t="n"/>
      <c r="AF949" s="25" t="inlineStr">
        <is>
          <t>No</t>
        </is>
      </c>
      <c r="AG949" s="28" t="inlineStr">
        <is>
          <t>http://www-instn.cea.fr</t>
        </is>
      </c>
      <c r="AH949" s="26" t="n"/>
      <c r="AI949" s="28" t="inlineStr">
        <is>
          <t>Open in EEF</t>
        </is>
      </c>
    </row>
    <row r="950" ht="22.35" customHeight="1" s="19">
      <c r="A950" s="25" t="n">
        <v>949</v>
      </c>
      <c r="B950" s="25" t="inlineStr">
        <is>
          <t>★★★☆☆</t>
        </is>
      </c>
      <c r="C950" s="25" t="inlineStr">
        <is>
          <t>3 – Adjacent (AI/data/CS/cyber/energy)</t>
        </is>
      </c>
      <c r="D950" s="25" t="inlineStr">
        <is>
          <t>AI / Data science</t>
        </is>
      </c>
      <c r="E950" s="26" t="inlineStr">
        <is>
          <t>PhD Doctorat Informatique, Données et Intelligence Artificielle</t>
        </is>
      </c>
      <c r="F950" s="26" t="inlineStr">
        <is>
          <t>PhD Doctorat Computer Science, Data &amp; Artificial Intelligence</t>
        </is>
      </c>
      <c r="G950" s="25" t="inlineStr">
        <is>
          <t>PhD Doctorat</t>
        </is>
      </c>
      <c r="H950" s="25" t="inlineStr">
        <is>
          <t>Télécom SudParis</t>
        </is>
      </c>
      <c r="I950" s="25" t="n"/>
      <c r="J950" s="25" t="inlineStr">
        <is>
          <t>Site de Evry</t>
        </is>
      </c>
      <c r="K950" s="25" t="n"/>
      <c r="L950" s="25" t="inlineStr">
        <is>
          <t>Public school / institute</t>
        </is>
      </c>
      <c r="M950" s="25" t="inlineStr">
        <is>
          <t>French &amp; English</t>
        </is>
      </c>
      <c r="N950" s="25" t="inlineStr">
        <is>
          <t>General</t>
        </is>
      </c>
      <c r="O950" s="25" t="inlineStr">
        <is>
          <t>Bac +6</t>
        </is>
      </c>
      <c r="P950" s="26" t="inlineStr">
        <is>
          <t>Not yet – PhD requires a Master (Bac+5).</t>
        </is>
      </c>
      <c r="Q950" s="25" t="inlineStr">
        <is>
          <t>6</t>
        </is>
      </c>
      <c r="R950" s="25" t="n"/>
      <c r="S950" s="27" t="n">
        <v>397</v>
      </c>
      <c r="T950" s="27" t="n"/>
      <c r="U950" s="25" t="n">
        <v>3</v>
      </c>
      <c r="V950" s="27">
        <f>IF(S950="","",S950*U950)</f>
        <v/>
      </c>
      <c r="W950" s="26" t="inlineStr">
        <is>
          <t>Doctorate national fee 2026-27 (€397, no non-EU surcharge). PhDs are usually salaried 3-yr contracts. Requires a Master.</t>
        </is>
      </c>
      <c r="X950" s="25" t="inlineStr">
        <is>
          <t>Medium</t>
        </is>
      </c>
      <c r="Y950" s="25" t="n"/>
      <c r="Z950" s="26" t="n"/>
      <c r="AA950" s="26" t="n"/>
      <c r="AB950" s="25" t="n"/>
      <c r="AC950" s="25" t="inlineStr">
        <is>
          <t>Open</t>
        </is>
      </c>
      <c r="AD950" s="25" t="inlineStr">
        <is>
          <t>2026-10-01</t>
        </is>
      </c>
      <c r="AE950" s="25" t="inlineStr">
        <is>
          <t>2027-03-15</t>
        </is>
      </c>
      <c r="AF950" s="25" t="inlineStr">
        <is>
          <t>Yes</t>
        </is>
      </c>
      <c r="AG950" s="28" t="inlineStr">
        <is>
          <t>https://www.ip-paris.fr/education/doctorat/ecole-doctorale-ip-paris/domaine-doctorat-informatique-donnees-et-intelligence-artificielle</t>
        </is>
      </c>
      <c r="AH950" s="26" t="n"/>
      <c r="AI950" s="28" t="inlineStr">
        <is>
          <t>Open in EEF</t>
        </is>
      </c>
    </row>
    <row r="951" ht="22.35" customHeight="1" s="19">
      <c r="A951" s="25" t="n">
        <v>950</v>
      </c>
      <c r="B951" s="25" t="inlineStr">
        <is>
          <t>★★★☆☆</t>
        </is>
      </c>
      <c r="C951" s="25" t="inlineStr">
        <is>
          <t>3 – Adjacent (AI/data/CS/cyber/energy)</t>
        </is>
      </c>
      <c r="D951" s="25" t="inlineStr">
        <is>
          <t>Computer science / Software</t>
        </is>
      </c>
      <c r="E951" s="26" t="inlineStr">
        <is>
          <t>Diplôme d'ingénieur Institut Supérieur Aquitain Numérique et Informatique</t>
        </is>
      </c>
      <c r="F951" s="26" t="inlineStr">
        <is>
          <t>Engineering diploma Institute Higher Aquitain Digital &amp; Computer Science</t>
        </is>
      </c>
      <c r="G951" s="25" t="inlineStr">
        <is>
          <t>Diplôme d'ingénieur</t>
        </is>
      </c>
      <c r="H951" s="25" t="inlineStr">
        <is>
          <t>Collège STEE - Sciences et Technologies pour l'Energie et l'Environnement</t>
        </is>
      </c>
      <c r="I951" s="25" t="inlineStr">
        <is>
          <t>Université Pau et Pays de l'Adour</t>
        </is>
      </c>
      <c r="J951" s="25" t="inlineStr">
        <is>
          <t>Collège STEE - site d'Anglet</t>
        </is>
      </c>
      <c r="K951" s="25" t="n"/>
      <c r="L951" s="25" t="inlineStr">
        <is>
          <t>Public university</t>
        </is>
      </c>
      <c r="M951" s="25" t="inlineStr">
        <is>
          <t>French</t>
        </is>
      </c>
      <c r="N951" s="25" t="inlineStr">
        <is>
          <t>General</t>
        </is>
      </c>
      <c r="O951" s="25" t="inlineStr">
        <is>
          <t>Bac +1</t>
        </is>
      </c>
      <c r="P951" s="26" t="inlineStr">
        <is>
          <t>Entry is at undergraduate level (Bac+1/2) – not a fit for you</t>
        </is>
      </c>
      <c r="Q951" s="25" t="inlineStr">
        <is>
          <t>1</t>
        </is>
      </c>
      <c r="R951" s="25" t="n"/>
      <c r="S951" s="27" t="n">
        <v>3950</v>
      </c>
      <c r="T951" s="27" t="n">
        <v>628</v>
      </c>
      <c r="U951" s="25" t="n">
        <v>2</v>
      </c>
      <c r="V951" s="27">
        <f>IF(S951="","",S951*U951)</f>
        <v/>
      </c>
      <c r="W951" s="26" t="inlineStr">
        <is>
          <t>Not in catalogue. Public engineering diploma: national rate ~€601-628; many schools charge non-EU up to ~€3,950. Verify.</t>
        </is>
      </c>
      <c r="X951" s="25" t="inlineStr">
        <is>
          <t>Low</t>
        </is>
      </c>
      <c r="Y951" s="25" t="n"/>
      <c r="Z951" s="26" t="n"/>
      <c r="AA951" s="26" t="n"/>
      <c r="AB951" s="25" t="n"/>
      <c r="AC951" s="25" t="inlineStr">
        <is>
          <t>Open</t>
        </is>
      </c>
      <c r="AD951" s="25" t="inlineStr">
        <is>
          <t>2026-10-01</t>
        </is>
      </c>
      <c r="AE951" s="25" t="inlineStr">
        <is>
          <t>2027-03-15</t>
        </is>
      </c>
      <c r="AF951" s="25" t="inlineStr">
        <is>
          <t>No</t>
        </is>
      </c>
      <c r="AG951" s="25" t="n"/>
      <c r="AH951" s="26" t="n"/>
      <c r="AI951" s="28" t="inlineStr">
        <is>
          <t>Open in EEF</t>
        </is>
      </c>
    </row>
    <row r="952" ht="32.8" customHeight="1" s="19">
      <c r="A952" s="25" t="n">
        <v>951</v>
      </c>
      <c r="B952" s="25" t="inlineStr">
        <is>
          <t>★★★☆☆</t>
        </is>
      </c>
      <c r="C952" s="25" t="inlineStr">
        <is>
          <t>3 – Adjacent (AI/data/CS/cyber/energy)</t>
        </is>
      </c>
      <c r="D952" s="25" t="inlineStr">
        <is>
          <t>AI / Data science</t>
        </is>
      </c>
      <c r="E952" s="26" t="inlineStr">
        <is>
          <t>Master 2 Traitement de l'Information et Exploitation des Données (TRIED)</t>
        </is>
      </c>
      <c r="F952" s="26" t="inlineStr">
        <is>
          <t>Master 2 Processing of Information &amp; Exploitation of Data (TRIED)</t>
        </is>
      </c>
      <c r="G952" s="25" t="inlineStr">
        <is>
          <t>Mastère en sciences (MSc)</t>
        </is>
      </c>
      <c r="H952" s="25" t="inlineStr">
        <is>
          <t>Télécom SudParis</t>
        </is>
      </c>
      <c r="I952" s="25" t="n"/>
      <c r="J952" s="25" t="inlineStr">
        <is>
          <t>Site de Palaiseau</t>
        </is>
      </c>
      <c r="K952" s="25" t="n"/>
      <c r="L952" s="25" t="inlineStr">
        <is>
          <t>Public school / institute</t>
        </is>
      </c>
      <c r="M952" s="25" t="inlineStr">
        <is>
          <t>French</t>
        </is>
      </c>
      <c r="N952" s="25" t="inlineStr">
        <is>
          <t>General</t>
        </is>
      </c>
      <c r="O952" s="25" t="inlineStr">
        <is>
          <t>Bac +5</t>
        </is>
      </c>
      <c r="P952" s="26" t="inlineStr">
        <is>
          <t>Requires Bac+5 (Master) – likely not eligible; ask if 4-yr BS + experience accepted</t>
        </is>
      </c>
      <c r="Q952" s="25" t="inlineStr">
        <is>
          <t>2</t>
        </is>
      </c>
      <c r="R952" s="25" t="inlineStr">
        <is>
          <t>12</t>
        </is>
      </c>
      <c r="S952" s="27" t="n">
        <v>3770</v>
      </c>
      <c r="T952" s="27" t="n"/>
      <c r="U952" s="25" t="n">
        <v>1</v>
      </c>
      <c r="V952" s="27">
        <f>IF(S952="","",S952*U952)</f>
        <v/>
      </c>
      <c r="W952" s="26" t="inlineStr">
        <is>
          <t>Catalogue fee €3,770/yr (entered by institution).</t>
        </is>
      </c>
      <c r="X952" s="25" t="inlineStr">
        <is>
          <t>High</t>
        </is>
      </c>
      <c r="Y952" s="25" t="inlineStr">
        <is>
          <t>3770</t>
        </is>
      </c>
      <c r="Z952" s="26" t="n"/>
      <c r="AA952" s="26" t="n"/>
      <c r="AB952" s="25" t="n"/>
      <c r="AC952" s="25" t="inlineStr">
        <is>
          <t>Open</t>
        </is>
      </c>
      <c r="AD952" s="25" t="inlineStr">
        <is>
          <t>2026-10-01</t>
        </is>
      </c>
      <c r="AE952" s="25" t="inlineStr">
        <is>
          <t>2027-03-15</t>
        </is>
      </c>
      <c r="AF952" s="25" t="inlineStr">
        <is>
          <t>Yes</t>
        </is>
      </c>
      <c r="AG952" s="28" t="inlineStr">
        <is>
          <t>https://www.ip-paris.fr/en/education/masters/electrical-engineering-program/master-2-traitement-de-linformation-et-exploitation-des-donnees</t>
        </is>
      </c>
      <c r="AH952" s="26" t="inlineStr">
        <is>
          <t>Prérequis académiques Accomplissement d’un Master 1 en Électronique, Énergie électrique et Automatique à l’Institut Polytechnique de Paris ou équivalent en France ou à l’étranger Être détenteur d’un diplôme d’ingénieur o</t>
        </is>
      </c>
      <c r="AI952" s="28" t="inlineStr">
        <is>
          <t>Open in EEF</t>
        </is>
      </c>
    </row>
    <row r="953" ht="22.35" customHeight="1" s="19">
      <c r="A953" s="25" t="n">
        <v>952</v>
      </c>
      <c r="B953" s="25" t="inlineStr">
        <is>
          <t>★★★☆☆</t>
        </is>
      </c>
      <c r="C953" s="25" t="inlineStr">
        <is>
          <t>3 – Adjacent (AI/data/CS/cyber/energy)</t>
        </is>
      </c>
      <c r="D953" s="25" t="inlineStr">
        <is>
          <t>AI / Data science</t>
        </is>
      </c>
      <c r="E953" s="26" t="inlineStr">
        <is>
          <t>Master of science Process Engineering &amp; Artificial Intelligence</t>
        </is>
      </c>
      <c r="F953" s="26" t="inlineStr">
        <is>
          <t>Master of science Process Engineering &amp; Artificial Intelligence</t>
        </is>
      </c>
      <c r="G953" s="25" t="inlineStr">
        <is>
          <t>Master of Science (MSc)</t>
        </is>
      </c>
      <c r="H953" s="25" t="inlineStr">
        <is>
          <t>Ecole nationale supérieure des mines de Saint-Etienne</t>
        </is>
      </c>
      <c r="I953" s="25" t="n"/>
      <c r="J953" s="25" t="inlineStr">
        <is>
          <t>Site de Saint-Etienne</t>
        </is>
      </c>
      <c r="K953" s="25" t="n"/>
      <c r="L953" s="25" t="inlineStr">
        <is>
          <t>Public school / institute</t>
        </is>
      </c>
      <c r="M953" s="25" t="inlineStr">
        <is>
          <t>English</t>
        </is>
      </c>
      <c r="N953" s="25" t="inlineStr">
        <is>
          <t>Taught in English</t>
        </is>
      </c>
      <c r="O953" s="25" t="inlineStr">
        <is>
          <t>Bac +5</t>
        </is>
      </c>
      <c r="P953" s="26" t="inlineStr">
        <is>
          <t>Requires Bac+5 (Master) – likely not eligible; ask if 4-yr BS + experience accepted</t>
        </is>
      </c>
      <c r="Q953" s="25" t="inlineStr">
        <is>
          <t>2</t>
        </is>
      </c>
      <c r="R953" s="25" t="inlineStr">
        <is>
          <t>12</t>
        </is>
      </c>
      <c r="S953" s="27" t="n">
        <v>4150</v>
      </c>
      <c r="T953" s="27" t="n"/>
      <c r="U953" s="25" t="n">
        <v>1</v>
      </c>
      <c r="V953" s="27">
        <f>IF(S953="","",S953*U953)</f>
        <v/>
      </c>
      <c r="W953" s="26" t="inlineStr">
        <is>
          <t>Not in catalogue. Mastersportal lists €4,150/yr for Mines Saint-Étienne MSc (verify with school).</t>
        </is>
      </c>
      <c r="X953" s="25" t="inlineStr">
        <is>
          <t>Low</t>
        </is>
      </c>
      <c r="Y953" s="25" t="n"/>
      <c r="Z953" s="26" t="n"/>
      <c r="AA953" s="26" t="n"/>
      <c r="AB953" s="25" t="n"/>
      <c r="AC953" s="25" t="inlineStr">
        <is>
          <t>Open</t>
        </is>
      </c>
      <c r="AD953" s="25" t="inlineStr">
        <is>
          <t>2026-10-01</t>
        </is>
      </c>
      <c r="AE953" s="25" t="inlineStr">
        <is>
          <t>2027-03-15</t>
        </is>
      </c>
      <c r="AF953" s="25" t="inlineStr">
        <is>
          <t>Yes</t>
        </is>
      </c>
      <c r="AG953" s="25" t="n"/>
      <c r="AH953" s="26" t="n"/>
      <c r="AI953" s="28" t="inlineStr">
        <is>
          <t>Open in EEF</t>
        </is>
      </c>
    </row>
    <row r="954" ht="22.35" customHeight="1" s="19">
      <c r="A954" s="25" t="n">
        <v>953</v>
      </c>
      <c r="B954" s="25" t="inlineStr">
        <is>
          <t>★★★☆☆</t>
        </is>
      </c>
      <c r="C954" s="25" t="inlineStr">
        <is>
          <t>3 – Adjacent (AI/data/CS/cyber/energy)</t>
        </is>
      </c>
      <c r="D954" s="25" t="inlineStr">
        <is>
          <t>AI / Data science</t>
        </is>
      </c>
      <c r="E954" s="26" t="inlineStr">
        <is>
          <t>Master Sciences, technologies, santé mention bioinformatique et biostatistiques spécialité bioinformatique et biostatistiques</t>
        </is>
      </c>
      <c r="F954" s="26" t="inlineStr">
        <is>
          <t>Master Science, Technology, Health (STS) – major: Bioinformatics &amp; Biostatistics – specialisation: Bioinformatics &amp; Biostatistics</t>
        </is>
      </c>
      <c r="G954" s="25" t="inlineStr">
        <is>
          <t>Master indifférencié (recherche et professionnel)</t>
        </is>
      </c>
      <c r="H954" s="25" t="inlineStr">
        <is>
          <t>Ecole polytechnique</t>
        </is>
      </c>
      <c r="I954" s="25" t="n"/>
      <c r="J954" s="25" t="inlineStr">
        <is>
          <t>Site de Palaiseau</t>
        </is>
      </c>
      <c r="K954" s="25" t="n"/>
      <c r="L954" s="25" t="inlineStr">
        <is>
          <t>Public school / institute</t>
        </is>
      </c>
      <c r="M954" s="25" t="inlineStr">
        <is>
          <t>French</t>
        </is>
      </c>
      <c r="N954" s="25" t="inlineStr">
        <is>
          <t>General</t>
        </is>
      </c>
      <c r="O954" s="25" t="inlineStr">
        <is>
          <t>Bac +5</t>
        </is>
      </c>
      <c r="P954" s="26" t="inlineStr">
        <is>
          <t>Requires Bac+5 (Master) – likely not eligible; ask if 4-yr BS + experience accepted</t>
        </is>
      </c>
      <c r="Q954" s="25" t="inlineStr">
        <is>
          <t>2</t>
        </is>
      </c>
      <c r="R954" s="25" t="n"/>
      <c r="S954" s="27" t="n">
        <v>4317</v>
      </c>
      <c r="T954" s="27" t="n"/>
      <c r="U954" s="25" t="n">
        <v>1</v>
      </c>
      <c r="V954" s="27">
        <f>IF(S954="","",S954*U954)</f>
        <v/>
      </c>
      <c r="W954" s="26" t="inlineStr">
        <is>
          <t>Not in catalogue. IP Paris 2026-27: national master €4,317 non-EU (international-track masters €7,148).</t>
        </is>
      </c>
      <c r="X954" s="25" t="inlineStr">
        <is>
          <t>High</t>
        </is>
      </c>
      <c r="Y954" s="25" t="n"/>
      <c r="Z954" s="26" t="n"/>
      <c r="AA954" s="26" t="n"/>
      <c r="AB954" s="25" t="n"/>
      <c r="AC954" s="25" t="inlineStr">
        <is>
          <t>Open</t>
        </is>
      </c>
      <c r="AD954" s="25" t="inlineStr">
        <is>
          <t>2026-10-01</t>
        </is>
      </c>
      <c r="AE954" s="25" t="inlineStr">
        <is>
          <t>2027-03-15</t>
        </is>
      </c>
      <c r="AF954" s="25" t="inlineStr">
        <is>
          <t>No</t>
        </is>
      </c>
      <c r="AG954" s="25" t="n"/>
      <c r="AH954" s="26" t="n"/>
      <c r="AI954" s="28" t="inlineStr">
        <is>
          <t>Open in EEF</t>
        </is>
      </c>
    </row>
    <row r="955" ht="22.35" customHeight="1" s="19">
      <c r="A955" s="25" t="n">
        <v>954</v>
      </c>
      <c r="B955" s="25" t="inlineStr">
        <is>
          <t>★★★☆☆</t>
        </is>
      </c>
      <c r="C955" s="25" t="inlineStr">
        <is>
          <t>3 – Adjacent (AI/data/CS/cyber/energy)</t>
        </is>
      </c>
      <c r="D955" s="25" t="inlineStr">
        <is>
          <t>Computer science / Software</t>
        </is>
      </c>
      <c r="E955" s="26" t="inlineStr">
        <is>
          <t>Master Sciences, technologies, santé mention informatique spécialité recherche en informatique fondamentale</t>
        </is>
      </c>
      <c r="F955" s="26" t="inlineStr">
        <is>
          <t>Master Science, Technology, Health (STS) – major: Computer Science – specialisation: Research in Computer Science Fundamental</t>
        </is>
      </c>
      <c r="G955" s="25" t="inlineStr">
        <is>
          <t>Master indifférencié (recherche et professionnel)</t>
        </is>
      </c>
      <c r="H955" s="25" t="inlineStr">
        <is>
          <t>Ecole polytechnique</t>
        </is>
      </c>
      <c r="I955" s="25" t="n"/>
      <c r="J955" s="25" t="inlineStr">
        <is>
          <t>Site de Palaiseau</t>
        </is>
      </c>
      <c r="K955" s="25" t="n"/>
      <c r="L955" s="25" t="inlineStr">
        <is>
          <t>Public school / institute</t>
        </is>
      </c>
      <c r="M955" s="25" t="inlineStr">
        <is>
          <t>French</t>
        </is>
      </c>
      <c r="N955" s="25" t="inlineStr">
        <is>
          <t>General</t>
        </is>
      </c>
      <c r="O955" s="25" t="inlineStr">
        <is>
          <t>Bac +5</t>
        </is>
      </c>
      <c r="P955" s="26" t="inlineStr">
        <is>
          <t>Requires Bac+5 (Master) – likely not eligible; ask if 4-yr BS + experience accepted</t>
        </is>
      </c>
      <c r="Q955" s="25" t="inlineStr">
        <is>
          <t>2</t>
        </is>
      </c>
      <c r="R955" s="25" t="n"/>
      <c r="S955" s="27" t="n">
        <v>4317</v>
      </c>
      <c r="T955" s="27" t="n"/>
      <c r="U955" s="25" t="n">
        <v>1</v>
      </c>
      <c r="V955" s="27">
        <f>IF(S955="","",S955*U955)</f>
        <v/>
      </c>
      <c r="W955" s="26" t="inlineStr">
        <is>
          <t>Not in catalogue. IP Paris 2026-27: national master €4,317 non-EU (international-track masters €7,148).</t>
        </is>
      </c>
      <c r="X955" s="25" t="inlineStr">
        <is>
          <t>High</t>
        </is>
      </c>
      <c r="Y955" s="25" t="n"/>
      <c r="Z955" s="26" t="n"/>
      <c r="AA955" s="26" t="n"/>
      <c r="AB955" s="25" t="n"/>
      <c r="AC955" s="25" t="inlineStr">
        <is>
          <t>Open</t>
        </is>
      </c>
      <c r="AD955" s="25" t="inlineStr">
        <is>
          <t>2026-10-01</t>
        </is>
      </c>
      <c r="AE955" s="25" t="inlineStr">
        <is>
          <t>2027-03-15</t>
        </is>
      </c>
      <c r="AF955" s="25" t="inlineStr">
        <is>
          <t>No</t>
        </is>
      </c>
      <c r="AG955" s="25" t="n"/>
      <c r="AH955" s="26" t="n"/>
      <c r="AI955" s="28" t="inlineStr">
        <is>
          <t>Open in EEF</t>
        </is>
      </c>
    </row>
    <row r="956" ht="22.35" customHeight="1" s="19">
      <c r="A956" s="25" t="n">
        <v>955</v>
      </c>
      <c r="B956" s="25" t="inlineStr">
        <is>
          <t>★★★☆☆</t>
        </is>
      </c>
      <c r="C956" s="25" t="inlineStr">
        <is>
          <t>3 – Adjacent (AI/data/CS/cyber/energy)</t>
        </is>
      </c>
      <c r="D956" s="25" t="inlineStr">
        <is>
          <t>Computer science / Software</t>
        </is>
      </c>
      <c r="E956" s="26" t="inlineStr">
        <is>
          <t>Master Sciences, technologies, santé mention informatique spécialité recherche opérationnelle</t>
        </is>
      </c>
      <c r="F956" s="26" t="inlineStr">
        <is>
          <t>Master Science, Technology, Health (STS) – major: Computer Science – specialisation: Research Operational</t>
        </is>
      </c>
      <c r="G956" s="25" t="inlineStr">
        <is>
          <t>Master indifférencié (recherche et professionnel)</t>
        </is>
      </c>
      <c r="H956" s="25" t="inlineStr">
        <is>
          <t>Ecole nationale supérieure de techniques avancées</t>
        </is>
      </c>
      <c r="I956" s="25" t="n"/>
      <c r="J956" s="25" t="inlineStr">
        <is>
          <t>Site de Palaiseau</t>
        </is>
      </c>
      <c r="K956" s="25" t="n"/>
      <c r="L956" s="25" t="inlineStr">
        <is>
          <t>Public school / institute</t>
        </is>
      </c>
      <c r="M956" s="25" t="inlineStr">
        <is>
          <t>French</t>
        </is>
      </c>
      <c r="N956" s="25" t="inlineStr">
        <is>
          <t>General</t>
        </is>
      </c>
      <c r="O956" s="25" t="inlineStr">
        <is>
          <t>Bac +5</t>
        </is>
      </c>
      <c r="P956" s="26" t="inlineStr">
        <is>
          <t>Requires Bac+5 (Master) – likely not eligible; ask if 4-yr BS + experience accepted</t>
        </is>
      </c>
      <c r="Q956" s="25" t="inlineStr">
        <is>
          <t>2</t>
        </is>
      </c>
      <c r="R956" s="25" t="n"/>
      <c r="S956" s="27" t="n">
        <v>4317</v>
      </c>
      <c r="T956" s="27" t="n"/>
      <c r="U956" s="25" t="n">
        <v>1</v>
      </c>
      <c r="V956" s="27">
        <f>IF(S956="","",S956*U956)</f>
        <v/>
      </c>
      <c r="W956" s="26" t="inlineStr">
        <is>
          <t>Not in catalogue. IP Paris 2026-27: national master €4,317 non-EU (international-track masters €7,148).</t>
        </is>
      </c>
      <c r="X956" s="25" t="inlineStr">
        <is>
          <t>High</t>
        </is>
      </c>
      <c r="Y956" s="25" t="n"/>
      <c r="Z956" s="26" t="n"/>
      <c r="AA956" s="26" t="n"/>
      <c r="AB956" s="25" t="n"/>
      <c r="AC956" s="25" t="inlineStr">
        <is>
          <t>Closed</t>
        </is>
      </c>
      <c r="AD956" s="25" t="n"/>
      <c r="AE956" s="25" t="n"/>
      <c r="AF956" s="25" t="inlineStr">
        <is>
          <t>No</t>
        </is>
      </c>
      <c r="AG956" s="28" t="inlineStr">
        <is>
          <t>http://www.ensta-paristech.fr</t>
        </is>
      </c>
      <c r="AH956" s="26" t="n"/>
      <c r="AI956" s="28" t="inlineStr">
        <is>
          <t>Open in EEF</t>
        </is>
      </c>
    </row>
    <row r="957" ht="32.8" customHeight="1" s="19">
      <c r="A957" s="25" t="n">
        <v>956</v>
      </c>
      <c r="B957" s="25" t="inlineStr">
        <is>
          <t>★★★☆☆</t>
        </is>
      </c>
      <c r="C957" s="25" t="inlineStr">
        <is>
          <t>3 – Adjacent (AI/data/CS/cyber/energy)</t>
        </is>
      </c>
      <c r="D957" s="25" t="inlineStr">
        <is>
          <t>Electrical energy</t>
        </is>
      </c>
      <c r="E957" s="26" t="inlineStr">
        <is>
          <t>Master rech. Sciences et technologies mention fluides et systèmes énergétiques spécialité mobilité et véhicules électriques (ParisTech) (pour étudiants internationaux)</t>
        </is>
      </c>
      <c r="F957" s="26" t="inlineStr">
        <is>
          <t>Research Master Science &amp; Technology – major: fluides &amp; Systems énergétiques – specialisation: Mobility &amp; Vehicles Electrical (ParisTech) (for students international)</t>
        </is>
      </c>
      <c r="G957" s="25" t="inlineStr">
        <is>
          <t>Master recherche</t>
        </is>
      </c>
      <c r="H957" s="25" t="inlineStr">
        <is>
          <t>Ecole nationale supérieure de techniques avancées</t>
        </is>
      </c>
      <c r="I957" s="25" t="n"/>
      <c r="J957" s="25" t="inlineStr">
        <is>
          <t>Site de Palaiseau</t>
        </is>
      </c>
      <c r="K957" s="25" t="n"/>
      <c r="L957" s="25" t="inlineStr">
        <is>
          <t>Public school / institute</t>
        </is>
      </c>
      <c r="M957" s="25" t="inlineStr">
        <is>
          <t>French</t>
        </is>
      </c>
      <c r="N957" s="25" t="inlineStr">
        <is>
          <t>General</t>
        </is>
      </c>
      <c r="O957" s="25" t="inlineStr">
        <is>
          <t>Bac +5</t>
        </is>
      </c>
      <c r="P957" s="26" t="inlineStr">
        <is>
          <t>Requires Bac+5 (Master) – likely not eligible; ask if 4-yr BS + experience accepted</t>
        </is>
      </c>
      <c r="Q957" s="25" t="inlineStr">
        <is>
          <t>2</t>
        </is>
      </c>
      <c r="R957" s="25" t="n"/>
      <c r="S957" s="27" t="n">
        <v>4317</v>
      </c>
      <c r="T957" s="27" t="n"/>
      <c r="U957" s="25" t="n">
        <v>1</v>
      </c>
      <c r="V957" s="27">
        <f>IF(S957="","",S957*U957)</f>
        <v/>
      </c>
      <c r="W957" s="26" t="inlineStr">
        <is>
          <t>Not in catalogue. IP Paris 2026-27: national master €4,317 non-EU (international-track masters €7,148).</t>
        </is>
      </c>
      <c r="X957" s="25" t="inlineStr">
        <is>
          <t>High</t>
        </is>
      </c>
      <c r="Y957" s="25" t="n"/>
      <c r="Z957" s="26" t="n"/>
      <c r="AA957" s="26" t="n"/>
      <c r="AB957" s="25" t="n"/>
      <c r="AC957" s="25" t="inlineStr">
        <is>
          <t>Closed</t>
        </is>
      </c>
      <c r="AD957" s="25" t="n"/>
      <c r="AE957" s="25" t="n"/>
      <c r="AF957" s="25" t="inlineStr">
        <is>
          <t>No</t>
        </is>
      </c>
      <c r="AG957" s="28" t="inlineStr">
        <is>
          <t>http://www.ensta-paristech.fr</t>
        </is>
      </c>
      <c r="AH957" s="26" t="n"/>
      <c r="AI957" s="28" t="inlineStr">
        <is>
          <t>Open in EEF</t>
        </is>
      </c>
    </row>
    <row r="958" ht="22.35" customHeight="1" s="19">
      <c r="A958" s="25" t="n">
        <v>957</v>
      </c>
      <c r="B958" s="25" t="inlineStr">
        <is>
          <t>★★★☆☆</t>
        </is>
      </c>
      <c r="C958" s="25" t="inlineStr">
        <is>
          <t>3 – Adjacent (AI/data/CS/cyber/energy)</t>
        </is>
      </c>
      <c r="D958" s="25" t="inlineStr">
        <is>
          <t>Other engineering / maths</t>
        </is>
      </c>
      <c r="E958" s="26" t="inlineStr">
        <is>
          <t>Master rech. Sciences, technologies, santé mention mathématiques et applications spécialité modélisation et simulation</t>
        </is>
      </c>
      <c r="F958" s="26" t="inlineStr">
        <is>
          <t>Research Master Science, Technology, Health (STS) – major: Mathematics &amp; Applications – specialisation: Modelling &amp; Simulation</t>
        </is>
      </c>
      <c r="G958" s="25" t="inlineStr">
        <is>
          <t>Master recherche</t>
        </is>
      </c>
      <c r="H958" s="25" t="inlineStr">
        <is>
          <t>Ecole nationale supérieure de techniques avancées</t>
        </is>
      </c>
      <c r="I958" s="25" t="n"/>
      <c r="J958" s="25" t="inlineStr">
        <is>
          <t>Site de Palaiseau</t>
        </is>
      </c>
      <c r="K958" s="25" t="n"/>
      <c r="L958" s="25" t="inlineStr">
        <is>
          <t>Public school / institute</t>
        </is>
      </c>
      <c r="M958" s="25" t="inlineStr">
        <is>
          <t>French</t>
        </is>
      </c>
      <c r="N958" s="25" t="inlineStr">
        <is>
          <t>General</t>
        </is>
      </c>
      <c r="O958" s="25" t="inlineStr">
        <is>
          <t>Bac +5</t>
        </is>
      </c>
      <c r="P958" s="26" t="inlineStr">
        <is>
          <t>Requires Bac+5 (Master) – likely not eligible; ask if 4-yr BS + experience accepted</t>
        </is>
      </c>
      <c r="Q958" s="25" t="inlineStr">
        <is>
          <t>2</t>
        </is>
      </c>
      <c r="R958" s="25" t="n"/>
      <c r="S958" s="27" t="n">
        <v>4317</v>
      </c>
      <c r="T958" s="27" t="n"/>
      <c r="U958" s="25" t="n">
        <v>1</v>
      </c>
      <c r="V958" s="27">
        <f>IF(S958="","",S958*U958)</f>
        <v/>
      </c>
      <c r="W958" s="26" t="inlineStr">
        <is>
          <t>Not in catalogue. IP Paris 2026-27: national master €4,317 non-EU (international-track masters €7,148).</t>
        </is>
      </c>
      <c r="X958" s="25" t="inlineStr">
        <is>
          <t>High</t>
        </is>
      </c>
      <c r="Y958" s="25" t="n"/>
      <c r="Z958" s="26" t="n"/>
      <c r="AA958" s="26" t="n"/>
      <c r="AB958" s="25" t="n"/>
      <c r="AC958" s="25" t="inlineStr">
        <is>
          <t>Closed</t>
        </is>
      </c>
      <c r="AD958" s="25" t="n"/>
      <c r="AE958" s="25" t="n"/>
      <c r="AF958" s="25" t="inlineStr">
        <is>
          <t>No</t>
        </is>
      </c>
      <c r="AG958" s="28" t="inlineStr">
        <is>
          <t>http://www.ensta-paristech.fr</t>
        </is>
      </c>
      <c r="AH958" s="26" t="n"/>
      <c r="AI958" s="28" t="inlineStr">
        <is>
          <t>Open in EEF</t>
        </is>
      </c>
    </row>
    <row r="959" ht="32.8" customHeight="1" s="19">
      <c r="A959" s="25" t="n">
        <v>958</v>
      </c>
      <c r="B959" s="25" t="inlineStr">
        <is>
          <t>★★★☆☆</t>
        </is>
      </c>
      <c r="C959" s="25" t="inlineStr">
        <is>
          <t>3 – Adjacent (AI/data/CS/cyber/energy)</t>
        </is>
      </c>
      <c r="D959" s="25" t="inlineStr">
        <is>
          <t>IoT / Telecom / Networks</t>
        </is>
      </c>
      <c r="E959" s="26" t="inlineStr">
        <is>
          <t>Master of Science (MSc) Data Science and Network Intelligence</t>
        </is>
      </c>
      <c r="F959" s="26" t="inlineStr">
        <is>
          <t>Master of Science (MSc) Data Science and Network Intelligence</t>
        </is>
      </c>
      <c r="G959" s="25" t="inlineStr">
        <is>
          <t>Master of Science (MSc)</t>
        </is>
      </c>
      <c r="H959" s="25" t="inlineStr">
        <is>
          <t>Télécom SudParis</t>
        </is>
      </c>
      <c r="I959" s="25" t="n"/>
      <c r="J959" s="25" t="inlineStr">
        <is>
          <t>Site de Evry</t>
        </is>
      </c>
      <c r="K959" s="25" t="n"/>
      <c r="L959" s="25" t="inlineStr">
        <is>
          <t>Public school / institute</t>
        </is>
      </c>
      <c r="M959" s="25" t="inlineStr">
        <is>
          <t>English</t>
        </is>
      </c>
      <c r="N959" s="25" t="inlineStr">
        <is>
          <t>Taught in English</t>
        </is>
      </c>
      <c r="O959" s="25" t="inlineStr">
        <is>
          <t>Bac +5</t>
        </is>
      </c>
      <c r="P959" s="26" t="inlineStr">
        <is>
          <t>Requires Bac+5 (Master) – likely not eligible; ask if 4-yr BS + experience accepted</t>
        </is>
      </c>
      <c r="Q959" s="25" t="inlineStr">
        <is>
          <t>2</t>
        </is>
      </c>
      <c r="R959" s="25" t="inlineStr">
        <is>
          <t>12</t>
        </is>
      </c>
      <c r="S959" s="27" t="n">
        <v>5000</v>
      </c>
      <c r="T959" s="27" t="n"/>
      <c r="U959" s="25" t="n">
        <v>1</v>
      </c>
      <c r="V959" s="27">
        <f>IF(S959="","",S959*U959)</f>
        <v/>
      </c>
      <c r="W959" s="26" t="inlineStr">
        <is>
          <t>Catalogue fee €5,000/yr (entered by institution).</t>
        </is>
      </c>
      <c r="X959" s="25" t="inlineStr">
        <is>
          <t>High</t>
        </is>
      </c>
      <c r="Y959" s="25" t="inlineStr">
        <is>
          <t>5000</t>
        </is>
      </c>
      <c r="Z959" s="26" t="n"/>
      <c r="AA959" s="26" t="n"/>
      <c r="AB959" s="25" t="n"/>
      <c r="AC959" s="25" t="inlineStr">
        <is>
          <t>Open</t>
        </is>
      </c>
      <c r="AD959" s="25" t="inlineStr">
        <is>
          <t>2026-10-01</t>
        </is>
      </c>
      <c r="AE959" s="25" t="inlineStr">
        <is>
          <t>2027-03-15</t>
        </is>
      </c>
      <c r="AF959" s="25" t="inlineStr">
        <is>
          <t>Yes</t>
        </is>
      </c>
      <c r="AG959" s="28" t="inlineStr">
        <is>
          <t>https://www.telecom-sudparis.eu/en/formation/master-of-science-data-science-network-intelligence/</t>
        </is>
      </c>
      <c r="AH959" s="26" t="inlineStr">
        <is>
          <t>Academic requirements: Students holding a 4-year Bachelor Degree, a Master 1 degree or equivalent academic level (minimum 240 ECTS) can enroll directly in the Master 2, follow the 2 semesters program. Students holding le</t>
        </is>
      </c>
      <c r="AI959" s="28" t="inlineStr">
        <is>
          <t>Open in EEF</t>
        </is>
      </c>
    </row>
    <row r="960" ht="32.8" customHeight="1" s="19">
      <c r="A960" s="25" t="n">
        <v>959</v>
      </c>
      <c r="B960" s="25" t="inlineStr">
        <is>
          <t>★★★☆☆</t>
        </is>
      </c>
      <c r="C960" s="25" t="inlineStr">
        <is>
          <t>3 – Adjacent (AI/data/CS/cyber/energy)</t>
        </is>
      </c>
      <c r="D960" s="25" t="inlineStr">
        <is>
          <t>IoT / Telecom / Networks</t>
        </is>
      </c>
      <c r="E960" s="26" t="inlineStr">
        <is>
          <t>Data Science and Network Intelligence (DANI)</t>
        </is>
      </c>
      <c r="F960" s="26" t="inlineStr">
        <is>
          <t>Data Science and Network Intelligence (DANI)</t>
        </is>
      </c>
      <c r="G960" s="25" t="inlineStr">
        <is>
          <t>Mastère en sciences (MSc)</t>
        </is>
      </c>
      <c r="H960" s="25" t="inlineStr">
        <is>
          <t>Télécom SudParis</t>
        </is>
      </c>
      <c r="I960" s="25" t="n"/>
      <c r="J960" s="25" t="inlineStr">
        <is>
          <t>Site de Evry</t>
        </is>
      </c>
      <c r="K960" s="25" t="n"/>
      <c r="L960" s="25" t="inlineStr">
        <is>
          <t>Public school / institute</t>
        </is>
      </c>
      <c r="M960" s="25" t="inlineStr">
        <is>
          <t>English</t>
        </is>
      </c>
      <c r="N960" s="25" t="inlineStr">
        <is>
          <t>General</t>
        </is>
      </c>
      <c r="O960" s="25" t="inlineStr">
        <is>
          <t>Bac +5</t>
        </is>
      </c>
      <c r="P960" s="26" t="inlineStr">
        <is>
          <t>Requires Bac+5 (Master) – likely not eligible; ask if 4-yr BS + experience accepted</t>
        </is>
      </c>
      <c r="Q960" s="25" t="inlineStr">
        <is>
          <t>2</t>
        </is>
      </c>
      <c r="R960" s="25" t="inlineStr">
        <is>
          <t>12</t>
        </is>
      </c>
      <c r="S960" s="27" t="n">
        <v>5000</v>
      </c>
      <c r="T960" s="27" t="n"/>
      <c r="U960" s="25" t="n">
        <v>1</v>
      </c>
      <c r="V960" s="27">
        <f>IF(S960="","",S960*U960)</f>
        <v/>
      </c>
      <c r="W960" s="26" t="inlineStr">
        <is>
          <t>Catalogue fee €5,000/yr (entered by institution).</t>
        </is>
      </c>
      <c r="X960" s="25" t="inlineStr">
        <is>
          <t>High</t>
        </is>
      </c>
      <c r="Y960" s="25" t="inlineStr">
        <is>
          <t>5000</t>
        </is>
      </c>
      <c r="Z960" s="26" t="n"/>
      <c r="AA960" s="26" t="n"/>
      <c r="AB960" s="25" t="n"/>
      <c r="AC960" s="25" t="inlineStr">
        <is>
          <t>Open</t>
        </is>
      </c>
      <c r="AD960" s="25" t="inlineStr">
        <is>
          <t>2026-10-01</t>
        </is>
      </c>
      <c r="AE960" s="25" t="inlineStr">
        <is>
          <t>2027-03-15</t>
        </is>
      </c>
      <c r="AF960" s="25" t="inlineStr">
        <is>
          <t>Yes</t>
        </is>
      </c>
      <c r="AG960" s="28" t="inlineStr">
        <is>
          <t>https://www.telecom-sudparis.eu/en/formation/master-of-science-data-science-network-intelligence/</t>
        </is>
      </c>
      <c r="AH960" s="26" t="inlineStr">
        <is>
          <t>Academic requirements: Students holding a 4-year Bachelor Degree, a Master 1 degree or equivalent academic level (minimum 240 ECTS) can enroll directly in the Master 2, follow the 2 semesters program. Students holding le</t>
        </is>
      </c>
      <c r="AI960" s="28" t="inlineStr">
        <is>
          <t>Open in EEF</t>
        </is>
      </c>
    </row>
    <row r="961" ht="32.8" customHeight="1" s="19">
      <c r="A961" s="25" t="n">
        <v>960</v>
      </c>
      <c r="B961" s="25" t="inlineStr">
        <is>
          <t>★★★☆☆</t>
        </is>
      </c>
      <c r="C961" s="25" t="inlineStr">
        <is>
          <t>3 – Adjacent (AI/data/CS/cyber/energy)</t>
        </is>
      </c>
      <c r="D961" s="25" t="inlineStr">
        <is>
          <t>AI / Data science</t>
        </is>
      </c>
      <c r="E961" s="26" t="inlineStr">
        <is>
          <t>Master for Smart Data Science</t>
        </is>
      </c>
      <c r="F961" s="26" t="inlineStr">
        <is>
          <t>Master for Smart Data Science</t>
        </is>
      </c>
      <c r="G961" s="25" t="inlineStr">
        <is>
          <t>Master indifférencié (recherche et professionnel)</t>
        </is>
      </c>
      <c r="H961" s="25" t="inlineStr">
        <is>
          <t>Ecole nationale de la statistique et de l'analyse de l'information</t>
        </is>
      </c>
      <c r="I961" s="25" t="n"/>
      <c r="J961" s="25" t="inlineStr">
        <is>
          <t>ENSAI</t>
        </is>
      </c>
      <c r="K961" s="25" t="n"/>
      <c r="L961" s="25" t="inlineStr">
        <is>
          <t>Public school / institute</t>
        </is>
      </c>
      <c r="M961" s="25" t="inlineStr">
        <is>
          <t>English</t>
        </is>
      </c>
      <c r="N961" s="25" t="inlineStr">
        <is>
          <t>Taught in English</t>
        </is>
      </c>
      <c r="O961" s="25" t="inlineStr">
        <is>
          <t>Bac +5</t>
        </is>
      </c>
      <c r="P961" s="26" t="inlineStr">
        <is>
          <t>Requires Bac+5 (Master) – likely not eligible; ask if 4-yr BS + experience accepted</t>
        </is>
      </c>
      <c r="Q961" s="25" t="inlineStr">
        <is>
          <t>2</t>
        </is>
      </c>
      <c r="R961" s="25" t="inlineStr">
        <is>
          <t>12</t>
        </is>
      </c>
      <c r="S961" s="27" t="n">
        <v>6000</v>
      </c>
      <c r="T961" s="27" t="n"/>
      <c r="U961" s="25" t="n">
        <v>1</v>
      </c>
      <c r="V961" s="27">
        <f>IF(S961="","",S961*U961)</f>
        <v/>
      </c>
      <c r="W961" s="26" t="inlineStr">
        <is>
          <t>Catalogue fee €6,000/yr (entered by institution).</t>
        </is>
      </c>
      <c r="X961" s="25" t="inlineStr">
        <is>
          <t>High</t>
        </is>
      </c>
      <c r="Y961" s="25" t="inlineStr">
        <is>
          <t>6000</t>
        </is>
      </c>
      <c r="Z961" s="26" t="n"/>
      <c r="AA961" s="26" t="n"/>
      <c r="AB961" s="25" t="n"/>
      <c r="AC961" s="25" t="inlineStr">
        <is>
          <t>Open</t>
        </is>
      </c>
      <c r="AD961" s="25" t="inlineStr">
        <is>
          <t>2026-10-01</t>
        </is>
      </c>
      <c r="AE961" s="25" t="inlineStr">
        <is>
          <t>2027-03-15</t>
        </is>
      </c>
      <c r="AF961" s="25" t="inlineStr">
        <is>
          <t>Yes</t>
        </is>
      </c>
      <c r="AG961" s="28" t="inlineStr">
        <is>
          <t>http://www.ensai.fr/</t>
        </is>
      </c>
      <c r="AH961" s="26" t="inlineStr">
        <is>
          <t>All courses are taught in English Admissions All applicants must follow the application procedure as outlined on the ENSAI website. This Master of Science in Statistics for Smart Data is open to students of all nationali</t>
        </is>
      </c>
      <c r="AI961" s="28" t="inlineStr">
        <is>
          <t>Open in EEF</t>
        </is>
      </c>
    </row>
    <row r="962" ht="32.8" customHeight="1" s="19">
      <c r="A962" s="25" t="n">
        <v>961</v>
      </c>
      <c r="B962" s="25" t="inlineStr">
        <is>
          <t>★★★☆☆</t>
        </is>
      </c>
      <c r="C962" s="25" t="inlineStr">
        <is>
          <t>3 – Adjacent (AI/data/CS/cyber/energy)</t>
        </is>
      </c>
      <c r="D962" s="25" t="inlineStr">
        <is>
          <t>AI / Data science</t>
        </is>
      </c>
      <c r="E962" s="26" t="inlineStr">
        <is>
          <t>University Degree in Data Mining and Optimization Architecture (ADEO)</t>
        </is>
      </c>
      <c r="F962" s="26" t="inlineStr">
        <is>
          <t>University Degree in Data Mining and Optimization Architecture (ADEO)</t>
        </is>
      </c>
      <c r="G962" s="25" t="inlineStr">
        <is>
          <t>Master indifférencié (recherche et professionnel)</t>
        </is>
      </c>
      <c r="H962" s="25" t="inlineStr">
        <is>
          <t>CY Tech école d'ingénieur</t>
        </is>
      </c>
      <c r="I962" s="25" t="inlineStr">
        <is>
          <t>CY Cergy Paris Université</t>
        </is>
      </c>
      <c r="J962" s="25" t="inlineStr">
        <is>
          <t>Site de Cergy</t>
        </is>
      </c>
      <c r="K962" s="25" t="n"/>
      <c r="L962" s="25" t="inlineStr">
        <is>
          <t>Public school / institute</t>
        </is>
      </c>
      <c r="M962" s="25" t="inlineStr">
        <is>
          <t>English</t>
        </is>
      </c>
      <c r="N962" s="25" t="inlineStr">
        <is>
          <t>Taught in English</t>
        </is>
      </c>
      <c r="O962" s="25" t="inlineStr">
        <is>
          <t>Bac +5</t>
        </is>
      </c>
      <c r="P962" s="26" t="inlineStr">
        <is>
          <t>Requires Bac+5 (Master) – likely not eligible; ask if 4-yr BS + experience accepted</t>
        </is>
      </c>
      <c r="Q962" s="25" t="inlineStr">
        <is>
          <t>2</t>
        </is>
      </c>
      <c r="R962" s="25" t="inlineStr">
        <is>
          <t>12</t>
        </is>
      </c>
      <c r="S962" s="27" t="n">
        <v>7000</v>
      </c>
      <c r="T962" s="27" t="n"/>
      <c r="U962" s="25" t="n">
        <v>1</v>
      </c>
      <c r="V962" s="27">
        <f>IF(S962="","",S962*U962)</f>
        <v/>
      </c>
      <c r="W962" s="26" t="inlineStr">
        <is>
          <t>Catalogue fee €7,000/yr (entered by institution).</t>
        </is>
      </c>
      <c r="X962" s="25" t="inlineStr">
        <is>
          <t>High</t>
        </is>
      </c>
      <c r="Y962" s="25" t="inlineStr">
        <is>
          <t>7000</t>
        </is>
      </c>
      <c r="Z962" s="26" t="n"/>
      <c r="AA962" s="26" t="n"/>
      <c r="AB962" s="25" t="n"/>
      <c r="AC962" s="25" t="inlineStr">
        <is>
          <t>Open</t>
        </is>
      </c>
      <c r="AD962" s="25" t="inlineStr">
        <is>
          <t>2026-10-01</t>
        </is>
      </c>
      <c r="AE962" s="25" t="inlineStr">
        <is>
          <t>2027-03-15</t>
        </is>
      </c>
      <c r="AF962" s="25" t="inlineStr">
        <is>
          <t>Yes</t>
        </is>
      </c>
      <c r="AG962" s="28" t="inlineStr">
        <is>
          <t>https://cytech.cyu.fr/international-cy-tech/formations-internationales</t>
        </is>
      </c>
      <c r="AH962" s="26" t="inlineStr">
        <is>
          <t>All courses are taught in English Admission This program is available for a pplicants who are looking for an international career in the domain of business analytics, business intelligence and big data and for those thos</t>
        </is>
      </c>
      <c r="AI962" s="28" t="inlineStr">
        <is>
          <t>Open in EEF</t>
        </is>
      </c>
    </row>
    <row r="963" ht="32.8" customHeight="1" s="19">
      <c r="A963" s="25" t="n">
        <v>962</v>
      </c>
      <c r="B963" s="25" t="inlineStr">
        <is>
          <t>★★★☆☆</t>
        </is>
      </c>
      <c r="C963" s="25" t="inlineStr">
        <is>
          <t>3 – Adjacent (AI/data/CS/cyber/energy)</t>
        </is>
      </c>
      <c r="D963" s="25" t="inlineStr">
        <is>
          <t>Other engineering / maths</t>
        </is>
      </c>
      <c r="E963" s="26" t="inlineStr">
        <is>
          <t>Master indifférencié (recherche et professionnel) mention Master of Science and Technology: Complex Systems Engineering (CSE) parcours Engineers for Smart Cities</t>
        </is>
      </c>
      <c r="F963" s="26" t="inlineStr">
        <is>
          <t>major: Master of Science and Technology: Complex Systems Engineering (CSE) – track: Engineers for Smart Cities</t>
        </is>
      </c>
      <c r="G963" s="25" t="inlineStr">
        <is>
          <t>Master indifférencié (recherche et professionnel)</t>
        </is>
      </c>
      <c r="H963" s="25" t="inlineStr">
        <is>
          <t>Ecole centrale de Marseille</t>
        </is>
      </c>
      <c r="I963" s="25" t="n"/>
      <c r="J963" s="25" t="inlineStr">
        <is>
          <t>Ecole Centrale de Marseille</t>
        </is>
      </c>
      <c r="K963" s="25" t="inlineStr">
        <is>
          <t>13013 MARSEILLE</t>
        </is>
      </c>
      <c r="L963" s="25" t="inlineStr">
        <is>
          <t>Public school / institute</t>
        </is>
      </c>
      <c r="M963" s="25" t="inlineStr">
        <is>
          <t>English</t>
        </is>
      </c>
      <c r="N963" s="25" t="inlineStr">
        <is>
          <t>Taught in English</t>
        </is>
      </c>
      <c r="O963" s="25" t="inlineStr">
        <is>
          <t>Bac +5</t>
        </is>
      </c>
      <c r="P963" s="26" t="inlineStr">
        <is>
          <t>Requires Bac+5 (Master) – likely not eligible; ask if 4-yr BS + experience accepted</t>
        </is>
      </c>
      <c r="Q963" s="25" t="inlineStr">
        <is>
          <t>2</t>
        </is>
      </c>
      <c r="R963" s="25" t="inlineStr">
        <is>
          <t>12</t>
        </is>
      </c>
      <c r="S963" s="27" t="n">
        <v>10270</v>
      </c>
      <c r="T963" s="27" t="n"/>
      <c r="U963" s="25" t="n">
        <v>1</v>
      </c>
      <c r="V963" s="27">
        <f>IF(S963="","",S963*U963)</f>
        <v/>
      </c>
      <c r="W963" s="26" t="inlineStr">
        <is>
          <t>Catalogue fee €10,270/yr (entered by institution).</t>
        </is>
      </c>
      <c r="X963" s="25" t="inlineStr">
        <is>
          <t>High</t>
        </is>
      </c>
      <c r="Y963" s="25" t="inlineStr">
        <is>
          <t>10270</t>
        </is>
      </c>
      <c r="Z963" s="26" t="n"/>
      <c r="AA963" s="26" t="n"/>
      <c r="AB963" s="25" t="n"/>
      <c r="AC963" s="25" t="inlineStr">
        <is>
          <t>Open</t>
        </is>
      </c>
      <c r="AD963" s="25" t="inlineStr">
        <is>
          <t>2026-10-01</t>
        </is>
      </c>
      <c r="AE963" s="25" t="inlineStr">
        <is>
          <t>2027-03-15</t>
        </is>
      </c>
      <c r="AF963" s="25" t="inlineStr">
        <is>
          <t>Yes</t>
        </is>
      </c>
      <c r="AG963" s="28" t="inlineStr">
        <is>
          <t>https://www.centrale-mediterranee.fr/fr/formation/masters/master-engineers-smart-cities</t>
        </is>
      </c>
      <c r="AH963" s="26" t="inlineStr">
        <is>
          <t>This study program is suitable for initial and continuing education candidates with a higher education degree in relevant fields: engineering, environmental science, architecture, urban planning, geography, computer scie</t>
        </is>
      </c>
      <c r="AI963" s="28" t="inlineStr">
        <is>
          <t>Open in EEF</t>
        </is>
      </c>
    </row>
    <row r="964" ht="32.8" customHeight="1" s="19">
      <c r="A964" s="25" t="n">
        <v>963</v>
      </c>
      <c r="B964" s="25" t="inlineStr">
        <is>
          <t>★★★☆☆</t>
        </is>
      </c>
      <c r="C964" s="25" t="inlineStr">
        <is>
          <t>3 – Adjacent (AI/data/CS/cyber/energy)</t>
        </is>
      </c>
      <c r="D964" s="25" t="inlineStr">
        <is>
          <t>Cybersecurity</t>
        </is>
      </c>
      <c r="E964" s="26" t="inlineStr">
        <is>
          <t>Master of Science (MSc) MSc Smart Information Systems and Cyber Leadership</t>
        </is>
      </c>
      <c r="F964" s="26" t="inlineStr">
        <is>
          <t>Master of Science (MSc) MSc Smart Information Systems and Cyber Leadership</t>
        </is>
      </c>
      <c r="G964" s="25" t="inlineStr">
        <is>
          <t>Master of Science (MSc)</t>
        </is>
      </c>
      <c r="H964" s="25" t="inlineStr">
        <is>
          <t>CESI Ecole d'Ingénieurs</t>
        </is>
      </c>
      <c r="I964" s="25" t="inlineStr">
        <is>
          <t>CESI</t>
        </is>
      </c>
      <c r="J964" s="25" t="inlineStr">
        <is>
          <t>Campus de Lille</t>
        </is>
      </c>
      <c r="K964" s="25" t="inlineStr">
        <is>
          <t>59650 VILLENEUVE-D'ASCQ</t>
        </is>
      </c>
      <c r="L964" s="25" t="inlineStr">
        <is>
          <t>Private / EESPIG</t>
        </is>
      </c>
      <c r="M964" s="25" t="inlineStr">
        <is>
          <t>English</t>
        </is>
      </c>
      <c r="N964" s="25" t="inlineStr">
        <is>
          <t>Taught in English</t>
        </is>
      </c>
      <c r="O964" s="25" t="inlineStr">
        <is>
          <t>Bac +6</t>
        </is>
      </c>
      <c r="P964" s="26" t="inlineStr">
        <is>
          <t>Requires Bac+5 (Master) – likely not eligible; ask if 4-yr BS + experience accepted</t>
        </is>
      </c>
      <c r="Q964" s="25" t="inlineStr">
        <is>
          <t>1</t>
        </is>
      </c>
      <c r="R964" s="25" t="inlineStr">
        <is>
          <t>12</t>
        </is>
      </c>
      <c r="S964" s="27" t="n">
        <v>12000</v>
      </c>
      <c r="T964" s="27" t="n"/>
      <c r="U964" s="25" t="n">
        <v>1</v>
      </c>
      <c r="V964" s="27">
        <f>IF(S964="","",S964*U964)</f>
        <v/>
      </c>
      <c r="W964" s="26" t="inlineStr">
        <is>
          <t>Catalogue fee €12,000/yr (entered by institution).</t>
        </is>
      </c>
      <c r="X964" s="25" t="inlineStr">
        <is>
          <t>High</t>
        </is>
      </c>
      <c r="Y964" s="25" t="inlineStr">
        <is>
          <t>12000</t>
        </is>
      </c>
      <c r="Z964" s="26" t="n"/>
      <c r="AA964" s="26" t="n"/>
      <c r="AB964" s="25" t="n"/>
      <c r="AC964" s="25" t="inlineStr">
        <is>
          <t>Open</t>
        </is>
      </c>
      <c r="AD964" s="25" t="inlineStr">
        <is>
          <t>2026-10-01</t>
        </is>
      </c>
      <c r="AE964" s="25" t="inlineStr">
        <is>
          <t>2027-03-15</t>
        </is>
      </c>
      <c r="AF964" s="25" t="inlineStr">
        <is>
          <t>Yes</t>
        </is>
      </c>
      <c r="AG964" s="28" t="inlineStr">
        <is>
          <t>https://www.cesi.fr/</t>
        </is>
      </c>
      <c r="AH964" s="26" t="inlineStr">
        <is>
          <t>Enrollment in the admission process is conditional upon proof of educational prerequisites and professional competence as defined by the french Conference des Grandes Ecoles (CGE). General admission requirements: Applica</t>
        </is>
      </c>
      <c r="AI964" s="28" t="inlineStr">
        <is>
          <t>Open in EEF</t>
        </is>
      </c>
    </row>
    <row r="965" ht="43.25" customHeight="1" s="19">
      <c r="A965" s="25" t="n">
        <v>964</v>
      </c>
      <c r="B965" s="25" t="inlineStr">
        <is>
          <t>★★★☆☆</t>
        </is>
      </c>
      <c r="C965" s="25" t="inlineStr">
        <is>
          <t>3 – Adjacent (AI/data/CS/cyber/energy)</t>
        </is>
      </c>
      <c r="D965" s="25" t="inlineStr">
        <is>
          <t>AI / Data science</t>
        </is>
      </c>
      <c r="E965" s="26" t="inlineStr">
        <is>
          <t>Master 2 in Data Science</t>
        </is>
      </c>
      <c r="F965" s="26" t="inlineStr">
        <is>
          <t>Master 2 in Data Science</t>
        </is>
      </c>
      <c r="G965" s="25" t="inlineStr">
        <is>
          <t>Master indifférencié (recherche et professionnel)</t>
        </is>
      </c>
      <c r="H965" s="25" t="inlineStr">
        <is>
          <t>Polytech Nantes</t>
        </is>
      </c>
      <c r="I965" s="25" t="inlineStr">
        <is>
          <t>Groupement Polytech</t>
        </is>
      </c>
      <c r="J965" s="25" t="inlineStr">
        <is>
          <t>Masters Internationaux Polytech</t>
        </is>
      </c>
      <c r="K965" s="25" t="inlineStr">
        <is>
          <t>50609</t>
        </is>
      </c>
      <c r="L965" s="25" t="inlineStr">
        <is>
          <t>Public school / institute</t>
        </is>
      </c>
      <c r="M965" s="25" t="inlineStr">
        <is>
          <t>English</t>
        </is>
      </c>
      <c r="N965" s="25" t="inlineStr">
        <is>
          <t>Taught in English</t>
        </is>
      </c>
      <c r="O965" s="25" t="inlineStr">
        <is>
          <t>Bac +5</t>
        </is>
      </c>
      <c r="P965" s="26" t="inlineStr">
        <is>
          <t>Requires Bac+5 (Master) – likely not eligible; ask if 4-yr BS + experience accepted</t>
        </is>
      </c>
      <c r="Q965" s="25" t="inlineStr">
        <is>
          <t>2</t>
        </is>
      </c>
      <c r="R965" s="25" t="n"/>
      <c r="S965" s="27" t="n">
        <v>12000</v>
      </c>
      <c r="T965" s="27" t="n"/>
      <c r="U965" s="25" t="n">
        <v>1</v>
      </c>
      <c r="V965" s="27">
        <f>IF(S965="","",S965*U965)</f>
        <v/>
      </c>
      <c r="W965" s="26" t="inlineStr">
        <is>
          <t>Catalogue fee €12,000/yr (entered by institution).</t>
        </is>
      </c>
      <c r="X965" s="25" t="inlineStr">
        <is>
          <t>High</t>
        </is>
      </c>
      <c r="Y965" s="25" t="inlineStr">
        <is>
          <t>12000</t>
        </is>
      </c>
      <c r="Z965" s="26" t="inlineStr">
        <is>
          <t>COSTS: 12000€ : tuition fees - International Master programs 10500€ : early bird (students paying 1500€ of confirmati … on fees before April the 30th) 0€: students holding a Eiffel Excellence Scolarship 6000€: students</t>
        </is>
      </c>
      <c r="AA965" s="26" t="n"/>
      <c r="AB965" s="25" t="n"/>
      <c r="AC965" s="25" t="inlineStr">
        <is>
          <t>Open</t>
        </is>
      </c>
      <c r="AD965" s="25" t="inlineStr">
        <is>
          <t>2026-10-01</t>
        </is>
      </c>
      <c r="AE965" s="25" t="inlineStr">
        <is>
          <t>2027-03-15</t>
        </is>
      </c>
      <c r="AF965" s="25" t="inlineStr">
        <is>
          <t>No</t>
        </is>
      </c>
      <c r="AG965" s="28" t="inlineStr">
        <is>
          <t>https://polytech.univ-nantes.fr/les-formations/masters-internationaux/data-science-master-s-degree-ds--2355188.kjsp?RH=1382971139912</t>
        </is>
      </c>
      <c r="AH965" s="26" t="inlineStr">
        <is>
          <t>Admission requirements: Applicants should hold a degree which is at least a 4-year degree in higher education equivalent to the first year of a master (i.e. 3-year Bachelor is not acceptable) and should be in one of the</t>
        </is>
      </c>
      <c r="AI965" s="28" t="inlineStr">
        <is>
          <t>Open in EEF</t>
        </is>
      </c>
    </row>
    <row r="966" ht="32.8" customHeight="1" s="19">
      <c r="A966" s="25" t="n">
        <v>965</v>
      </c>
      <c r="B966" s="25" t="inlineStr">
        <is>
          <t>★★★☆☆</t>
        </is>
      </c>
      <c r="C966" s="25" t="inlineStr">
        <is>
          <t>3 – Adjacent (AI/data/CS/cyber/energy)</t>
        </is>
      </c>
      <c r="D966" s="25" t="inlineStr">
        <is>
          <t>Cybersecurity</t>
        </is>
      </c>
      <c r="E966" s="26" t="inlineStr">
        <is>
          <t>Post Master's degree in Security in Computer Systems and Communications</t>
        </is>
      </c>
      <c r="F966" s="26" t="inlineStr">
        <is>
          <t>Post Master's degree in Security in Computer Systems and Communications</t>
        </is>
      </c>
      <c r="G966" s="25" t="inlineStr">
        <is>
          <t>Diplôme d'ingénieur</t>
        </is>
      </c>
      <c r="H966" s="25" t="inlineStr">
        <is>
          <t>EURECOM</t>
        </is>
      </c>
      <c r="I966" s="25" t="n"/>
      <c r="J966" s="25" t="inlineStr">
        <is>
          <t>EURECOM</t>
        </is>
      </c>
      <c r="K966" s="25" t="inlineStr">
        <is>
          <t>06410 Biot - Sophia Antipolis</t>
        </is>
      </c>
      <c r="L966" s="25" t="inlineStr">
        <is>
          <t>Private / EESPIG</t>
        </is>
      </c>
      <c r="M966" s="25" t="inlineStr">
        <is>
          <t>English</t>
        </is>
      </c>
      <c r="N966" s="25" t="inlineStr">
        <is>
          <t>Taught in English</t>
        </is>
      </c>
      <c r="O966" s="25" t="inlineStr">
        <is>
          <t>Bac +6</t>
        </is>
      </c>
      <c r="P966" s="26" t="inlineStr">
        <is>
          <t>Requires Bac+5 (Master) – likely not eligible; ask if 4-yr BS + experience accepted</t>
        </is>
      </c>
      <c r="Q966" s="25" t="inlineStr">
        <is>
          <t>1</t>
        </is>
      </c>
      <c r="R966" s="25" t="inlineStr">
        <is>
          <t>18</t>
        </is>
      </c>
      <c r="S966" s="27" t="n">
        <v>18000</v>
      </c>
      <c r="T966" s="27" t="n"/>
      <c r="U966" s="25" t="n">
        <v>2</v>
      </c>
      <c r="V966" s="27">
        <f>IF(S966="","",S966*U966)</f>
        <v/>
      </c>
      <c r="W966" s="26" t="inlineStr">
        <is>
          <t>Catalogue fee €18,000/yr (entered by institution).</t>
        </is>
      </c>
      <c r="X966" s="25" t="inlineStr">
        <is>
          <t>High</t>
        </is>
      </c>
      <c r="Y966" s="25" t="inlineStr">
        <is>
          <t>18000</t>
        </is>
      </c>
      <c r="Z966" s="26" t="inlineStr">
        <is>
          <t>d/or French Final admission to the program is contingent upon the receipt of a deposit of €1000 on tuition fees</t>
        </is>
      </c>
      <c r="AA966" s="26" t="n"/>
      <c r="AB966" s="25" t="n"/>
      <c r="AC966" s="25" t="inlineStr">
        <is>
          <t>Open</t>
        </is>
      </c>
      <c r="AD966" s="25" t="inlineStr">
        <is>
          <t>2026-10-01</t>
        </is>
      </c>
      <c r="AE966" s="25" t="inlineStr">
        <is>
          <t>2027-03-15</t>
        </is>
      </c>
      <c r="AF966" s="25" t="inlineStr">
        <is>
          <t>Yes</t>
        </is>
      </c>
      <c r="AG966" s="28" t="inlineStr">
        <is>
          <t>https://www.eurecom.fr/en/teaching/post-masters-degree/post-masters-degree-security-computer-systems-and-communications</t>
        </is>
      </c>
      <c r="AH966" s="26" t="inlineStr">
        <is>
          <t>To be eligible, candidates must hold: a Master's degree (minimum 5 years of higher education) , an engineering diploma delivered by the CTI, or equivalent. A Master's degree in a relevant field is expected ( Computer Sci</t>
        </is>
      </c>
      <c r="AI966" s="28" t="inlineStr">
        <is>
          <t>Open in EEF</t>
        </is>
      </c>
    </row>
    <row r="967" ht="32.8" customHeight="1" s="19">
      <c r="A967" s="25" t="n">
        <v>966</v>
      </c>
      <c r="B967" s="25" t="inlineStr">
        <is>
          <t>★★★☆☆</t>
        </is>
      </c>
      <c r="C967" s="25" t="inlineStr">
        <is>
          <t>3 – Adjacent (AI/data/CS/cyber/energy)</t>
        </is>
      </c>
      <c r="D967" s="25" t="inlineStr">
        <is>
          <t>Cybersecurity</t>
        </is>
      </c>
      <c r="E967" s="26" t="inlineStr">
        <is>
          <t>Titre ingénieur spécialisé - Ingénieur spécialisé en sécurité pour les systèmes informatiques et les communications</t>
        </is>
      </c>
      <c r="F967" s="26" t="inlineStr">
        <is>
          <t>Titre Engineer spécialisé - Engineer spécialisé in Security for the Systems informatiques &amp; the communications</t>
        </is>
      </c>
      <c r="G967" s="25" t="inlineStr">
        <is>
          <t>Diplôme d'ingénieur</t>
        </is>
      </c>
      <c r="H967" s="25" t="inlineStr">
        <is>
          <t>EURECOM</t>
        </is>
      </c>
      <c r="I967" s="25" t="n"/>
      <c r="J967" s="25" t="inlineStr">
        <is>
          <t>EURECOM</t>
        </is>
      </c>
      <c r="K967" s="25" t="inlineStr">
        <is>
          <t>06410 Biot - Sophia Antipolis</t>
        </is>
      </c>
      <c r="L967" s="25" t="inlineStr">
        <is>
          <t>Private / EESPIG</t>
        </is>
      </c>
      <c r="M967" s="25" t="inlineStr">
        <is>
          <t>English</t>
        </is>
      </c>
      <c r="N967" s="25" t="inlineStr">
        <is>
          <t>General</t>
        </is>
      </c>
      <c r="O967" s="25" t="inlineStr">
        <is>
          <t>Bac +5</t>
        </is>
      </c>
      <c r="P967" s="26" t="inlineStr">
        <is>
          <t>Requires Bac+5 (Master) – likely not eligible; ask if 4-yr BS + experience accepted</t>
        </is>
      </c>
      <c r="Q967" s="25" t="inlineStr">
        <is>
          <t>1</t>
        </is>
      </c>
      <c r="R967" s="25" t="inlineStr">
        <is>
          <t>18</t>
        </is>
      </c>
      <c r="S967" s="27" t="n">
        <v>18000</v>
      </c>
      <c r="T967" s="27" t="n"/>
      <c r="U967" s="25" t="n">
        <v>2</v>
      </c>
      <c r="V967" s="27">
        <f>IF(S967="","",S967*U967)</f>
        <v/>
      </c>
      <c r="W967" s="26" t="inlineStr">
        <is>
          <t>Catalogue fee €18,000/yr (entered by institution).</t>
        </is>
      </c>
      <c r="X967" s="25" t="inlineStr">
        <is>
          <t>High</t>
        </is>
      </c>
      <c r="Y967" s="25" t="inlineStr">
        <is>
          <t>18000</t>
        </is>
      </c>
      <c r="Z967" s="26" t="inlineStr">
        <is>
          <t>dmission définitive dans le programme est conditionnée à la réception d’un acompte de 1000€ sur les frais de formation</t>
        </is>
      </c>
      <c r="AA967" s="26" t="n"/>
      <c r="AB967" s="25" t="n"/>
      <c r="AC967" s="25" t="inlineStr">
        <is>
          <t>Open</t>
        </is>
      </c>
      <c r="AD967" s="25" t="inlineStr">
        <is>
          <t>2026-10-01</t>
        </is>
      </c>
      <c r="AE967" s="25" t="inlineStr">
        <is>
          <t>2027-03-15</t>
        </is>
      </c>
      <c r="AF967" s="25" t="inlineStr">
        <is>
          <t>Yes</t>
        </is>
      </c>
      <c r="AG967" s="28" t="inlineStr">
        <is>
          <t>https://www.eurecom.fr/fr/les-formations/ingenieur-specialise/ingenieur-specialise-en-securite-des-systemes-informatiques-et</t>
        </is>
      </c>
      <c r="AH967" s="26" t="inlineStr">
        <is>
          <t>Pour être éligibles, les candidats doivent être titulaires: un Master ( minimum 5 années d'études supérieures ), d'un diplôme d'ingénieur délivré par la CTI, ou équivalent . Un Master dans un domaine pertinent est attend</t>
        </is>
      </c>
      <c r="AI967" s="28" t="inlineStr">
        <is>
          <t>Open in EEF</t>
        </is>
      </c>
    </row>
    <row r="968" ht="32.8" customHeight="1" s="19">
      <c r="A968" s="25" t="n">
        <v>967</v>
      </c>
      <c r="B968" s="25" t="inlineStr">
        <is>
          <t>★★☆☆☆</t>
        </is>
      </c>
      <c r="C968" s="25" t="inlineStr">
        <is>
          <t>2 – Broad / loosely related</t>
        </is>
      </c>
      <c r="D968" s="25" t="inlineStr">
        <is>
          <t>Other engineering / maths</t>
        </is>
      </c>
      <c r="E968" s="26" t="inlineStr">
        <is>
          <t>Master indifférencié (recherche et professionnel) Sciences, technologies, santé mention Biologie-santé parcours Cancer biology - International</t>
        </is>
      </c>
      <c r="F968" s="26" t="inlineStr">
        <is>
          <t>Science, Technology, Health (STS) – major: Biology-Health – track: Cancer biology - International</t>
        </is>
      </c>
      <c r="G968" s="25" t="inlineStr">
        <is>
          <t>Master indifférencié (recherche et professionnel)</t>
        </is>
      </c>
      <c r="H968" s="25" t="inlineStr">
        <is>
          <t>Unité de formation de biologie</t>
        </is>
      </c>
      <c r="I968" s="25" t="inlineStr">
        <is>
          <t>Université de Bordeaux</t>
        </is>
      </c>
      <c r="J968" s="25" t="inlineStr">
        <is>
          <t>Site de Talence</t>
        </is>
      </c>
      <c r="K968" s="25" t="n"/>
      <c r="L968" s="25" t="inlineStr">
        <is>
          <t>Public university</t>
        </is>
      </c>
      <c r="M968" s="25" t="inlineStr">
        <is>
          <t>English</t>
        </is>
      </c>
      <c r="N968" s="25" t="inlineStr">
        <is>
          <t>General</t>
        </is>
      </c>
      <c r="O968" s="25" t="inlineStr">
        <is>
          <t>Bac +4</t>
        </is>
      </c>
      <c r="P968" s="26" t="inlineStr">
        <is>
          <t>Eligible on level (4-yr BS ≈ Bac+4)</t>
        </is>
      </c>
      <c r="Q968" s="25" t="inlineStr">
        <is>
          <t>1</t>
        </is>
      </c>
      <c r="R968" s="25" t="n"/>
      <c r="S968" s="27" t="n">
        <v>3950</v>
      </c>
      <c r="T968" s="27" t="n">
        <v>255</v>
      </c>
      <c r="U968" s="25" t="n">
        <v>2</v>
      </c>
      <c r="V968" s="27">
        <f>IF(S968="","",S968*U968)</f>
        <v/>
      </c>
      <c r="W968" s="26" t="inlineStr">
        <is>
          <t>Not in catalogue. Public national master → 2026-27 differentiated fee €3,950; exemption to ~€254-255 depends on university quota (25% cap in 2027-28).</t>
        </is>
      </c>
      <c r="X968" s="25" t="inlineStr">
        <is>
          <t>Medium</t>
        </is>
      </c>
      <c r="Y968" s="25" t="n"/>
      <c r="Z968" s="26" t="n"/>
      <c r="AA968" s="26" t="n"/>
      <c r="AB968" s="25" t="n"/>
      <c r="AC968" s="25" t="inlineStr">
        <is>
          <t>Open</t>
        </is>
      </c>
      <c r="AD968" s="25" t="inlineStr">
        <is>
          <t>2026-10-01</t>
        </is>
      </c>
      <c r="AE968" s="25" t="inlineStr">
        <is>
          <t>2027-03-15</t>
        </is>
      </c>
      <c r="AF968" s="25" t="inlineStr">
        <is>
          <t>No</t>
        </is>
      </c>
      <c r="AG968" s="28" t="inlineStr">
        <is>
          <t>https://doctorat.u-bordeaux.fr/en/before-phd/graduate-programs/cancer-biology</t>
        </is>
      </c>
      <c r="AH968" s="26" t="inlineStr">
        <is>
          <t>Applicants must hold a Bachelor’s degree or an equivalent of 180 ECTS in Biology or a related field within the Life Sciences. For non-native English speakers, a language certificate demonstrating proficiency at the B2 le</t>
        </is>
      </c>
      <c r="AI968" s="28" t="inlineStr">
        <is>
          <t>Open in EEF</t>
        </is>
      </c>
    </row>
    <row r="969" ht="32.8" customHeight="1" s="19">
      <c r="A969" s="25" t="n">
        <v>968</v>
      </c>
      <c r="B969" s="25" t="inlineStr">
        <is>
          <t>★★☆☆☆</t>
        </is>
      </c>
      <c r="C969" s="25" t="inlineStr">
        <is>
          <t>2 – Broad / loosely related</t>
        </is>
      </c>
      <c r="D969" s="25" t="inlineStr">
        <is>
          <t>Other engineering / maths</t>
        </is>
      </c>
      <c r="E969" s="26" t="inlineStr">
        <is>
          <t>Master's degree in Fundamental Physics</t>
        </is>
      </c>
      <c r="F969" s="26" t="inlineStr">
        <is>
          <t>Master's degree in Fundamental Physics</t>
        </is>
      </c>
      <c r="G969" s="25" t="inlineStr">
        <is>
          <t>Master indifférencié (recherche et professionnel)</t>
        </is>
      </c>
      <c r="H969" s="25" t="inlineStr">
        <is>
          <t>Ecole normale supérieure</t>
        </is>
      </c>
      <c r="I969" s="25" t="n"/>
      <c r="J969" s="25" t="inlineStr">
        <is>
          <t>Site de Paris</t>
        </is>
      </c>
      <c r="K969" s="25" t="n"/>
      <c r="L969" s="25" t="inlineStr">
        <is>
          <t>Public school / institute</t>
        </is>
      </c>
      <c r="M969" s="25" t="inlineStr">
        <is>
          <t>English</t>
        </is>
      </c>
      <c r="N969" s="25" t="inlineStr">
        <is>
          <t>Taught in English</t>
        </is>
      </c>
      <c r="O969" s="25" t="inlineStr">
        <is>
          <t>Bac +4 / Bac +5</t>
        </is>
      </c>
      <c r="P969" s="26" t="inlineStr">
        <is>
          <t>Eligible on level (4-yr BS ≈ Bac+4)</t>
        </is>
      </c>
      <c r="Q969" s="25" t="inlineStr">
        <is>
          <t>1/2</t>
        </is>
      </c>
      <c r="R969" s="25" t="n"/>
      <c r="S969" s="27" t="n">
        <v>3950</v>
      </c>
      <c r="T969" s="27" t="n">
        <v>255</v>
      </c>
      <c r="U969" s="25" t="n">
        <v>2</v>
      </c>
      <c r="V969" s="27">
        <f>IF(S969="","",S969*U969)</f>
        <v/>
      </c>
      <c r="W969" s="26" t="inlineStr">
        <is>
          <t>Not in catalogue. Public national master → 2026-27 differentiated fee €3,950; exemption to ~€254-255 depends on university quota (25% cap in 2027-28).</t>
        </is>
      </c>
      <c r="X969" s="25" t="inlineStr">
        <is>
          <t>Medium</t>
        </is>
      </c>
      <c r="Y969" s="25" t="n"/>
      <c r="Z969" s="26" t="n"/>
      <c r="AA969" s="26" t="n"/>
      <c r="AB969" s="25" t="n"/>
      <c r="AC969" s="25" t="inlineStr">
        <is>
          <t>Closed</t>
        </is>
      </c>
      <c r="AD969" s="25" t="n"/>
      <c r="AE969" s="25" t="n"/>
      <c r="AF969" s="25" t="inlineStr">
        <is>
          <t>No</t>
        </is>
      </c>
      <c r="AG969" s="28" t="inlineStr">
        <is>
          <t>http://www.ens.fr</t>
        </is>
      </c>
      <c r="AH969" s="26" t="inlineStr">
        <is>
          <t>Proportion (%) taught in English: 80% Admission The International Centre for Fundamental Physics at Ecole normale supérieure (ENS-ICFP) welcomes applications from highly qualified French and international students with a</t>
        </is>
      </c>
      <c r="AI969" s="28" t="inlineStr">
        <is>
          <t>Open in EEF</t>
        </is>
      </c>
    </row>
    <row r="970" ht="32.8" customHeight="1" s="19">
      <c r="A970" s="25" t="n">
        <v>969</v>
      </c>
      <c r="B970" s="25" t="inlineStr">
        <is>
          <t>★★☆☆☆</t>
        </is>
      </c>
      <c r="C970" s="25" t="inlineStr">
        <is>
          <t>2 – Broad / loosely related</t>
        </is>
      </c>
      <c r="D970" s="25" t="inlineStr">
        <is>
          <t>Other engineering / maths</t>
        </is>
      </c>
      <c r="E970" s="26" t="inlineStr">
        <is>
          <t>Master's degree "Powertrain Engineering"</t>
        </is>
      </c>
      <c r="F970" s="26" t="inlineStr">
        <is>
          <t>Master's degree "Powertrain Engineering"</t>
        </is>
      </c>
      <c r="G970" s="25" t="inlineStr">
        <is>
          <t>Master indifférencié (recherche et professionnel)</t>
        </is>
      </c>
      <c r="H970" s="25" t="inlineStr">
        <is>
          <t>Ecole nationale supérieure du pétrole et des moteurs</t>
        </is>
      </c>
      <c r="I970" s="25" t="n"/>
      <c r="J970" s="25" t="inlineStr">
        <is>
          <t>Site de Rueil-Malmaison</t>
        </is>
      </c>
      <c r="K970" s="25" t="n"/>
      <c r="L970" s="25" t="inlineStr">
        <is>
          <t>Public school / institute</t>
        </is>
      </c>
      <c r="M970" s="25" t="inlineStr">
        <is>
          <t>English</t>
        </is>
      </c>
      <c r="N970" s="25" t="inlineStr">
        <is>
          <t>Taught in English</t>
        </is>
      </c>
      <c r="O970" s="25" t="inlineStr">
        <is>
          <t>Bac +4 / Bac +5</t>
        </is>
      </c>
      <c r="P970" s="26" t="inlineStr">
        <is>
          <t>Eligible on level (4-yr BS ≈ Bac+4)</t>
        </is>
      </c>
      <c r="Q970" s="25" t="inlineStr">
        <is>
          <t>1/2</t>
        </is>
      </c>
      <c r="R970" s="25" t="n"/>
      <c r="S970" s="27" t="n">
        <v>3950</v>
      </c>
      <c r="T970" s="27" t="n">
        <v>255</v>
      </c>
      <c r="U970" s="25" t="n">
        <v>2</v>
      </c>
      <c r="V970" s="27">
        <f>IF(S970="","",S970*U970)</f>
        <v/>
      </c>
      <c r="W970" s="26" t="inlineStr">
        <is>
          <t>Not in catalogue. Public national master → 2026-27 differentiated fee €3,950; exemption to ~€254-255 depends on university quota (25% cap in 2027-28).</t>
        </is>
      </c>
      <c r="X970" s="25" t="inlineStr">
        <is>
          <t>Medium</t>
        </is>
      </c>
      <c r="Y970" s="25" t="n"/>
      <c r="Z970" s="26" t="n"/>
      <c r="AA970" s="26" t="n"/>
      <c r="AB970" s="25" t="n"/>
      <c r="AC970" s="25" t="inlineStr">
        <is>
          <t>Closed</t>
        </is>
      </c>
      <c r="AD970" s="25" t="n"/>
      <c r="AE970" s="25" t="n"/>
      <c r="AF970" s="25" t="inlineStr">
        <is>
          <t>No</t>
        </is>
      </c>
      <c r="AG970" s="28" t="inlineStr">
        <is>
          <t>http://www.ifp-school.com</t>
        </is>
      </c>
      <c r="AH970" s="26" t="inlineStr">
        <is>
          <t>All courses are taught in English Admission Engineering degree or equivalent (standard duration of higher education 5 years, minimum 4 years) English proficiency Min. TOEIC 785 French proficiency Not required Tuition fee</t>
        </is>
      </c>
      <c r="AI970" s="28" t="inlineStr">
        <is>
          <t>Open in EEF</t>
        </is>
      </c>
    </row>
    <row r="971" ht="32.8" customHeight="1" s="19">
      <c r="A971" s="25" t="n">
        <v>970</v>
      </c>
      <c r="B971" s="25" t="inlineStr">
        <is>
          <t>★★☆☆☆</t>
        </is>
      </c>
      <c r="C971" s="25" t="inlineStr">
        <is>
          <t>2 – Broad / loosely related</t>
        </is>
      </c>
      <c r="D971" s="25" t="inlineStr">
        <is>
          <t>Other engineering / maths</t>
        </is>
      </c>
      <c r="E971" s="26" t="inlineStr">
        <is>
          <t>Master indifférencié (recherche et professionnel) Sciences, technologies, santé mention Biologie-santé parcours Parcours Génomique et Biotechnologies</t>
        </is>
      </c>
      <c r="F971" s="26" t="inlineStr">
        <is>
          <t>Science, Technology, Health (STS) – major: Biology-Health – track: track: Genomics &amp; Biotechnologies</t>
        </is>
      </c>
      <c r="G971" s="25" t="inlineStr">
        <is>
          <t>Master indifférencié (recherche et professionnel)</t>
        </is>
      </c>
      <c r="H971" s="25" t="inlineStr">
        <is>
          <t>Faculté des Sciences et Techniques</t>
        </is>
      </c>
      <c r="I971" s="25" t="inlineStr">
        <is>
          <t>Université de Limoges</t>
        </is>
      </c>
      <c r="J971" s="25" t="inlineStr">
        <is>
          <t>Campus de la Borie Limoges</t>
        </is>
      </c>
      <c r="K971" s="25" t="n"/>
      <c r="L971" s="25" t="inlineStr">
        <is>
          <t>Public university</t>
        </is>
      </c>
      <c r="M971" s="25" t="inlineStr">
        <is>
          <t>French</t>
        </is>
      </c>
      <c r="N971" s="25" t="inlineStr">
        <is>
          <t>General</t>
        </is>
      </c>
      <c r="O971" s="25" t="inlineStr">
        <is>
          <t>Bac +4 / Bac +5</t>
        </is>
      </c>
      <c r="P971" s="26" t="inlineStr">
        <is>
          <t>Eligible on level (4-yr BS ≈ Bac+4)</t>
        </is>
      </c>
      <c r="Q971" s="25" t="inlineStr">
        <is>
          <t>1/2</t>
        </is>
      </c>
      <c r="R971" s="25" t="inlineStr">
        <is>
          <t>10</t>
        </is>
      </c>
      <c r="S971" s="27" t="n">
        <v>3950</v>
      </c>
      <c r="T971" s="27" t="n">
        <v>255</v>
      </c>
      <c r="U971" s="25" t="n">
        <v>2</v>
      </c>
      <c r="V971" s="27">
        <f>IF(S971="","",S971*U971)</f>
        <v/>
      </c>
      <c r="W971" s="26" t="inlineStr">
        <is>
          <t>Catalogue: €3,950. = national differentiated master fee (2026-27: €3,950). Exemption to ~€255 possible (university quota).</t>
        </is>
      </c>
      <c r="X971" s="25" t="inlineStr">
        <is>
          <t>High</t>
        </is>
      </c>
      <c r="Y971" s="25" t="inlineStr">
        <is>
          <t>3950</t>
        </is>
      </c>
      <c r="Z971" s="26" t="n"/>
      <c r="AA971" s="26" t="n"/>
      <c r="AB971" s="25" t="n"/>
      <c r="AC971" s="25" t="inlineStr">
        <is>
          <t>Open</t>
        </is>
      </c>
      <c r="AD971" s="25" t="inlineStr">
        <is>
          <t>2026-10-01</t>
        </is>
      </c>
      <c r="AE971" s="25" t="inlineStr">
        <is>
          <t>2027-03-15</t>
        </is>
      </c>
      <c r="AF971" s="25" t="inlineStr">
        <is>
          <t>No</t>
        </is>
      </c>
      <c r="AG971" s="28" t="inlineStr">
        <is>
          <t>http://www.sciences.unilim.fr/</t>
        </is>
      </c>
      <c r="AH971" s="26" t="inlineStr">
        <is>
          <t>Les profils de vétérinaire, médecin ou pharmacien ne sont pas adaptés pour suivre ce Master. Les candidats doivent être titulaire d'une Licence dans le domaine des Sciences de la Vie et de la Santé ou Titre équivalent en</t>
        </is>
      </c>
      <c r="AI971" s="28" t="inlineStr">
        <is>
          <t>Open in EEF</t>
        </is>
      </c>
    </row>
    <row r="972" ht="32.8" customHeight="1" s="19">
      <c r="A972" s="25" t="n">
        <v>971</v>
      </c>
      <c r="B972" s="25" t="inlineStr">
        <is>
          <t>★★☆☆☆</t>
        </is>
      </c>
      <c r="C972" s="25" t="inlineStr">
        <is>
          <t>2 – Broad / loosely related</t>
        </is>
      </c>
      <c r="D972" s="25" t="inlineStr">
        <is>
          <t>Other engineering / maths</t>
        </is>
      </c>
      <c r="E972" s="26" t="inlineStr">
        <is>
          <t>Master indifférencié (recherche et professionnel) Sciences, technologies, santé mention Biologie-santé parcours Parcours Oncologie moléculaire et biothérapies</t>
        </is>
      </c>
      <c r="F972" s="26" t="inlineStr">
        <is>
          <t>Science, Technology, Health (STS) – major: Biology-Health – track: track: Oncology Molecular &amp; Biotherapies</t>
        </is>
      </c>
      <c r="G972" s="25" t="inlineStr">
        <is>
          <t>Master indifférencié (recherche et professionnel)</t>
        </is>
      </c>
      <c r="H972" s="25" t="inlineStr">
        <is>
          <t>Faculté des Sciences et Techniques</t>
        </is>
      </c>
      <c r="I972" s="25" t="inlineStr">
        <is>
          <t>Université de Limoges</t>
        </is>
      </c>
      <c r="J972" s="25" t="inlineStr">
        <is>
          <t>Campus de la Borie Limoges</t>
        </is>
      </c>
      <c r="K972" s="25" t="n"/>
      <c r="L972" s="25" t="inlineStr">
        <is>
          <t>Public university</t>
        </is>
      </c>
      <c r="M972" s="25" t="inlineStr">
        <is>
          <t>French</t>
        </is>
      </c>
      <c r="N972" s="25" t="inlineStr">
        <is>
          <t>General</t>
        </is>
      </c>
      <c r="O972" s="25" t="inlineStr">
        <is>
          <t>Bac +4 / Bac +5</t>
        </is>
      </c>
      <c r="P972" s="26" t="inlineStr">
        <is>
          <t>Eligible on level (4-yr BS ≈ Bac+4)</t>
        </is>
      </c>
      <c r="Q972" s="25" t="inlineStr">
        <is>
          <t>1/2</t>
        </is>
      </c>
      <c r="R972" s="25" t="inlineStr">
        <is>
          <t>10/12</t>
        </is>
      </c>
      <c r="S972" s="27" t="n">
        <v>3950</v>
      </c>
      <c r="T972" s="27" t="n">
        <v>255</v>
      </c>
      <c r="U972" s="25" t="n">
        <v>2</v>
      </c>
      <c r="V972" s="27">
        <f>IF(S972="","",S972*U972)</f>
        <v/>
      </c>
      <c r="W972" s="26" t="inlineStr">
        <is>
          <t>Catalogue: €3,950. = national differentiated master fee (2026-27: €3,950). Exemption to ~€255 possible (university quota).</t>
        </is>
      </c>
      <c r="X972" s="25" t="inlineStr">
        <is>
          <t>High</t>
        </is>
      </c>
      <c r="Y972" s="25" t="inlineStr">
        <is>
          <t>3950</t>
        </is>
      </c>
      <c r="Z972" s="26" t="n"/>
      <c r="AA972" s="26" t="n"/>
      <c r="AB972" s="25" t="n"/>
      <c r="AC972" s="25" t="inlineStr">
        <is>
          <t>Open</t>
        </is>
      </c>
      <c r="AD972" s="25" t="inlineStr">
        <is>
          <t>2026-10-01</t>
        </is>
      </c>
      <c r="AE972" s="25" t="inlineStr">
        <is>
          <t>2027-03-15</t>
        </is>
      </c>
      <c r="AF972" s="25" t="inlineStr">
        <is>
          <t>No</t>
        </is>
      </c>
      <c r="AG972" s="28" t="inlineStr">
        <is>
          <t>http://www.sciences.unilim.fr/</t>
        </is>
      </c>
      <c r="AH972" s="26" t="inlineStr">
        <is>
          <t>- Les profils de vétérinaire, médecin ou pharmacien ne sont pas adaptés pour le suivi de ce Master. Licence dans le domaine des Sciences de la Vie et de la Santé - Titre équivalent en Sciences de la Vie et de la Santé -</t>
        </is>
      </c>
      <c r="AI972" s="28" t="inlineStr">
        <is>
          <t>Open in EEF</t>
        </is>
      </c>
    </row>
    <row r="973" ht="32.8" customHeight="1" s="19">
      <c r="A973" s="25" t="n">
        <v>972</v>
      </c>
      <c r="B973" s="25" t="inlineStr">
        <is>
          <t>★★☆☆☆</t>
        </is>
      </c>
      <c r="C973" s="25" t="inlineStr">
        <is>
          <t>2 – Broad / loosely related</t>
        </is>
      </c>
      <c r="D973" s="25" t="inlineStr">
        <is>
          <t>Other engineering / maths</t>
        </is>
      </c>
      <c r="E973" s="26" t="inlineStr">
        <is>
          <t>Master indifférencié (recherche et professionnel) Sciences, technologies, santé mention Biologie-santé parcours Recherche en biomédecine</t>
        </is>
      </c>
      <c r="F973" s="26" t="inlineStr">
        <is>
          <t>Science, Technology, Health (STS) – major: Biology-Health – track: Research in Biomedicine</t>
        </is>
      </c>
      <c r="G973" s="25" t="inlineStr">
        <is>
          <t>Master indifférencié (recherche et professionnel)</t>
        </is>
      </c>
      <c r="H973" s="25" t="inlineStr">
        <is>
          <t>Faculté de médecine</t>
        </is>
      </c>
      <c r="I973" s="25" t="inlineStr">
        <is>
          <t>Université de Strasbourg</t>
        </is>
      </c>
      <c r="J973" s="25" t="inlineStr">
        <is>
          <t>Site de Strasbourg</t>
        </is>
      </c>
      <c r="K973" s="25" t="inlineStr">
        <is>
          <t>67085 Strasbourg cedex</t>
        </is>
      </c>
      <c r="L973" s="25" t="inlineStr">
        <is>
          <t>Public university</t>
        </is>
      </c>
      <c r="M973" s="25" t="inlineStr">
        <is>
          <t>French</t>
        </is>
      </c>
      <c r="N973" s="25" t="inlineStr">
        <is>
          <t>General</t>
        </is>
      </c>
      <c r="O973" s="25" t="inlineStr">
        <is>
          <t>Bac +4 / Bac +5</t>
        </is>
      </c>
      <c r="P973" s="26" t="inlineStr">
        <is>
          <t>Eligible on level (4-yr BS ≈ Bac+4)</t>
        </is>
      </c>
      <c r="Q973" s="25" t="inlineStr">
        <is>
          <t>1/2</t>
        </is>
      </c>
      <c r="R973" s="25" t="n"/>
      <c r="S973" s="27" t="n">
        <v>3950</v>
      </c>
      <c r="T973" s="27" t="n">
        <v>255</v>
      </c>
      <c r="U973" s="25" t="n">
        <v>2</v>
      </c>
      <c r="V973" s="27">
        <f>IF(S973="","",S973*U973)</f>
        <v/>
      </c>
      <c r="W973" s="26" t="inlineStr">
        <is>
          <t>Catalogue: €3,950. = national differentiated master fee (2026-27: €3,950). Exemption to ~€255 possible (university quota).</t>
        </is>
      </c>
      <c r="X973" s="25" t="inlineStr">
        <is>
          <t>High</t>
        </is>
      </c>
      <c r="Y973" s="25" t="inlineStr">
        <is>
          <t>3950</t>
        </is>
      </c>
      <c r="Z973" s="26" t="n"/>
      <c r="AA973" s="26" t="inlineStr">
        <is>
          <t>Unistra: master entrants who did not do their licence at Unistra pay the differentiated fee (€3,950).</t>
        </is>
      </c>
      <c r="AB973" s="28" t="inlineStr">
        <is>
          <t>https://www.unistra.fr/fr/node/8168</t>
        </is>
      </c>
      <c r="AC973" s="25" t="inlineStr">
        <is>
          <t>Open</t>
        </is>
      </c>
      <c r="AD973" s="25" t="inlineStr">
        <is>
          <t>2026-10-01</t>
        </is>
      </c>
      <c r="AE973" s="25" t="inlineStr">
        <is>
          <t>2027-03-15</t>
        </is>
      </c>
      <c r="AF973" s="25" t="inlineStr">
        <is>
          <t>No</t>
        </is>
      </c>
      <c r="AG973" s="28" t="inlineStr">
        <is>
          <t>http://med.unistra.fr/</t>
        </is>
      </c>
      <c r="AH973" s="26" t="inlineStr">
        <is>
          <t>Pour un accès en M1 : avoir effectué une formation dont contenu est équivalent à une licence de Biochimie/biologie cellulaire/physiologie française, Niveau de français B2 minimum, Bon niveau d'anglais (B2 recommandé) ou</t>
        </is>
      </c>
      <c r="AI973" s="28" t="inlineStr">
        <is>
          <t>Open in EEF</t>
        </is>
      </c>
    </row>
    <row r="974" ht="32.8" customHeight="1" s="19">
      <c r="A974" s="25" t="n">
        <v>973</v>
      </c>
      <c r="B974" s="25" t="inlineStr">
        <is>
          <t>★★☆☆☆</t>
        </is>
      </c>
      <c r="C974" s="25" t="inlineStr">
        <is>
          <t>2 – Broad / loosely related</t>
        </is>
      </c>
      <c r="D974" s="25" t="inlineStr">
        <is>
          <t>Other engineering / maths</t>
        </is>
      </c>
      <c r="E974" s="26" t="inlineStr">
        <is>
          <t>Master indifférencié (recherche et professionnel) Sciences de la santé mention Biologie-santé parcours Biomarkers and Artificials Intelligence</t>
        </is>
      </c>
      <c r="F974" s="26" t="inlineStr">
        <is>
          <t>Sciences of the Health – major: Biology-Health – track: Biomarkers and Artificials Intelligence</t>
        </is>
      </c>
      <c r="G974" s="25" t="inlineStr">
        <is>
          <t>Master indifférencié (recherche et professionnel)</t>
        </is>
      </c>
      <c r="H974" s="25" t="inlineStr">
        <is>
          <t>Faculté des Sciences médicales et paramédicales</t>
        </is>
      </c>
      <c r="I974" s="25" t="inlineStr">
        <is>
          <t>Université d'Aix-Marseille</t>
        </is>
      </c>
      <c r="J974" s="25" t="inlineStr">
        <is>
          <t>Site de Marseille</t>
        </is>
      </c>
      <c r="K974" s="25" t="n"/>
      <c r="L974" s="25" t="inlineStr">
        <is>
          <t>Public university</t>
        </is>
      </c>
      <c r="M974" s="25" t="inlineStr">
        <is>
          <t>French</t>
        </is>
      </c>
      <c r="N974" s="25" t="inlineStr">
        <is>
          <t>General</t>
        </is>
      </c>
      <c r="O974" s="25" t="inlineStr">
        <is>
          <t>Bac +4 / Bac +5</t>
        </is>
      </c>
      <c r="P974" s="26" t="inlineStr">
        <is>
          <t>Eligible on level (4-yr BS ≈ Bac+4)</t>
        </is>
      </c>
      <c r="Q974" s="25" t="inlineStr">
        <is>
          <t>1/2</t>
        </is>
      </c>
      <c r="R974" s="25" t="n"/>
      <c r="S974" s="27" t="n">
        <v>3950</v>
      </c>
      <c r="T974" s="27" t="n">
        <v>255</v>
      </c>
      <c r="U974" s="25" t="n">
        <v>2</v>
      </c>
      <c r="V974" s="27">
        <f>IF(S974="","",S974*U974)</f>
        <v/>
      </c>
      <c r="W974" s="26" t="inlineStr">
        <is>
          <t>Not in catalogue. Public national master → 2026-27 differentiated fee €3,950; exemption to ~€254-255 depends on university quota (25% cap in 2027-28).</t>
        </is>
      </c>
      <c r="X974" s="25" t="inlineStr">
        <is>
          <t>Medium</t>
        </is>
      </c>
      <c r="Y974" s="25" t="n"/>
      <c r="Z974" s="26" t="n"/>
      <c r="AA974" s="26" t="inlineStr">
        <is>
          <t>AMU 2026-27: limited exemptions (≈1,800 of 5,500 students) – priority to continuing students, conflict zones, excellence scholarships. New master entrants usually pay €3,950.</t>
        </is>
      </c>
      <c r="AB974" s="28" t="inlineStr">
        <is>
          <t>https://www.univ-amu.fr/fr/actualites/aix-marseille-universite-mobilise-pleinement-capacite-dexoneration-continuer-accueillir</t>
        </is>
      </c>
      <c r="AC974" s="25" t="inlineStr">
        <is>
          <t>Open</t>
        </is>
      </c>
      <c r="AD974" s="25" t="inlineStr">
        <is>
          <t>2026-10-01</t>
        </is>
      </c>
      <c r="AE974" s="25" t="inlineStr">
        <is>
          <t>2027-03-15</t>
        </is>
      </c>
      <c r="AF974" s="25" t="inlineStr">
        <is>
          <t>No</t>
        </is>
      </c>
      <c r="AG974" s="28" t="inlineStr">
        <is>
          <t>https://smpm.univ-amu.fr/</t>
        </is>
      </c>
      <c r="AH974" s="26" t="inlineStr">
        <is>
          <t>Étudiants internationaux, préparez votre départ ! Prenez connaissance des droits d’inscription : https://url.univ-amu.fr/fraisdifferencies et connectez-vous à nos webinaires dès Mai 2027 : https://url.univ-amu.fr/confere</t>
        </is>
      </c>
      <c r="AI974" s="28" t="inlineStr">
        <is>
          <t>Open in EEF</t>
        </is>
      </c>
    </row>
    <row r="975" ht="32.8" customHeight="1" s="19">
      <c r="A975" s="25" t="n">
        <v>974</v>
      </c>
      <c r="B975" s="25" t="inlineStr">
        <is>
          <t>★★☆☆☆</t>
        </is>
      </c>
      <c r="C975" s="25" t="inlineStr">
        <is>
          <t>2 – Broad / loosely related</t>
        </is>
      </c>
      <c r="D975" s="25" t="inlineStr">
        <is>
          <t>Other engineering / maths</t>
        </is>
      </c>
      <c r="E975" s="26" t="inlineStr">
        <is>
          <t>Master Sciences de la santé mention Biologie-santé</t>
        </is>
      </c>
      <c r="F975" s="26" t="inlineStr">
        <is>
          <t>Master Sciences of the Health – major: Biology-Health</t>
        </is>
      </c>
      <c r="G975" s="25" t="inlineStr">
        <is>
          <t>Master indifférencié (recherche et professionnel)</t>
        </is>
      </c>
      <c r="H975" s="25" t="inlineStr">
        <is>
          <t>Faculté des Sciences médicales et paramédicales</t>
        </is>
      </c>
      <c r="I975" s="25" t="inlineStr">
        <is>
          <t>Université d'Aix-Marseille</t>
        </is>
      </c>
      <c r="J975" s="25" t="inlineStr">
        <is>
          <t>Site de Marseille</t>
        </is>
      </c>
      <c r="K975" s="25" t="n"/>
      <c r="L975" s="25" t="inlineStr">
        <is>
          <t>Public university</t>
        </is>
      </c>
      <c r="M975" s="25" t="inlineStr">
        <is>
          <t>French</t>
        </is>
      </c>
      <c r="N975" s="25" t="inlineStr">
        <is>
          <t>General</t>
        </is>
      </c>
      <c r="O975" s="25" t="inlineStr">
        <is>
          <t>Bac +4</t>
        </is>
      </c>
      <c r="P975" s="26" t="inlineStr">
        <is>
          <t>Eligible on level (4-yr BS ≈ Bac+4)</t>
        </is>
      </c>
      <c r="Q975" s="25" t="inlineStr">
        <is>
          <t>1</t>
        </is>
      </c>
      <c r="R975" s="25" t="n"/>
      <c r="S975" s="27" t="n">
        <v>3950</v>
      </c>
      <c r="T975" s="27" t="n">
        <v>255</v>
      </c>
      <c r="U975" s="25" t="n">
        <v>2</v>
      </c>
      <c r="V975" s="27">
        <f>IF(S975="","",S975*U975)</f>
        <v/>
      </c>
      <c r="W975" s="26" t="inlineStr">
        <is>
          <t>Not in catalogue. Public national master → 2026-27 differentiated fee €3,950; exemption to ~€254-255 depends on university quota (25% cap in 2027-28).</t>
        </is>
      </c>
      <c r="X975" s="25" t="inlineStr">
        <is>
          <t>Medium</t>
        </is>
      </c>
      <c r="Y975" s="25" t="n"/>
      <c r="Z975" s="26" t="n"/>
      <c r="AA975" s="26" t="inlineStr">
        <is>
          <t>AMU 2026-27: limited exemptions (≈1,800 of 5,500 students) – priority to continuing students, conflict zones, excellence scholarships. New master entrants usually pay €3,950.</t>
        </is>
      </c>
      <c r="AB975" s="28" t="inlineStr">
        <is>
          <t>https://www.univ-amu.fr/fr/actualites/aix-marseille-universite-mobilise-pleinement-capacite-dexoneration-continuer-accueillir</t>
        </is>
      </c>
      <c r="AC975" s="25" t="inlineStr">
        <is>
          <t>Open</t>
        </is>
      </c>
      <c r="AD975" s="25" t="inlineStr">
        <is>
          <t>2026-10-01</t>
        </is>
      </c>
      <c r="AE975" s="25" t="inlineStr">
        <is>
          <t>2027-03-15</t>
        </is>
      </c>
      <c r="AF975" s="25" t="inlineStr">
        <is>
          <t>No</t>
        </is>
      </c>
      <c r="AG975" s="28" t="inlineStr">
        <is>
          <t>http://medecine.univ-amu.fr</t>
        </is>
      </c>
      <c r="AH975" s="26" t="inlineStr">
        <is>
          <t>Étudiants internationaux, préparez votre départ ! Prenez connaissance des droits d’inscription : https://url.univ-amu.fr/fraisdifferencies et connectez-vous à nos webinaires dès Mai 2027 : https://url.univ-amu.fr/confere</t>
        </is>
      </c>
      <c r="AI975" s="28" t="inlineStr">
        <is>
          <t>Open in EEF</t>
        </is>
      </c>
    </row>
    <row r="976" ht="32.8" customHeight="1" s="19">
      <c r="A976" s="25" t="n">
        <v>975</v>
      </c>
      <c r="B976" s="25" t="inlineStr">
        <is>
          <t>★★☆☆☆</t>
        </is>
      </c>
      <c r="C976" s="25" t="inlineStr">
        <is>
          <t>2 – Broad / loosely related</t>
        </is>
      </c>
      <c r="D976" s="25" t="inlineStr">
        <is>
          <t>Other engineering / maths</t>
        </is>
      </c>
      <c r="E976" s="26" t="inlineStr">
        <is>
          <t>Master Sciences, technologies, santé, mention Biologie-santé parcours Vieillissement Cancer, Ageing and Rejuvenation</t>
        </is>
      </c>
      <c r="F976" s="26" t="inlineStr">
        <is>
          <t>Master Science, Technology, Health (STS), – major: Biology-Health – track: Vieillissement Cancer, Ageing and Rejuvenation</t>
        </is>
      </c>
      <c r="G976" s="25" t="inlineStr">
        <is>
          <t>Master indifférencié (recherche et professionnel)</t>
        </is>
      </c>
      <c r="H976" s="25" t="inlineStr">
        <is>
          <t>Faculté des Sciences et d'Ingénierie</t>
        </is>
      </c>
      <c r="I976" s="25" t="inlineStr">
        <is>
          <t>Université de Toulouse</t>
        </is>
      </c>
      <c r="J976" s="25" t="inlineStr">
        <is>
          <t>Site de Toulouse</t>
        </is>
      </c>
      <c r="K976" s="25" t="n"/>
      <c r="L976" s="25" t="inlineStr">
        <is>
          <t>Public university</t>
        </is>
      </c>
      <c r="M976" s="25" t="inlineStr">
        <is>
          <t>French</t>
        </is>
      </c>
      <c r="N976" s="25" t="inlineStr">
        <is>
          <t>General</t>
        </is>
      </c>
      <c r="O976" s="25" t="inlineStr">
        <is>
          <t>Bac +4 / Bac +5</t>
        </is>
      </c>
      <c r="P976" s="26" t="inlineStr">
        <is>
          <t>Eligible on level (4-yr BS ≈ Bac+4)</t>
        </is>
      </c>
      <c r="Q976" s="25" t="inlineStr">
        <is>
          <t>1/2</t>
        </is>
      </c>
      <c r="R976" s="25" t="n"/>
      <c r="S976" s="27" t="n">
        <v>3950</v>
      </c>
      <c r="T976" s="27" t="n">
        <v>255</v>
      </c>
      <c r="U976" s="25" t="n">
        <v>2</v>
      </c>
      <c r="V976" s="27">
        <f>IF(S976="","",S976*U976)</f>
        <v/>
      </c>
      <c r="W976" s="26" t="inlineStr">
        <is>
          <t>Not in catalogue. Public national master → 2026-27 differentiated fee €3,950; exemption to ~€254-255 depends on university quota (25% cap in 2027-28).</t>
        </is>
      </c>
      <c r="X976" s="25" t="inlineStr">
        <is>
          <t>Medium</t>
        </is>
      </c>
      <c r="Y976" s="25" t="n"/>
      <c r="Z976" s="26" t="n"/>
      <c r="AA976" s="26" t="inlineStr">
        <is>
          <t>Board decision (Feb 2026, pre-decree): partial exemption for ALL non-EU students subject to differentiated fees, until end of cycle. Re-check for 2027-28.</t>
        </is>
      </c>
      <c r="AB976" s="28" t="inlineStr">
        <is>
          <t>https://www.utoulouse.fr/medias/fichier/2026-02-ca-075_1774430647495-pdf</t>
        </is>
      </c>
      <c r="AC976" s="25" t="inlineStr">
        <is>
          <t>Open</t>
        </is>
      </c>
      <c r="AD976" s="25" t="inlineStr">
        <is>
          <t>2026-10-01</t>
        </is>
      </c>
      <c r="AE976" s="25" t="inlineStr">
        <is>
          <t>2027-03-15</t>
        </is>
      </c>
      <c r="AF976" s="25" t="inlineStr">
        <is>
          <t>No</t>
        </is>
      </c>
      <c r="AG976" s="28" t="inlineStr">
        <is>
          <t>https://www.univ-tlse3.fr/master-mention-biologie-sante</t>
        </is>
      </c>
      <c r="AH976" s="26" t="inlineStr">
        <is>
          <t>https://www.utoulouse.fr/decouvrir-nos-diplomes/master-mention-biologie-sante Si vous ne maîtrisez pas encore le français au niveau exigé pour intégrer une formation en France, le DU FUSEE (Diplôme Universitaire de Franç</t>
        </is>
      </c>
      <c r="AI976" s="28" t="inlineStr">
        <is>
          <t>Open in EEF</t>
        </is>
      </c>
    </row>
    <row r="977" ht="22.35" customHeight="1" s="19">
      <c r="A977" s="25" t="n">
        <v>976</v>
      </c>
      <c r="B977" s="25" t="inlineStr">
        <is>
          <t>★★☆☆☆</t>
        </is>
      </c>
      <c r="C977" s="25" t="inlineStr">
        <is>
          <t>2 – Broad / loosely related</t>
        </is>
      </c>
      <c r="D977" s="25" t="inlineStr">
        <is>
          <t>Other engineering / maths</t>
        </is>
      </c>
      <c r="E977" s="26" t="inlineStr">
        <is>
          <t>Master Sciences, technologies, santé mention génie des systèmes industriels</t>
        </is>
      </c>
      <c r="F977" s="26" t="inlineStr">
        <is>
          <t>Master Science, Technology, Health (STS) – major: Engineering of Systems Industrial</t>
        </is>
      </c>
      <c r="G977" s="25" t="inlineStr">
        <is>
          <t>Master indifférencié (recherche et professionnel)</t>
        </is>
      </c>
      <c r="H977" s="25" t="inlineStr">
        <is>
          <t>Ecole nationale supérieure du pétrole et des moteurs</t>
        </is>
      </c>
      <c r="I977" s="25" t="n"/>
      <c r="J977" s="25" t="inlineStr">
        <is>
          <t>Site de Rueil-Malmaison</t>
        </is>
      </c>
      <c r="K977" s="25" t="n"/>
      <c r="L977" s="25" t="inlineStr">
        <is>
          <t>Public school / institute</t>
        </is>
      </c>
      <c r="M977" s="25" t="inlineStr">
        <is>
          <t>French</t>
        </is>
      </c>
      <c r="N977" s="25" t="inlineStr">
        <is>
          <t>General</t>
        </is>
      </c>
      <c r="O977" s="25" t="inlineStr">
        <is>
          <t>Bac +4</t>
        </is>
      </c>
      <c r="P977" s="26" t="inlineStr">
        <is>
          <t>Eligible on level (4-yr BS ≈ Bac+4)</t>
        </is>
      </c>
      <c r="Q977" s="25" t="inlineStr">
        <is>
          <t>1</t>
        </is>
      </c>
      <c r="R977" s="25" t="n"/>
      <c r="S977" s="27" t="n">
        <v>3950</v>
      </c>
      <c r="T977" s="27" t="n">
        <v>255</v>
      </c>
      <c r="U977" s="25" t="n">
        <v>2</v>
      </c>
      <c r="V977" s="27">
        <f>IF(S977="","",S977*U977)</f>
        <v/>
      </c>
      <c r="W977" s="26" t="inlineStr">
        <is>
          <t>Not in catalogue. Public national master → 2026-27 differentiated fee €3,950; exemption to ~€254-255 depends on university quota (25% cap in 2027-28).</t>
        </is>
      </c>
      <c r="X977" s="25" t="inlineStr">
        <is>
          <t>Medium</t>
        </is>
      </c>
      <c r="Y977" s="25" t="n"/>
      <c r="Z977" s="26" t="n"/>
      <c r="AA977" s="26" t="n"/>
      <c r="AB977" s="25" t="n"/>
      <c r="AC977" s="25" t="inlineStr">
        <is>
          <t>Closed</t>
        </is>
      </c>
      <c r="AD977" s="25" t="n"/>
      <c r="AE977" s="25" t="n"/>
      <c r="AF977" s="25" t="inlineStr">
        <is>
          <t>No</t>
        </is>
      </c>
      <c r="AG977" s="28" t="inlineStr">
        <is>
          <t>http://www.ifp-school.com</t>
        </is>
      </c>
      <c r="AH977" s="26" t="n"/>
      <c r="AI977" s="28" t="inlineStr">
        <is>
          <t>Open in EEF</t>
        </is>
      </c>
    </row>
    <row r="978" ht="32.8" customHeight="1" s="19">
      <c r="A978" s="25" t="n">
        <v>977</v>
      </c>
      <c r="B978" s="25" t="inlineStr">
        <is>
          <t>★★☆☆☆</t>
        </is>
      </c>
      <c r="C978" s="25" t="inlineStr">
        <is>
          <t>2 – Broad / loosely related</t>
        </is>
      </c>
      <c r="D978" s="25" t="inlineStr">
        <is>
          <t>Other engineering / maths</t>
        </is>
      </c>
      <c r="E978" s="26" t="inlineStr">
        <is>
          <t>Mastère spécialisé Expert(e) en monétique et transactions sécurisées</t>
        </is>
      </c>
      <c r="F978" s="26" t="inlineStr">
        <is>
          <t>Specialised Master (MS) Expert(e) in monétique &amp; transactions sécurisées</t>
        </is>
      </c>
      <c r="G978" s="25" t="inlineStr">
        <is>
          <t>Mastère spécialisé</t>
        </is>
      </c>
      <c r="H978" s="25" t="inlineStr">
        <is>
          <t>Ecole nationale supérieure d'ingénieurs de Caen et centre de recherche</t>
        </is>
      </c>
      <c r="I978" s="25" t="n"/>
      <c r="J978" s="25" t="inlineStr">
        <is>
          <t>Site de Caen</t>
        </is>
      </c>
      <c r="K978" s="25" t="n"/>
      <c r="L978" s="25" t="inlineStr">
        <is>
          <t>Public school / institute</t>
        </is>
      </c>
      <c r="M978" s="25" t="inlineStr">
        <is>
          <t>French</t>
        </is>
      </c>
      <c r="N978" s="25" t="inlineStr">
        <is>
          <t>General</t>
        </is>
      </c>
      <c r="O978" s="25" t="inlineStr">
        <is>
          <t>Bac +5</t>
        </is>
      </c>
      <c r="P978" s="26" t="inlineStr">
        <is>
          <t>Possible – MS rules allow Bac+4 + ≥3 yrs work experience (you have 3)</t>
        </is>
      </c>
      <c r="Q978" s="25" t="inlineStr">
        <is>
          <t>1</t>
        </is>
      </c>
      <c r="R978" s="25" t="n"/>
      <c r="S978" s="27" t="n">
        <v>9000</v>
      </c>
      <c r="T978" s="27" t="n"/>
      <c r="U978" s="25" t="n">
        <v>1</v>
      </c>
      <c r="V978" s="27">
        <f>IF(S978="","",S978*U978)</f>
        <v/>
      </c>
      <c r="W978" s="26" t="inlineStr">
        <is>
          <t>Catalogue fee €9,000/yr (entered by institution).</t>
        </is>
      </c>
      <c r="X978" s="25" t="inlineStr">
        <is>
          <t>High</t>
        </is>
      </c>
      <c r="Y978" s="25" t="inlineStr">
        <is>
          <t>9000</t>
        </is>
      </c>
      <c r="Z978" s="26" t="n"/>
      <c r="AA978" s="26" t="n"/>
      <c r="AB978" s="25" t="n"/>
      <c r="AC978" s="25" t="inlineStr">
        <is>
          <t>Open</t>
        </is>
      </c>
      <c r="AD978" s="25" t="inlineStr">
        <is>
          <t>2026-10-01</t>
        </is>
      </c>
      <c r="AE978" s="25" t="inlineStr">
        <is>
          <t>2027-03-15</t>
        </is>
      </c>
      <c r="AF978" s="25" t="inlineStr">
        <is>
          <t>Yes</t>
        </is>
      </c>
      <c r="AG978" s="28" t="inlineStr">
        <is>
          <t>https://www.ensicaen.fr/</t>
        </is>
      </c>
      <c r="AH978" s="26" t="inlineStr">
        <is>
          <t>Ce mastère spécialisé de la Conférence des Grandes Ecoles est ouvert à des candidats titulaires d'un : Diplôme d'ingénieur habilité par la Commission des Titres d'Ingénieur (Bac + 5) Diplôme Master 2 ou diplôme professio</t>
        </is>
      </c>
      <c r="AI978" s="28" t="inlineStr">
        <is>
          <t>Open in EEF</t>
        </is>
      </c>
    </row>
    <row r="979" ht="43.25" customHeight="1" s="19">
      <c r="A979" s="25" t="n">
        <v>978</v>
      </c>
      <c r="B979" s="25" t="inlineStr">
        <is>
          <t>★★☆☆☆</t>
        </is>
      </c>
      <c r="C979" s="25" t="inlineStr">
        <is>
          <t>2 – Broad / loosely related</t>
        </is>
      </c>
      <c r="D979" s="25" t="inlineStr">
        <is>
          <t>Other engineering / maths</t>
        </is>
      </c>
      <c r="E979" s="26" t="inlineStr">
        <is>
          <t>Master International Master Fluids Engineering for Industrial Processes</t>
        </is>
      </c>
      <c r="F979" s="26" t="inlineStr">
        <is>
          <t>Master International Master Fluids Engineering for Industrial Processes</t>
        </is>
      </c>
      <c r="G979" s="25" t="inlineStr">
        <is>
          <t>Master indifférencié (recherche et professionnel)</t>
        </is>
      </c>
      <c r="H979" s="25" t="inlineStr">
        <is>
          <t>Institut national des sciences appliquées de Toulouse</t>
        </is>
      </c>
      <c r="I979" s="25" t="n"/>
      <c r="J979" s="25" t="inlineStr">
        <is>
          <t>Site de Toulouse</t>
        </is>
      </c>
      <c r="K979" s="25" t="inlineStr">
        <is>
          <t>31077 Toulouse Cedex</t>
        </is>
      </c>
      <c r="L979" s="25" t="inlineStr">
        <is>
          <t>Public school / institute</t>
        </is>
      </c>
      <c r="M979" s="25" t="inlineStr">
        <is>
          <t>English</t>
        </is>
      </c>
      <c r="N979" s="25" t="inlineStr">
        <is>
          <t>General</t>
        </is>
      </c>
      <c r="O979" s="25" t="inlineStr">
        <is>
          <t>Bac +4 / Bac +5</t>
        </is>
      </c>
      <c r="P979" s="26" t="inlineStr">
        <is>
          <t>Eligible on level (4-yr BS ≈ Bac+4)</t>
        </is>
      </c>
      <c r="Q979" s="25" t="inlineStr">
        <is>
          <t>1/2</t>
        </is>
      </c>
      <c r="R979" s="25" t="n"/>
      <c r="S979" s="27" t="n">
        <v>9018</v>
      </c>
      <c r="T979" s="27" t="n"/>
      <c r="U979" s="25" t="n">
        <v>2</v>
      </c>
      <c r="V979" s="27">
        <f>IF(S979="","",S979*U979)</f>
        <v/>
      </c>
      <c r="W979" s="26" t="inlineStr">
        <is>
          <t>Catalogue fee €9,018/yr (entered by institution).</t>
        </is>
      </c>
      <c r="X979" s="25" t="inlineStr">
        <is>
          <t>High</t>
        </is>
      </c>
      <c r="Y979" s="25" t="inlineStr">
        <is>
          <t>9018</t>
        </is>
      </c>
      <c r="Z979" s="26" t="inlineStr">
        <is>
          <t>Tuition fees: €9018/year Fees reduced to €5389/year for academic partners, European students … ents from some developing countries, and selected students on a merit basis Tuition fees: €9018/year Fees reduced to €5389/ye</t>
        </is>
      </c>
      <c r="AA979" s="26" t="n"/>
      <c r="AB979" s="25" t="n"/>
      <c r="AC979" s="25" t="inlineStr">
        <is>
          <t>Open</t>
        </is>
      </c>
      <c r="AD979" s="25" t="inlineStr">
        <is>
          <t>2026-10-01</t>
        </is>
      </c>
      <c r="AE979" s="25" t="inlineStr">
        <is>
          <t>2027-03-15</t>
        </is>
      </c>
      <c r="AF979" s="25" t="inlineStr">
        <is>
          <t>Yes</t>
        </is>
      </c>
      <c r="AG979" s="28" t="inlineStr">
        <is>
          <t>https://msc-inp-insa-toulouse.fr/master-fluids-engineering-for-industrial-processes/</t>
        </is>
      </c>
      <c r="AH979" s="26" t="inlineStr">
        <is>
          <t>Fluids Engineering for Industrial Processes The lectures of this program concern the physics and modeling of transport phenomena in multiphase flows (bubbles, drops, granular media, emulsions and foams). Some of tits app</t>
        </is>
      </c>
      <c r="AI979" s="28" t="inlineStr">
        <is>
          <t>Open in EEF</t>
        </is>
      </c>
    </row>
    <row r="980" ht="32.8" customHeight="1" s="19">
      <c r="A980" s="25" t="n">
        <v>979</v>
      </c>
      <c r="B980" s="25" t="inlineStr">
        <is>
          <t>★★☆☆☆</t>
        </is>
      </c>
      <c r="C980" s="25" t="inlineStr">
        <is>
          <t>2 – Broad / loosely related</t>
        </is>
      </c>
      <c r="D980" s="25" t="inlineStr">
        <is>
          <t>Other engineering / maths</t>
        </is>
      </c>
      <c r="E980" s="26" t="inlineStr">
        <is>
          <t>ISEP Engineering Master Degree</t>
        </is>
      </c>
      <c r="F980" s="26" t="inlineStr">
        <is>
          <t>ISEP Engineering Master Degree</t>
        </is>
      </c>
      <c r="G980" s="25" t="inlineStr">
        <is>
          <t>Master indifférencié (recherche et professionnel)</t>
        </is>
      </c>
      <c r="H980" s="25" t="inlineStr">
        <is>
          <t>Institut supérieur d'électronique de Paris</t>
        </is>
      </c>
      <c r="I980" s="25" t="n"/>
      <c r="J980" s="25" t="inlineStr">
        <is>
          <t>Site de Paris</t>
        </is>
      </c>
      <c r="K980" s="25" t="n"/>
      <c r="L980" s="25" t="inlineStr">
        <is>
          <t>Private / EESPIG</t>
        </is>
      </c>
      <c r="M980" s="25" t="inlineStr">
        <is>
          <t>English</t>
        </is>
      </c>
      <c r="N980" s="25" t="inlineStr">
        <is>
          <t>Taught in English</t>
        </is>
      </c>
      <c r="O980" s="25" t="inlineStr">
        <is>
          <t>Bac +4 / Bac +5</t>
        </is>
      </c>
      <c r="P980" s="26" t="inlineStr">
        <is>
          <t>Eligible on level (4-yr BS ≈ Bac+4)</t>
        </is>
      </c>
      <c r="Q980" s="25" t="inlineStr">
        <is>
          <t>1/2</t>
        </is>
      </c>
      <c r="R980" s="25" t="inlineStr">
        <is>
          <t>12</t>
        </is>
      </c>
      <c r="S980" s="27" t="n">
        <v>10514</v>
      </c>
      <c r="T980" s="27" t="n"/>
      <c r="U980" s="25" t="n">
        <v>2</v>
      </c>
      <c r="V980" s="27">
        <f>IF(S980="","",S980*U980)</f>
        <v/>
      </c>
      <c r="W980" s="26" t="inlineStr">
        <is>
          <t>Catalogue fee €10,514/yr (entered by institution).</t>
        </is>
      </c>
      <c r="X980" s="25" t="inlineStr">
        <is>
          <t>High</t>
        </is>
      </c>
      <c r="Y980" s="25" t="inlineStr">
        <is>
          <t>11840/10514</t>
        </is>
      </c>
      <c r="Z980" s="26" t="n"/>
      <c r="AA980" s="26" t="n"/>
      <c r="AB980" s="25" t="n"/>
      <c r="AC980" s="25" t="inlineStr">
        <is>
          <t>Open</t>
        </is>
      </c>
      <c r="AD980" s="25" t="inlineStr">
        <is>
          <t>2026-10-01</t>
        </is>
      </c>
      <c r="AE980" s="25" t="inlineStr">
        <is>
          <t>2027-03-15</t>
        </is>
      </c>
      <c r="AF980" s="25" t="inlineStr">
        <is>
          <t>Yes</t>
        </is>
      </c>
      <c r="AG980" s="28" t="inlineStr">
        <is>
          <t>https://en.isep.fr/studying-at-isep/isep-engineering-master-degree/</t>
        </is>
      </c>
      <c r="AH980" s="26" t="inlineStr">
        <is>
          <t>Admission: Bachelor's degree in Electrical and Electronic Engineering, Telecommunications, Computer Science, Information Technology or in any relevant domains. English proficiency: IELTS (Minimum overall band score 6) or</t>
        </is>
      </c>
      <c r="AI980" s="28" t="inlineStr">
        <is>
          <t>Open in EEF</t>
        </is>
      </c>
    </row>
    <row r="981" ht="43.25" customHeight="1" s="19">
      <c r="A981" s="25" t="n">
        <v>980</v>
      </c>
      <c r="B981" s="25" t="inlineStr">
        <is>
          <t>★★☆☆☆</t>
        </is>
      </c>
      <c r="C981" s="25" t="inlineStr">
        <is>
          <t>2 – Broad / loosely related</t>
        </is>
      </c>
      <c r="D981" s="25" t="inlineStr">
        <is>
          <t>Other engineering / maths</t>
        </is>
      </c>
      <c r="E981" s="26" t="inlineStr">
        <is>
          <t>Master indifférencié (recherche et professionnel) Sciences, technologies, santé mention Aéronautique parcours</t>
        </is>
      </c>
      <c r="F981" s="26" t="inlineStr">
        <is>
          <t>Science, Technology, Health (STS) – major: Aeronautics – track:</t>
        </is>
      </c>
      <c r="G981" s="25" t="inlineStr">
        <is>
          <t>Master indifférencié (recherche et professionnel)</t>
        </is>
      </c>
      <c r="H981" s="25" t="inlineStr">
        <is>
          <t>Institut supérieur de l'aéronautique et de l'espace</t>
        </is>
      </c>
      <c r="I981" s="25" t="n"/>
      <c r="J981" s="25" t="inlineStr">
        <is>
          <t>Site de Toulouse</t>
        </is>
      </c>
      <c r="K981" s="25" t="n"/>
      <c r="L981" s="25" t="inlineStr">
        <is>
          <t>Public school / institute</t>
        </is>
      </c>
      <c r="M981" s="25" t="inlineStr">
        <is>
          <t>English</t>
        </is>
      </c>
      <c r="N981" s="25" t="inlineStr">
        <is>
          <t>General</t>
        </is>
      </c>
      <c r="O981" s="25" t="inlineStr">
        <is>
          <t>Bac +4</t>
        </is>
      </c>
      <c r="P981" s="26" t="inlineStr">
        <is>
          <t>Eligible on level (4-yr BS ≈ Bac+4)</t>
        </is>
      </c>
      <c r="Q981" s="25" t="inlineStr">
        <is>
          <t>1</t>
        </is>
      </c>
      <c r="R981" s="25" t="inlineStr">
        <is>
          <t>25</t>
        </is>
      </c>
      <c r="S981" s="27" t="n">
        <v>10600</v>
      </c>
      <c r="T981" s="27" t="n"/>
      <c r="U981" s="25" t="n">
        <v>2</v>
      </c>
      <c r="V981" s="27">
        <f>IF(S981="","",S981*U981)</f>
        <v/>
      </c>
      <c r="W981" s="26" t="inlineStr">
        <is>
          <t>Catalogue fee €10,600/yr (entered by institution).</t>
        </is>
      </c>
      <c r="X981" s="25" t="inlineStr">
        <is>
          <t>High</t>
        </is>
      </c>
      <c r="Y981" s="25" t="inlineStr">
        <is>
          <t>10600</t>
        </is>
      </c>
      <c r="Z981" s="26" t="n"/>
      <c r="AA981" s="26" t="n"/>
      <c r="AB981" s="25" t="n"/>
      <c r="AC981" s="25" t="inlineStr">
        <is>
          <t>Open</t>
        </is>
      </c>
      <c r="AD981" s="25" t="inlineStr">
        <is>
          <t>2026-10-01</t>
        </is>
      </c>
      <c r="AE981" s="25" t="inlineStr">
        <is>
          <t>2027-03-15</t>
        </is>
      </c>
      <c r="AF981" s="25" t="inlineStr">
        <is>
          <t>Yes</t>
        </is>
      </c>
      <c r="AG981" s="28" t="inlineStr">
        <is>
          <t>https://www.isae-supaero.fr/</t>
        </is>
      </c>
      <c r="AH981" s="26" t="inlineStr">
        <is>
          <t>Bachelor in Aerospace Engineering Electronics &amp; Electrical &amp; Telecommunication eng. Mechanical eng. Physics &amp; Mathematics science English proficiency CAE TOEFL IBT (79 minimum) TOEIC (785 minimum) IELTS (6.5 minimum)</t>
        </is>
      </c>
      <c r="AI981" s="28" t="inlineStr">
        <is>
          <t>Open in EEF</t>
        </is>
      </c>
    </row>
    <row r="982" ht="32.8" customHeight="1" s="19">
      <c r="A982" s="25" t="n">
        <v>981</v>
      </c>
      <c r="B982" s="25" t="inlineStr">
        <is>
          <t>★★☆☆☆</t>
        </is>
      </c>
      <c r="C982" s="25" t="inlineStr">
        <is>
          <t>2 – Broad / loosely related</t>
        </is>
      </c>
      <c r="D982" s="25" t="inlineStr">
        <is>
          <t>Other engineering / maths</t>
        </is>
      </c>
      <c r="E982" s="26" t="inlineStr">
        <is>
          <t>Master Automotive Engineering for Sustainable Mobility (pour étudiants internationaux)</t>
        </is>
      </c>
      <c r="F982" s="26" t="inlineStr">
        <is>
          <t>Master Automotive Engineering for Sustainable Mobility (for students international)</t>
        </is>
      </c>
      <c r="G982" s="25" t="inlineStr">
        <is>
          <t>Master indifférencié (recherche et professionnel)</t>
        </is>
      </c>
      <c r="H982" s="25" t="inlineStr">
        <is>
          <t>Institut supérieur de l'automobile et des transports</t>
        </is>
      </c>
      <c r="I982" s="25" t="inlineStr">
        <is>
          <t>Université Bourgogne Europe</t>
        </is>
      </c>
      <c r="J982" s="25" t="inlineStr">
        <is>
          <t>Site de Nevers</t>
        </is>
      </c>
      <c r="K982" s="25" t="n"/>
      <c r="L982" s="25" t="inlineStr">
        <is>
          <t>Public school / institute</t>
        </is>
      </c>
      <c r="M982" s="25" t="inlineStr">
        <is>
          <t>English</t>
        </is>
      </c>
      <c r="N982" s="25" t="inlineStr">
        <is>
          <t>General</t>
        </is>
      </c>
      <c r="O982" s="25" t="inlineStr">
        <is>
          <t>Bac +4</t>
        </is>
      </c>
      <c r="P982" s="26" t="inlineStr">
        <is>
          <t>Eligible on level (4-yr BS ≈ Bac+4)</t>
        </is>
      </c>
      <c r="Q982" s="25" t="inlineStr">
        <is>
          <t>1</t>
        </is>
      </c>
      <c r="R982" s="25" t="inlineStr">
        <is>
          <t>24</t>
        </is>
      </c>
      <c r="S982" s="27" t="n">
        <v>11500</v>
      </c>
      <c r="T982" s="27" t="n"/>
      <c r="U982" s="25" t="n">
        <v>2</v>
      </c>
      <c r="V982" s="27">
        <f>IF(S982="","",S982*U982)</f>
        <v/>
      </c>
      <c r="W982" s="26" t="inlineStr">
        <is>
          <t>Catalogue fee €11,500/yr (entered by institution).</t>
        </is>
      </c>
      <c r="X982" s="25" t="inlineStr">
        <is>
          <t>High</t>
        </is>
      </c>
      <c r="Y982" s="25" t="inlineStr">
        <is>
          <t>11500</t>
        </is>
      </c>
      <c r="Z982" s="26" t="n"/>
      <c r="AA982" s="26" t="n"/>
      <c r="AB982" s="25" t="n"/>
      <c r="AC982" s="25" t="inlineStr">
        <is>
          <t>Open</t>
        </is>
      </c>
      <c r="AD982" s="25" t="inlineStr">
        <is>
          <t>2026-10-01</t>
        </is>
      </c>
      <c r="AE982" s="25" t="inlineStr">
        <is>
          <t>2027-03-15</t>
        </is>
      </c>
      <c r="AF982" s="25" t="inlineStr">
        <is>
          <t>No</t>
        </is>
      </c>
      <c r="AG982" s="28" t="inlineStr">
        <is>
          <t>http://www.isat.fr/</t>
        </is>
      </c>
      <c r="AH982" s="26" t="inlineStr">
        <is>
          <t>Bachelor's degree or equivalent in mechanical engineering, electronics, computer science, automotive engineering, physics or chemical engineering, material engineering... English proficiency: TOEIC 785 / (TOEFL IBT 80) /</t>
        </is>
      </c>
      <c r="AI982" s="28" t="inlineStr">
        <is>
          <t>Open in EEF</t>
        </is>
      </c>
    </row>
    <row r="983" ht="32.8" customHeight="1" s="19">
      <c r="A983" s="25" t="n">
        <v>982</v>
      </c>
      <c r="B983" s="25" t="inlineStr">
        <is>
          <t>★★☆☆☆</t>
        </is>
      </c>
      <c r="C983" s="25" t="inlineStr">
        <is>
          <t>2 – Broad / loosely related</t>
        </is>
      </c>
      <c r="D983" s="25" t="inlineStr">
        <is>
          <t>Other engineering / maths</t>
        </is>
      </c>
      <c r="E983" s="26" t="inlineStr">
        <is>
          <t>Mastère Spécialisé ® « Aeronautical Operations &amp; Maintenance »</t>
        </is>
      </c>
      <c r="F983" s="26" t="inlineStr">
        <is>
          <t>Specialised Master (MS) ® « Aeronautical Operations &amp; Maintenance »</t>
        </is>
      </c>
      <c r="G983" s="25" t="inlineStr">
        <is>
          <t>Mastère spécialisé</t>
        </is>
      </c>
      <c r="H983" s="25" t="inlineStr">
        <is>
          <t>Ecole supérieure des techniques aéronautiques et de construction automobile</t>
        </is>
      </c>
      <c r="I983" s="25" t="n"/>
      <c r="J983" s="25" t="inlineStr">
        <is>
          <t>Campus Paris-Saclay</t>
        </is>
      </c>
      <c r="K983" s="25" t="inlineStr">
        <is>
          <t>78180 Montigny-le-Bretonneux</t>
        </is>
      </c>
      <c r="L983" s="25" t="inlineStr">
        <is>
          <t>Private / EESPIG</t>
        </is>
      </c>
      <c r="M983" s="25" t="inlineStr">
        <is>
          <t>English</t>
        </is>
      </c>
      <c r="N983" s="25" t="inlineStr">
        <is>
          <t>Taught in English</t>
        </is>
      </c>
      <c r="O983" s="25" t="inlineStr">
        <is>
          <t>Bac +6</t>
        </is>
      </c>
      <c r="P983" s="26" t="inlineStr">
        <is>
          <t>Possible – MS rules allow Bac+4 + ≥3 yrs work experience (you have 3)</t>
        </is>
      </c>
      <c r="Q983" s="25" t="inlineStr">
        <is>
          <t>6</t>
        </is>
      </c>
      <c r="R983" s="25" t="inlineStr">
        <is>
          <t>12</t>
        </is>
      </c>
      <c r="S983" s="27" t="n">
        <v>12000</v>
      </c>
      <c r="T983" s="27" t="n"/>
      <c r="U983" s="25" t="n">
        <v>1</v>
      </c>
      <c r="V983" s="27">
        <f>IF(S983="","",S983*U983)</f>
        <v/>
      </c>
      <c r="W983" s="26" t="inlineStr">
        <is>
          <t>Not in catalogue. Mastère Spécialisé programmes typically cost €9k–€23k. Verify.</t>
        </is>
      </c>
      <c r="X983" s="25" t="inlineStr">
        <is>
          <t>Low</t>
        </is>
      </c>
      <c r="Y983" s="25" t="n"/>
      <c r="Z983" s="26" t="inlineStr">
        <is>
          <t>f your degree diploma - Resume - Motivation letter - Recommendation letter - Payment of 75€ application fee</t>
        </is>
      </c>
      <c r="AA983" s="26" t="n"/>
      <c r="AB983" s="25" t="n"/>
      <c r="AC983" s="25" t="inlineStr">
        <is>
          <t>Open</t>
        </is>
      </c>
      <c r="AD983" s="25" t="inlineStr">
        <is>
          <t>2026-10-01</t>
        </is>
      </c>
      <c r="AE983" s="25" t="inlineStr">
        <is>
          <t>2027-03-15</t>
        </is>
      </c>
      <c r="AF983" s="25" t="inlineStr">
        <is>
          <t>Yes</t>
        </is>
      </c>
      <c r="AG983" s="28" t="inlineStr">
        <is>
          <t>https://www.estaca.fr/en/programs/post-master-degree/aeronautical-operation-maintenance/</t>
        </is>
      </c>
      <c r="AH983" s="26" t="inlineStr">
        <is>
          <t>This program is open to all foreign and French students holding a Master Degree (preferably in scientific fields, business master may also apply) or having completed five years of studies in an Engineering degree. Applic</t>
        </is>
      </c>
      <c r="AI983" s="28" t="inlineStr">
        <is>
          <t>Open in EEF</t>
        </is>
      </c>
    </row>
    <row r="984" ht="22.35" customHeight="1" s="19">
      <c r="A984" s="25" t="n">
        <v>983</v>
      </c>
      <c r="B984" s="25" t="inlineStr">
        <is>
          <t>★★☆☆☆</t>
        </is>
      </c>
      <c r="C984" s="25" t="inlineStr">
        <is>
          <t>2 – Broad / loosely related</t>
        </is>
      </c>
      <c r="D984" s="25" t="inlineStr">
        <is>
          <t>Other engineering / maths</t>
        </is>
      </c>
      <c r="E984" s="26" t="inlineStr">
        <is>
          <t>mastère spé. Espaces virtuels avancés</t>
        </is>
      </c>
      <c r="F984" s="26" t="inlineStr">
        <is>
          <t>Specialised Master (MS) Spaces Virtual Advanced</t>
        </is>
      </c>
      <c r="G984" s="25" t="inlineStr">
        <is>
          <t>Mastère spécialisé</t>
        </is>
      </c>
      <c r="H984" s="25" t="inlineStr">
        <is>
          <t>Arts et Métiers ParisTech - Institut de Chalon-sur-Saône</t>
        </is>
      </c>
      <c r="I984" s="25" t="n"/>
      <c r="J984" s="25" t="inlineStr">
        <is>
          <t>Site de Chalon-sur-Saône</t>
        </is>
      </c>
      <c r="K984" s="25" t="n"/>
      <c r="L984" s="25" t="inlineStr">
        <is>
          <t>Public school / institute</t>
        </is>
      </c>
      <c r="M984" s="25" t="inlineStr">
        <is>
          <t>French</t>
        </is>
      </c>
      <c r="N984" s="25" t="inlineStr">
        <is>
          <t>General</t>
        </is>
      </c>
      <c r="O984" s="25" t="n"/>
      <c r="P984" s="26" t="inlineStr">
        <is>
          <t>Possible – MS rules allow Bac+4 + ≥3 yrs work experience (you have 3)</t>
        </is>
      </c>
      <c r="Q984" s="25" t="inlineStr">
        <is>
          <t>1</t>
        </is>
      </c>
      <c r="R984" s="25" t="n"/>
      <c r="S984" s="27" t="n">
        <v>12000</v>
      </c>
      <c r="T984" s="27" t="n"/>
      <c r="U984" s="25" t="n">
        <v>1</v>
      </c>
      <c r="V984" s="27">
        <f>IF(S984="","",S984*U984)</f>
        <v/>
      </c>
      <c r="W984" s="26" t="inlineStr">
        <is>
          <t>Not in catalogue. Mastère Spécialisé programmes typically cost €9k–€23k. Verify.</t>
        </is>
      </c>
      <c r="X984" s="25" t="inlineStr">
        <is>
          <t>Low</t>
        </is>
      </c>
      <c r="Y984" s="25" t="n"/>
      <c r="Z984" s="26" t="n"/>
      <c r="AA984" s="26" t="n"/>
      <c r="AB984" s="25" t="n"/>
      <c r="AC984" s="25" t="inlineStr">
        <is>
          <t>Closed</t>
        </is>
      </c>
      <c r="AD984" s="25" t="n"/>
      <c r="AE984" s="25" t="n"/>
      <c r="AF984" s="25" t="inlineStr">
        <is>
          <t>No</t>
        </is>
      </c>
      <c r="AG984" s="28" t="inlineStr">
        <is>
          <t>http://www.ensam.eu</t>
        </is>
      </c>
      <c r="AH984" s="26" t="n"/>
      <c r="AI984" s="28" t="inlineStr">
        <is>
          <t>Open in EEF</t>
        </is>
      </c>
    </row>
    <row r="985" ht="22.35" customHeight="1" s="19">
      <c r="A985" s="25" t="n">
        <v>984</v>
      </c>
      <c r="B985" s="25" t="inlineStr">
        <is>
          <t>★★☆☆☆</t>
        </is>
      </c>
      <c r="C985" s="25" t="inlineStr">
        <is>
          <t>2 – Broad / loosely related</t>
        </is>
      </c>
      <c r="D985" s="25" t="inlineStr">
        <is>
          <t>Other engineering / maths</t>
        </is>
      </c>
      <c r="E985" s="26" t="inlineStr">
        <is>
          <t>mastère spé. Espaces virtuels avancés</t>
        </is>
      </c>
      <c r="F985" s="26" t="inlineStr">
        <is>
          <t>Specialised Master (MS) Spaces Virtual Advanced</t>
        </is>
      </c>
      <c r="G985" s="25" t="inlineStr">
        <is>
          <t>Mastère spécialisé</t>
        </is>
      </c>
      <c r="H985" s="25" t="inlineStr">
        <is>
          <t>Arts et Métiers ParisTech - Centre de Cluny</t>
        </is>
      </c>
      <c r="I985" s="25" t="n"/>
      <c r="J985" s="25" t="inlineStr">
        <is>
          <t>Site de Cluny</t>
        </is>
      </c>
      <c r="K985" s="25" t="n"/>
      <c r="L985" s="25" t="inlineStr">
        <is>
          <t>Public school / institute</t>
        </is>
      </c>
      <c r="M985" s="25" t="inlineStr">
        <is>
          <t>French</t>
        </is>
      </c>
      <c r="N985" s="25" t="inlineStr">
        <is>
          <t>General</t>
        </is>
      </c>
      <c r="O985" s="25" t="n"/>
      <c r="P985" s="26" t="inlineStr">
        <is>
          <t>Possible – MS rules allow Bac+4 + ≥3 yrs work experience (you have 3)</t>
        </is>
      </c>
      <c r="Q985" s="25" t="inlineStr">
        <is>
          <t>1</t>
        </is>
      </c>
      <c r="R985" s="25" t="n"/>
      <c r="S985" s="27" t="n">
        <v>12000</v>
      </c>
      <c r="T985" s="27" t="n"/>
      <c r="U985" s="25" t="n">
        <v>1</v>
      </c>
      <c r="V985" s="27">
        <f>IF(S985="","",S985*U985)</f>
        <v/>
      </c>
      <c r="W985" s="26" t="inlineStr">
        <is>
          <t>Not in catalogue. Mastère Spécialisé programmes typically cost €9k–€23k. Verify.</t>
        </is>
      </c>
      <c r="X985" s="25" t="inlineStr">
        <is>
          <t>Low</t>
        </is>
      </c>
      <c r="Y985" s="25" t="n"/>
      <c r="Z985" s="26" t="n"/>
      <c r="AA985" s="26" t="n"/>
      <c r="AB985" s="25" t="n"/>
      <c r="AC985" s="25" t="inlineStr">
        <is>
          <t>Closed</t>
        </is>
      </c>
      <c r="AD985" s="25" t="n"/>
      <c r="AE985" s="25" t="n"/>
      <c r="AF985" s="25" t="inlineStr">
        <is>
          <t>No</t>
        </is>
      </c>
      <c r="AG985" s="28" t="inlineStr">
        <is>
          <t>http://www.ensam.eu</t>
        </is>
      </c>
      <c r="AH985" s="26" t="n"/>
      <c r="AI985" s="28" t="inlineStr">
        <is>
          <t>Open in EEF</t>
        </is>
      </c>
    </row>
    <row r="986" ht="22.35" customHeight="1" s="19">
      <c r="A986" s="25" t="n">
        <v>985</v>
      </c>
      <c r="B986" s="25" t="inlineStr">
        <is>
          <t>★★☆☆☆</t>
        </is>
      </c>
      <c r="C986" s="25" t="inlineStr">
        <is>
          <t>2 – Broad / loosely related</t>
        </is>
      </c>
      <c r="D986" s="25" t="inlineStr">
        <is>
          <t>Other engineering / maths</t>
        </is>
      </c>
      <c r="E986" s="26" t="inlineStr">
        <is>
          <t>mastère spé. Responsable de l'amélioration continue et de la performance industrielle</t>
        </is>
      </c>
      <c r="F986" s="26" t="inlineStr">
        <is>
          <t>Specialised Master (MS) Manager of l'amélioration continue &amp; of the Performance Industrial</t>
        </is>
      </c>
      <c r="G986" s="25" t="inlineStr">
        <is>
          <t>Mastère spécialisé</t>
        </is>
      </c>
      <c r="H986" s="25" t="inlineStr">
        <is>
          <t>École d'ingénieurs du centre d'études supérieures industrielles de Pau</t>
        </is>
      </c>
      <c r="I986" s="25" t="n"/>
      <c r="J986" s="25" t="inlineStr">
        <is>
          <t>Site de Assat</t>
        </is>
      </c>
      <c r="K986" s="25" t="n"/>
      <c r="L986" s="25" t="inlineStr">
        <is>
          <t>Public school / institute</t>
        </is>
      </c>
      <c r="M986" s="25" t="inlineStr">
        <is>
          <t>French</t>
        </is>
      </c>
      <c r="N986" s="25" t="inlineStr">
        <is>
          <t>General</t>
        </is>
      </c>
      <c r="O986" s="25" t="n"/>
      <c r="P986" s="26" t="inlineStr">
        <is>
          <t>Possible – MS rules allow Bac+4 + ≥3 yrs work experience (you have 3)</t>
        </is>
      </c>
      <c r="Q986" s="25" t="inlineStr">
        <is>
          <t>1</t>
        </is>
      </c>
      <c r="R986" s="25" t="n"/>
      <c r="S986" s="27" t="n">
        <v>12000</v>
      </c>
      <c r="T986" s="27" t="n"/>
      <c r="U986" s="25" t="n">
        <v>1</v>
      </c>
      <c r="V986" s="27">
        <f>IF(S986="","",S986*U986)</f>
        <v/>
      </c>
      <c r="W986" s="26" t="inlineStr">
        <is>
          <t>Not in catalogue. Mastère Spécialisé programmes typically cost €9k–€23k. Verify.</t>
        </is>
      </c>
      <c r="X986" s="25" t="inlineStr">
        <is>
          <t>Low</t>
        </is>
      </c>
      <c r="Y986" s="25" t="n"/>
      <c r="Z986" s="26" t="n"/>
      <c r="AA986" s="26" t="n"/>
      <c r="AB986" s="25" t="n"/>
      <c r="AC986" s="25" t="inlineStr">
        <is>
          <t>Closed</t>
        </is>
      </c>
      <c r="AD986" s="25" t="n"/>
      <c r="AE986" s="25" t="n"/>
      <c r="AF986" s="25" t="inlineStr">
        <is>
          <t>No</t>
        </is>
      </c>
      <c r="AG986" s="28" t="inlineStr">
        <is>
          <t>http://www.eicesi.fr</t>
        </is>
      </c>
      <c r="AH986" s="26" t="n"/>
      <c r="AI986" s="28" t="inlineStr">
        <is>
          <t>Open in EEF</t>
        </is>
      </c>
    </row>
    <row r="987" ht="43.25" customHeight="1" s="19">
      <c r="A987" s="25" t="n">
        <v>986</v>
      </c>
      <c r="B987" s="25" t="inlineStr">
        <is>
          <t>★★☆☆☆</t>
        </is>
      </c>
      <c r="C987" s="25" t="inlineStr">
        <is>
          <t>2 – Broad / loosely related</t>
        </is>
      </c>
      <c r="D987" s="25" t="inlineStr">
        <is>
          <t>Other engineering / maths</t>
        </is>
      </c>
      <c r="E987" s="26" t="inlineStr">
        <is>
          <t>Mastère Spécialisé® / Advanced Master AES Aeronautical &amp; space Structure</t>
        </is>
      </c>
      <c r="F987" s="26" t="inlineStr">
        <is>
          <t>Mastère Spécialisé® / Advanced Master AES Aeronautical &amp; space Structure</t>
        </is>
      </c>
      <c r="G987" s="25" t="inlineStr">
        <is>
          <t>Mastère spécialisé</t>
        </is>
      </c>
      <c r="H987" s="25" t="inlineStr">
        <is>
          <t>Institut supérieur de l'aéronautique et de l'espace</t>
        </is>
      </c>
      <c r="I987" s="25" t="n"/>
      <c r="J987" s="25" t="inlineStr">
        <is>
          <t>Site de Toulouse</t>
        </is>
      </c>
      <c r="K987" s="25" t="n"/>
      <c r="L987" s="25" t="inlineStr">
        <is>
          <t>Public school / institute</t>
        </is>
      </c>
      <c r="M987" s="25" t="inlineStr">
        <is>
          <t>English</t>
        </is>
      </c>
      <c r="N987" s="25" t="inlineStr">
        <is>
          <t>General</t>
        </is>
      </c>
      <c r="O987" s="25" t="inlineStr">
        <is>
          <t>Bac +6</t>
        </is>
      </c>
      <c r="P987" s="26" t="inlineStr">
        <is>
          <t>Possible – MS rules allow Bac+4 + ≥3 yrs work experience (you have 3)</t>
        </is>
      </c>
      <c r="Q987" s="25" t="inlineStr">
        <is>
          <t>1</t>
        </is>
      </c>
      <c r="R987" s="25" t="inlineStr">
        <is>
          <t>12</t>
        </is>
      </c>
      <c r="S987" s="27" t="n">
        <v>17000</v>
      </c>
      <c r="T987" s="27" t="n"/>
      <c r="U987" s="25" t="n">
        <v>1</v>
      </c>
      <c r="V987" s="27">
        <f>IF(S987="","",S987*U987)</f>
        <v/>
      </c>
      <c r="W987" s="26" t="inlineStr">
        <is>
          <t>ISAE-SUPAERO Advanced Master: €17,000 (non-EU self-funded) / €23,000 company-funded – 2025-26 rates (official site).</t>
        </is>
      </c>
      <c r="X987" s="25" t="inlineStr">
        <is>
          <t>High</t>
        </is>
      </c>
      <c r="Y987" s="25" t="n"/>
      <c r="Z987" s="26" t="n"/>
      <c r="AA987" s="26" t="n"/>
      <c r="AB987" s="25" t="n"/>
      <c r="AC987" s="25" t="inlineStr">
        <is>
          <t>Open</t>
        </is>
      </c>
      <c r="AD987" s="25" t="inlineStr">
        <is>
          <t>2026-10-01</t>
        </is>
      </c>
      <c r="AE987" s="25" t="inlineStr">
        <is>
          <t>2027-03-15</t>
        </is>
      </c>
      <c r="AF987" s="25" t="inlineStr">
        <is>
          <t>Yes</t>
        </is>
      </c>
      <c r="AG987" s="28" t="inlineStr">
        <is>
          <t>https://www.tsaae.fr/</t>
        </is>
      </c>
      <c r="AH987" s="26" t="inlineStr">
        <is>
          <t>Candidates can apply for our programme with the following backgrounds: Engineering degree Master 2 Master 1 with three years’ post-graduate professional experience A Master’s degree from a business school that is a membe</t>
        </is>
      </c>
      <c r="AI987" s="28" t="inlineStr">
        <is>
          <t>Open in EEF</t>
        </is>
      </c>
    </row>
    <row r="988" ht="43.25" customHeight="1" s="19">
      <c r="A988" s="25" t="n">
        <v>987</v>
      </c>
      <c r="B988" s="25" t="inlineStr">
        <is>
          <t>★★☆☆☆</t>
        </is>
      </c>
      <c r="C988" s="25" t="inlineStr">
        <is>
          <t>2 – Broad / loosely related</t>
        </is>
      </c>
      <c r="D988" s="25" t="inlineStr">
        <is>
          <t>Other engineering / maths</t>
        </is>
      </c>
      <c r="E988" s="26" t="inlineStr">
        <is>
          <t>Mastère spécialisé® / Advanced Master AES in Aeronautical &amp; Space Structure</t>
        </is>
      </c>
      <c r="F988" s="26" t="inlineStr">
        <is>
          <t>Specialised Master (MS)® / Advanced Master AES in Aeronautical &amp; Space Structure</t>
        </is>
      </c>
      <c r="G988" s="25" t="inlineStr">
        <is>
          <t>Mastère spécialisé</t>
        </is>
      </c>
      <c r="H988" s="25" t="inlineStr">
        <is>
          <t>Institut supérieur de l'aéronautique et de l'espace</t>
        </is>
      </c>
      <c r="I988" s="25" t="n"/>
      <c r="J988" s="25" t="inlineStr">
        <is>
          <t>Site de Toulouse</t>
        </is>
      </c>
      <c r="K988" s="25" t="n"/>
      <c r="L988" s="25" t="inlineStr">
        <is>
          <t>Public school / institute</t>
        </is>
      </c>
      <c r="M988" s="25" t="inlineStr">
        <is>
          <t>English</t>
        </is>
      </c>
      <c r="N988" s="25" t="inlineStr">
        <is>
          <t>Taught in English</t>
        </is>
      </c>
      <c r="O988" s="25" t="inlineStr">
        <is>
          <t>Bac +6</t>
        </is>
      </c>
      <c r="P988" s="26" t="inlineStr">
        <is>
          <t>Possible – MS rules allow Bac+4 + ≥3 yrs work experience (you have 3)</t>
        </is>
      </c>
      <c r="Q988" s="25" t="inlineStr">
        <is>
          <t>1</t>
        </is>
      </c>
      <c r="R988" s="25" t="inlineStr">
        <is>
          <t>12</t>
        </is>
      </c>
      <c r="S988" s="27" t="n">
        <v>17000</v>
      </c>
      <c r="T988" s="27" t="n"/>
      <c r="U988" s="25" t="n">
        <v>1</v>
      </c>
      <c r="V988" s="27">
        <f>IF(S988="","",S988*U988)</f>
        <v/>
      </c>
      <c r="W988" s="26" t="inlineStr">
        <is>
          <t>ISAE-SUPAERO Advanced Master: €17,000 (non-EU self-funded) / €23,000 company-funded – 2025-26 rates (official site).</t>
        </is>
      </c>
      <c r="X988" s="25" t="inlineStr">
        <is>
          <t>High</t>
        </is>
      </c>
      <c r="Y988" s="25" t="n"/>
      <c r="Z988" s="26" t="n"/>
      <c r="AA988" s="26" t="n"/>
      <c r="AB988" s="25" t="n"/>
      <c r="AC988" s="25" t="inlineStr">
        <is>
          <t>Open</t>
        </is>
      </c>
      <c r="AD988" s="25" t="inlineStr">
        <is>
          <t>2026-10-01</t>
        </is>
      </c>
      <c r="AE988" s="25" t="inlineStr">
        <is>
          <t>2027-03-15</t>
        </is>
      </c>
      <c r="AF988" s="25" t="inlineStr">
        <is>
          <t>Yes</t>
        </is>
      </c>
      <c r="AG988" s="28" t="inlineStr">
        <is>
          <t>https://www.tsaae.fr/</t>
        </is>
      </c>
      <c r="AH988" s="26" t="inlineStr">
        <is>
          <t>Candidates can apply for our programme with the following backgrounds: Engineering degree Master 2 Master 1 with three years’ post-graduate professional experience A Master’s degree from a business school that is a membe</t>
        </is>
      </c>
      <c r="AI988" s="28" t="inlineStr">
        <is>
          <t>Open in EEF</t>
        </is>
      </c>
    </row>
    <row r="989" ht="43.25" customHeight="1" s="19">
      <c r="A989" s="25" t="n">
        <v>988</v>
      </c>
      <c r="B989" s="25" t="inlineStr">
        <is>
          <t>★★☆☆☆</t>
        </is>
      </c>
      <c r="C989" s="25" t="inlineStr">
        <is>
          <t>2 – Broad / loosely related</t>
        </is>
      </c>
      <c r="D989" s="25" t="inlineStr">
        <is>
          <t>Other engineering / maths</t>
        </is>
      </c>
      <c r="E989" s="26" t="inlineStr">
        <is>
          <t>Mastère Spécialisé® / Advanced Master TAS AERO - Aeronautical Engineering</t>
        </is>
      </c>
      <c r="F989" s="26" t="inlineStr">
        <is>
          <t>Mastère Spécialisé® / Advanced Master TAS AERO - Aeronautical Engineering</t>
        </is>
      </c>
      <c r="G989" s="25" t="inlineStr">
        <is>
          <t>Mastère spécialisé</t>
        </is>
      </c>
      <c r="H989" s="25" t="inlineStr">
        <is>
          <t>Institut supérieur de l'aéronautique et de l'espace</t>
        </is>
      </c>
      <c r="I989" s="25" t="n"/>
      <c r="J989" s="25" t="inlineStr">
        <is>
          <t>Site de Toulouse</t>
        </is>
      </c>
      <c r="K989" s="25" t="n"/>
      <c r="L989" s="25" t="inlineStr">
        <is>
          <t>Public school / institute</t>
        </is>
      </c>
      <c r="M989" s="25" t="inlineStr">
        <is>
          <t>English</t>
        </is>
      </c>
      <c r="N989" s="25" t="inlineStr">
        <is>
          <t>General</t>
        </is>
      </c>
      <c r="O989" s="25" t="inlineStr">
        <is>
          <t>Bac +6</t>
        </is>
      </c>
      <c r="P989" s="26" t="inlineStr">
        <is>
          <t>Possible – MS rules allow Bac+4 + ≥3 yrs work experience (you have 3)</t>
        </is>
      </c>
      <c r="Q989" s="25" t="inlineStr">
        <is>
          <t>1</t>
        </is>
      </c>
      <c r="R989" s="25" t="inlineStr">
        <is>
          <t>12</t>
        </is>
      </c>
      <c r="S989" s="27" t="n">
        <v>17000</v>
      </c>
      <c r="T989" s="27" t="n"/>
      <c r="U989" s="25" t="n">
        <v>1</v>
      </c>
      <c r="V989" s="27">
        <f>IF(S989="","",S989*U989)</f>
        <v/>
      </c>
      <c r="W989" s="26" t="inlineStr">
        <is>
          <t>ISAE-SUPAERO Advanced Master: €17,000 (non-EU self-funded) / €23,000 company-funded – 2025-26 rates (official site).</t>
        </is>
      </c>
      <c r="X989" s="25" t="inlineStr">
        <is>
          <t>High</t>
        </is>
      </c>
      <c r="Y989" s="25" t="n"/>
      <c r="Z989" s="26" t="n"/>
      <c r="AA989" s="26" t="n"/>
      <c r="AB989" s="25" t="n"/>
      <c r="AC989" s="25" t="inlineStr">
        <is>
          <t>Open</t>
        </is>
      </c>
      <c r="AD989" s="25" t="inlineStr">
        <is>
          <t>2026-10-01</t>
        </is>
      </c>
      <c r="AE989" s="25" t="inlineStr">
        <is>
          <t>2027-03-15</t>
        </is>
      </c>
      <c r="AF989" s="25" t="inlineStr">
        <is>
          <t>Yes</t>
        </is>
      </c>
      <c r="AG989" s="28" t="inlineStr">
        <is>
          <t>https://www.tsaae.fr/</t>
        </is>
      </c>
      <c r="AH989" s="26" t="inlineStr">
        <is>
          <t>Candidates can apply for our programme with the following backgrounds: Engineering degree Master 2 Master 1 with three years’ post-graduate professional experience A Master’s degree from a business school that is a membe</t>
        </is>
      </c>
      <c r="AI989" s="28" t="inlineStr">
        <is>
          <t>Open in EEF</t>
        </is>
      </c>
    </row>
    <row r="990" ht="43.25" customHeight="1" s="19">
      <c r="A990" s="25" t="n">
        <v>989</v>
      </c>
      <c r="B990" s="25" t="inlineStr">
        <is>
          <t>★★☆☆☆</t>
        </is>
      </c>
      <c r="C990" s="25" t="inlineStr">
        <is>
          <t>2 – Broad / loosely related</t>
        </is>
      </c>
      <c r="D990" s="25" t="inlineStr">
        <is>
          <t>Other engineering / maths</t>
        </is>
      </c>
      <c r="E990" s="26" t="inlineStr">
        <is>
          <t>Mastère Spécialisé® / Advanced Master TAS AERO - Aeronautical Engineering</t>
        </is>
      </c>
      <c r="F990" s="26" t="inlineStr">
        <is>
          <t>Mastère Spécialisé® / Advanced Master TAS AERO - Aeronautical Engineering</t>
        </is>
      </c>
      <c r="G990" s="25" t="inlineStr">
        <is>
          <t>Mastère spécialisé</t>
        </is>
      </c>
      <c r="H990" s="25" t="inlineStr">
        <is>
          <t>Institut supérieur de l'aéronautique et de l'espace</t>
        </is>
      </c>
      <c r="I990" s="25" t="n"/>
      <c r="J990" s="25" t="inlineStr">
        <is>
          <t>Site de Toulouse</t>
        </is>
      </c>
      <c r="K990" s="25" t="n"/>
      <c r="L990" s="25" t="inlineStr">
        <is>
          <t>Public school / institute</t>
        </is>
      </c>
      <c r="M990" s="25" t="inlineStr">
        <is>
          <t>English</t>
        </is>
      </c>
      <c r="N990" s="25" t="inlineStr">
        <is>
          <t>Taught in English</t>
        </is>
      </c>
      <c r="O990" s="25" t="inlineStr">
        <is>
          <t>Bac +6</t>
        </is>
      </c>
      <c r="P990" s="26" t="inlineStr">
        <is>
          <t>Possible – MS rules allow Bac+4 + ≥3 yrs work experience (you have 3)</t>
        </is>
      </c>
      <c r="Q990" s="25" t="inlineStr">
        <is>
          <t>1</t>
        </is>
      </c>
      <c r="R990" s="25" t="inlineStr">
        <is>
          <t>12</t>
        </is>
      </c>
      <c r="S990" s="27" t="n">
        <v>17000</v>
      </c>
      <c r="T990" s="27" t="n"/>
      <c r="U990" s="25" t="n">
        <v>1</v>
      </c>
      <c r="V990" s="27">
        <f>IF(S990="","",S990*U990)</f>
        <v/>
      </c>
      <c r="W990" s="26" t="inlineStr">
        <is>
          <t>ISAE-SUPAERO Advanced Master: €17,000 (non-EU self-funded) / €23,000 company-funded – 2025-26 rates (official site).</t>
        </is>
      </c>
      <c r="X990" s="25" t="inlineStr">
        <is>
          <t>High</t>
        </is>
      </c>
      <c r="Y990" s="25" t="n"/>
      <c r="Z990" s="26" t="n"/>
      <c r="AA990" s="26" t="n"/>
      <c r="AB990" s="25" t="n"/>
      <c r="AC990" s="25" t="inlineStr">
        <is>
          <t>Open</t>
        </is>
      </c>
      <c r="AD990" s="25" t="inlineStr">
        <is>
          <t>2026-10-01</t>
        </is>
      </c>
      <c r="AE990" s="25" t="inlineStr">
        <is>
          <t>2027-03-15</t>
        </is>
      </c>
      <c r="AF990" s="25" t="inlineStr">
        <is>
          <t>Yes</t>
        </is>
      </c>
      <c r="AG990" s="28" t="inlineStr">
        <is>
          <t>https://www.tsaae.fr/</t>
        </is>
      </c>
      <c r="AH990" s="26" t="inlineStr">
        <is>
          <t>Candidates can apply for our programme with the following backgrounds: Engineering degree Master 2 Master 1 with three years’ post-graduate professional experience A Master’s degree from a business school that is a membe</t>
        </is>
      </c>
      <c r="AI990" s="28" t="inlineStr">
        <is>
          <t>Open in EEF</t>
        </is>
      </c>
    </row>
    <row r="991" ht="32.8" customHeight="1" s="19">
      <c r="A991" s="25" t="n">
        <v>990</v>
      </c>
      <c r="B991" s="25" t="inlineStr">
        <is>
          <t>★★☆☆☆</t>
        </is>
      </c>
      <c r="C991" s="25" t="inlineStr">
        <is>
          <t>2 – Broad / loosely related</t>
        </is>
      </c>
      <c r="D991" s="25" t="inlineStr">
        <is>
          <t>Sensors / Instrumentation / Micro-Nano / Photonics</t>
        </is>
      </c>
      <c r="E991" s="26" t="inlineStr">
        <is>
          <t>Master of Sciences "Nano and Microtechnologies"</t>
        </is>
      </c>
      <c r="F991" s="26" t="inlineStr">
        <is>
          <t>Master of Sciences "Nano and Microtechnologies"</t>
        </is>
      </c>
      <c r="G991" s="25" t="inlineStr">
        <is>
          <t>Master indifférencié (recherche et professionnel)</t>
        </is>
      </c>
      <c r="H991" s="25" t="inlineStr">
        <is>
          <t>Ecole nationale supérieure de chimie, de biologie et de physique de Bordeaux</t>
        </is>
      </c>
      <c r="I991" s="25" t="inlineStr">
        <is>
          <t>Institut national polytechnique de Bordeaux</t>
        </is>
      </c>
      <c r="J991" s="25" t="inlineStr">
        <is>
          <t>Site de Pessac</t>
        </is>
      </c>
      <c r="K991" s="25" t="n"/>
      <c r="L991" s="25" t="inlineStr">
        <is>
          <t>Public school / institute</t>
        </is>
      </c>
      <c r="M991" s="25" t="inlineStr">
        <is>
          <t>English</t>
        </is>
      </c>
      <c r="N991" s="25" t="inlineStr">
        <is>
          <t>Taught in English</t>
        </is>
      </c>
      <c r="O991" s="25" t="inlineStr">
        <is>
          <t>Bac +5</t>
        </is>
      </c>
      <c r="P991" s="26" t="inlineStr">
        <is>
          <t>Requires Bac+5 (Master) – likely not eligible; ask if 4-yr BS + experience accepted</t>
        </is>
      </c>
      <c r="Q991" s="25" t="inlineStr">
        <is>
          <t>2</t>
        </is>
      </c>
      <c r="R991" s="25" t="n"/>
      <c r="S991" s="27" t="n">
        <v>3950</v>
      </c>
      <c r="T991" s="27" t="n">
        <v>255</v>
      </c>
      <c r="U991" s="25" t="n">
        <v>1</v>
      </c>
      <c r="V991" s="27">
        <f>IF(S991="","",S991*U991)</f>
        <v/>
      </c>
      <c r="W991" s="26" t="inlineStr">
        <is>
          <t>Not in catalogue. Public national master → 2026-27 differentiated fee €3,950; exemption to ~€254-255 depends on university quota (25% cap in 2027-28).</t>
        </is>
      </c>
      <c r="X991" s="25" t="inlineStr">
        <is>
          <t>Medium</t>
        </is>
      </c>
      <c r="Y991" s="25" t="n"/>
      <c r="Z991" s="26" t="n"/>
      <c r="AA991" s="26" t="n"/>
      <c r="AB991" s="25" t="n"/>
      <c r="AC991" s="25" t="inlineStr">
        <is>
          <t>Open</t>
        </is>
      </c>
      <c r="AD991" s="25" t="inlineStr">
        <is>
          <t>2026-10-01</t>
        </is>
      </c>
      <c r="AE991" s="25" t="inlineStr">
        <is>
          <t>2027-03-15</t>
        </is>
      </c>
      <c r="AF991" s="25" t="inlineStr">
        <is>
          <t>No</t>
        </is>
      </c>
      <c r="AG991" s="25" t="n"/>
      <c r="AH991" s="26" t="inlineStr">
        <is>
          <t>All courses are taught in English Admission Minimum requirement: four years of higher education and bachelor degree. English proficiency Very good knowledge in english (written and oral). French proficiency No minimum re</t>
        </is>
      </c>
      <c r="AI991" s="28" t="inlineStr">
        <is>
          <t>Open in EEF</t>
        </is>
      </c>
    </row>
    <row r="992" ht="32.8" customHeight="1" s="19">
      <c r="A992" s="25" t="n">
        <v>991</v>
      </c>
      <c r="B992" s="25" t="inlineStr">
        <is>
          <t>★★☆☆☆</t>
        </is>
      </c>
      <c r="C992" s="25" t="inlineStr">
        <is>
          <t>2 – Broad / loosely related</t>
        </is>
      </c>
      <c r="D992" s="25" t="inlineStr">
        <is>
          <t>Other engineering / maths</t>
        </is>
      </c>
      <c r="E992" s="26" t="inlineStr">
        <is>
          <t>Master's degree in Aerospace Engineering</t>
        </is>
      </c>
      <c r="F992" s="26" t="inlineStr">
        <is>
          <t>Master's degree in Aerospace Engineering</t>
        </is>
      </c>
      <c r="G992" s="25" t="inlineStr">
        <is>
          <t>Master indifférencié (recherche et professionnel)</t>
        </is>
      </c>
      <c r="H992" s="25" t="inlineStr">
        <is>
          <t>Institut supérieur de l'aéronautique et de l'espace</t>
        </is>
      </c>
      <c r="I992" s="25" t="n"/>
      <c r="J992" s="25" t="inlineStr">
        <is>
          <t>Site de Toulouse</t>
        </is>
      </c>
      <c r="K992" s="25" t="n"/>
      <c r="L992" s="25" t="inlineStr">
        <is>
          <t>Public school / institute</t>
        </is>
      </c>
      <c r="M992" s="25" t="inlineStr">
        <is>
          <t>English</t>
        </is>
      </c>
      <c r="N992" s="25" t="inlineStr">
        <is>
          <t>Taught in English</t>
        </is>
      </c>
      <c r="O992" s="25" t="inlineStr">
        <is>
          <t>Bac +5</t>
        </is>
      </c>
      <c r="P992" s="26" t="inlineStr">
        <is>
          <t>Requires Bac+5 (Master) – likely not eligible; ask if 4-yr BS + experience accepted</t>
        </is>
      </c>
      <c r="Q992" s="25" t="inlineStr">
        <is>
          <t>1</t>
        </is>
      </c>
      <c r="R992" s="25" t="inlineStr">
        <is>
          <t>24</t>
        </is>
      </c>
      <c r="S992" s="27" t="n">
        <v>3950</v>
      </c>
      <c r="T992" s="27" t="n">
        <v>255</v>
      </c>
      <c r="U992" s="25" t="n">
        <v>2</v>
      </c>
      <c r="V992" s="27">
        <f>IF(S992="","",S992*U992)</f>
        <v/>
      </c>
      <c r="W992" s="26" t="inlineStr">
        <is>
          <t>Not in catalogue. Public national master → 2026-27 differentiated fee €3,950; exemption to ~€254-255 depends on university quota (25% cap in 2027-28).</t>
        </is>
      </c>
      <c r="X992" s="25" t="inlineStr">
        <is>
          <t>Medium</t>
        </is>
      </c>
      <c r="Y992" s="25" t="n"/>
      <c r="Z992" s="26" t="n"/>
      <c r="AA992" s="26" t="n"/>
      <c r="AB992" s="25" t="n"/>
      <c r="AC992" s="25" t="inlineStr">
        <is>
          <t>Open</t>
        </is>
      </c>
      <c r="AD992" s="25" t="inlineStr">
        <is>
          <t>2026-10-01</t>
        </is>
      </c>
      <c r="AE992" s="25" t="inlineStr">
        <is>
          <t>2027-03-15</t>
        </is>
      </c>
      <c r="AF992" s="25" t="inlineStr">
        <is>
          <t>Yes</t>
        </is>
      </c>
      <c r="AG992" s="28" t="inlineStr">
        <is>
          <t>https://www.tsaae.fr/en/programmes/masters-degree-in-aerospace-engineering/#onglet-the-essentials</t>
        </is>
      </c>
      <c r="AH992" s="26" t="inlineStr">
        <is>
          <t>Applicants must hold or be in the process of holding the following diplomas: a Bachelor’s degree or equivalent in the following fields: Mechanical Engineering Mechatronics Aerospace Engineering Electronics Electrical Tel</t>
        </is>
      </c>
      <c r="AI992" s="28" t="inlineStr">
        <is>
          <t>Open in EEF</t>
        </is>
      </c>
    </row>
    <row r="993" ht="32.8" customHeight="1" s="19">
      <c r="A993" s="25" t="n">
        <v>992</v>
      </c>
      <c r="B993" s="25" t="inlineStr">
        <is>
          <t>★★☆☆☆</t>
        </is>
      </c>
      <c r="C993" s="25" t="inlineStr">
        <is>
          <t>2 – Broad / loosely related</t>
        </is>
      </c>
      <c r="D993" s="25" t="inlineStr">
        <is>
          <t>Other engineering / maths</t>
        </is>
      </c>
      <c r="E993" s="26" t="inlineStr">
        <is>
          <t>Master indifférencié (recherche et professionnel) Sciences de la santé mention Biologie-santé parcours Génétique humaine et médicale</t>
        </is>
      </c>
      <c r="F993" s="26" t="inlineStr">
        <is>
          <t>Sciences of the Health – major: Biology-Health – track: Genetics humaine &amp; Medical</t>
        </is>
      </c>
      <c r="G993" s="25" t="inlineStr">
        <is>
          <t>Master indifférencié (recherche et professionnel)</t>
        </is>
      </c>
      <c r="H993" s="25" t="inlineStr">
        <is>
          <t>Faculté des Sciences médicales et paramédicales</t>
        </is>
      </c>
      <c r="I993" s="25" t="inlineStr">
        <is>
          <t>Université d'Aix-Marseille</t>
        </is>
      </c>
      <c r="J993" s="25" t="inlineStr">
        <is>
          <t>Site de Marseille</t>
        </is>
      </c>
      <c r="K993" s="25" t="n"/>
      <c r="L993" s="25" t="inlineStr">
        <is>
          <t>Public university</t>
        </is>
      </c>
      <c r="M993" s="25" t="inlineStr">
        <is>
          <t>French</t>
        </is>
      </c>
      <c r="N993" s="25" t="inlineStr">
        <is>
          <t>General</t>
        </is>
      </c>
      <c r="O993" s="25" t="inlineStr">
        <is>
          <t>Bac +5</t>
        </is>
      </c>
      <c r="P993" s="26" t="inlineStr">
        <is>
          <t>Requires Bac+5 (Master) – likely not eligible; ask if 4-yr BS + experience accepted</t>
        </is>
      </c>
      <c r="Q993" s="25" t="inlineStr">
        <is>
          <t>2</t>
        </is>
      </c>
      <c r="R993" s="25" t="n"/>
      <c r="S993" s="27" t="n">
        <v>3950</v>
      </c>
      <c r="T993" s="27" t="n">
        <v>255</v>
      </c>
      <c r="U993" s="25" t="n">
        <v>1</v>
      </c>
      <c r="V993" s="27">
        <f>IF(S993="","",S993*U993)</f>
        <v/>
      </c>
      <c r="W993" s="26" t="inlineStr">
        <is>
          <t>Not in catalogue. Public national master → 2026-27 differentiated fee €3,950; exemption to ~€254-255 depends on university quota (25% cap in 2027-28).</t>
        </is>
      </c>
      <c r="X993" s="25" t="inlineStr">
        <is>
          <t>Medium</t>
        </is>
      </c>
      <c r="Y993" s="25" t="n"/>
      <c r="Z993" s="26" t="n"/>
      <c r="AA993" s="26" t="inlineStr">
        <is>
          <t>AMU 2026-27: limited exemptions (≈1,800 of 5,500 students) – priority to continuing students, conflict zones, excellence scholarships. New master entrants usually pay €3,950.</t>
        </is>
      </c>
      <c r="AB993" s="28" t="inlineStr">
        <is>
          <t>https://www.univ-amu.fr/fr/actualites/aix-marseille-universite-mobilise-pleinement-capacite-dexoneration-continuer-accueillir</t>
        </is>
      </c>
      <c r="AC993" s="25" t="inlineStr">
        <is>
          <t>Open</t>
        </is>
      </c>
      <c r="AD993" s="25" t="inlineStr">
        <is>
          <t>2026-10-01</t>
        </is>
      </c>
      <c r="AE993" s="25" t="inlineStr">
        <is>
          <t>2027-03-15</t>
        </is>
      </c>
      <c r="AF993" s="25" t="inlineStr">
        <is>
          <t>No</t>
        </is>
      </c>
      <c r="AG993" s="28" t="inlineStr">
        <is>
          <t>https://smpm.univ-amu.fr/fr</t>
        </is>
      </c>
      <c r="AH993" s="26" t="inlineStr">
        <is>
          <t>Étudiants internationaux, préparez votre départ ! Prenez connaissance des droits d’inscription : https://url.univ-amu.fr/fraisdifferencies et connectez-vous à nos webinaires dès Mai 2027 : https://url.univ-amu.fr/confere</t>
        </is>
      </c>
      <c r="AI993" s="28" t="inlineStr">
        <is>
          <t>Open in EEF</t>
        </is>
      </c>
    </row>
    <row r="994" ht="32.8" customHeight="1" s="19">
      <c r="A994" s="25" t="n">
        <v>993</v>
      </c>
      <c r="B994" s="25" t="inlineStr">
        <is>
          <t>★★☆☆☆</t>
        </is>
      </c>
      <c r="C994" s="25" t="inlineStr">
        <is>
          <t>2 – Broad / loosely related</t>
        </is>
      </c>
      <c r="D994" s="25" t="inlineStr">
        <is>
          <t>Sensors / Instrumentation / Micro-Nano / Photonics</t>
        </is>
      </c>
      <c r="E994" s="26" t="inlineStr">
        <is>
          <t>Master indifférencié (recherche et professionnel) Sciences de la santé mention Biologie-santé parcours Maladies infectieuses et microbiote</t>
        </is>
      </c>
      <c r="F994" s="26" t="inlineStr">
        <is>
          <t>Sciences of the Health – major: Biology-Health – track: Maladies infectieuses &amp; microbiote</t>
        </is>
      </c>
      <c r="G994" s="25" t="inlineStr">
        <is>
          <t>Master indifférencié (recherche et professionnel)</t>
        </is>
      </c>
      <c r="H994" s="25" t="inlineStr">
        <is>
          <t>Faculté des Sciences médicales et paramédicales</t>
        </is>
      </c>
      <c r="I994" s="25" t="inlineStr">
        <is>
          <t>Université d'Aix-Marseille</t>
        </is>
      </c>
      <c r="J994" s="25" t="inlineStr">
        <is>
          <t>Site de Marseille</t>
        </is>
      </c>
      <c r="K994" s="25" t="n"/>
      <c r="L994" s="25" t="inlineStr">
        <is>
          <t>Public university</t>
        </is>
      </c>
      <c r="M994" s="25" t="inlineStr">
        <is>
          <t>French</t>
        </is>
      </c>
      <c r="N994" s="25" t="inlineStr">
        <is>
          <t>General</t>
        </is>
      </c>
      <c r="O994" s="25" t="inlineStr">
        <is>
          <t>Bac +5</t>
        </is>
      </c>
      <c r="P994" s="26" t="inlineStr">
        <is>
          <t>Requires Bac+5 (Master) – likely not eligible; ask if 4-yr BS + experience accepted</t>
        </is>
      </c>
      <c r="Q994" s="25" t="inlineStr">
        <is>
          <t>2</t>
        </is>
      </c>
      <c r="R994" s="25" t="n"/>
      <c r="S994" s="27" t="n">
        <v>3950</v>
      </c>
      <c r="T994" s="27" t="n">
        <v>255</v>
      </c>
      <c r="U994" s="25" t="n">
        <v>1</v>
      </c>
      <c r="V994" s="27">
        <f>IF(S994="","",S994*U994)</f>
        <v/>
      </c>
      <c r="W994" s="26" t="inlineStr">
        <is>
          <t>Not in catalogue. Public national master → 2026-27 differentiated fee €3,950; exemption to ~€254-255 depends on university quota (25% cap in 2027-28).</t>
        </is>
      </c>
      <c r="X994" s="25" t="inlineStr">
        <is>
          <t>Medium</t>
        </is>
      </c>
      <c r="Y994" s="25" t="n"/>
      <c r="Z994" s="26" t="n"/>
      <c r="AA994" s="26" t="inlineStr">
        <is>
          <t>AMU 2026-27: limited exemptions (≈1,800 of 5,500 students) – priority to continuing students, conflict zones, excellence scholarships. New master entrants usually pay €3,950.</t>
        </is>
      </c>
      <c r="AB994" s="28" t="inlineStr">
        <is>
          <t>https://www.univ-amu.fr/fr/actualites/aix-marseille-universite-mobilise-pleinement-capacite-dexoneration-continuer-accueillir</t>
        </is>
      </c>
      <c r="AC994" s="25" t="inlineStr">
        <is>
          <t>Open</t>
        </is>
      </c>
      <c r="AD994" s="25" t="inlineStr">
        <is>
          <t>2026-10-01</t>
        </is>
      </c>
      <c r="AE994" s="25" t="inlineStr">
        <is>
          <t>2027-03-15</t>
        </is>
      </c>
      <c r="AF994" s="25" t="inlineStr">
        <is>
          <t>No</t>
        </is>
      </c>
      <c r="AG994" s="28" t="inlineStr">
        <is>
          <t>https://smpm.univ-amu.fr/fr</t>
        </is>
      </c>
      <c r="AH994" s="26" t="inlineStr">
        <is>
          <t>Étudiants internationaux, préparez votre départ ! Prenez connaissance des droits d’inscription : https://url.univ-amu.fr/fraisdifferencies et connectez-vous à nos webinaires dès Mai 2027 : https://url.univ-amu.fr/confere</t>
        </is>
      </c>
      <c r="AI994" s="28" t="inlineStr">
        <is>
          <t>Open in EEF</t>
        </is>
      </c>
    </row>
    <row r="995" ht="32.8" customHeight="1" s="19">
      <c r="A995" s="25" t="n">
        <v>994</v>
      </c>
      <c r="B995" s="25" t="inlineStr">
        <is>
          <t>★★☆☆☆</t>
        </is>
      </c>
      <c r="C995" s="25" t="inlineStr">
        <is>
          <t>2 – Broad / loosely related</t>
        </is>
      </c>
      <c r="D995" s="25" t="inlineStr">
        <is>
          <t>Other engineering / maths</t>
        </is>
      </c>
      <c r="E995" s="26" t="inlineStr">
        <is>
          <t>Master indifférencié (recherche et professionnel) Sciences de la santé mention Biologie-santé parcours Oncologie</t>
        </is>
      </c>
      <c r="F995" s="26" t="inlineStr">
        <is>
          <t>Sciences of the Health – major: Biology-Health – track: Oncology</t>
        </is>
      </c>
      <c r="G995" s="25" t="inlineStr">
        <is>
          <t>Master indifférencié (recherche et professionnel)</t>
        </is>
      </c>
      <c r="H995" s="25" t="inlineStr">
        <is>
          <t>Faculté des Sciences médicales et paramédicales</t>
        </is>
      </c>
      <c r="I995" s="25" t="inlineStr">
        <is>
          <t>Université d'Aix-Marseille</t>
        </is>
      </c>
      <c r="J995" s="25" t="inlineStr">
        <is>
          <t>Site de Marseille</t>
        </is>
      </c>
      <c r="K995" s="25" t="n"/>
      <c r="L995" s="25" t="inlineStr">
        <is>
          <t>Public university</t>
        </is>
      </c>
      <c r="M995" s="25" t="inlineStr">
        <is>
          <t>French</t>
        </is>
      </c>
      <c r="N995" s="25" t="inlineStr">
        <is>
          <t>General</t>
        </is>
      </c>
      <c r="O995" s="25" t="inlineStr">
        <is>
          <t>Bac +5</t>
        </is>
      </c>
      <c r="P995" s="26" t="inlineStr">
        <is>
          <t>Requires Bac+5 (Master) – likely not eligible; ask if 4-yr BS + experience accepted</t>
        </is>
      </c>
      <c r="Q995" s="25" t="inlineStr">
        <is>
          <t>2</t>
        </is>
      </c>
      <c r="R995" s="25" t="n"/>
      <c r="S995" s="27" t="n">
        <v>3950</v>
      </c>
      <c r="T995" s="27" t="n">
        <v>255</v>
      </c>
      <c r="U995" s="25" t="n">
        <v>1</v>
      </c>
      <c r="V995" s="27">
        <f>IF(S995="","",S995*U995)</f>
        <v/>
      </c>
      <c r="W995" s="26" t="inlineStr">
        <is>
          <t>Not in catalogue. Public national master → 2026-27 differentiated fee €3,950; exemption to ~€254-255 depends on university quota (25% cap in 2027-28).</t>
        </is>
      </c>
      <c r="X995" s="25" t="inlineStr">
        <is>
          <t>Medium</t>
        </is>
      </c>
      <c r="Y995" s="25" t="n"/>
      <c r="Z995" s="26" t="n"/>
      <c r="AA995" s="26" t="inlineStr">
        <is>
          <t>AMU 2026-27: limited exemptions (≈1,800 of 5,500 students) – priority to continuing students, conflict zones, excellence scholarships. New master entrants usually pay €3,950.</t>
        </is>
      </c>
      <c r="AB995" s="28" t="inlineStr">
        <is>
          <t>https://www.univ-amu.fr/fr/actualites/aix-marseille-universite-mobilise-pleinement-capacite-dexoneration-continuer-accueillir</t>
        </is>
      </c>
      <c r="AC995" s="25" t="inlineStr">
        <is>
          <t>Open</t>
        </is>
      </c>
      <c r="AD995" s="25" t="inlineStr">
        <is>
          <t>2026-10-01</t>
        </is>
      </c>
      <c r="AE995" s="25" t="inlineStr">
        <is>
          <t>2027-03-15</t>
        </is>
      </c>
      <c r="AF995" s="25" t="inlineStr">
        <is>
          <t>No</t>
        </is>
      </c>
      <c r="AG995" s="28" t="inlineStr">
        <is>
          <t>https://smpm.univ-amu.fr/fr</t>
        </is>
      </c>
      <c r="AH995" s="26" t="inlineStr">
        <is>
          <t>Étudiants internationaux, préparez votre départ ! Prenez connaissance des droits d’inscription : https://url.univ-amu.fr/fraisdifferencies et connectez-vous à nos webinaires dès Mai 2027 : https://url.univ-amu.fr/confere</t>
        </is>
      </c>
      <c r="AI995" s="28" t="inlineStr">
        <is>
          <t>Open in EEF</t>
        </is>
      </c>
    </row>
    <row r="996" ht="32.8" customHeight="1" s="19">
      <c r="A996" s="25" t="n">
        <v>995</v>
      </c>
      <c r="B996" s="25" t="inlineStr">
        <is>
          <t>★★☆☆☆</t>
        </is>
      </c>
      <c r="C996" s="25" t="inlineStr">
        <is>
          <t>2 – Broad / loosely related</t>
        </is>
      </c>
      <c r="D996" s="25" t="inlineStr">
        <is>
          <t>Other engineering / maths</t>
        </is>
      </c>
      <c r="E996" s="26" t="inlineStr">
        <is>
          <t>Master indifférencié (recherche et professionnel) Sciences de la santé mention Biologie-santé parcours Recherche clinique et simulation en santé</t>
        </is>
      </c>
      <c r="F996" s="26" t="inlineStr">
        <is>
          <t>Sciences of the Health – major: Biology-Health – track: Research Clinical &amp; Simulation in Health</t>
        </is>
      </c>
      <c r="G996" s="25" t="inlineStr">
        <is>
          <t>Master indifférencié (recherche et professionnel)</t>
        </is>
      </c>
      <c r="H996" s="25" t="inlineStr">
        <is>
          <t>Faculté des Sciences médicales et paramédicales</t>
        </is>
      </c>
      <c r="I996" s="25" t="inlineStr">
        <is>
          <t>Université d'Aix-Marseille</t>
        </is>
      </c>
      <c r="J996" s="25" t="inlineStr">
        <is>
          <t>Site de Marseille</t>
        </is>
      </c>
      <c r="K996" s="25" t="n"/>
      <c r="L996" s="25" t="inlineStr">
        <is>
          <t>Public university</t>
        </is>
      </c>
      <c r="M996" s="25" t="inlineStr">
        <is>
          <t>French</t>
        </is>
      </c>
      <c r="N996" s="25" t="inlineStr">
        <is>
          <t>General</t>
        </is>
      </c>
      <c r="O996" s="25" t="inlineStr">
        <is>
          <t>Bac +5</t>
        </is>
      </c>
      <c r="P996" s="26" t="inlineStr">
        <is>
          <t>Requires Bac+5 (Master) – likely not eligible; ask if 4-yr BS + experience accepted</t>
        </is>
      </c>
      <c r="Q996" s="25" t="inlineStr">
        <is>
          <t>2</t>
        </is>
      </c>
      <c r="R996" s="25" t="n"/>
      <c r="S996" s="27" t="n">
        <v>3950</v>
      </c>
      <c r="T996" s="27" t="n">
        <v>255</v>
      </c>
      <c r="U996" s="25" t="n">
        <v>1</v>
      </c>
      <c r="V996" s="27">
        <f>IF(S996="","",S996*U996)</f>
        <v/>
      </c>
      <c r="W996" s="26" t="inlineStr">
        <is>
          <t>Not in catalogue. Public national master → 2026-27 differentiated fee €3,950; exemption to ~€254-255 depends on university quota (25% cap in 2027-28).</t>
        </is>
      </c>
      <c r="X996" s="25" t="inlineStr">
        <is>
          <t>Medium</t>
        </is>
      </c>
      <c r="Y996" s="25" t="n"/>
      <c r="Z996" s="26" t="n"/>
      <c r="AA996" s="26" t="inlineStr">
        <is>
          <t>AMU 2026-27: limited exemptions (≈1,800 of 5,500 students) – priority to continuing students, conflict zones, excellence scholarships. New master entrants usually pay €3,950.</t>
        </is>
      </c>
      <c r="AB996" s="28" t="inlineStr">
        <is>
          <t>https://www.univ-amu.fr/fr/actualites/aix-marseille-universite-mobilise-pleinement-capacite-dexoneration-continuer-accueillir</t>
        </is>
      </c>
      <c r="AC996" s="25" t="inlineStr">
        <is>
          <t>Open</t>
        </is>
      </c>
      <c r="AD996" s="25" t="inlineStr">
        <is>
          <t>2026-10-01</t>
        </is>
      </c>
      <c r="AE996" s="25" t="inlineStr">
        <is>
          <t>2027-03-15</t>
        </is>
      </c>
      <c r="AF996" s="25" t="inlineStr">
        <is>
          <t>No</t>
        </is>
      </c>
      <c r="AG996" s="28" t="inlineStr">
        <is>
          <t>https://smpm.univ-amu.fr/fr</t>
        </is>
      </c>
      <c r="AH996" s="26" t="inlineStr">
        <is>
          <t>Étudiants internationaux, préparez votre départ ! Prenez connaissance des droits d’inscription : https://url.univ-amu.fr/fraisdifferencies et connectez-vous à nos webinaires dès Mai 2027 : https://url.univ-amu.fr/confere</t>
        </is>
      </c>
      <c r="AI996" s="28" t="inlineStr">
        <is>
          <t>Open in EEF</t>
        </is>
      </c>
    </row>
    <row r="997" ht="32.8" customHeight="1" s="19">
      <c r="A997" s="25" t="n">
        <v>996</v>
      </c>
      <c r="B997" s="25" t="inlineStr">
        <is>
          <t>★★☆☆☆</t>
        </is>
      </c>
      <c r="C997" s="25" t="inlineStr">
        <is>
          <t>2 – Broad / loosely related</t>
        </is>
      </c>
      <c r="D997" s="25" t="inlineStr">
        <is>
          <t>Other engineering / maths</t>
        </is>
      </c>
      <c r="E997" s="26" t="inlineStr">
        <is>
          <t>Master indifférencié (recherche et professionnel) Sciences, technologies, santé mention Biologie-santé parcours Développement, inflammation, régéneration</t>
        </is>
      </c>
      <c r="F997" s="26" t="inlineStr">
        <is>
          <t>Science, Technology, Health (STS) – major: Biology-Health – track: Development, Inflammation, Regeneration</t>
        </is>
      </c>
      <c r="G997" s="25" t="inlineStr">
        <is>
          <t>Master indifférencié (recherche et professionnel)</t>
        </is>
      </c>
      <c r="H997" s="25" t="inlineStr">
        <is>
          <t>UFR d'Odontologie</t>
        </is>
      </c>
      <c r="I997" s="25" t="inlineStr">
        <is>
          <t>Université Paris Cité</t>
        </is>
      </c>
      <c r="J997" s="25" t="inlineStr">
        <is>
          <t>Odontologie - Site de Paris</t>
        </is>
      </c>
      <c r="K997" s="25" t="inlineStr">
        <is>
          <t>92120 Montrouge</t>
        </is>
      </c>
      <c r="L997" s="25" t="inlineStr">
        <is>
          <t>Public university</t>
        </is>
      </c>
      <c r="M997" s="25" t="inlineStr">
        <is>
          <t>French</t>
        </is>
      </c>
      <c r="N997" s="25" t="inlineStr">
        <is>
          <t>General</t>
        </is>
      </c>
      <c r="O997" s="25" t="inlineStr">
        <is>
          <t>Bac +5</t>
        </is>
      </c>
      <c r="P997" s="26" t="inlineStr">
        <is>
          <t>Requires Bac+5 (Master) – likely not eligible; ask if 4-yr BS + experience accepted</t>
        </is>
      </c>
      <c r="Q997" s="25" t="inlineStr">
        <is>
          <t>2</t>
        </is>
      </c>
      <c r="R997" s="25" t="n"/>
      <c r="S997" s="27" t="n">
        <v>3950</v>
      </c>
      <c r="T997" s="27" t="n">
        <v>255</v>
      </c>
      <c r="U997" s="25" t="n">
        <v>1</v>
      </c>
      <c r="V997" s="27">
        <f>IF(S997="","",S997*U997)</f>
        <v/>
      </c>
      <c r="W997" s="26" t="inlineStr">
        <is>
          <t>Not in catalogue. Public national master → 2026-27 differentiated fee €3,950; exemption to ~€254-255 depends on university quota (25% cap in 2027-28).</t>
        </is>
      </c>
      <c r="X997" s="25" t="inlineStr">
        <is>
          <t>Medium</t>
        </is>
      </c>
      <c r="Y997" s="25" t="n"/>
      <c r="Z997" s="26" t="n"/>
      <c r="AA997" s="26" t="inlineStr">
        <is>
          <t>Paris Cité historically exempted non-EU master students (paid EU rate). 2026-27/2027-28 policy not yet published – confirm.</t>
        </is>
      </c>
      <c r="AB997" s="28" t="inlineStr">
        <is>
          <t>https://u-paris.fr/droits-dinscription-tarifs-exonerations/</t>
        </is>
      </c>
      <c r="AC997" s="25" t="inlineStr">
        <is>
          <t>Open</t>
        </is>
      </c>
      <c r="AD997" s="25" t="inlineStr">
        <is>
          <t>2026-10-01</t>
        </is>
      </c>
      <c r="AE997" s="25" t="inlineStr">
        <is>
          <t>2027-03-15</t>
        </is>
      </c>
      <c r="AF997" s="25" t="inlineStr">
        <is>
          <t>No</t>
        </is>
      </c>
      <c r="AG997" s="28" t="inlineStr">
        <is>
          <t>http://ufr-paris-garanciere.fr/master-2-biologie-santé-parcours-dir-développement-inflammation-régénération</t>
        </is>
      </c>
      <c r="AH997" s="26" t="inlineStr">
        <is>
          <t>Bon niveau en biologie cellulaire, biologie moléculaire, physiologie Adéquation de la lettre de motivation avec le projet d'orientation Avoir une expérience de laboratoire (stage de 300h en laboratoire requis) Maîtrise d</t>
        </is>
      </c>
      <c r="AI997" s="28" t="inlineStr">
        <is>
          <t>Open in EEF</t>
        </is>
      </c>
    </row>
    <row r="998" ht="22.35" customHeight="1" s="19">
      <c r="A998" s="25" t="n">
        <v>997</v>
      </c>
      <c r="B998" s="25" t="inlineStr">
        <is>
          <t>★★☆☆☆</t>
        </is>
      </c>
      <c r="C998" s="25" t="inlineStr">
        <is>
          <t>2 – Broad / loosely related</t>
        </is>
      </c>
      <c r="D998" s="25" t="inlineStr">
        <is>
          <t>Sensors / Instrumentation / Micro-Nano / Photonics</t>
        </is>
      </c>
      <c r="E998" s="26" t="inlineStr">
        <is>
          <t>Master indifférencié (recherche et professionnel) Sciences, technologies, santé mention Biologie-santé parcours Microbiologie-immunologie - Professionnel</t>
        </is>
      </c>
      <c r="F998" s="26" t="inlineStr">
        <is>
          <t>Science, Technology, Health (STS) – major: Biology-Health – track: Microbiologie-immunologie - Professionnel</t>
        </is>
      </c>
      <c r="G998" s="25" t="inlineStr">
        <is>
          <t>Master indifférencié (recherche et professionnel)</t>
        </is>
      </c>
      <c r="H998" s="25" t="inlineStr">
        <is>
          <t>Unité de formation de biologie</t>
        </is>
      </c>
      <c r="I998" s="25" t="inlineStr">
        <is>
          <t>Université de Bordeaux</t>
        </is>
      </c>
      <c r="J998" s="25" t="inlineStr">
        <is>
          <t>Site de Talence</t>
        </is>
      </c>
      <c r="K998" s="25" t="n"/>
      <c r="L998" s="25" t="inlineStr">
        <is>
          <t>Public university</t>
        </is>
      </c>
      <c r="M998" s="25" t="inlineStr">
        <is>
          <t>French</t>
        </is>
      </c>
      <c r="N998" s="25" t="inlineStr">
        <is>
          <t>General</t>
        </is>
      </c>
      <c r="O998" s="25" t="inlineStr">
        <is>
          <t>Bac +5</t>
        </is>
      </c>
      <c r="P998" s="26" t="inlineStr">
        <is>
          <t>Requires Bac+5 (Master) – likely not eligible; ask if 4-yr BS + experience accepted</t>
        </is>
      </c>
      <c r="Q998" s="25" t="inlineStr">
        <is>
          <t>2</t>
        </is>
      </c>
      <c r="R998" s="25" t="n"/>
      <c r="S998" s="27" t="n">
        <v>3950</v>
      </c>
      <c r="T998" s="27" t="n">
        <v>255</v>
      </c>
      <c r="U998" s="25" t="n">
        <v>1</v>
      </c>
      <c r="V998" s="27">
        <f>IF(S998="","",S998*U998)</f>
        <v/>
      </c>
      <c r="W998" s="26" t="inlineStr">
        <is>
          <t>Not in catalogue. Public national master → 2026-27 differentiated fee €3,950; exemption to ~€254-255 depends on university quota (25% cap in 2027-28).</t>
        </is>
      </c>
      <c r="X998" s="25" t="inlineStr">
        <is>
          <t>Medium</t>
        </is>
      </c>
      <c r="Y998" s="25" t="n"/>
      <c r="Z998" s="26" t="n"/>
      <c r="AA998" s="26" t="n"/>
      <c r="AB998" s="25" t="n"/>
      <c r="AC998" s="25" t="inlineStr">
        <is>
          <t>Open</t>
        </is>
      </c>
      <c r="AD998" s="25" t="inlineStr">
        <is>
          <t>2026-10-01</t>
        </is>
      </c>
      <c r="AE998" s="25" t="inlineStr">
        <is>
          <t>2027-03-15</t>
        </is>
      </c>
      <c r="AF998" s="25" t="inlineStr">
        <is>
          <t>No</t>
        </is>
      </c>
      <c r="AG998" s="28" t="inlineStr">
        <is>
          <t>https://formations.u-bordeaux.fr/#/details-formation?type=formation&amp;id=122</t>
        </is>
      </c>
      <c r="AH998" s="26" t="inlineStr">
        <is>
          <t>Pièces à fournir : Test d'anglais rang de classement dans la promotion TCF B2 exigé.</t>
        </is>
      </c>
      <c r="AI998" s="28" t="inlineStr">
        <is>
          <t>Open in EEF</t>
        </is>
      </c>
    </row>
    <row r="999" ht="32.8" customHeight="1" s="19">
      <c r="A999" s="25" t="n">
        <v>998</v>
      </c>
      <c r="B999" s="25" t="inlineStr">
        <is>
          <t>★★☆☆☆</t>
        </is>
      </c>
      <c r="C999" s="25" t="inlineStr">
        <is>
          <t>2 – Broad / loosely related</t>
        </is>
      </c>
      <c r="D999" s="25" t="inlineStr">
        <is>
          <t>Other engineering / maths</t>
        </is>
      </c>
      <c r="E999" s="26" t="inlineStr">
        <is>
          <t>Master indifférencié (recherche et professionnel) Sciences, technologies, santé mention Biologie-santé parcours Technologies innovantes de la santé</t>
        </is>
      </c>
      <c r="F999" s="26" t="inlineStr">
        <is>
          <t>Science, Technology, Health (STS) – major: Biology-Health – track: Technologies Innovative of the Health</t>
        </is>
      </c>
      <c r="G999" s="25" t="inlineStr">
        <is>
          <t>Master indifférencié (recherche et professionnel)</t>
        </is>
      </c>
      <c r="H999" s="25" t="inlineStr">
        <is>
          <t>Faculté des Sciences médicales et paramédicales</t>
        </is>
      </c>
      <c r="I999" s="25" t="inlineStr">
        <is>
          <t>Université d'Aix-Marseille</t>
        </is>
      </c>
      <c r="J999" s="25" t="inlineStr">
        <is>
          <t>Site de Marseille</t>
        </is>
      </c>
      <c r="K999" s="25" t="n"/>
      <c r="L999" s="25" t="inlineStr">
        <is>
          <t>Public university</t>
        </is>
      </c>
      <c r="M999" s="25" t="inlineStr">
        <is>
          <t>French</t>
        </is>
      </c>
      <c r="N999" s="25" t="inlineStr">
        <is>
          <t>General</t>
        </is>
      </c>
      <c r="O999" s="25" t="inlineStr">
        <is>
          <t>Bac +5</t>
        </is>
      </c>
      <c r="P999" s="26" t="inlineStr">
        <is>
          <t>Requires Bac+5 (Master) – likely not eligible; ask if 4-yr BS + experience accepted</t>
        </is>
      </c>
      <c r="Q999" s="25" t="inlineStr">
        <is>
          <t>2</t>
        </is>
      </c>
      <c r="R999" s="25" t="n"/>
      <c r="S999" s="27" t="n">
        <v>3950</v>
      </c>
      <c r="T999" s="27" t="n">
        <v>255</v>
      </c>
      <c r="U999" s="25" t="n">
        <v>1</v>
      </c>
      <c r="V999" s="27">
        <f>IF(S999="","",S999*U999)</f>
        <v/>
      </c>
      <c r="W999" s="26" t="inlineStr">
        <is>
          <t>Not in catalogue. Public national master → 2026-27 differentiated fee €3,950; exemption to ~€254-255 depends on university quota (25% cap in 2027-28).</t>
        </is>
      </c>
      <c r="X999" s="25" t="inlineStr">
        <is>
          <t>Medium</t>
        </is>
      </c>
      <c r="Y999" s="25" t="n"/>
      <c r="Z999" s="26" t="n"/>
      <c r="AA999" s="26" t="inlineStr">
        <is>
          <t>AMU 2026-27: limited exemptions (≈1,800 of 5,500 students) – priority to continuing students, conflict zones, excellence scholarships. New master entrants usually pay €3,950.</t>
        </is>
      </c>
      <c r="AB999" s="28" t="inlineStr">
        <is>
          <t>https://www.univ-amu.fr/fr/actualites/aix-marseille-universite-mobilise-pleinement-capacite-dexoneration-continuer-accueillir</t>
        </is>
      </c>
      <c r="AC999" s="25" t="inlineStr">
        <is>
          <t>Open</t>
        </is>
      </c>
      <c r="AD999" s="25" t="inlineStr">
        <is>
          <t>2026-10-01</t>
        </is>
      </c>
      <c r="AE999" s="25" t="inlineStr">
        <is>
          <t>2027-03-15</t>
        </is>
      </c>
      <c r="AF999" s="25" t="inlineStr">
        <is>
          <t>No</t>
        </is>
      </c>
      <c r="AG999" s="28" t="inlineStr">
        <is>
          <t>https://smpm.univ-amu.fr/fr</t>
        </is>
      </c>
      <c r="AH999" s="26" t="inlineStr">
        <is>
          <t>Étudiants internationaux, préparez votre départ ! Prenez connaissance des droits d’inscription : https://url.univ-amu.fr/fraisdifferencies et connectez-vous à nos webinaires dès Mai 2027 : https://url.univ-amu.fr/confere</t>
        </is>
      </c>
      <c r="AI999" s="28" t="inlineStr">
        <is>
          <t>Open in EEF</t>
        </is>
      </c>
    </row>
    <row r="1000" ht="22.35" customHeight="1" s="19">
      <c r="A1000" s="25" t="n">
        <v>999</v>
      </c>
      <c r="B1000" s="25" t="inlineStr">
        <is>
          <t>★★☆☆☆</t>
        </is>
      </c>
      <c r="C1000" s="25" t="inlineStr">
        <is>
          <t>2 – Broad / loosely related</t>
        </is>
      </c>
      <c r="D1000" s="25" t="inlineStr">
        <is>
          <t>Sensors / Instrumentation / Micro-Nano / Photonics</t>
        </is>
      </c>
      <c r="E1000" s="26" t="inlineStr">
        <is>
          <t>Master Sciences de la santé mention Biologie-santé* parcours Innovative Drugs (ID) International Track ( nanomedicine )</t>
        </is>
      </c>
      <c r="F1000" s="26" t="inlineStr">
        <is>
          <t>Master Sciences of the Health – major: Biology-Health* – track: Innovative Drugs (ID) International Track ( nanomedicine )</t>
        </is>
      </c>
      <c r="G1000" s="25" t="inlineStr">
        <is>
          <t>Master indifférencié (recherche et professionnel)</t>
        </is>
      </c>
      <c r="H1000" s="25" t="inlineStr">
        <is>
          <t>UFR Santé</t>
        </is>
      </c>
      <c r="I1000" s="25" t="inlineStr">
        <is>
          <t>Université Marie et Louis Pasteur</t>
        </is>
      </c>
      <c r="J1000" s="25" t="inlineStr">
        <is>
          <t>Site de Besançon</t>
        </is>
      </c>
      <c r="K1000" s="25" t="inlineStr">
        <is>
          <t>25030 BESANCON</t>
        </is>
      </c>
      <c r="L1000" s="25" t="inlineStr">
        <is>
          <t>Public university</t>
        </is>
      </c>
      <c r="M1000" s="25" t="inlineStr">
        <is>
          <t>French</t>
        </is>
      </c>
      <c r="N1000" s="25" t="inlineStr">
        <is>
          <t>General</t>
        </is>
      </c>
      <c r="O1000" s="25" t="inlineStr">
        <is>
          <t>Bac +5</t>
        </is>
      </c>
      <c r="P1000" s="26" t="inlineStr">
        <is>
          <t>Requires Bac+5 (Master) – likely not eligible; ask if 4-yr BS + experience accepted</t>
        </is>
      </c>
      <c r="Q1000" s="25" t="inlineStr">
        <is>
          <t>2</t>
        </is>
      </c>
      <c r="R1000" s="25" t="inlineStr">
        <is>
          <t>12</t>
        </is>
      </c>
      <c r="S1000" s="27" t="n">
        <v>3950</v>
      </c>
      <c r="T1000" s="27" t="n">
        <v>255</v>
      </c>
      <c r="U1000" s="25" t="n">
        <v>1</v>
      </c>
      <c r="V1000" s="27">
        <f>IF(S1000="","",S1000*U1000)</f>
        <v/>
      </c>
      <c r="W1000" s="26" t="inlineStr">
        <is>
          <t>Not in catalogue. Public national master → 2026-27 differentiated fee €3,950; exemption to ~€254-255 depends on university quota (25% cap in 2027-28).</t>
        </is>
      </c>
      <c r="X1000" s="25" t="inlineStr">
        <is>
          <t>Medium</t>
        </is>
      </c>
      <c r="Y1000" s="25" t="n"/>
      <c r="Z1000" s="26" t="n"/>
      <c r="AA1000" s="26" t="inlineStr">
        <is>
          <t>UMLP: individual exemption requests assessed on personal resources.</t>
        </is>
      </c>
      <c r="AB1000" s="28" t="inlineStr">
        <is>
          <t>https://www.umlp.fr/sites/default/files/2026-07-02-page-droits-differencies-vf.pdf</t>
        </is>
      </c>
      <c r="AC1000" s="25" t="inlineStr">
        <is>
          <t>Open</t>
        </is>
      </c>
      <c r="AD1000" s="25" t="inlineStr">
        <is>
          <t>2026-10-01</t>
        </is>
      </c>
      <c r="AE1000" s="25" t="inlineStr">
        <is>
          <t>2027-03-15</t>
        </is>
      </c>
      <c r="AF1000" s="25" t="inlineStr">
        <is>
          <t>No</t>
        </is>
      </c>
      <c r="AG1000" s="25" t="n"/>
      <c r="AH1000" s="26" t="n"/>
      <c r="AI1000" s="28" t="inlineStr">
        <is>
          <t>Open in EEF</t>
        </is>
      </c>
    </row>
  </sheetData>
  <conditionalFormatting sqref="S2:S1000">
    <cfRule type="cellIs" rank="0" priority="2" equalAverage="0" operator="lessThanOrEqual" aboveAverage="0" dxfId="6" text="" percent="0" bottom="0">
      <formula>1000</formula>
    </cfRule>
    <cfRule type="cellIs" rank="0" priority="3" equalAverage="0" operator="between" aboveAverage="0" dxfId="7" text="" percent="0" bottom="0">
      <formula>1001</formula>
      <formula>6000</formula>
    </cfRule>
    <cfRule type="cellIs" rank="0" priority="4" equalAverage="0" operator="greaterThan" aboveAverage="0" dxfId="8" text="" percent="0" bottom="0">
      <formula>6000</formula>
    </cfRule>
  </conditionalFormatting>
  <conditionalFormatting sqref="P2:P1000">
    <cfRule type="expression" rank="0" priority="5" equalAverage="0" aboveAverage="0" dxfId="6" text="" percent="0" bottom="0">
      <formula>LEFT(P2,8)="Eligible"</formula>
    </cfRule>
    <cfRule type="expression" rank="0" priority="6" equalAverage="0" aboveAverage="0" dxfId="8" text="" percent="0" bottom="0">
      <formula>LEFT(P2,8)="Requires"</formula>
    </cfRule>
  </conditionalFormatting>
  <hyperlinks>
    <hyperlink xmlns:r="http://schemas.openxmlformats.org/officeDocument/2006/relationships" ref="AG2" display="http://www.itii-aquitaine.com" r:id="rId1"/>
    <hyperlink xmlns:r="http://schemas.openxmlformats.org/officeDocument/2006/relationships" ref="AI2" display="Open in EEF" r:id="rId2"/>
    <hyperlink xmlns:r="http://schemas.openxmlformats.org/officeDocument/2006/relationships" ref="AG3" display="http://www.cfai-aquitaine.org" r:id="rId3"/>
    <hyperlink xmlns:r="http://schemas.openxmlformats.org/officeDocument/2006/relationships" ref="AI3" display="Open in EEF" r:id="rId4"/>
    <hyperlink xmlns:r="http://schemas.openxmlformats.org/officeDocument/2006/relationships" ref="AI4" display="Open in EEF" r:id="rId5"/>
    <hyperlink xmlns:r="http://schemas.openxmlformats.org/officeDocument/2006/relationships" ref="AI5" display="Open in EEF" r:id="rId6"/>
    <hyperlink xmlns:r="http://schemas.openxmlformats.org/officeDocument/2006/relationships" ref="AG6" display="https://master.roc.cnam.fr" r:id="rId7"/>
    <hyperlink xmlns:r="http://schemas.openxmlformats.org/officeDocument/2006/relationships" ref="AI6" display="Open in EEF" r:id="rId8"/>
    <hyperlink xmlns:r="http://schemas.openxmlformats.org/officeDocument/2006/relationships" ref="AB7" display="https://www.umontpellier.fr/en/international/etudier-a-letranger/etudiants-internationaux-annee-universitaire-2026-2027/" r:id="rId9"/>
    <hyperlink xmlns:r="http://schemas.openxmlformats.org/officeDocument/2006/relationships" ref="AG7" display="https://idil.edu.umontpellier.fr/master-idil/les-parcours/" r:id="rId10"/>
    <hyperlink xmlns:r="http://schemas.openxmlformats.org/officeDocument/2006/relationships" ref="AI7" display="Open in EEF" r:id="rId11"/>
    <hyperlink xmlns:r="http://schemas.openxmlformats.org/officeDocument/2006/relationships" ref="AB8" display="https://www.umlp.fr/sites/default/files/2026-07-02-page-droits-differencies-vf.pdf" r:id="rId12"/>
    <hyperlink xmlns:r="http://schemas.openxmlformats.org/officeDocument/2006/relationships" ref="AG8" display="https://formations.univ-fcomte.fr/fr/formations/feuilleter-le-catalogue/master-lmd-XB/master-electronique-energie-electrique-automatique-M4QUAZ0D.html" r:id="rId13"/>
    <hyperlink xmlns:r="http://schemas.openxmlformats.org/officeDocument/2006/relationships" ref="AI8" display="Open in EEF" r:id="rId14"/>
    <hyperlink xmlns:r="http://schemas.openxmlformats.org/officeDocument/2006/relationships" ref="AB9" display="https://www.univ-grenoble-alpes.fr/actualites/a-la-une/actualites-universite/etudiants-internationaux-ce-que-change-le-nouveau-decret-sur-les-droits-d-inscription-a-l-uga-1775870.kjsp" r:id="rId15"/>
    <hyperlink xmlns:r="http://schemas.openxmlformats.org/officeDocument/2006/relationships" ref="AG9" display="https://formations.univ-grenoble-alpes.fr/fr/offre-de-formation/master-XB/master-biologie-sante-IAQKB0GE/parcours-molecular-and-cellular-biology-1re-annee-IK43J2QV.html" r:id="rId16"/>
    <hyperlink xmlns:r="http://schemas.openxmlformats.org/officeDocument/2006/relationships" ref="AI9" display="Open in EEF" r:id="rId17"/>
    <hyperlink xmlns:r="http://schemas.openxmlformats.org/officeDocument/2006/relationships" ref="AB10" display="https://www.univ-grenoble-alpes.fr/actualites/a-la-une/actualites-universite/etudiants-internationaux-ce-que-change-le-nouveau-decret-sur-les-droits-d-inscription-a-l-uga-1775870.kjsp" r:id="rId18"/>
    <hyperlink xmlns:r="http://schemas.openxmlformats.org/officeDocument/2006/relationships" ref="AG10" display="https://formations.univ-grenoble-alpes.fr/fr/catalogue-2021/master-XB/master-ingenierie-de-la-sante-IAQKSXOB.html" r:id="rId19"/>
    <hyperlink xmlns:r="http://schemas.openxmlformats.org/officeDocument/2006/relationships" ref="AI10" display="Open in EEF" r:id="rId20"/>
    <hyperlink xmlns:r="http://schemas.openxmlformats.org/officeDocument/2006/relationships" ref="AG11" display="https://life.univ-cotedazur.fr/international/imagein" r:id="rId21"/>
    <hyperlink xmlns:r="http://schemas.openxmlformats.org/officeDocument/2006/relationships" ref="AI11" display="Open in EEF" r:id="rId22"/>
    <hyperlink xmlns:r="http://schemas.openxmlformats.org/officeDocument/2006/relationships" ref="AB12" display="https://www.umlp.fr/sites/default/files/2026-07-02-page-droits-differencies-vf.pdf" r:id="rId23"/>
    <hyperlink xmlns:r="http://schemas.openxmlformats.org/officeDocument/2006/relationships" ref="AG12" display="https://stgi.umlp.fr/" r:id="rId24"/>
    <hyperlink xmlns:r="http://schemas.openxmlformats.org/officeDocument/2006/relationships" ref="AI12" display="Open in EEF" r:id="rId25"/>
    <hyperlink xmlns:r="http://schemas.openxmlformats.org/officeDocument/2006/relationships" ref="AB13" display="https://www.unistra.fr/fr/node/8168" r:id="rId26"/>
    <hyperlink xmlns:r="http://schemas.openxmlformats.org/officeDocument/2006/relationships" ref="AG13" display="https://pharmacie.unistra.fr" r:id="rId27"/>
    <hyperlink xmlns:r="http://schemas.openxmlformats.org/officeDocument/2006/relationships" ref="AI13" display="Open in EEF" r:id="rId28"/>
    <hyperlink xmlns:r="http://schemas.openxmlformats.org/officeDocument/2006/relationships" ref="AB14" display="https://www.unistra.fr/fr/node/8168" r:id="rId29"/>
    <hyperlink xmlns:r="http://schemas.openxmlformats.org/officeDocument/2006/relationships" ref="AG14" display="http://sciencesvie.unistra.fr/" r:id="rId30"/>
    <hyperlink xmlns:r="http://schemas.openxmlformats.org/officeDocument/2006/relationships" ref="AI14" display="Open in EEF" r:id="rId31"/>
    <hyperlink xmlns:r="http://schemas.openxmlformats.org/officeDocument/2006/relationships" ref="AG15" display="https://www.unilim.fr/gradschool-ceramics-ict/formation/smart-iot/" r:id="rId32"/>
    <hyperlink xmlns:r="http://schemas.openxmlformats.org/officeDocument/2006/relationships" ref="AI15" display="Open in EEF" r:id="rId33"/>
    <hyperlink xmlns:r="http://schemas.openxmlformats.org/officeDocument/2006/relationships" ref="AB16" display="https://www.unistra.fr/fr/node/8168" r:id="rId34"/>
    <hyperlink xmlns:r="http://schemas.openxmlformats.org/officeDocument/2006/relationships" ref="AG16" display="https://chirurgie-dentaire.unistra.fr/" r:id="rId35"/>
    <hyperlink xmlns:r="http://schemas.openxmlformats.org/officeDocument/2006/relationships" ref="AI16" display="Open in EEF" r:id="rId36"/>
    <hyperlink xmlns:r="http://schemas.openxmlformats.org/officeDocument/2006/relationships" ref="AI17" display="Open in EEF" r:id="rId37"/>
    <hyperlink xmlns:r="http://schemas.openxmlformats.org/officeDocument/2006/relationships" ref="AB18" display="https://www.sorbonne-universite.fr/actualites/le-conseil-dadministration-de-sorbonne-universite-vote-lunanimite-le-7-juillet-2026-sa" r:id="rId38"/>
    <hyperlink xmlns:r="http://schemas.openxmlformats.org/officeDocument/2006/relationships" ref="AG18" display="https://masters-sdi.sorbonne-universite.fr/electronique-energie-electrique-automatique" r:id="rId39"/>
    <hyperlink xmlns:r="http://schemas.openxmlformats.org/officeDocument/2006/relationships" ref="AI18" display="Open in EEF" r:id="rId40"/>
    <hyperlink xmlns:r="http://schemas.openxmlformats.org/officeDocument/2006/relationships" ref="AB19" display="https://www.univ-grenoble-alpes.fr/actualites/a-la-une/actualites-universite/etudiants-internationaux-ce-que-change-le-nouveau-decret-sur-les-droits-d-inscription-a-l-uga-1775870.kjsp" r:id="rId41"/>
    <hyperlink xmlns:r="http://schemas.openxmlformats.org/officeDocument/2006/relationships" ref="AG19" display="https://formations.univ-grenoble-alpes.fr/fr/catalogue-2021/master-XB/master-electronique-energie-electrique-automatique-IFZ3DRB9/parcours-microelectronique-integration-des-systemes-temps-reels-embarques-mistre-1re-et-2e-annees-IFZ5TP7C.html" r:id="rId42"/>
    <hyperlink xmlns:r="http://schemas.openxmlformats.org/officeDocument/2006/relationships" ref="AI19" display="Open in EEF" r:id="rId43"/>
    <hyperlink xmlns:r="http://schemas.openxmlformats.org/officeDocument/2006/relationships" ref="AB20" display="https://www.sorbonne-universite.fr/actualites/le-conseil-dadministration-de-sorbonne-universite-vote-lunanimite-le-7-juillet-2026-sa" r:id="rId44"/>
    <hyperlink xmlns:r="http://schemas.openxmlformats.org/officeDocument/2006/relationships" ref="AG20" display="https://masters-sdi.sorbonne-universite.fr/electronique-energie-electrique-automatique" r:id="rId45"/>
    <hyperlink xmlns:r="http://schemas.openxmlformats.org/officeDocument/2006/relationships" ref="AI20" display="Open in EEF" r:id="rId46"/>
    <hyperlink xmlns:r="http://schemas.openxmlformats.org/officeDocument/2006/relationships" ref="AB21" display="https://u-paris.fr/droits-dinscription-tarifs-exonerations/" r:id="rId47"/>
    <hyperlink xmlns:r="http://schemas.openxmlformats.org/officeDocument/2006/relationships" ref="AG21" display="https://odf.u-paris.fr/fr/offre-de-formation/master-XB/sciences-technologies-sante-STS/ingenierie-de-la-sante-K2NDJ7KW.html" r:id="rId48"/>
    <hyperlink xmlns:r="http://schemas.openxmlformats.org/officeDocument/2006/relationships" ref="AI21" display="Open in EEF" r:id="rId49"/>
    <hyperlink xmlns:r="http://schemas.openxmlformats.org/officeDocument/2006/relationships" ref="AG22" display="https://istic.univ-rennes.fr/master-eeea-electronique-energie-electrique-automatique" r:id="rId50"/>
    <hyperlink xmlns:r="http://schemas.openxmlformats.org/officeDocument/2006/relationships" ref="AI22" display="Open in EEF" r:id="rId51"/>
    <hyperlink xmlns:r="http://schemas.openxmlformats.org/officeDocument/2006/relationships" ref="AG23" display="https://www.insset.u-picardie.fr/" r:id="rId52"/>
    <hyperlink xmlns:r="http://schemas.openxmlformats.org/officeDocument/2006/relationships" ref="AI23" display="Open in EEF" r:id="rId53"/>
    <hyperlink xmlns:r="http://schemas.openxmlformats.org/officeDocument/2006/relationships" ref="AG24" display="http://www.univ-brest.fr/ufr-sciences" r:id="rId54"/>
    <hyperlink xmlns:r="http://schemas.openxmlformats.org/officeDocument/2006/relationships" ref="AI24" display="Open in EEF" r:id="rId55"/>
    <hyperlink xmlns:r="http://schemas.openxmlformats.org/officeDocument/2006/relationships" ref="AG25" display="https://www.utc.fr/formations/diplome-de-master/mention-ingenierie-de-la-sante-ids/parcours-technologies-biomedicales-et-territoires-de-sante-tbts/" r:id="rId56"/>
    <hyperlink xmlns:r="http://schemas.openxmlformats.org/officeDocument/2006/relationships" ref="AI25" display="Open in EEF" r:id="rId57"/>
    <hyperlink xmlns:r="http://schemas.openxmlformats.org/officeDocument/2006/relationships" ref="AG26" display="https://formations.univ-tln.fr/fr/offre-de-formation/master-XB/master-ingenierie-des-systemes-complexes-LO8RGPP1/master-ingenierie-des-systemes-complexes-parcours-robotique-intelligente-et-systemes-embarques-LPZRY65U.html" r:id="rId58"/>
    <hyperlink xmlns:r="http://schemas.openxmlformats.org/officeDocument/2006/relationships" ref="AI26" display="Open in EEF" r:id="rId59"/>
    <hyperlink xmlns:r="http://schemas.openxmlformats.org/officeDocument/2006/relationships" ref="AG27" display="https://formations.univ-rennes.fr/" r:id="rId60"/>
    <hyperlink xmlns:r="http://schemas.openxmlformats.org/officeDocument/2006/relationships" ref="AI27" display="Open in EEF" r:id="rId61"/>
    <hyperlink xmlns:r="http://schemas.openxmlformats.org/officeDocument/2006/relationships" ref="AG28" display="http://www-galilee.univ-paris13.fr/" r:id="rId62"/>
    <hyperlink xmlns:r="http://schemas.openxmlformats.org/officeDocument/2006/relationships" ref="AI28" display="Open in EEF" r:id="rId63"/>
    <hyperlink xmlns:r="http://schemas.openxmlformats.org/officeDocument/2006/relationships" ref="AB29" display="https://www.univ-rouen.fr/actualites/application-des-droits-dinscription-differencies-a-luniversite-de-rouen-normandie-a-compter-de-la-rentree-universitaire-2026-2027/" r:id="rId64"/>
    <hyperlink xmlns:r="http://schemas.openxmlformats.org/officeDocument/2006/relationships" ref="AG29" display="https://sciences-techniques.univ-rouen.fr/offre-de-formation-les-masters--332182.kjsp?RH=1392301431998&amp;RF=1378324428882" r:id="rId65"/>
    <hyperlink xmlns:r="http://schemas.openxmlformats.org/officeDocument/2006/relationships" ref="AI29" display="Open in EEF" r:id="rId66"/>
    <hyperlink xmlns:r="http://schemas.openxmlformats.org/officeDocument/2006/relationships" ref="AB30" display="https://www.univ-rouen.fr/actualites/application-des-droits-dinscription-differencies-a-luniversite-de-rouen-normandie-a-compter-de-la-rentree-universitaire-2026-2027/" r:id="rId67"/>
    <hyperlink xmlns:r="http://schemas.openxmlformats.org/officeDocument/2006/relationships" ref="AG30" display="https://sciences-techniques.univ-rouen.fr/" r:id="rId68"/>
    <hyperlink xmlns:r="http://schemas.openxmlformats.org/officeDocument/2006/relationships" ref="AI30" display="Open in EEF" r:id="rId69"/>
    <hyperlink xmlns:r="http://schemas.openxmlformats.org/officeDocument/2006/relationships" ref="AB31" display="https://www.univ-rouen.fr/actualites/application-des-droits-dinscription-differencies-a-luniversite-de-rouen-normandie-a-compter-de-la-rentree-universitaire-2026-2027/" r:id="rId70"/>
    <hyperlink xmlns:r="http://schemas.openxmlformats.org/officeDocument/2006/relationships" ref="AG31" display="https://sciences-techniques.univ-rouen.fr/" r:id="rId71"/>
    <hyperlink xmlns:r="http://schemas.openxmlformats.org/officeDocument/2006/relationships" ref="AI31" display="Open in EEF" r:id="rId72"/>
    <hyperlink xmlns:r="http://schemas.openxmlformats.org/officeDocument/2006/relationships" ref="AB32" display="https://www.univ-rouen.fr/actualites/application-des-droits-dinscription-differencies-a-luniversite-de-rouen-normandie-a-compter-de-la-rentree-universitaire-2026-2027/" r:id="rId73"/>
    <hyperlink xmlns:r="http://schemas.openxmlformats.org/officeDocument/2006/relationships" ref="AG32" display="http://sciences-techniques.univ-rouen.fr/" r:id="rId74"/>
    <hyperlink xmlns:r="http://schemas.openxmlformats.org/officeDocument/2006/relationships" ref="AI32" display="Open in EEF" r:id="rId75"/>
    <hyperlink xmlns:r="http://schemas.openxmlformats.org/officeDocument/2006/relationships" ref="AG33" display="https://ufr-sitec.parisnanterre.fr/" r:id="rId76"/>
    <hyperlink xmlns:r="http://schemas.openxmlformats.org/officeDocument/2006/relationships" ref="AI33" display="Open in EEF" r:id="rId77"/>
    <hyperlink xmlns:r="http://schemas.openxmlformats.org/officeDocument/2006/relationships" ref="AG34" display="https://fst.univ-lorraine.fr/formations/" r:id="rId78"/>
    <hyperlink xmlns:r="http://schemas.openxmlformats.org/officeDocument/2006/relationships" ref="AI34" display="Open in EEF" r:id="rId79"/>
    <hyperlink xmlns:r="http://schemas.openxmlformats.org/officeDocument/2006/relationships" ref="AG35" display="https://medecine.univ-st-etienne.fr/fr/formation-initiale/licence-masters.html" r:id="rId80"/>
    <hyperlink xmlns:r="http://schemas.openxmlformats.org/officeDocument/2006/relationships" ref="AI35" display="Open in EEF" r:id="rId81"/>
    <hyperlink xmlns:r="http://schemas.openxmlformats.org/officeDocument/2006/relationships" ref="AG36" display="https://www.utc.fr/formations/diplome-de-master/mention-ingenierie-de-la-sante-ids/parcours-dispositif-medical-et-affaires-reglementaires-dmar/" r:id="rId82"/>
    <hyperlink xmlns:r="http://schemas.openxmlformats.org/officeDocument/2006/relationships" ref="AI36" display="Open in EEF" r:id="rId83"/>
    <hyperlink xmlns:r="http://schemas.openxmlformats.org/officeDocument/2006/relationships" ref="AI37" display="Open in EEF" r:id="rId84"/>
    <hyperlink xmlns:r="http://schemas.openxmlformats.org/officeDocument/2006/relationships" ref="AI38" display="Open in EEF" r:id="rId85"/>
    <hyperlink xmlns:r="http://schemas.openxmlformats.org/officeDocument/2006/relationships" ref="AB39" display="https://www.letudiant.fr/educpros/actualite/droits-d-inscription-majores-pour-les-etudiants-etrangers-pourquoi-l-application-du-decret-met-en-difficulte-de-nombreuses-universites.html" r:id="rId86"/>
    <hyperlink xmlns:r="http://schemas.openxmlformats.org/officeDocument/2006/relationships" ref="AG39" display="http://sciences.univ-lemans.fr" r:id="rId87"/>
    <hyperlink xmlns:r="http://schemas.openxmlformats.org/officeDocument/2006/relationships" ref="AI39" display="Open in EEF" r:id="rId88"/>
    <hyperlink xmlns:r="http://schemas.openxmlformats.org/officeDocument/2006/relationships" ref="AG40" display="https://sciences-tech.u-pec.fr/formation/master-optique-image-vision-multimedia-parcours-signaux-et-image-en-medecine-sim" r:id="rId89"/>
    <hyperlink xmlns:r="http://schemas.openxmlformats.org/officeDocument/2006/relationships" ref="AI40" display="Open in EEF" r:id="rId90"/>
    <hyperlink xmlns:r="http://schemas.openxmlformats.org/officeDocument/2006/relationships" ref="AG41" display="https://sciences-tech.u-pec.fr/formation/master-optique-image-vision-multimedia-parcours-intelligence-artificielle-sciences-des-donnees-et-systemes-cyber-physiques-ia2s" r:id="rId91"/>
    <hyperlink xmlns:r="http://schemas.openxmlformats.org/officeDocument/2006/relationships" ref="AI41" display="Open in EEF" r:id="rId92"/>
    <hyperlink xmlns:r="http://schemas.openxmlformats.org/officeDocument/2006/relationships" ref="AG42" display="https://sfa.univ-poitiers.fr/formation/offre-de-formation-sciences-technologies-sante/" r:id="rId93"/>
    <hyperlink xmlns:r="http://schemas.openxmlformats.org/officeDocument/2006/relationships" ref="AI42" display="Open in EEF" r:id="rId94"/>
    <hyperlink xmlns:r="http://schemas.openxmlformats.org/officeDocument/2006/relationships" ref="AB43" display="https://www.univ-rouen.fr/actualites/application-des-droits-dinscription-differencies-a-luniversite-de-rouen-normandie-a-compter-de-la-rentree-universitaire-2026-2027/" r:id="rId95"/>
    <hyperlink xmlns:r="http://schemas.openxmlformats.org/officeDocument/2006/relationships" ref="AG43" display="http://sciences-techniques.univ-rouen.fr/" r:id="rId96"/>
    <hyperlink xmlns:r="http://schemas.openxmlformats.org/officeDocument/2006/relationships" ref="AI43" display="Open in EEF" r:id="rId97"/>
    <hyperlink xmlns:r="http://schemas.openxmlformats.org/officeDocument/2006/relationships" ref="AB44" display="https://www.umontpellier.fr/en/international/etudier-a-letranger/etudiants-internationaux-annee-universitaire-2026-2027/" r:id="rId98"/>
    <hyperlink xmlns:r="http://schemas.openxmlformats.org/officeDocument/2006/relationships" ref="AG44" display="https://idil.edu.umontpellier.fr/master-idil/les-parcours/" r:id="rId99"/>
    <hyperlink xmlns:r="http://schemas.openxmlformats.org/officeDocument/2006/relationships" ref="AI44" display="Open in EEF" r:id="rId100"/>
    <hyperlink xmlns:r="http://schemas.openxmlformats.org/officeDocument/2006/relationships" ref="AB45" display="https://www.univ-amu.fr/fr/actualites/aix-marseille-universite-mobilise-pleinement-capacite-dexoneration-continuer-accueillir" r:id="rId101"/>
    <hyperlink xmlns:r="http://schemas.openxmlformats.org/officeDocument/2006/relationships" ref="AG45" display="http://fss.univ-amu.fr/" r:id="rId102"/>
    <hyperlink xmlns:r="http://schemas.openxmlformats.org/officeDocument/2006/relationships" ref="AI45" display="Open in EEF" r:id="rId103"/>
    <hyperlink xmlns:r="http://schemas.openxmlformats.org/officeDocument/2006/relationships" ref="AB46" display="https://www.utoulouse.fr/medias/fichier/2026-02-ca-075_1774430647495-pdf" r:id="rId104"/>
    <hyperlink xmlns:r="http://schemas.openxmlformats.org/officeDocument/2006/relationships" ref="AG46" display="http://www.univ-tlse3.fr/" r:id="rId105"/>
    <hyperlink xmlns:r="http://schemas.openxmlformats.org/officeDocument/2006/relationships" ref="AI46" display="Open in EEF" r:id="rId106"/>
    <hyperlink xmlns:r="http://schemas.openxmlformats.org/officeDocument/2006/relationships" ref="AB47" display="https://www.umontpellier.fr/en/international/etudier-a-letranger/etudiants-internationaux-annee-universitaire-2026-2027/" r:id="rId107"/>
    <hyperlink xmlns:r="http://schemas.openxmlformats.org/officeDocument/2006/relationships" ref="AG47" display="http://sciences.edu.umontpellier.fr/" r:id="rId108"/>
    <hyperlink xmlns:r="http://schemas.openxmlformats.org/officeDocument/2006/relationships" ref="AI47" display="Open in EEF" r:id="rId109"/>
    <hyperlink xmlns:r="http://schemas.openxmlformats.org/officeDocument/2006/relationships" ref="AB48" display="https://www.umontpellier.fr/en/international/etudier-a-letranger/etudiants-internationaux-annee-universitaire-2026-2027/" r:id="rId110"/>
    <hyperlink xmlns:r="http://schemas.openxmlformats.org/officeDocument/2006/relationships" ref="AG48" display="http://sciences.edu.umontpellier.fr/" r:id="rId111"/>
    <hyperlink xmlns:r="http://schemas.openxmlformats.org/officeDocument/2006/relationships" ref="AI48" display="Open in EEF" r:id="rId112"/>
    <hyperlink xmlns:r="http://schemas.openxmlformats.org/officeDocument/2006/relationships" ref="AB49" display="https://www.utoulouse.fr/medias/fichier/2026-02-ca-075_1774430647495-pdf" r:id="rId113"/>
    <hyperlink xmlns:r="http://schemas.openxmlformats.org/officeDocument/2006/relationships" ref="AG49" display="http://www.univ-tlse3.fr/" r:id="rId114"/>
    <hyperlink xmlns:r="http://schemas.openxmlformats.org/officeDocument/2006/relationships" ref="AI49" display="Open in EEF" r:id="rId115"/>
    <hyperlink xmlns:r="http://schemas.openxmlformats.org/officeDocument/2006/relationships" ref="AB50" display="https://www.utoulouse.fr/medias/fichier/2026-02-ca-075_1774430647495-pdf" r:id="rId116"/>
    <hyperlink xmlns:r="http://schemas.openxmlformats.org/officeDocument/2006/relationships" ref="AG50" display="http://www.univ-tlse3.fr/" r:id="rId117"/>
    <hyperlink xmlns:r="http://schemas.openxmlformats.org/officeDocument/2006/relationships" ref="AI50" display="Open in EEF" r:id="rId118"/>
    <hyperlink xmlns:r="http://schemas.openxmlformats.org/officeDocument/2006/relationships" ref="AB51" display="https://u-paris.fr/droits-dinscription-tarifs-exonerations/" r:id="rId119"/>
    <hyperlink xmlns:r="http://schemas.openxmlformats.org/officeDocument/2006/relationships" ref="AG51" display="https://odf.u-paris.fr/fr/offre-de-formation/master-XB/sciences-technologies-sante-STS/informatique-K2NDIF4R//master-informatique-parcours-cybersecurite-et-esante-JT5NZSOS.html" r:id="rId120"/>
    <hyperlink xmlns:r="http://schemas.openxmlformats.org/officeDocument/2006/relationships" ref="AI51" display="Open in EEF" r:id="rId121"/>
    <hyperlink xmlns:r="http://schemas.openxmlformats.org/officeDocument/2006/relationships" ref="AB52" display="https://www.utoulouse.fr/medias/fichier/2026-02-ca-075_1774430647495-pdf" r:id="rId122"/>
    <hyperlink xmlns:r="http://schemas.openxmlformats.org/officeDocument/2006/relationships" ref="AG52" display="http://www.univ-tlse3.fr/" r:id="rId123"/>
    <hyperlink xmlns:r="http://schemas.openxmlformats.org/officeDocument/2006/relationships" ref="AI52" display="Open in EEF" r:id="rId124"/>
    <hyperlink xmlns:r="http://schemas.openxmlformats.org/officeDocument/2006/relationships" ref="AB53" display="https://www.univ-grenoble-alpes.fr/actualites/a-la-une/actualites-universite/etudiants-internationaux-ce-que-change-le-nouveau-decret-sur-les-droits-d-inscription-a-l-uga-1775870.kjsp" r:id="rId125"/>
    <hyperlink xmlns:r="http://schemas.openxmlformats.org/officeDocument/2006/relationships" ref="AG53" display="https://formations.univ-grenoble-alpes.fr/fr/catalogue-2021/master-XB/master-ingenierie-de-la-sante-IAQKSXOB.html" r:id="rId126"/>
    <hyperlink xmlns:r="http://schemas.openxmlformats.org/officeDocument/2006/relationships" ref="AI53" display="Open in EEF" r:id="rId127"/>
    <hyperlink xmlns:r="http://schemas.openxmlformats.org/officeDocument/2006/relationships" ref="AB54" display="https://www.umontpellier.fr/en/international/etudier-a-letranger/etudiants-internationaux-annee-universitaire-2026-2027/" r:id="rId128"/>
    <hyperlink xmlns:r="http://schemas.openxmlformats.org/officeDocument/2006/relationships" ref="AG54" display="http://www.fdsweb.univ-montp2.fr/etudier-a-la-fds/catalogue-de-formation-675" r:id="rId129"/>
    <hyperlink xmlns:r="http://schemas.openxmlformats.org/officeDocument/2006/relationships" ref="AI54" display="Open in EEF" r:id="rId130"/>
    <hyperlink xmlns:r="http://schemas.openxmlformats.org/officeDocument/2006/relationships" ref="AB55" display="https://www.umlp.fr/sites/default/files/2026-07-02-page-droits-differencies-vf.pdf" r:id="rId131"/>
    <hyperlink xmlns:r="http://schemas.openxmlformats.org/officeDocument/2006/relationships" ref="AI55" display="Open in EEF" r:id="rId132"/>
    <hyperlink xmlns:r="http://schemas.openxmlformats.org/officeDocument/2006/relationships" ref="AB56" display="https://u-paris.fr/droits-dinscription-tarifs-exonerations/" r:id="rId133"/>
    <hyperlink xmlns:r="http://schemas.openxmlformats.org/officeDocument/2006/relationships" ref="AG56" display="https://pharmacie.u-paris.fr/" r:id="rId134"/>
    <hyperlink xmlns:r="http://schemas.openxmlformats.org/officeDocument/2006/relationships" ref="AI56" display="Open in EEF" r:id="rId135"/>
    <hyperlink xmlns:r="http://schemas.openxmlformats.org/officeDocument/2006/relationships" ref="AB57" display="https://www.umlp.fr/sites/default/files/2026-07-02-page-droits-differencies-vf.pdf" r:id="rId136"/>
    <hyperlink xmlns:r="http://schemas.openxmlformats.org/officeDocument/2006/relationships" ref="AI57" display="Open in EEF" r:id="rId137"/>
    <hyperlink xmlns:r="http://schemas.openxmlformats.org/officeDocument/2006/relationships" ref="AG58" display="https://www.univ-ubs.fr/fr/formation-initiale-continue/formations-2017-2018/master-XB/sciences-technologies-sante-STS/master-cyber-securite-des-systemes-embarques-program-5scy00-217-5scy01.html" r:id="rId138"/>
    <hyperlink xmlns:r="http://schemas.openxmlformats.org/officeDocument/2006/relationships" ref="AI58" display="Open in EEF" r:id="rId139"/>
    <hyperlink xmlns:r="http://schemas.openxmlformats.org/officeDocument/2006/relationships" ref="AG59" display="https://www.univ-ubs.fr/fr/formation-initiale-continue/formations-2017-2018/master-XB/sciences-technologies-sante-STS/master-systemes-embarques-systemes-integres-program-5ssy00-217-4ssy01.html" r:id="rId140"/>
    <hyperlink xmlns:r="http://schemas.openxmlformats.org/officeDocument/2006/relationships" ref="AI59" display="Open in EEF" r:id="rId141"/>
    <hyperlink xmlns:r="http://schemas.openxmlformats.org/officeDocument/2006/relationships" ref="AG60" display="https://esix.unicaen.fr" r:id="rId142"/>
    <hyperlink xmlns:r="http://schemas.openxmlformats.org/officeDocument/2006/relationships" ref="AI60" display="Open in EEF" r:id="rId143"/>
    <hyperlink xmlns:r="http://schemas.openxmlformats.org/officeDocument/2006/relationships" ref="AG61" display="http://www.sup-galilee.univ-paris13.fr/" r:id="rId144"/>
    <hyperlink xmlns:r="http://schemas.openxmlformats.org/officeDocument/2006/relationships" ref="AI61" display="Open in EEF" r:id="rId145"/>
    <hyperlink xmlns:r="http://schemas.openxmlformats.org/officeDocument/2006/relationships" ref="AG62" display="https://episen.u-pec.fr/" r:id="rId146"/>
    <hyperlink xmlns:r="http://schemas.openxmlformats.org/officeDocument/2006/relationships" ref="AI62" display="Open in EEF" r:id="rId147"/>
    <hyperlink xmlns:r="http://schemas.openxmlformats.org/officeDocument/2006/relationships" ref="AG63" display="https://episen.u-pec.fr/" r:id="rId148"/>
    <hyperlink xmlns:r="http://schemas.openxmlformats.org/officeDocument/2006/relationships" ref="AI63" display="Open in EEF" r:id="rId149"/>
    <hyperlink xmlns:r="http://schemas.openxmlformats.org/officeDocument/2006/relationships" ref="AG64" display="https://www.polytech-lille.fr/formation/ingenieur-internet-des-objets-cybersecurite/" r:id="rId150"/>
    <hyperlink xmlns:r="http://schemas.openxmlformats.org/officeDocument/2006/relationships" ref="AI64" display="Open in EEF" r:id="rId151"/>
    <hyperlink xmlns:r="http://schemas.openxmlformats.org/officeDocument/2006/relationships" ref="AB65" display="https://www.univ-amu.fr/fr/actualites/aix-marseille-universite-mobilise-pleinement-capacite-dexoneration-continuer-accueillir" r:id="rId152"/>
    <hyperlink xmlns:r="http://schemas.openxmlformats.org/officeDocument/2006/relationships" ref="AG65" display="https://polytech.univ-amu.fr/fr/formations/cycle-ingenieur/genie-biomedical" r:id="rId153"/>
    <hyperlink xmlns:r="http://schemas.openxmlformats.org/officeDocument/2006/relationships" ref="AI65" display="Open in EEF" r:id="rId154"/>
    <hyperlink xmlns:r="http://schemas.openxmlformats.org/officeDocument/2006/relationships" ref="AG66" display="http://www.polytech.univ-savoie.fr" r:id="rId155"/>
    <hyperlink xmlns:r="http://schemas.openxmlformats.org/officeDocument/2006/relationships" ref="AI66" display="Open in EEF" r:id="rId156"/>
    <hyperlink xmlns:r="http://schemas.openxmlformats.org/officeDocument/2006/relationships" ref="AG67" display="https://www.polytech.universite-paris-saclay.fr/formation/electronique-et-informatique-pour-lembarque" r:id="rId157"/>
    <hyperlink xmlns:r="http://schemas.openxmlformats.org/officeDocument/2006/relationships" ref="AI67" display="Open in EEF" r:id="rId158"/>
    <hyperlink xmlns:r="http://schemas.openxmlformats.org/officeDocument/2006/relationships" ref="AB68" display="https://www.umlp.fr/sites/default/files/2026-07-02-page-droits-differencies-vf.pdf" r:id="rId159"/>
    <hyperlink xmlns:r="http://schemas.openxmlformats.org/officeDocument/2006/relationships" ref="AG68" display="http://isifc.univ-fcomte.fr" r:id="rId160"/>
    <hyperlink xmlns:r="http://schemas.openxmlformats.org/officeDocument/2006/relationships" ref="AI68" display="Open in EEF" r:id="rId161"/>
    <hyperlink xmlns:r="http://schemas.openxmlformats.org/officeDocument/2006/relationships" ref="AG69" display="http://www.polytech-orleans.fr" r:id="rId162"/>
    <hyperlink xmlns:r="http://schemas.openxmlformats.org/officeDocument/2006/relationships" ref="AI69" display="Open in EEF" r:id="rId163"/>
    <hyperlink xmlns:r="http://schemas.openxmlformats.org/officeDocument/2006/relationships" ref="AG70" display="https://www.ensicaen.fr/" r:id="rId164"/>
    <hyperlink xmlns:r="http://schemas.openxmlformats.org/officeDocument/2006/relationships" ref="AI70" display="Open in EEF" r:id="rId165"/>
    <hyperlink xmlns:r="http://schemas.openxmlformats.org/officeDocument/2006/relationships" ref="AG71" display="https://polytech.univ-cotedazur.fr/" r:id="rId166"/>
    <hyperlink xmlns:r="http://schemas.openxmlformats.org/officeDocument/2006/relationships" ref="AI71" display="Open in EEF" r:id="rId167"/>
    <hyperlink xmlns:r="http://schemas.openxmlformats.org/officeDocument/2006/relationships" ref="AB72" display="https://www.uca.fr/medias/fichier/delib-ca-20251205-15-tarifs-differencies_1765204050111-pdf" r:id="rId168"/>
    <hyperlink xmlns:r="http://schemas.openxmlformats.org/officeDocument/2006/relationships" ref="AG72" display="http://www.polytech-clermont.fr" r:id="rId169"/>
    <hyperlink xmlns:r="http://schemas.openxmlformats.org/officeDocument/2006/relationships" ref="AI72" display="Open in EEF" r:id="rId170"/>
    <hyperlink xmlns:r="http://schemas.openxmlformats.org/officeDocument/2006/relationships" ref="AB73" display="https://www.univ-grenoble-alpes.fr/actualites/a-la-une/actualites-universite/etudiants-internationaux-ce-que-change-le-nouveau-decret-sur-les-droits-d-inscription-a-l-uga-1775870.kjsp" r:id="rId171"/>
    <hyperlink xmlns:r="http://schemas.openxmlformats.org/officeDocument/2006/relationships" ref="AG73" display="https://polytech.grenoble-inp.fr/" r:id="rId172"/>
    <hyperlink xmlns:r="http://schemas.openxmlformats.org/officeDocument/2006/relationships" ref="AI73" display="Open in EEF" r:id="rId173"/>
    <hyperlink xmlns:r="http://schemas.openxmlformats.org/officeDocument/2006/relationships" ref="AG74" display="http://polytech.univ-lyon1.fr" r:id="rId174"/>
    <hyperlink xmlns:r="http://schemas.openxmlformats.org/officeDocument/2006/relationships" ref="AI74" display="Open in EEF" r:id="rId175"/>
    <hyperlink xmlns:r="http://schemas.openxmlformats.org/officeDocument/2006/relationships" ref="AG75" display="https://www.mines-stetienne.fr/en/academic/msc-cyber-physical-social-systems-cps2/" r:id="rId176"/>
    <hyperlink xmlns:r="http://schemas.openxmlformats.org/officeDocument/2006/relationships" ref="AI75" display="Open in EEF" r:id="rId177"/>
    <hyperlink xmlns:r="http://schemas.openxmlformats.org/officeDocument/2006/relationships" ref="AI76" display="Open in EEF" r:id="rId178"/>
    <hyperlink xmlns:r="http://schemas.openxmlformats.org/officeDocument/2006/relationships" ref="AB77" display="https://www.umlp.fr/sites/default/files/2026-07-02-page-droits-differencies-vf.pdf" r:id="rId179"/>
    <hyperlink xmlns:r="http://schemas.openxmlformats.org/officeDocument/2006/relationships" ref="AG77" display="http://isifc.univ-fcomte.fr" r:id="rId180"/>
    <hyperlink xmlns:r="http://schemas.openxmlformats.org/officeDocument/2006/relationships" ref="AI77" display="Open in EEF" r:id="rId181"/>
    <hyperlink xmlns:r="http://schemas.openxmlformats.org/officeDocument/2006/relationships" ref="AG78" display="http://www.esigelec.fr" r:id="rId182"/>
    <hyperlink xmlns:r="http://schemas.openxmlformats.org/officeDocument/2006/relationships" ref="AI78" display="Open in EEF" r:id="rId183"/>
    <hyperlink xmlns:r="http://schemas.openxmlformats.org/officeDocument/2006/relationships" ref="AG79" display="https://www.imt-atlantique.fr/en/study/masters/msc/it-embedded-ai" r:id="rId184"/>
    <hyperlink xmlns:r="http://schemas.openxmlformats.org/officeDocument/2006/relationships" ref="AI79" display="Open in EEF" r:id="rId185"/>
    <hyperlink xmlns:r="http://schemas.openxmlformats.org/officeDocument/2006/relationships" ref="AG80" display="https://www.imt-atlantique.fr/en/study/masters/msc/it-aeiot" r:id="rId186"/>
    <hyperlink xmlns:r="http://schemas.openxmlformats.org/officeDocument/2006/relationships" ref="AI80" display="Open in EEF" r:id="rId187"/>
    <hyperlink xmlns:r="http://schemas.openxmlformats.org/officeDocument/2006/relationships" ref="AG81" display="https://centralelille.fr/en/formation/masters/master-biomedical-engineering/" r:id="rId188"/>
    <hyperlink xmlns:r="http://schemas.openxmlformats.org/officeDocument/2006/relationships" ref="AI81" display="Open in EEF" r:id="rId189"/>
    <hyperlink xmlns:r="http://schemas.openxmlformats.org/officeDocument/2006/relationships" ref="AG82" display="https://isen-mediterranee.fr/en/formation/msc-master-of-science-in-intelligent-embedded-systems-engineering/" r:id="rId190"/>
    <hyperlink xmlns:r="http://schemas.openxmlformats.org/officeDocument/2006/relationships" ref="AI82" display="Open in EEF" r:id="rId191"/>
    <hyperlink xmlns:r="http://schemas.openxmlformats.org/officeDocument/2006/relationships" ref="AG83" display="http://www.insa-toulouse.fr/fr/formation.html" r:id="rId192"/>
    <hyperlink xmlns:r="http://schemas.openxmlformats.org/officeDocument/2006/relationships" ref="AI83" display="Open in EEF" r:id="rId193"/>
    <hyperlink xmlns:r="http://schemas.openxmlformats.org/officeDocument/2006/relationships" ref="AI84" display="Open in EEF" r:id="rId194"/>
    <hyperlink xmlns:r="http://schemas.openxmlformats.org/officeDocument/2006/relationships" ref="AG85" display="http://www.insa-toulouse.fr/fr/formation.html" r:id="rId195"/>
    <hyperlink xmlns:r="http://schemas.openxmlformats.org/officeDocument/2006/relationships" ref="AI85" display="Open in EEF" r:id="rId196"/>
    <hyperlink xmlns:r="http://schemas.openxmlformats.org/officeDocument/2006/relationships" ref="AG86" display="https://www.junia.com/en/home/" r:id="rId197"/>
    <hyperlink xmlns:r="http://schemas.openxmlformats.org/officeDocument/2006/relationships" ref="AI86" display="Open in EEF" r:id="rId198"/>
    <hyperlink xmlns:r="http://schemas.openxmlformats.org/officeDocument/2006/relationships" ref="AG87" display="https://www.junia.com/en/academics/master-of-science-and-engineering-in-electronics-and-embedded-systems/" r:id="rId199"/>
    <hyperlink xmlns:r="http://schemas.openxmlformats.org/officeDocument/2006/relationships" ref="AI87" display="Open in EEF" r:id="rId200"/>
    <hyperlink xmlns:r="http://schemas.openxmlformats.org/officeDocument/2006/relationships" ref="AG88" display="https://www.mines-stetienne.fr/formation/mastere-specialise-iot/" r:id="rId201"/>
    <hyperlink xmlns:r="http://schemas.openxmlformats.org/officeDocument/2006/relationships" ref="AI88" display="Open in EEF" r:id="rId202"/>
    <hyperlink xmlns:r="http://schemas.openxmlformats.org/officeDocument/2006/relationships" ref="AG89" display="https://www.centrale-mediterranee.fr/fr/formation/masters/master-biomedical-engineering" r:id="rId203"/>
    <hyperlink xmlns:r="http://schemas.openxmlformats.org/officeDocument/2006/relationships" ref="AI89" display="Open in EEF" r:id="rId204"/>
    <hyperlink xmlns:r="http://schemas.openxmlformats.org/officeDocument/2006/relationships" ref="AI90" display="Open in EEF" r:id="rId205"/>
    <hyperlink xmlns:r="http://schemas.openxmlformats.org/officeDocument/2006/relationships" ref="AI91" display="Open in EEF" r:id="rId206"/>
    <hyperlink xmlns:r="http://schemas.openxmlformats.org/officeDocument/2006/relationships" ref="AG92" display="http://www.supelec.fr" r:id="rId207"/>
    <hyperlink xmlns:r="http://schemas.openxmlformats.org/officeDocument/2006/relationships" ref="AI92" display="Open in EEF" r:id="rId208"/>
    <hyperlink xmlns:r="http://schemas.openxmlformats.org/officeDocument/2006/relationships" ref="AG93" display="https://exed.centralesupelec.fr/formation/mastere-specialise-sante-numerique/" r:id="rId209"/>
    <hyperlink xmlns:r="http://schemas.openxmlformats.org/officeDocument/2006/relationships" ref="AI93" display="Open in EEF" r:id="rId210"/>
    <hyperlink xmlns:r="http://schemas.openxmlformats.org/officeDocument/2006/relationships" ref="AG94" display="http://www.enseeiht.fr" r:id="rId211"/>
    <hyperlink xmlns:r="http://schemas.openxmlformats.org/officeDocument/2006/relationships" ref="AI94" display="Open in EEF" r:id="rId212"/>
    <hyperlink xmlns:r="http://schemas.openxmlformats.org/officeDocument/2006/relationships" ref="AG95" display="https://esigelec.fr/fr" r:id="rId213"/>
    <hyperlink xmlns:r="http://schemas.openxmlformats.org/officeDocument/2006/relationships" ref="AI95" display="Open in EEF" r:id="rId214"/>
    <hyperlink xmlns:r="http://schemas.openxmlformats.org/officeDocument/2006/relationships" ref="AG96" display="https://bit.ly/3sYFUba" r:id="rId215"/>
    <hyperlink xmlns:r="http://schemas.openxmlformats.org/officeDocument/2006/relationships" ref="AI96" display="Open in EEF" r:id="rId216"/>
    <hyperlink xmlns:r="http://schemas.openxmlformats.org/officeDocument/2006/relationships" ref="AG97" display="http://www.esigelec.fr" r:id="rId217"/>
    <hyperlink xmlns:r="http://schemas.openxmlformats.org/officeDocument/2006/relationships" ref="AI97" display="Open in EEF" r:id="rId218"/>
    <hyperlink xmlns:r="http://schemas.openxmlformats.org/officeDocument/2006/relationships" ref="AG98" display="https://www.tsaae.fr/" r:id="rId219"/>
    <hyperlink xmlns:r="http://schemas.openxmlformats.org/officeDocument/2006/relationships" ref="AI98" display="Open in EEF" r:id="rId220"/>
    <hyperlink xmlns:r="http://schemas.openxmlformats.org/officeDocument/2006/relationships" ref="AG99" display="https://www.tsaae.fr/" r:id="rId221"/>
    <hyperlink xmlns:r="http://schemas.openxmlformats.org/officeDocument/2006/relationships" ref="AI99" display="Open in EEF" r:id="rId222"/>
    <hyperlink xmlns:r="http://schemas.openxmlformats.org/officeDocument/2006/relationships" ref="AG100" display="https://www.eurecom.fr/fr/les-formations/master-en-reseaux-et-telecommunication/master-en-reseaux-et-telecommunication-1" r:id="rId223"/>
    <hyperlink xmlns:r="http://schemas.openxmlformats.org/officeDocument/2006/relationships" ref="AI100" display="Open in EEF" r:id="rId224"/>
    <hyperlink xmlns:r="http://schemas.openxmlformats.org/officeDocument/2006/relationships" ref="AG101" display="https://www.eurecom.fr/en/teaching/master-networks-and-telecommunication/msc-networks-and-telecommunication-internet-things" r:id="rId225"/>
    <hyperlink xmlns:r="http://schemas.openxmlformats.org/officeDocument/2006/relationships" ref="AI101" display="Open in EEF" r:id="rId226"/>
    <hyperlink xmlns:r="http://schemas.openxmlformats.org/officeDocument/2006/relationships" ref="AG102" display="https://master.roc.cnam.fr" r:id="rId227"/>
    <hyperlink xmlns:r="http://schemas.openxmlformats.org/officeDocument/2006/relationships" ref="AI102" display="Open in EEF" r:id="rId228"/>
    <hyperlink xmlns:r="http://schemas.openxmlformats.org/officeDocument/2006/relationships" ref="AB103" display="https://www.univ-lyon1.fr/formation/inscription-et-scolarite/etudiantes-et-etudiants-internationaux-droits-dinscription-differencies-et-exonerations" r:id="rId229"/>
    <hyperlink xmlns:r="http://schemas.openxmlformats.org/officeDocument/2006/relationships" ref="AG103" display="https://polytech.univ-lyon1.fr/formation/graduate-school" r:id="rId230"/>
    <hyperlink xmlns:r="http://schemas.openxmlformats.org/officeDocument/2006/relationships" ref="AI103" display="Open in EEF" r:id="rId231"/>
    <hyperlink xmlns:r="http://schemas.openxmlformats.org/officeDocument/2006/relationships" ref="AB104" display="https://u-paris.fr/droits-dinscription-tarifs-exonerations/" r:id="rId232"/>
    <hyperlink xmlns:r="http://schemas.openxmlformats.org/officeDocument/2006/relationships" ref="AG104" display="https://odf.u-paris.fr/fr/offre-de-formation/master-XB/sciences-technologies-sante-STS/ingenierie-de-la-sante-K2NDJ7KW.html" r:id="rId233"/>
    <hyperlink xmlns:r="http://schemas.openxmlformats.org/officeDocument/2006/relationships" ref="AI104" display="Open in EEF" r:id="rId234"/>
    <hyperlink xmlns:r="http://schemas.openxmlformats.org/officeDocument/2006/relationships" ref="AB105" display="https://u-paris.fr/droits-dinscription-tarifs-exonerations/" r:id="rId235"/>
    <hyperlink xmlns:r="http://schemas.openxmlformats.org/officeDocument/2006/relationships" ref="AG105" display="https://odf.u-paris.fr/fr/offre-de-formation/master-XB/sciences-technologies-sante-STS/ingenierie-de-la-sante-K2NDJ7KW.html" r:id="rId236"/>
    <hyperlink xmlns:r="http://schemas.openxmlformats.org/officeDocument/2006/relationships" ref="AI105" display="Open in EEF" r:id="rId237"/>
    <hyperlink xmlns:r="http://schemas.openxmlformats.org/officeDocument/2006/relationships" ref="AB106" display="https://www.univ-grenoble-alpes.fr/actualites/a-la-une/actualites-universite/etudiants-internationaux-ce-que-change-le-nouveau-decret-sur-les-droits-d-inscription-a-l-uga-1775870.kjsp" r:id="rId238"/>
    <hyperlink xmlns:r="http://schemas.openxmlformats.org/officeDocument/2006/relationships" ref="AG106" location="page-admission" display="https://esisar.grenoble-inp.fr/fr/formation/master-mistre#page-admission" r:id="rId239"/>
    <hyperlink xmlns:r="http://schemas.openxmlformats.org/officeDocument/2006/relationships" ref="AI106" display="Open in EEF" r:id="rId240"/>
    <hyperlink xmlns:r="http://schemas.openxmlformats.org/officeDocument/2006/relationships" ref="AB107" display="https://www.univ-grenoble-alpes.fr/actualites/a-la-une/actualites-universite/etudiants-internationaux-ce-que-change-le-nouveau-decret-sur-les-droits-d-inscription-a-l-uga-1775870.kjsp" r:id="rId241"/>
    <hyperlink xmlns:r="http://schemas.openxmlformats.org/officeDocument/2006/relationships" ref="AG107" location="page-admission" display="https://esisar.grenoble-inp.fr/fr/formation/master-mistre#page-admission" r:id="rId242"/>
    <hyperlink xmlns:r="http://schemas.openxmlformats.org/officeDocument/2006/relationships" ref="AI107" display="Open in EEF" r:id="rId243"/>
    <hyperlink xmlns:r="http://schemas.openxmlformats.org/officeDocument/2006/relationships" ref="AB108" display="https://u-paris.fr/droits-dinscription-tarifs-exonerations/" r:id="rId244"/>
    <hyperlink xmlns:r="http://schemas.openxmlformats.org/officeDocument/2006/relationships" ref="AG108" display="https://odf.u-paris.fr/fr/offre-de-formation/master-XB/sciences-technologies-sante-STS/ingenierie-de-la-sante-K2NDJ7KW.html" r:id="rId245"/>
    <hyperlink xmlns:r="http://schemas.openxmlformats.org/officeDocument/2006/relationships" ref="AI108" display="Open in EEF" r:id="rId246"/>
    <hyperlink xmlns:r="http://schemas.openxmlformats.org/officeDocument/2006/relationships" ref="AG109" display="http://www.mines-stetienne.fr/formation-mines-saint-etienne/" r:id="rId247"/>
    <hyperlink xmlns:r="http://schemas.openxmlformats.org/officeDocument/2006/relationships" ref="AI109" display="Open in EEF" r:id="rId248"/>
    <hyperlink xmlns:r="http://schemas.openxmlformats.org/officeDocument/2006/relationships" ref="AB110" display="https://u-paris.fr/droits-dinscription-tarifs-exonerations/" r:id="rId249"/>
    <hyperlink xmlns:r="http://schemas.openxmlformats.org/officeDocument/2006/relationships" ref="AG110" display="https://odf.u-paris.fr/fr/offre-de-formation/master-XB/sciences-technologies-sante-STS/ingenierie-de-la-sante-K2NDJ7KW.html" r:id="rId250"/>
    <hyperlink xmlns:r="http://schemas.openxmlformats.org/officeDocument/2006/relationships" ref="AI110" display="Open in EEF" r:id="rId251"/>
    <hyperlink xmlns:r="http://schemas.openxmlformats.org/officeDocument/2006/relationships" ref="AB111" display="https://www.univ-lyon1.fr/formation/inscription-et-scolarite/etudiantes-et-etudiants-internationaux-droits-dinscription-differencies-et-exonerations" r:id="rId252"/>
    <hyperlink xmlns:r="http://schemas.openxmlformats.org/officeDocument/2006/relationships" ref="AG111" display="http://ispb.univ-lyon1.fr/" r:id="rId253"/>
    <hyperlink xmlns:r="http://schemas.openxmlformats.org/officeDocument/2006/relationships" ref="AI111" display="Open in EEF" r:id="rId254"/>
    <hyperlink xmlns:r="http://schemas.openxmlformats.org/officeDocument/2006/relationships" ref="AB112" display="https://www.univ-lyon1.fr/formation/inscription-et-scolarite/etudiantes-et-etudiants-internationaux-droits-dinscription-differencies-et-exonerations" r:id="rId255"/>
    <hyperlink xmlns:r="http://schemas.openxmlformats.org/officeDocument/2006/relationships" ref="AG112" display="http://ispb.univ-lyon1.fr/" r:id="rId256"/>
    <hyperlink xmlns:r="http://schemas.openxmlformats.org/officeDocument/2006/relationships" ref="AI112" display="Open in EEF" r:id="rId257"/>
    <hyperlink xmlns:r="http://schemas.openxmlformats.org/officeDocument/2006/relationships" ref="AB113" display="https://www.univ-grenoble-alpes.fr/actualites/a-la-une/actualites-universite/etudiants-internationaux-ce-que-change-le-nouveau-decret-sur-les-droits-d-inscription-a-l-uga-1775870.kjsp" r:id="rId258"/>
    <hyperlink xmlns:r="http://schemas.openxmlformats.org/officeDocument/2006/relationships" ref="AG113" display="https://formations.univ-grenoble-alpes.fr/fr/catalogue-2021/master-XB/master-ingenierie-de-la-sante-IAQKSXOB/parcours-genetique-genomique-et-infertilite-2e-annee-KJV5CKSF.html" r:id="rId259"/>
    <hyperlink xmlns:r="http://schemas.openxmlformats.org/officeDocument/2006/relationships" ref="AI113" display="Open in EEF" r:id="rId260"/>
    <hyperlink xmlns:r="http://schemas.openxmlformats.org/officeDocument/2006/relationships" ref="AG114" display="https://www.univ-brest.fr/medecine" r:id="rId261"/>
    <hyperlink xmlns:r="http://schemas.openxmlformats.org/officeDocument/2006/relationships" ref="AI114" display="Open in EEF" r:id="rId262"/>
    <hyperlink xmlns:r="http://schemas.openxmlformats.org/officeDocument/2006/relationships" ref="AG115" display="https://sante.u-pec.fr/" r:id="rId263"/>
    <hyperlink xmlns:r="http://schemas.openxmlformats.org/officeDocument/2006/relationships" ref="AI115" display="Open in EEF" r:id="rId264"/>
    <hyperlink xmlns:r="http://schemas.openxmlformats.org/officeDocument/2006/relationships" ref="AG116" display="https://fst.univ-lorraine.fr/formations/" r:id="rId265"/>
    <hyperlink xmlns:r="http://schemas.openxmlformats.org/officeDocument/2006/relationships" ref="AI116" display="Open in EEF" r:id="rId266"/>
    <hyperlink xmlns:r="http://schemas.openxmlformats.org/officeDocument/2006/relationships" ref="AB117" display="https://observalgerie.com/2026/06/13/misc/frais-dinscription-en-france-lille-maintient-un-avantage-pour-les-etudiants-etrangers/" r:id="rId267"/>
    <hyperlink xmlns:r="http://schemas.openxmlformats.org/officeDocument/2006/relationships" ref="AG117" display="https://formation.univ-lille.fr/fr/offre-de-formation/master-lmd-XB/master-physique-fondamentale-et-applications-MG001988/physique-medicale-m2-MX002075.html" r:id="rId268"/>
    <hyperlink xmlns:r="http://schemas.openxmlformats.org/officeDocument/2006/relationships" ref="AI117" display="Open in EEF" r:id="rId269"/>
    <hyperlink xmlns:r="http://schemas.openxmlformats.org/officeDocument/2006/relationships" ref="AB118" display="https://www.univ-rouen.fr/actualites/application-des-droits-dinscription-differencies-a-luniversite-de-rouen-normandie-a-compter-de-la-rentree-universitaire-2026-2027/" r:id="rId270"/>
    <hyperlink xmlns:r="http://schemas.openxmlformats.org/officeDocument/2006/relationships" ref="AG118" display="http://sciences-techniques.univ-rouen.fr/" r:id="rId271"/>
    <hyperlink xmlns:r="http://schemas.openxmlformats.org/officeDocument/2006/relationships" ref="AI118" display="Open in EEF" r:id="rId272"/>
    <hyperlink xmlns:r="http://schemas.openxmlformats.org/officeDocument/2006/relationships" ref="AB119" display="https://www.univ-lyon1.fr/formation/inscription-et-scolarite/etudiantes-et-etudiants-internationaux-droits-dinscription-differencies-et-exonerations" r:id="rId273"/>
    <hyperlink xmlns:r="http://schemas.openxmlformats.org/officeDocument/2006/relationships" ref="AG119" display="http://ufr-gep.univ-lyon1.fr" r:id="rId274"/>
    <hyperlink xmlns:r="http://schemas.openxmlformats.org/officeDocument/2006/relationships" ref="AI119" display="Open in EEF" r:id="rId275"/>
    <hyperlink xmlns:r="http://schemas.openxmlformats.org/officeDocument/2006/relationships" ref="AB120" display="https://www.univ-lyon1.fr/formation/inscription-et-scolarite/etudiantes-et-etudiants-internationaux-droits-dinscription-differencies-et-exonerations" r:id="rId276"/>
    <hyperlink xmlns:r="http://schemas.openxmlformats.org/officeDocument/2006/relationships" ref="AI120" display="Open in EEF" r:id="rId277"/>
    <hyperlink xmlns:r="http://schemas.openxmlformats.org/officeDocument/2006/relationships" ref="AG121" display="https://igm.univ-gustave-eiffel.fr/" r:id="rId278"/>
    <hyperlink xmlns:r="http://schemas.openxmlformats.org/officeDocument/2006/relationships" ref="AI121" display="Open in EEF" r:id="rId279"/>
    <hyperlink xmlns:r="http://schemas.openxmlformats.org/officeDocument/2006/relationships" ref="AB122" display="https://www.univ-grenoble-alpes.fr/actualites/a-la-une/actualites-universite/etudiants-internationaux-ce-que-change-le-nouveau-decret-sur-les-droits-d-inscription-a-l-uga-1775870.kjsp" r:id="rId280"/>
    <hyperlink xmlns:r="http://schemas.openxmlformats.org/officeDocument/2006/relationships" ref="AG122" display="https://formations.univ-grenoble-alpes.fr/fr/catalogue-2021/master-XB/master-ingenierie-de-la-sante-IAQKSXOB/parcours-methodes-pour-la-conception-et-la-conduite-de-projets-en-recherche-clinique-2e-annee-IBKJLUAL.html" r:id="rId281"/>
    <hyperlink xmlns:r="http://schemas.openxmlformats.org/officeDocument/2006/relationships" ref="AI122" display="Open in EEF" r:id="rId282"/>
    <hyperlink xmlns:r="http://schemas.openxmlformats.org/officeDocument/2006/relationships" ref="AB123" display="https://www.univ-grenoble-alpes.fr/actualites/a-la-une/actualites-universite/etudiants-internationaux-ce-que-change-le-nouveau-decret-sur-les-droits-d-inscription-a-l-uga-1775870.kjsp" r:id="rId283"/>
    <hyperlink xmlns:r="http://schemas.openxmlformats.org/officeDocument/2006/relationships" ref="AG123" display="https://formations.univ-grenoble-alpes.fr/fr/catalogue-2021/master-XB/master-ingenierie-de-la-sante-IAQKSXOB/parcours-physique-medicale-radioprotection-de-l-homme-et-de-l-environnement-2e-annee-IBKJN95V.html" r:id="rId284"/>
    <hyperlink xmlns:r="http://schemas.openxmlformats.org/officeDocument/2006/relationships" ref="AI123" display="Open in EEF" r:id="rId285"/>
    <hyperlink xmlns:r="http://schemas.openxmlformats.org/officeDocument/2006/relationships" ref="AG124" location="/details-formation?type=formation&amp;id=128" display="https://formations.u-bordeaux.fr/#/details-formation?type=formation&amp;id=128" r:id="rId286"/>
    <hyperlink xmlns:r="http://schemas.openxmlformats.org/officeDocument/2006/relationships" ref="AI124" display="Open in EEF" r:id="rId287"/>
    <hyperlink xmlns:r="http://schemas.openxmlformats.org/officeDocument/2006/relationships" ref="AB125" display="https://www.sorbonne-universite.fr/actualites/le-conseil-dadministration-de-sorbonne-universite-vote-lunanimite-le-7-juillet-2026-sa" r:id="rId288"/>
    <hyperlink xmlns:r="http://schemas.openxmlformats.org/officeDocument/2006/relationships" ref="AG125" display="http://master.sante.sorbonne-universite.fr/fr/index.html" r:id="rId289"/>
    <hyperlink xmlns:r="http://schemas.openxmlformats.org/officeDocument/2006/relationships" ref="AI125" display="Open in EEF" r:id="rId290"/>
    <hyperlink xmlns:r="http://schemas.openxmlformats.org/officeDocument/2006/relationships" ref="AB126" display="https://u-paris.fr/droits-dinscription-tarifs-exonerations/" r:id="rId291"/>
    <hyperlink xmlns:r="http://schemas.openxmlformats.org/officeDocument/2006/relationships" ref="AG126" display="https://u-paris.fr/medecine/formation-initiale/masters/" r:id="rId292"/>
    <hyperlink xmlns:r="http://schemas.openxmlformats.org/officeDocument/2006/relationships" ref="AI126" display="Open in EEF" r:id="rId293"/>
    <hyperlink xmlns:r="http://schemas.openxmlformats.org/officeDocument/2006/relationships" ref="AB127" display="https://www.univ-tours.fr/international/etudes-stages-a-tours/droits-dinscription-differencies-pour-les-etudiants-extra-communautaires-2026-2027" r:id="rId294"/>
    <hyperlink xmlns:r="http://schemas.openxmlformats.org/officeDocument/2006/relationships" ref="AG127" display="https://www.univ-tours.fr/formations/master-sciences-technologies-sante-mention-sciences-du-vivant-parcours-infectiologie-immunite-vaccinologie-et-biomedicaments" r:id="rId295"/>
    <hyperlink xmlns:r="http://schemas.openxmlformats.org/officeDocument/2006/relationships" ref="AI127" display="Open in EEF" r:id="rId296"/>
    <hyperlink xmlns:r="http://schemas.openxmlformats.org/officeDocument/2006/relationships" ref="AG128" display="https://formations.u-bordeaux.fr/details-formation?type=formation&amp;id=126" r:id="rId297"/>
    <hyperlink xmlns:r="http://schemas.openxmlformats.org/officeDocument/2006/relationships" ref="AI128" display="Open in EEF" r:id="rId298"/>
    <hyperlink xmlns:r="http://schemas.openxmlformats.org/officeDocument/2006/relationships" ref="AB129" display="https://www.univ-grenoble-alpes.fr/actualites/a-la-une/actualites-universite/etudiants-internationaux-ce-que-change-le-nouveau-decret-sur-les-droits-d-inscription-a-l-uga-1775870.kjsp" r:id="rId299"/>
    <hyperlink xmlns:r="http://schemas.openxmlformats.org/officeDocument/2006/relationships" ref="AG129" display="https://licences-masters-sante.univ-grenoble-alpes.fr/masters/medtechs-numerique-et-physique-appliques-a-la-sante/m2-modeles-innovation-technologique-imagerie-miti-/m2-modeles-innovation-technologique-imagerie-miti--279879.kjsp" r:id="rId300"/>
    <hyperlink xmlns:r="http://schemas.openxmlformats.org/officeDocument/2006/relationships" ref="AI129" display="Open in EEF" r:id="rId301"/>
    <hyperlink xmlns:r="http://schemas.openxmlformats.org/officeDocument/2006/relationships" ref="AB130" display="https://www.univ-grenoble-alpes.fr/actualites/a-la-une/actualites-universite/etudiants-internationaux-ce-que-change-le-nouveau-decret-sur-les-droits-d-inscription-a-l-uga-1775870.kjsp" r:id="rId302"/>
    <hyperlink xmlns:r="http://schemas.openxmlformats.org/officeDocument/2006/relationships" ref="AG130" display="https://formations.univ-grenoble-alpes.fr/fr/catalogue-2021/master-XB/master-physique-fondamentale-et-applications-IAQK7WZY.html" r:id="rId303"/>
    <hyperlink xmlns:r="http://schemas.openxmlformats.org/officeDocument/2006/relationships" ref="AI130" display="Open in EEF" r:id="rId304"/>
    <hyperlink xmlns:r="http://schemas.openxmlformats.org/officeDocument/2006/relationships" ref="AB131" display="https://u-paris.fr/droits-dinscription-tarifs-exonerations/" r:id="rId305"/>
    <hyperlink xmlns:r="http://schemas.openxmlformats.org/officeDocument/2006/relationships" ref="AG131" display="https://odf.u-paris.fr/fr/offre-de-formation/master-XB/sciences-technologies-sante-STS/sciences-et-genie-des-materiaux-K2M598T7/master-sciences-et-genie-des-materiaux-parcours-ingenierie-biomedicale-biomateriaux-biomolecules-K1AEGQPI.html" r:id="rId306"/>
    <hyperlink xmlns:r="http://schemas.openxmlformats.org/officeDocument/2006/relationships" ref="AI131" display="Open in EEF" r:id="rId307"/>
    <hyperlink xmlns:r="http://schemas.openxmlformats.org/officeDocument/2006/relationships" ref="AG132" display="http://www.imt-atlantique.fr" r:id="rId308"/>
    <hyperlink xmlns:r="http://schemas.openxmlformats.org/officeDocument/2006/relationships" ref="AI132" display="Open in EEF" r:id="rId309"/>
    <hyperlink xmlns:r="http://schemas.openxmlformats.org/officeDocument/2006/relationships" ref="AG133" display="http://www.supelec.fr" r:id="rId310"/>
    <hyperlink xmlns:r="http://schemas.openxmlformats.org/officeDocument/2006/relationships" ref="AI133" display="Open in EEF" r:id="rId311"/>
    <hyperlink xmlns:r="http://schemas.openxmlformats.org/officeDocument/2006/relationships" ref="AI134" display="Open in EEF" r:id="rId312"/>
    <hyperlink xmlns:r="http://schemas.openxmlformats.org/officeDocument/2006/relationships" ref="AG135" display="http://www.mines-stetienne.fr/formation-mines-saint-etienne/" r:id="rId313"/>
    <hyperlink xmlns:r="http://schemas.openxmlformats.org/officeDocument/2006/relationships" ref="AI135" display="Open in EEF" r:id="rId314"/>
    <hyperlink xmlns:r="http://schemas.openxmlformats.org/officeDocument/2006/relationships" ref="AG136" display="https://www.mines-stetienne.fr/en/academic/msc-biomedical-engineering-design-bmed/" r:id="rId315"/>
    <hyperlink xmlns:r="http://schemas.openxmlformats.org/officeDocument/2006/relationships" ref="AI136" display="Open in EEF" r:id="rId316"/>
    <hyperlink xmlns:r="http://schemas.openxmlformats.org/officeDocument/2006/relationships" ref="AG137" display="http://www.mines-stetienne.fr/formation-mines-saint-etienne/" r:id="rId317"/>
    <hyperlink xmlns:r="http://schemas.openxmlformats.org/officeDocument/2006/relationships" ref="AI137" display="Open in EEF" r:id="rId318"/>
    <hyperlink xmlns:r="http://schemas.openxmlformats.org/officeDocument/2006/relationships" ref="AG138" display="http://www.mines-stetienne.fr/formation-mines-saint-etienne/" r:id="rId319"/>
    <hyperlink xmlns:r="http://schemas.openxmlformats.org/officeDocument/2006/relationships" ref="AI138" display="Open in EEF" r:id="rId320"/>
    <hyperlink xmlns:r="http://schemas.openxmlformats.org/officeDocument/2006/relationships" ref="AG139" display="http://www.ensta-paristech.fr" r:id="rId321"/>
    <hyperlink xmlns:r="http://schemas.openxmlformats.org/officeDocument/2006/relationships" ref="AI139" display="Open in EEF" r:id="rId322"/>
    <hyperlink xmlns:r="http://schemas.openxmlformats.org/officeDocument/2006/relationships" ref="AG140" display="https://polytech.univ-nantes.fr/les-formations/masters-internationaux/wireless-embedded-technologies-master-s-degree-wet--2355194.kjsp?RH=1382971139912" r:id="rId323"/>
    <hyperlink xmlns:r="http://schemas.openxmlformats.org/officeDocument/2006/relationships" ref="AI140" display="Open in EEF" r:id="rId324"/>
    <hyperlink xmlns:r="http://schemas.openxmlformats.org/officeDocument/2006/relationships" ref="AB141" display="https://www.univ-amu.fr/fr/actualites/aix-marseille-universite-mobilise-pleinement-capacite-dexoneration-continuer-accueillir" r:id="rId325"/>
    <hyperlink xmlns:r="http://schemas.openxmlformats.org/officeDocument/2006/relationships" ref="AG141" display="https://formations.univ-amu.fr/fr/master/5SIN/PRSIN5C5" r:id="rId326"/>
    <hyperlink xmlns:r="http://schemas.openxmlformats.org/officeDocument/2006/relationships" ref="AI141" display="Open in EEF" r:id="rId327"/>
    <hyperlink xmlns:r="http://schemas.openxmlformats.org/officeDocument/2006/relationships" ref="AB142" display="https://www.utoulouse.fr/medias/fichier/2026-02-ca-075_1774430647495-pdf" r:id="rId328"/>
    <hyperlink xmlns:r="http://schemas.openxmlformats.org/officeDocument/2006/relationships" ref="AG142" display="http://www.univ-tlse3.fr/" r:id="rId329"/>
    <hyperlink xmlns:r="http://schemas.openxmlformats.org/officeDocument/2006/relationships" ref="AI142" display="Open in EEF" r:id="rId330"/>
    <hyperlink xmlns:r="http://schemas.openxmlformats.org/officeDocument/2006/relationships" ref="AG143" display="https://sciences-techniques.univ-nantes.fr/formations/masters/master-informatique" r:id="rId331"/>
    <hyperlink xmlns:r="http://schemas.openxmlformats.org/officeDocument/2006/relationships" ref="AI143" display="Open in EEF" r:id="rId332"/>
    <hyperlink xmlns:r="http://schemas.openxmlformats.org/officeDocument/2006/relationships" ref="AB144" display="https://www.univ-rouen.fr/actualites/application-des-droits-dinscription-differencies-a-luniversite-de-rouen-normandie-a-compter-de-la-rentree-universitaire-2026-2027/" r:id="rId333"/>
    <hyperlink xmlns:r="http://schemas.openxmlformats.org/officeDocument/2006/relationships" ref="AG144" display="http://sciences-techniques.univ-rouen.fr/" r:id="rId334"/>
    <hyperlink xmlns:r="http://schemas.openxmlformats.org/officeDocument/2006/relationships" ref="AI144" display="Open in EEF" r:id="rId335"/>
    <hyperlink xmlns:r="http://schemas.openxmlformats.org/officeDocument/2006/relationships" ref="AG145" display="http://www.ensea.fr" r:id="rId336"/>
    <hyperlink xmlns:r="http://schemas.openxmlformats.org/officeDocument/2006/relationships" ref="AI145" display="Open in EEF" r:id="rId337"/>
    <hyperlink xmlns:r="http://schemas.openxmlformats.org/officeDocument/2006/relationships" ref="AG146" display="http://www.ensea.fr" r:id="rId338"/>
    <hyperlink xmlns:r="http://schemas.openxmlformats.org/officeDocument/2006/relationships" ref="AI146" display="Open in EEF" r:id="rId339"/>
    <hyperlink xmlns:r="http://schemas.openxmlformats.org/officeDocument/2006/relationships" ref="AI147" display="Open in EEF" r:id="rId340"/>
    <hyperlink xmlns:r="http://schemas.openxmlformats.org/officeDocument/2006/relationships" ref="AG148" display="http://www.itiibretagne.fr" r:id="rId341"/>
    <hyperlink xmlns:r="http://schemas.openxmlformats.org/officeDocument/2006/relationships" ref="AI148" display="Open in EEF" r:id="rId342"/>
    <hyperlink xmlns:r="http://schemas.openxmlformats.org/officeDocument/2006/relationships" ref="AG149" display="http://www.itii-iledefrance.fr:8080/article.php3?id_article=1" r:id="rId343"/>
    <hyperlink xmlns:r="http://schemas.openxmlformats.org/officeDocument/2006/relationships" ref="AI149" display="Open in EEF" r:id="rId344"/>
    <hyperlink xmlns:r="http://schemas.openxmlformats.org/officeDocument/2006/relationships" ref="AG150" display="http://www.itii-paca.com" r:id="rId345"/>
    <hyperlink xmlns:r="http://schemas.openxmlformats.org/officeDocument/2006/relationships" ref="AI150" display="Open in EEF" r:id="rId346"/>
    <hyperlink xmlns:r="http://schemas.openxmlformats.org/officeDocument/2006/relationships" ref="AG151" display="http://www.itii-pdl.com" r:id="rId347"/>
    <hyperlink xmlns:r="http://schemas.openxmlformats.org/officeDocument/2006/relationships" ref="AI151" display="Open in EEF" r:id="rId348"/>
    <hyperlink xmlns:r="http://schemas.openxmlformats.org/officeDocument/2006/relationships" ref="AG152" display="http://www.itii-iledefrance.fr:8080/article.php3?id_article=1" r:id="rId349"/>
    <hyperlink xmlns:r="http://schemas.openxmlformats.org/officeDocument/2006/relationships" ref="AI152" display="Open in EEF" r:id="rId350"/>
    <hyperlink xmlns:r="http://schemas.openxmlformats.org/officeDocument/2006/relationships" ref="AG153" display="http://www.itii-lyon.fr" r:id="rId351"/>
    <hyperlink xmlns:r="http://schemas.openxmlformats.org/officeDocument/2006/relationships" ref="AI153" display="Open in EEF" r:id="rId352"/>
    <hyperlink xmlns:r="http://schemas.openxmlformats.org/officeDocument/2006/relationships" ref="AG154" display="http://www.itii-pdl.com" r:id="rId353"/>
    <hyperlink xmlns:r="http://schemas.openxmlformats.org/officeDocument/2006/relationships" ref="AI154" display="Open in EEF" r:id="rId354"/>
    <hyperlink xmlns:r="http://schemas.openxmlformats.org/officeDocument/2006/relationships" ref="AG155" display="http://www.ingenieurs2000.com" r:id="rId355"/>
    <hyperlink xmlns:r="http://schemas.openxmlformats.org/officeDocument/2006/relationships" ref="AI155" display="Open in EEF" r:id="rId356"/>
    <hyperlink xmlns:r="http://schemas.openxmlformats.org/officeDocument/2006/relationships" ref="AG156" display="http://www.itii-iledefrance.fr:8080/article.php3?id_article=1" r:id="rId357"/>
    <hyperlink xmlns:r="http://schemas.openxmlformats.org/officeDocument/2006/relationships" ref="AI156" display="Open in EEF" r:id="rId358"/>
    <hyperlink xmlns:r="http://schemas.openxmlformats.org/officeDocument/2006/relationships" ref="AG157" display="http://www.itii-lyon.fr" r:id="rId359"/>
    <hyperlink xmlns:r="http://schemas.openxmlformats.org/officeDocument/2006/relationships" ref="AI157" display="Open in EEF" r:id="rId360"/>
    <hyperlink xmlns:r="http://schemas.openxmlformats.org/officeDocument/2006/relationships" ref="AB158" display="https://www.unistra.fr/fr/node/8168" r:id="rId361"/>
    <hyperlink xmlns:r="http://schemas.openxmlformats.org/officeDocument/2006/relationships" ref="AG158" display="http://www.itii-alsace.fr" r:id="rId362"/>
    <hyperlink xmlns:r="http://schemas.openxmlformats.org/officeDocument/2006/relationships" ref="AI158" display="Open in EEF" r:id="rId363"/>
    <hyperlink xmlns:r="http://schemas.openxmlformats.org/officeDocument/2006/relationships" ref="AG159" display="http://www.itii-aquitaine.com" r:id="rId364"/>
    <hyperlink xmlns:r="http://schemas.openxmlformats.org/officeDocument/2006/relationships" ref="AI159" display="Open in EEF" r:id="rId365"/>
    <hyperlink xmlns:r="http://schemas.openxmlformats.org/officeDocument/2006/relationships" ref="AG160" display="http://www.cfai-aquitaine.org" r:id="rId366"/>
    <hyperlink xmlns:r="http://schemas.openxmlformats.org/officeDocument/2006/relationships" ref="AI160" display="Open in EEF" r:id="rId367"/>
    <hyperlink xmlns:r="http://schemas.openxmlformats.org/officeDocument/2006/relationships" ref="AB161" display="https://www.univ-grenoble-alpes.fr/actualites/a-la-une/actualites-universite/etudiants-internationaux-ce-que-change-le-nouveau-decret-sur-les-droits-d-inscription-a-l-uga-1775870.kjsp" r:id="rId368"/>
    <hyperlink xmlns:r="http://schemas.openxmlformats.org/officeDocument/2006/relationships" ref="AG161" display="http://www.grenoble-inp.fr" r:id="rId369"/>
    <hyperlink xmlns:r="http://schemas.openxmlformats.org/officeDocument/2006/relationships" ref="AI161" display="Open in EEF" r:id="rId370"/>
    <hyperlink xmlns:r="http://schemas.openxmlformats.org/officeDocument/2006/relationships" ref="AB162" display="https://www.univ-grenoble-alpes.fr/actualites/a-la-une/actualites-universite/etudiants-internationaux-ce-que-change-le-nouveau-decret-sur-les-droits-d-inscription-a-l-uga-1775870.kjsp" r:id="rId371"/>
    <hyperlink xmlns:r="http://schemas.openxmlformats.org/officeDocument/2006/relationships" ref="AG162" display="http://www.grenoble-inp.fr" r:id="rId372"/>
    <hyperlink xmlns:r="http://schemas.openxmlformats.org/officeDocument/2006/relationships" ref="AI162" display="Open in EEF" r:id="rId373"/>
    <hyperlink xmlns:r="http://schemas.openxmlformats.org/officeDocument/2006/relationships" ref="AG163" display="http://www.itii-franche-comte.org" r:id="rId374"/>
    <hyperlink xmlns:r="http://schemas.openxmlformats.org/officeDocument/2006/relationships" ref="AI163" display="Open in EEF" r:id="rId375"/>
    <hyperlink xmlns:r="http://schemas.openxmlformats.org/officeDocument/2006/relationships" ref="AG164" display="http://www.itiibretagne.fr" r:id="rId376"/>
    <hyperlink xmlns:r="http://schemas.openxmlformats.org/officeDocument/2006/relationships" ref="AI164" display="Open in EEF" r:id="rId377"/>
    <hyperlink xmlns:r="http://schemas.openxmlformats.org/officeDocument/2006/relationships" ref="AG165" display="http://www.itii-lorraine.fr" r:id="rId378"/>
    <hyperlink xmlns:r="http://schemas.openxmlformats.org/officeDocument/2006/relationships" ref="AI165" display="Open in EEF" r:id="rId379"/>
    <hyperlink xmlns:r="http://schemas.openxmlformats.org/officeDocument/2006/relationships" ref="AB166" display="https://www.unistra.fr/fr/node/8168" r:id="rId380"/>
    <hyperlink xmlns:r="http://schemas.openxmlformats.org/officeDocument/2006/relationships" ref="AG166" display="http://www.itii-alsace.fr" r:id="rId381"/>
    <hyperlink xmlns:r="http://schemas.openxmlformats.org/officeDocument/2006/relationships" ref="AI166" display="Open in EEF" r:id="rId382"/>
    <hyperlink xmlns:r="http://schemas.openxmlformats.org/officeDocument/2006/relationships" ref="AB167" display="https://www.unistra.fr/fr/node/8168" r:id="rId383"/>
    <hyperlink xmlns:r="http://schemas.openxmlformats.org/officeDocument/2006/relationships" ref="AG167" display="http://www.itii-alsace.fr" r:id="rId384"/>
    <hyperlink xmlns:r="http://schemas.openxmlformats.org/officeDocument/2006/relationships" ref="AI167" display="Open in EEF" r:id="rId385"/>
    <hyperlink xmlns:r="http://schemas.openxmlformats.org/officeDocument/2006/relationships" ref="AG168" display="http://sciences-tech.u-pec.fr" r:id="rId386"/>
    <hyperlink xmlns:r="http://schemas.openxmlformats.org/officeDocument/2006/relationships" ref="AI168" display="Open in EEF" r:id="rId387"/>
    <hyperlink xmlns:r="http://schemas.openxmlformats.org/officeDocument/2006/relationships" ref="AB169" display="https://observalgerie.com/2026/06/13/misc/frais-dinscription-en-france-lille-maintient-un-avantage-pour-les-etudiants-etrangers/" r:id="rId388"/>
    <hyperlink xmlns:r="http://schemas.openxmlformats.org/officeDocument/2006/relationships" ref="AG169" display="https://formation.univ-lille.fr/fr/offre-de-formation/master-lmd-XB/master-automatique-et-systemes-electriques-MG001978/energie-electrique-et-developpement-durable-electrical-engineering-for-sustainable-development-m2-MX002024.html" r:id="rId389"/>
    <hyperlink xmlns:r="http://schemas.openxmlformats.org/officeDocument/2006/relationships" ref="AI169" display="Open in EEF" r:id="rId390"/>
    <hyperlink xmlns:r="http://schemas.openxmlformats.org/officeDocument/2006/relationships" ref="AB170" display="https://www.unistra.fr/fr/node/8168" r:id="rId391"/>
    <hyperlink xmlns:r="http://schemas.openxmlformats.org/officeDocument/2006/relationships" ref="AG170" display="http://sciencesvie.unistra.fr/" r:id="rId392"/>
    <hyperlink xmlns:r="http://schemas.openxmlformats.org/officeDocument/2006/relationships" ref="AI170" display="Open in EEF" r:id="rId393"/>
    <hyperlink xmlns:r="http://schemas.openxmlformats.org/officeDocument/2006/relationships" ref="AB171" display="https://www.unistra.fr/fr/node/8168" r:id="rId394"/>
    <hyperlink xmlns:r="http://schemas.openxmlformats.org/officeDocument/2006/relationships" ref="AG171" display="http://sciencesvie.unistra.fr/" r:id="rId395"/>
    <hyperlink xmlns:r="http://schemas.openxmlformats.org/officeDocument/2006/relationships" ref="AI171" display="Open in EEF" r:id="rId396"/>
    <hyperlink xmlns:r="http://schemas.openxmlformats.org/officeDocument/2006/relationships" ref="AG172" display="http://sciences-tech.u-pec.fr" r:id="rId397"/>
    <hyperlink xmlns:r="http://schemas.openxmlformats.org/officeDocument/2006/relationships" ref="AI172" display="Open in EEF" r:id="rId398"/>
    <hyperlink xmlns:r="http://schemas.openxmlformats.org/officeDocument/2006/relationships" ref="AB173" display="https://www.unistra.fr/fr/node/8168" r:id="rId399"/>
    <hyperlink xmlns:r="http://schemas.openxmlformats.org/officeDocument/2006/relationships" ref="AG173" display="http://sciencesvie.unistra.fr/" r:id="rId400"/>
    <hyperlink xmlns:r="http://schemas.openxmlformats.org/officeDocument/2006/relationships" ref="AI173" display="Open in EEF" r:id="rId401"/>
    <hyperlink xmlns:r="http://schemas.openxmlformats.org/officeDocument/2006/relationships" ref="AG174" display="https://idmc.univ-lorraine.fr/idmc-master-degree-in-natural-language-processing/" r:id="rId402"/>
    <hyperlink xmlns:r="http://schemas.openxmlformats.org/officeDocument/2006/relationships" ref="AI174" display="Open in EEF" r:id="rId403"/>
    <hyperlink xmlns:r="http://schemas.openxmlformats.org/officeDocument/2006/relationships" ref="AB175" display="https://observalgerie.com/2026/06/13/misc/frais-dinscription-en-france-lille-maintient-un-avantage-pour-les-etudiants-etrangers/" r:id="rId404"/>
    <hyperlink xmlns:r="http://schemas.openxmlformats.org/officeDocument/2006/relationships" ref="AG175" display="https://formation.univ-lille.fr/fr/offre-de-formation/master-lmd-XB/master-physique-fondamentale-et-applications-MG001988/quantum-and-photonic-technologies-m1-m2-MX195427.html" r:id="rId405"/>
    <hyperlink xmlns:r="http://schemas.openxmlformats.org/officeDocument/2006/relationships" ref="AI175" display="Open in EEF" r:id="rId406"/>
    <hyperlink xmlns:r="http://schemas.openxmlformats.org/officeDocument/2006/relationships" ref="AB176" display="https://www.univ-lyon1.fr/formation/inscription-et-scolarite/etudiantes-et-etudiants-internationaux-droits-dinscription-differencies-et-exonerations" r:id="rId407"/>
    <hyperlink xmlns:r="http://schemas.openxmlformats.org/officeDocument/2006/relationships" ref="AG176" display="https://ufr-biosciences.univ-lyon1.fr" r:id="rId408"/>
    <hyperlink xmlns:r="http://schemas.openxmlformats.org/officeDocument/2006/relationships" ref="AI176" display="Open in EEF" r:id="rId409"/>
    <hyperlink xmlns:r="http://schemas.openxmlformats.org/officeDocument/2006/relationships" ref="AG177" display="https://eeap.cnam.fr" r:id="rId410"/>
    <hyperlink xmlns:r="http://schemas.openxmlformats.org/officeDocument/2006/relationships" ref="AI177" display="Open in EEF" r:id="rId411"/>
    <hyperlink xmlns:r="http://schemas.openxmlformats.org/officeDocument/2006/relationships" ref="AB178" display="https://observalgerie.com/2026/06/13/misc/frais-dinscription-en-france-lille-maintient-un-avantage-pour-les-etudiants-etrangers/" r:id="rId412"/>
    <hyperlink xmlns:r="http://schemas.openxmlformats.org/officeDocument/2006/relationships" ref="AG178" display="https://www.univ-lille.fr/formations/fr-00002031" r:id="rId413"/>
    <hyperlink xmlns:r="http://schemas.openxmlformats.org/officeDocument/2006/relationships" ref="AI178" display="Open in EEF" r:id="rId414"/>
    <hyperlink xmlns:r="http://schemas.openxmlformats.org/officeDocument/2006/relationships" ref="AG179" display="https://www.ec-lyon.fr/formation/international-master-nanoscale-engineering" r:id="rId415"/>
    <hyperlink xmlns:r="http://schemas.openxmlformats.org/officeDocument/2006/relationships" ref="AI179" display="Open in EEF" r:id="rId416"/>
    <hyperlink xmlns:r="http://schemas.openxmlformats.org/officeDocument/2006/relationships" ref="AG180" display="https://www.ec-lyon.fr/formation/international-master-nanoscale-engineering" r:id="rId417"/>
    <hyperlink xmlns:r="http://schemas.openxmlformats.org/officeDocument/2006/relationships" ref="AI180" display="Open in EEF" r:id="rId418"/>
    <hyperlink xmlns:r="http://schemas.openxmlformats.org/officeDocument/2006/relationships" ref="AB181" display="https://www.univ-grenoble-alpes.fr/actualites/a-la-une/actualites-universite/etudiants-internationaux-ce-que-change-le-nouveau-decret-sur-les-droits-d-inscription-a-l-uga-1775870.kjsp" r:id="rId419"/>
    <hyperlink xmlns:r="http://schemas.openxmlformats.org/officeDocument/2006/relationships" ref="AG181" display="https://ense3.grenoble-inp.fr/en/study-at-ense3/masters-in-english" r:id="rId420"/>
    <hyperlink xmlns:r="http://schemas.openxmlformats.org/officeDocument/2006/relationships" ref="AI181" display="Open in EEF" r:id="rId421"/>
    <hyperlink xmlns:r="http://schemas.openxmlformats.org/officeDocument/2006/relationships" ref="AG182" display="https://www.erasmus-mundus.emimep.eu/" r:id="rId422"/>
    <hyperlink xmlns:r="http://schemas.openxmlformats.org/officeDocument/2006/relationships" ref="AI182" display="Open in EEF" r:id="rId423"/>
    <hyperlink xmlns:r="http://schemas.openxmlformats.org/officeDocument/2006/relationships" ref="AB183" display="https://www.umlp.fr/sites/default/files/2026-07-02-page-droits-differencies-vf.pdf" r:id="rId424"/>
    <hyperlink xmlns:r="http://schemas.openxmlformats.org/officeDocument/2006/relationships" ref="AG183" location="/program/3551" display="https://taughtie.campusfrance.org/tiesearch/#/program/3551" r:id="rId425"/>
    <hyperlink xmlns:r="http://schemas.openxmlformats.org/officeDocument/2006/relationships" ref="AI183" display="Open in EEF" r:id="rId426"/>
    <hyperlink xmlns:r="http://schemas.openxmlformats.org/officeDocument/2006/relationships" ref="AB184" display="https://www.univ-amu.fr/fr/actualites/aix-marseille-universite-mobilise-pleinement-capacite-dexoneration-continuer-accueillir" r:id="rId427"/>
    <hyperlink xmlns:r="http://schemas.openxmlformats.org/officeDocument/2006/relationships" ref="AG184" display="https://formations.univ-amu.fr/fr/master/5SNN/PRSNN5C3" r:id="rId428"/>
    <hyperlink xmlns:r="http://schemas.openxmlformats.org/officeDocument/2006/relationships" ref="AI184" display="Open in EEF" r:id="rId429"/>
    <hyperlink xmlns:r="http://schemas.openxmlformats.org/officeDocument/2006/relationships" ref="AB185" display="https://www.umontpellier.fr/en/international/etudier-a-letranger/etudiants-internationaux-annee-universitaire-2026-2027/" r:id="rId430"/>
    <hyperlink xmlns:r="http://schemas.openxmlformats.org/officeDocument/2006/relationships" ref="AG185" display="https://idil.edu.umontpellier.fr/" r:id="rId431"/>
    <hyperlink xmlns:r="http://schemas.openxmlformats.org/officeDocument/2006/relationships" ref="AI185" display="Open in EEF" r:id="rId432"/>
    <hyperlink xmlns:r="http://schemas.openxmlformats.org/officeDocument/2006/relationships" ref="AB186" display="https://www.umontpellier.fr/en/international/etudier-a-letranger/etudiants-internationaux-annee-universitaire-2026-2027/" r:id="rId433"/>
    <hyperlink xmlns:r="http://schemas.openxmlformats.org/officeDocument/2006/relationships" ref="AG186" display="https://idil.edu.umontpellier.fr/" r:id="rId434"/>
    <hyperlink xmlns:r="http://schemas.openxmlformats.org/officeDocument/2006/relationships" ref="AI186" display="Open in EEF" r:id="rId435"/>
    <hyperlink xmlns:r="http://schemas.openxmlformats.org/officeDocument/2006/relationships" ref="AG187" display="http://www.polytech.univ-smb.fr/en/programs/masters/advanced-mechatronics.html" r:id="rId436"/>
    <hyperlink xmlns:r="http://schemas.openxmlformats.org/officeDocument/2006/relationships" ref="AI187" display="Open in EEF" r:id="rId437"/>
    <hyperlink xmlns:r="http://schemas.openxmlformats.org/officeDocument/2006/relationships" ref="AI188" display="Open in EEF" r:id="rId438"/>
    <hyperlink xmlns:r="http://schemas.openxmlformats.org/officeDocument/2006/relationships" ref="AB189" display="https://www.umlp.fr/sites/default/files/2026-07-02-page-droits-differencies-vf.pdf" r:id="rId439"/>
    <hyperlink xmlns:r="http://schemas.openxmlformats.org/officeDocument/2006/relationships" ref="AG189" location="/program/3549" display="https://taughtie.campusfrance.org/tiesearch/#/program/3549" r:id="rId440"/>
    <hyperlink xmlns:r="http://schemas.openxmlformats.org/officeDocument/2006/relationships" ref="AI189" display="Open in EEF" r:id="rId441"/>
    <hyperlink xmlns:r="http://schemas.openxmlformats.org/officeDocument/2006/relationships" ref="AG190" display="https://www.ubfc.fr/en/masters/master-ppn/" r:id="rId442"/>
    <hyperlink xmlns:r="http://schemas.openxmlformats.org/officeDocument/2006/relationships" ref="AI190" display="Open in EEF" r:id="rId443"/>
    <hyperlink xmlns:r="http://schemas.openxmlformats.org/officeDocument/2006/relationships" ref="AB191" display="https://www.univ-grenoble-alpes.fr/actualites/a-la-une/actualites-universite/etudiants-internationaux-ce-que-change-le-nouveau-decret-sur-les-droits-d-inscription-a-l-uga-1775870.kjsp" r:id="rId444"/>
    <hyperlink xmlns:r="http://schemas.openxmlformats.org/officeDocument/2006/relationships" ref="AG191" display="https://formations.univ-grenoble-alpes.fr/fr/catalogue-2021/master-XB/master-electronique-energie-electrique-automatique-IFZ3DRB9/parcours-electrical-engineering-and-control-systems-1ere-annee-KVQSSM5S.html" r:id="rId445"/>
    <hyperlink xmlns:r="http://schemas.openxmlformats.org/officeDocument/2006/relationships" ref="AI191" display="Open in EEF" r:id="rId446"/>
    <hyperlink xmlns:r="http://schemas.openxmlformats.org/officeDocument/2006/relationships" ref="AB192" display="https://www.univ-grenoble-alpes.fr/actualites/a-la-une/actualites-universite/etudiants-internationaux-ce-que-change-le-nouveau-decret-sur-les-droits-d-inscription-a-l-uga-1775870.kjsp" r:id="rId447"/>
    <hyperlink xmlns:r="http://schemas.openxmlformats.org/officeDocument/2006/relationships" ref="AG192" display="https://ense3.grenoble-inp.fr/en/study-at-ense3/masters-in-english" r:id="rId448"/>
    <hyperlink xmlns:r="http://schemas.openxmlformats.org/officeDocument/2006/relationships" ref="AI192" display="Open in EEF" r:id="rId449"/>
    <hyperlink xmlns:r="http://schemas.openxmlformats.org/officeDocument/2006/relationships" ref="AB193" display="https://www.umontpellier.fr/en/international/etudier-a-letranger/etudiants-internationaux-annee-universitaire-2026-2027/" r:id="rId450"/>
    <hyperlink xmlns:r="http://schemas.openxmlformats.org/officeDocument/2006/relationships" ref="AG193" display="http://www.eea.univ-montp2.fr/?-Robotique-Automatique-" r:id="rId451"/>
    <hyperlink xmlns:r="http://schemas.openxmlformats.org/officeDocument/2006/relationships" ref="AI193" display="Open in EEF" r:id="rId452"/>
    <hyperlink xmlns:r="http://schemas.openxmlformats.org/officeDocument/2006/relationships" ref="AB194" display="https://www.univ-grenoble-alpes.fr/actualites/a-la-une/actualites-universite/etudiants-internationaux-ce-que-change-le-nouveau-decret-sur-les-droits-d-inscription-a-l-uga-1775870.kjsp" r:id="rId453"/>
    <hyperlink xmlns:r="http://schemas.openxmlformats.org/officeDocument/2006/relationships" ref="AG194" display="https://formations.univ-grenoble-alpes.fr/fr/catalogue-2021/master-XB/master-nanosciences-et-nanotechnologies-IAQK78RT/parcours-nanophysics-quantum-physics-1re-annee-KLQGAWF7.html" r:id="rId454"/>
    <hyperlink xmlns:r="http://schemas.openxmlformats.org/officeDocument/2006/relationships" ref="AI194" display="Open in EEF" r:id="rId455"/>
    <hyperlink xmlns:r="http://schemas.openxmlformats.org/officeDocument/2006/relationships" ref="AB195" display="https://www.univ-grenoble-alpes.fr/actualites/a-la-une/actualites-universite/etudiants-internationaux-ce-que-change-le-nouveau-decret-sur-les-droits-d-inscription-a-l-uga-1775870.kjsp" r:id="rId456"/>
    <hyperlink xmlns:r="http://schemas.openxmlformats.org/officeDocument/2006/relationships" ref="AG195" display="https://formations.univ-grenoble-alpes.fr/fr/catalogue-2021/master-XB/master-nanosciences-et-nanotechnologies-IAQK78RT/parcours-physics-of-complex-matter-parcours-international-1re-annee-IATOD7FB.html" r:id="rId457"/>
    <hyperlink xmlns:r="http://schemas.openxmlformats.org/officeDocument/2006/relationships" ref="AI195" display="Open in EEF" r:id="rId458"/>
    <hyperlink xmlns:r="http://schemas.openxmlformats.org/officeDocument/2006/relationships" ref="AB196" display="https://www.univ-grenoble-alpes.fr/actualites/a-la-une/actualites-universite/etudiants-internationaux-ce-que-change-le-nouveau-decret-sur-les-droits-d-inscription-a-l-uga-1775870.kjsp" r:id="rId459"/>
    <hyperlink xmlns:r="http://schemas.openxmlformats.org/officeDocument/2006/relationships" ref="AG196" location="page-presentation" display="https://phelma.grenoble-inp.fr/fr/formation/master-nanosciences-and-nanotechnologies-parcours-nanomedicine-and-structural-biology#page-presentation" r:id="rId460"/>
    <hyperlink xmlns:r="http://schemas.openxmlformats.org/officeDocument/2006/relationships" ref="AI196" display="Open in EEF" r:id="rId461"/>
    <hyperlink xmlns:r="http://schemas.openxmlformats.org/officeDocument/2006/relationships" ref="AG197" location="/details-formation?type=formation&amp;id=131" display="https://formations.u-bordeaux.fr/#/details-formation?type=formation&amp;id=131" r:id="rId462"/>
    <hyperlink xmlns:r="http://schemas.openxmlformats.org/officeDocument/2006/relationships" ref="AI197" display="Open in EEF" r:id="rId463"/>
    <hyperlink xmlns:r="http://schemas.openxmlformats.org/officeDocument/2006/relationships" ref="AG198" display="https://life.univ-cotedazur.fr/international/erasmus-mundus-joint-master-membiomed" r:id="rId464"/>
    <hyperlink xmlns:r="http://schemas.openxmlformats.org/officeDocument/2006/relationships" ref="AI198" display="Open in EEF" r:id="rId465"/>
    <hyperlink xmlns:r="http://schemas.openxmlformats.org/officeDocument/2006/relationships" ref="AB199" display="https://www.univ-amu.fr/fr/actualites/aix-marseille-universite-mobilise-pleinement-capacite-dexoneration-continuer-accueillir" r:id="rId466"/>
    <hyperlink xmlns:r="http://schemas.openxmlformats.org/officeDocument/2006/relationships" ref="AG199" display="https://formations.univ-amu.fr/fr/master/5SNN/PRSNN5C3" r:id="rId467"/>
    <hyperlink xmlns:r="http://schemas.openxmlformats.org/officeDocument/2006/relationships" ref="AI199" display="Open in EEF" r:id="rId468"/>
    <hyperlink xmlns:r="http://schemas.openxmlformats.org/officeDocument/2006/relationships" ref="AB200" display="https://www.univ-amu.fr/fr/actualites/aix-marseille-universite-mobilise-pleinement-capacite-dexoneration-continuer-accueillir" r:id="rId469"/>
    <hyperlink xmlns:r="http://schemas.openxmlformats.org/officeDocument/2006/relationships" ref="AG200" display="https://formations.univ-amu.fr/fr/master/5SNE" r:id="rId470"/>
    <hyperlink xmlns:r="http://schemas.openxmlformats.org/officeDocument/2006/relationships" ref="AI200" display="Open in EEF" r:id="rId471"/>
    <hyperlink xmlns:r="http://schemas.openxmlformats.org/officeDocument/2006/relationships" ref="AB201" display="https://www.univ-amu.fr/fr/actualites/aix-marseille-universite-mobilise-pleinement-capacite-dexoneration-continuer-accueillir" r:id="rId472"/>
    <hyperlink xmlns:r="http://schemas.openxmlformats.org/officeDocument/2006/relationships" ref="AG201" display="https://formations.univ-amu.fr/fr/master/5SPF/PRSPF5C4" r:id="rId473"/>
    <hyperlink xmlns:r="http://schemas.openxmlformats.org/officeDocument/2006/relationships" ref="AI201" display="Open in EEF" r:id="rId474"/>
    <hyperlink xmlns:r="http://schemas.openxmlformats.org/officeDocument/2006/relationships" ref="AB202" display="https://www.umontpellier.fr/en/international/etudier-a-letranger/etudiants-internationaux-annee-universitaire-2026-2027/" r:id="rId475"/>
    <hyperlink xmlns:r="http://schemas.openxmlformats.org/officeDocument/2006/relationships" ref="AG202" display="https://idil.edu.umontpellier.fr/" r:id="rId476"/>
    <hyperlink xmlns:r="http://schemas.openxmlformats.org/officeDocument/2006/relationships" ref="AI202" display="Open in EEF" r:id="rId477"/>
    <hyperlink xmlns:r="http://schemas.openxmlformats.org/officeDocument/2006/relationships" ref="AB203" display="https://www.umontpellier.fr/en/international/etudier-a-letranger/etudiants-internationaux-annee-universitaire-2026-2027/" r:id="rId478"/>
    <hyperlink xmlns:r="http://schemas.openxmlformats.org/officeDocument/2006/relationships" ref="AG203" display="https://idil.edu.umontpellier.fr/" r:id="rId479"/>
    <hyperlink xmlns:r="http://schemas.openxmlformats.org/officeDocument/2006/relationships" ref="AI203" display="Open in EEF" r:id="rId480"/>
    <hyperlink xmlns:r="http://schemas.openxmlformats.org/officeDocument/2006/relationships" ref="AB204" display="https://u-paris.fr/droits-dinscription-tarifs-exonerations/" r:id="rId481"/>
    <hyperlink xmlns:r="http://schemas.openxmlformats.org/officeDocument/2006/relationships" ref="AG204" display="https://odf.u-paris.fr/fr/offre-de-formation/master-XB/sciences-technologies-sante-STS/sciences-cognitives-K5CBPO1E.html" r:id="rId482"/>
    <hyperlink xmlns:r="http://schemas.openxmlformats.org/officeDocument/2006/relationships" ref="AI204" display="Open in EEF" r:id="rId483"/>
    <hyperlink xmlns:r="http://schemas.openxmlformats.org/officeDocument/2006/relationships" ref="AB205" display="https://www.sorbonne-universite.fr/actualites/le-conseil-dadministration-de-sorbonne-universite-vote-lunanimite-le-7-juillet-2026-sa" r:id="rId484"/>
    <hyperlink xmlns:r="http://schemas.openxmlformats.org/officeDocument/2006/relationships" ref="AG205" display="https://sciences.sorbonne-universite.fr/formation-sciences/offre-de-formation/masters/master-sciences-cognitives" r:id="rId485"/>
    <hyperlink xmlns:r="http://schemas.openxmlformats.org/officeDocument/2006/relationships" ref="AI205" display="Open in EEF" r:id="rId486"/>
    <hyperlink xmlns:r="http://schemas.openxmlformats.org/officeDocument/2006/relationships" ref="AB206" display="https://u-paris.fr/droits-dinscription-tarifs-exonerations/" r:id="rId487"/>
    <hyperlink xmlns:r="http://schemas.openxmlformats.org/officeDocument/2006/relationships" ref="AG206" display="https://odf.u-paris.fr/fr/offre-de-formation/master-XB/sciences-technologies-sante-STS/sciences-cognitives-K5CBPO1E.html" r:id="rId488"/>
    <hyperlink xmlns:r="http://schemas.openxmlformats.org/officeDocument/2006/relationships" ref="AI206" display="Open in EEF" r:id="rId489"/>
    <hyperlink xmlns:r="http://schemas.openxmlformats.org/officeDocument/2006/relationships" ref="AB207" display="https://www.sorbonne-universite.fr/actualites/le-conseil-dadministration-de-sorbonne-universite-vote-lunanimite-le-7-juillet-2026-sa" r:id="rId490"/>
    <hyperlink xmlns:r="http://schemas.openxmlformats.org/officeDocument/2006/relationships" ref="AG207" display="https://sciences.sorbonne-universite.fr/formation-sciences/offre-de-formation/masters/master-sciences-cognitives" r:id="rId491"/>
    <hyperlink xmlns:r="http://schemas.openxmlformats.org/officeDocument/2006/relationships" ref="AI207" display="Open in EEF" r:id="rId492"/>
    <hyperlink xmlns:r="http://schemas.openxmlformats.org/officeDocument/2006/relationships" ref="AB208" display="https://www.univ-amu.fr/fr/actualites/aix-marseille-universite-mobilise-pleinement-capacite-dexoneration-continuer-accueillir" r:id="rId493"/>
    <hyperlink xmlns:r="http://schemas.openxmlformats.org/officeDocument/2006/relationships" ref="AG208" display="https://formations.univ-amu.fr/fr/master/5SPF/PRSPF5C4" r:id="rId494"/>
    <hyperlink xmlns:r="http://schemas.openxmlformats.org/officeDocument/2006/relationships" ref="AI208" display="Open in EEF" r:id="rId495"/>
    <hyperlink xmlns:r="http://schemas.openxmlformats.org/officeDocument/2006/relationships" ref="AG209" display="https://odf.univ-spn.fr/fr/offre-de-formation/master-lmd-XB/master-mention-biologie-sante-parcours-therapies-et-technologie-du-vivant-BI4TPH_117.html" r:id="rId496"/>
    <hyperlink xmlns:r="http://schemas.openxmlformats.org/officeDocument/2006/relationships" ref="AI209" display="Open in EEF" r:id="rId497"/>
    <hyperlink xmlns:r="http://schemas.openxmlformats.org/officeDocument/2006/relationships" ref="AG210" display="https://www.unilim.fr/gradschool-ceramics-ict/" r:id="rId498"/>
    <hyperlink xmlns:r="http://schemas.openxmlformats.org/officeDocument/2006/relationships" ref="AI210" display="Open in EEF" r:id="rId499"/>
    <hyperlink xmlns:r="http://schemas.openxmlformats.org/officeDocument/2006/relationships" ref="AG211" display="https://www.unilim.fr/gradschool-ceramics-ict/" r:id="rId500"/>
    <hyperlink xmlns:r="http://schemas.openxmlformats.org/officeDocument/2006/relationships" ref="AI211" display="Open in EEF" r:id="rId501"/>
    <hyperlink xmlns:r="http://schemas.openxmlformats.org/officeDocument/2006/relationships" ref="AG212" display="https://formations.univ-rennes.fr/" r:id="rId502"/>
    <hyperlink xmlns:r="http://schemas.openxmlformats.org/officeDocument/2006/relationships" ref="AI212" display="Open in EEF" r:id="rId503"/>
    <hyperlink xmlns:r="http://schemas.openxmlformats.org/officeDocument/2006/relationships" ref="AG213" display="https://formations.univ-rennes.fr/" r:id="rId504"/>
    <hyperlink xmlns:r="http://schemas.openxmlformats.org/officeDocument/2006/relationships" ref="AI213" display="Open in EEF" r:id="rId505"/>
    <hyperlink xmlns:r="http://schemas.openxmlformats.org/officeDocument/2006/relationships" ref="AB214" display="https://www.unistra.fr/fr/node/8168" r:id="rId506"/>
    <hyperlink xmlns:r="http://schemas.openxmlformats.org/officeDocument/2006/relationships" ref="AI214" display="Open in EEF" r:id="rId507"/>
    <hyperlink xmlns:r="http://schemas.openxmlformats.org/officeDocument/2006/relationships" ref="AB215" display="https://www.unistra.fr/fr/node/8168" r:id="rId508"/>
    <hyperlink xmlns:r="http://schemas.openxmlformats.org/officeDocument/2006/relationships" ref="AG215" display="http://sciencesvie.unistra.fr/" r:id="rId509"/>
    <hyperlink xmlns:r="http://schemas.openxmlformats.org/officeDocument/2006/relationships" ref="AI215" display="Open in EEF" r:id="rId510"/>
    <hyperlink xmlns:r="http://schemas.openxmlformats.org/officeDocument/2006/relationships" ref="AG216" display="https://www.utc.fr/formations/diplome-de-master/mention-ingenierie-des-systemes-complexes-isc/parcours-automatique-et-robotique-des-systemes-intelligents-ars/" r:id="rId511"/>
    <hyperlink xmlns:r="http://schemas.openxmlformats.org/officeDocument/2006/relationships" ref="AI216" display="Open in EEF" r:id="rId512"/>
    <hyperlink xmlns:r="http://schemas.openxmlformats.org/officeDocument/2006/relationships" ref="AG217" display="https://www.utc.fr/formations/diplome-de-master/mention-ingenierie-des-systemes-complexes-isc/parcours-systemes-mecatroniques-smt/" r:id="rId513"/>
    <hyperlink xmlns:r="http://schemas.openxmlformats.org/officeDocument/2006/relationships" ref="AI217" display="Open in EEF" r:id="rId514"/>
    <hyperlink xmlns:r="http://schemas.openxmlformats.org/officeDocument/2006/relationships" ref="AB218" display="https://www.sorbonne-universite.fr/actualites/le-conseil-dadministration-de-sorbonne-universite-vote-lunanimite-le-7-juillet-2026-sa" r:id="rId515"/>
    <hyperlink xmlns:r="http://schemas.openxmlformats.org/officeDocument/2006/relationships" ref="AG218" display="https://masters-sdi.sorbonne-universite.fr/electronique-energie-electrique-automatique" r:id="rId516"/>
    <hyperlink xmlns:r="http://schemas.openxmlformats.org/officeDocument/2006/relationships" ref="AI218" display="Open in EEF" r:id="rId517"/>
    <hyperlink xmlns:r="http://schemas.openxmlformats.org/officeDocument/2006/relationships" ref="AB219" display="https://www.sorbonne-universite.fr/actualites/le-conseil-dadministration-de-sorbonne-universite-vote-lunanimite-le-7-juillet-2026-sa" r:id="rId518"/>
    <hyperlink xmlns:r="http://schemas.openxmlformats.org/officeDocument/2006/relationships" ref="AG219" display="https://masters-sdi.sorbonne-universite.fr/electronique-energie-electrique-automatique" r:id="rId519"/>
    <hyperlink xmlns:r="http://schemas.openxmlformats.org/officeDocument/2006/relationships" ref="AI219" display="Open in EEF" r:id="rId520"/>
    <hyperlink xmlns:r="http://schemas.openxmlformats.org/officeDocument/2006/relationships" ref="AB220" display="https://www.umlp.fr/sites/default/files/2026-07-02-page-droits-differencies-vf.pdf" r:id="rId521"/>
    <hyperlink xmlns:r="http://schemas.openxmlformats.org/officeDocument/2006/relationships" ref="AG220" display="https://stgi.umlp.fr/" r:id="rId522"/>
    <hyperlink xmlns:r="http://schemas.openxmlformats.org/officeDocument/2006/relationships" ref="AI220" display="Open in EEF" r:id="rId523"/>
    <hyperlink xmlns:r="http://schemas.openxmlformats.org/officeDocument/2006/relationships" ref="AG221" display="http://www.enseeiht.fr/fr/formation/masters-internationaux-masters-of-science/ees-electrical-energy-systems.html" r:id="rId524"/>
    <hyperlink xmlns:r="http://schemas.openxmlformats.org/officeDocument/2006/relationships" ref="AI221" display="Open in EEF" r:id="rId525"/>
    <hyperlink xmlns:r="http://schemas.openxmlformats.org/officeDocument/2006/relationships" ref="AB222" display="https://www.sorbonne-universite.fr/actualites/le-conseil-dadministration-de-sorbonne-universite-vote-lunanimite-le-7-juillet-2026-sa" r:id="rId526"/>
    <hyperlink xmlns:r="http://schemas.openxmlformats.org/officeDocument/2006/relationships" ref="AG222" display="https://sciences.sorbonne-universite.fr/formation-sciences/offre-de-formation/masters/master-informatique/parcours-ima" r:id="rId527"/>
    <hyperlink xmlns:r="http://schemas.openxmlformats.org/officeDocument/2006/relationships" ref="AI222" display="Open in EEF" r:id="rId528"/>
    <hyperlink xmlns:r="http://schemas.openxmlformats.org/officeDocument/2006/relationships" ref="AB223" display="https://u-paris.fr/droits-dinscription-tarifs-exonerations/" r:id="rId529"/>
    <hyperlink xmlns:r="http://schemas.openxmlformats.org/officeDocument/2006/relationships" ref="AG223" display="https://odf.u-paris.fr/fr/offre-de-formation/master-XB/sciences-technologies-sante-STS/neurosciences-K2NDMRJL.html" r:id="rId530"/>
    <hyperlink xmlns:r="http://schemas.openxmlformats.org/officeDocument/2006/relationships" ref="AI223" display="Open in EEF" r:id="rId531"/>
    <hyperlink xmlns:r="http://schemas.openxmlformats.org/officeDocument/2006/relationships" ref="AB224" display="https://www.umlp.fr/sites/default/files/2026-07-02-page-droits-differencies-vf.pdf" r:id="rId532"/>
    <hyperlink xmlns:r="http://schemas.openxmlformats.org/officeDocument/2006/relationships" ref="AG224" display="https://stgi.umlp.fr/" r:id="rId533"/>
    <hyperlink xmlns:r="http://schemas.openxmlformats.org/officeDocument/2006/relationships" ref="AI224" display="Open in EEF" r:id="rId534"/>
    <hyperlink xmlns:r="http://schemas.openxmlformats.org/officeDocument/2006/relationships" ref="AG225" display="https://www.univ-reims.fr/ufrsciences" r:id="rId535"/>
    <hyperlink xmlns:r="http://schemas.openxmlformats.org/officeDocument/2006/relationships" ref="AI225" display="Open in EEF" r:id="rId536"/>
    <hyperlink xmlns:r="http://schemas.openxmlformats.org/officeDocument/2006/relationships" ref="AI226" display="Open in EEF" r:id="rId537"/>
    <hyperlink xmlns:r="http://schemas.openxmlformats.org/officeDocument/2006/relationships" ref="AG227" display="https://istic.univ-rennes.fr/master-2-eeea-parcours-signal-vision-ondes-systemes-sivos" r:id="rId538"/>
    <hyperlink xmlns:r="http://schemas.openxmlformats.org/officeDocument/2006/relationships" ref="AI227" display="Open in EEF" r:id="rId539"/>
    <hyperlink xmlns:r="http://schemas.openxmlformats.org/officeDocument/2006/relationships" ref="AG228" display="http://www.univ-brest.fr/ufr-sciences" r:id="rId540"/>
    <hyperlink xmlns:r="http://schemas.openxmlformats.org/officeDocument/2006/relationships" ref="AI228" display="Open in EEF" r:id="rId541"/>
    <hyperlink xmlns:r="http://schemas.openxmlformats.org/officeDocument/2006/relationships" ref="AG229" display="http://scifa.univ-lorraine.fr/" r:id="rId542"/>
    <hyperlink xmlns:r="http://schemas.openxmlformats.org/officeDocument/2006/relationships" ref="AI229" display="Open in EEF" r:id="rId543"/>
    <hyperlink xmlns:r="http://schemas.openxmlformats.org/officeDocument/2006/relationships" ref="AG230" display="http://scifa.univ-lorraine.fr/" r:id="rId544"/>
    <hyperlink xmlns:r="http://schemas.openxmlformats.org/officeDocument/2006/relationships" ref="AI230" display="Open in EEF" r:id="rId545"/>
    <hyperlink xmlns:r="http://schemas.openxmlformats.org/officeDocument/2006/relationships" ref="AG231" display="http://scifa.univ-lorraine.fr/" r:id="rId546"/>
    <hyperlink xmlns:r="http://schemas.openxmlformats.org/officeDocument/2006/relationships" ref="AI231" display="Open in EEF" r:id="rId547"/>
    <hyperlink xmlns:r="http://schemas.openxmlformats.org/officeDocument/2006/relationships" ref="AG232" display="https://ufr-st.univ-lehavre.fr" r:id="rId548"/>
    <hyperlink xmlns:r="http://schemas.openxmlformats.org/officeDocument/2006/relationships" ref="AI232" display="Open in EEF" r:id="rId549"/>
    <hyperlink xmlns:r="http://schemas.openxmlformats.org/officeDocument/2006/relationships" ref="AG233" display="https://iut-roanne.univ-st-etienne.fr/fr/formations/master-XB/master-XB/master-electronique-energie-electrique-automatique-parcours-traitement-de-l-information-et-instrumentation-pour-l-ingenieur-5_14_07_0003_FR.html" r:id="rId550"/>
    <hyperlink xmlns:r="http://schemas.openxmlformats.org/officeDocument/2006/relationships" ref="AI233" display="Open in EEF" r:id="rId551"/>
    <hyperlink xmlns:r="http://schemas.openxmlformats.org/officeDocument/2006/relationships" ref="AG234" display="https://ufr-st.univ-lehavre.fr" r:id="rId552"/>
    <hyperlink xmlns:r="http://schemas.openxmlformats.org/officeDocument/2006/relationships" ref="AI234" display="Open in EEF" r:id="rId553"/>
    <hyperlink xmlns:r="http://schemas.openxmlformats.org/officeDocument/2006/relationships" ref="AG235" display="https://sciences.u-picardie.fr/accueil-ufr-sciences" r:id="rId554"/>
    <hyperlink xmlns:r="http://schemas.openxmlformats.org/officeDocument/2006/relationships" ref="AI235" display="Open in EEF" r:id="rId555"/>
    <hyperlink xmlns:r="http://schemas.openxmlformats.org/officeDocument/2006/relationships" ref="AG236" display="https://sciences.u-picardie.fr/accueil-ufr-sciences" r:id="rId556"/>
    <hyperlink xmlns:r="http://schemas.openxmlformats.org/officeDocument/2006/relationships" ref="AI236" display="Open in EEF" r:id="rId557"/>
    <hyperlink xmlns:r="http://schemas.openxmlformats.org/officeDocument/2006/relationships" ref="AG237" display="https://sciences.u-picardie.fr/accueil-ufr-sciences" r:id="rId558"/>
    <hyperlink xmlns:r="http://schemas.openxmlformats.org/officeDocument/2006/relationships" ref="AI237" display="Open in EEF" r:id="rId559"/>
    <hyperlink xmlns:r="http://schemas.openxmlformats.org/officeDocument/2006/relationships" ref="AG238" display="https://sfa.univ-poitiers.fr/formation/offre-de-formation-sciences-technologies-sante/" r:id="rId560"/>
    <hyperlink xmlns:r="http://schemas.openxmlformats.org/officeDocument/2006/relationships" ref="AI238" display="Open in EEF" r:id="rId561"/>
    <hyperlink xmlns:r="http://schemas.openxmlformats.org/officeDocument/2006/relationships" ref="AB239" display="https://www.unistra.fr/fr/node/8168" r:id="rId562"/>
    <hyperlink xmlns:r="http://schemas.openxmlformats.org/officeDocument/2006/relationships" ref="AG239" display="http://mathinfo.unistra.fr" r:id="rId563"/>
    <hyperlink xmlns:r="http://schemas.openxmlformats.org/officeDocument/2006/relationships" ref="AI239" display="Open in EEF" r:id="rId564"/>
    <hyperlink xmlns:r="http://schemas.openxmlformats.org/officeDocument/2006/relationships" ref="AG240" display="http://www.sciences.unilim.fr/" r:id="rId565"/>
    <hyperlink xmlns:r="http://schemas.openxmlformats.org/officeDocument/2006/relationships" ref="AI240" display="Open in EEF" r:id="rId566"/>
    <hyperlink xmlns:r="http://schemas.openxmlformats.org/officeDocument/2006/relationships" ref="AG241" display="http://www.univ-brest.fr/ufr-sciences" r:id="rId567"/>
    <hyperlink xmlns:r="http://schemas.openxmlformats.org/officeDocument/2006/relationships" ref="AI241" display="Open in EEF" r:id="rId568"/>
    <hyperlink xmlns:r="http://schemas.openxmlformats.org/officeDocument/2006/relationships" ref="AG242" display="https://formations.univ-tln.fr/fr/offre-de-formation/master-XB/master-ingenierie-des-systemes-complexes-LO8RGPP1/master-ingenierie-des-systemes-complexes-parcours-vision-signal-trajectographie-et-automatique-LPZS1DK9.html" r:id="rId569"/>
    <hyperlink xmlns:r="http://schemas.openxmlformats.org/officeDocument/2006/relationships" ref="AI242" display="Open in EEF" r:id="rId570"/>
    <hyperlink xmlns:r="http://schemas.openxmlformats.org/officeDocument/2006/relationships" ref="AG243" display="https://fst.univ-lorraine.fr/formations/" r:id="rId571"/>
    <hyperlink xmlns:r="http://schemas.openxmlformats.org/officeDocument/2006/relationships" ref="AI243" display="Open in EEF" r:id="rId572"/>
    <hyperlink xmlns:r="http://schemas.openxmlformats.org/officeDocument/2006/relationships" ref="AI244" display="Open in EEF" r:id="rId573"/>
    <hyperlink xmlns:r="http://schemas.openxmlformats.org/officeDocument/2006/relationships" ref="AG245" display="http://www-galilee.univ-paris13.fr/" r:id="rId574"/>
    <hyperlink xmlns:r="http://schemas.openxmlformats.org/officeDocument/2006/relationships" ref="AI245" display="Open in EEF" r:id="rId575"/>
    <hyperlink xmlns:r="http://schemas.openxmlformats.org/officeDocument/2006/relationships" ref="AI246" display="Open in EEF" r:id="rId576"/>
    <hyperlink xmlns:r="http://schemas.openxmlformats.org/officeDocument/2006/relationships" ref="AB247" display="https://www.unistra.fr/fr/node/8168" r:id="rId577"/>
    <hyperlink xmlns:r="http://schemas.openxmlformats.org/officeDocument/2006/relationships" ref="AG247" display="http://www.physique-ingenierie.unistra.fr/" r:id="rId578"/>
    <hyperlink xmlns:r="http://schemas.openxmlformats.org/officeDocument/2006/relationships" ref="AI247" display="Open in EEF" r:id="rId579"/>
    <hyperlink xmlns:r="http://schemas.openxmlformats.org/officeDocument/2006/relationships" ref="AG248" display="https://www.univ-orleans.fr/fr/sciences-techniques/formation/physique" r:id="rId580"/>
    <hyperlink xmlns:r="http://schemas.openxmlformats.org/officeDocument/2006/relationships" ref="AI248" display="Open in EEF" r:id="rId581"/>
    <hyperlink xmlns:r="http://schemas.openxmlformats.org/officeDocument/2006/relationships" ref="AG249" display="https://www.univ-angers.fr/fr/acces-directs/facultes-et-instituts/faculte-des-sciences.html" r:id="rId582"/>
    <hyperlink xmlns:r="http://schemas.openxmlformats.org/officeDocument/2006/relationships" ref="AI249" display="Open in EEF" r:id="rId583"/>
    <hyperlink xmlns:r="http://schemas.openxmlformats.org/officeDocument/2006/relationships" ref="AB250" display="https://www.unistra.fr/fr/node/8168" r:id="rId584"/>
    <hyperlink xmlns:r="http://schemas.openxmlformats.org/officeDocument/2006/relationships" ref="AG250" display="http://www.physique-ingenierie.unistra.fr/" r:id="rId585"/>
    <hyperlink xmlns:r="http://schemas.openxmlformats.org/officeDocument/2006/relationships" ref="AI250" display="Open in EEF" r:id="rId586"/>
    <hyperlink xmlns:r="http://schemas.openxmlformats.org/officeDocument/2006/relationships" ref="AG251" display="https://www.insa-hautsdefrance.fr/sites/default/files/media/2024-10/master_cdsi.pdf" r:id="rId587"/>
    <hyperlink xmlns:r="http://schemas.openxmlformats.org/officeDocument/2006/relationships" ref="AI251" display="Open in EEF" r:id="rId588"/>
    <hyperlink xmlns:r="http://schemas.openxmlformats.org/officeDocument/2006/relationships" ref="AG252" display="http://www.univ-brest.fr/ufr-sciences" r:id="rId589"/>
    <hyperlink xmlns:r="http://schemas.openxmlformats.org/officeDocument/2006/relationships" ref="AI252" display="Open in EEF" r:id="rId590"/>
    <hyperlink xmlns:r="http://schemas.openxmlformats.org/officeDocument/2006/relationships" ref="AG253" display="https://sciences-techniques.univ-nantes.fr/" r:id="rId591"/>
    <hyperlink xmlns:r="http://schemas.openxmlformats.org/officeDocument/2006/relationships" ref="AI253" display="Open in EEF" r:id="rId592"/>
    <hyperlink xmlns:r="http://schemas.openxmlformats.org/officeDocument/2006/relationships" ref="AG254" display="https://www.univ-reims.fr/eisine/" r:id="rId593"/>
    <hyperlink xmlns:r="http://schemas.openxmlformats.org/officeDocument/2006/relationships" ref="AI254" display="Open in EEF" r:id="rId594"/>
    <hyperlink xmlns:r="http://schemas.openxmlformats.org/officeDocument/2006/relationships" ref="AB255" display="https://www.univ-rouen.fr/actualites/application-des-droits-dinscription-differencies-a-luniversite-de-rouen-normandie-a-compter-de-la-rentree-universitaire-2026-2027/" r:id="rId595"/>
    <hyperlink xmlns:r="http://schemas.openxmlformats.org/officeDocument/2006/relationships" ref="AG255" display="https://sciences-techniques.univ-rouen.fr/" r:id="rId596"/>
    <hyperlink xmlns:r="http://schemas.openxmlformats.org/officeDocument/2006/relationships" ref="AI255" display="Open in EEF" r:id="rId597"/>
    <hyperlink xmlns:r="http://schemas.openxmlformats.org/officeDocument/2006/relationships" ref="AG256" display="http://ufr-phillia.parisnanterre.fr" r:id="rId598"/>
    <hyperlink xmlns:r="http://schemas.openxmlformats.org/officeDocument/2006/relationships" ref="AI256" display="Open in EEF" r:id="rId599"/>
    <hyperlink xmlns:r="http://schemas.openxmlformats.org/officeDocument/2006/relationships" ref="AB257" display="https://observalgerie.com/2026/06/13/misc/frais-dinscription-en-france-lille-maintient-un-avantage-pour-les-etudiants-etrangers/" r:id="rId600"/>
    <hyperlink xmlns:r="http://schemas.openxmlformats.org/officeDocument/2006/relationships" ref="AG257" display="https://formation.univ-lille.fr/fr/offre-de-formation/master-lmd-XB/master-automatique-et-systemes-electriques-MG001978/automatique-et-systemes-electriques-m1-tronc-commun-MX002023.html" r:id="rId601"/>
    <hyperlink xmlns:r="http://schemas.openxmlformats.org/officeDocument/2006/relationships" ref="AI257" display="Open in EEF" r:id="rId602"/>
    <hyperlink xmlns:r="http://schemas.openxmlformats.org/officeDocument/2006/relationships" ref="AB258" display="https://www.univ-lyon1.fr/formation/inscription-et-scolarite/etudiantes-et-etudiants-internationaux-droits-dinscription-differencies-et-exonerations" r:id="rId603"/>
    <hyperlink xmlns:r="http://schemas.openxmlformats.org/officeDocument/2006/relationships" ref="AG258" display="http://fst-meca.univ-lyon1.fr/" r:id="rId604"/>
    <hyperlink xmlns:r="http://schemas.openxmlformats.org/officeDocument/2006/relationships" ref="AI258" display="Open in EEF" r:id="rId605"/>
    <hyperlink xmlns:r="http://schemas.openxmlformats.org/officeDocument/2006/relationships" ref="AG259" display="https://www.univ-orleans.fr/fr/polytech/formations/les-autres-formations-de-lecole/master-mars" r:id="rId606"/>
    <hyperlink xmlns:r="http://schemas.openxmlformats.org/officeDocument/2006/relationships" ref="AI259" display="Open in EEF" r:id="rId607"/>
    <hyperlink xmlns:r="http://schemas.openxmlformats.org/officeDocument/2006/relationships" ref="AG260" display="http://www.fsa.univ-artois.fr/les-fiches-formations" r:id="rId608"/>
    <hyperlink xmlns:r="http://schemas.openxmlformats.org/officeDocument/2006/relationships" ref="AI260" display="Open in EEF" r:id="rId609"/>
    <hyperlink xmlns:r="http://schemas.openxmlformats.org/officeDocument/2006/relationships" ref="AG261" display="https://fst.univ-lorraine.fr/formations/" r:id="rId610"/>
    <hyperlink xmlns:r="http://schemas.openxmlformats.org/officeDocument/2006/relationships" ref="AI261" display="Open in EEF" r:id="rId611"/>
    <hyperlink xmlns:r="http://schemas.openxmlformats.org/officeDocument/2006/relationships" ref="AG262" display="http://www.univ-brest.fr/ufr-sciences" r:id="rId612"/>
    <hyperlink xmlns:r="http://schemas.openxmlformats.org/officeDocument/2006/relationships" ref="AI262" display="Open in EEF" r:id="rId613"/>
    <hyperlink xmlns:r="http://schemas.openxmlformats.org/officeDocument/2006/relationships" ref="AG263" display="https://www.insset.u-picardie.fr/" r:id="rId614"/>
    <hyperlink xmlns:r="http://schemas.openxmlformats.org/officeDocument/2006/relationships" ref="AI263" display="Open in EEF" r:id="rId615"/>
    <hyperlink xmlns:r="http://schemas.openxmlformats.org/officeDocument/2006/relationships" ref="AG264" display="https://www.utbm.fr/formations/masters" r:id="rId616"/>
    <hyperlink xmlns:r="http://schemas.openxmlformats.org/officeDocument/2006/relationships" ref="AI264" display="Open in EEF" r:id="rId617"/>
    <hyperlink xmlns:r="http://schemas.openxmlformats.org/officeDocument/2006/relationships" ref="AG265" display="https://galilee.univ-paris13.fr/master/master-ingenierie-innovation-images-reseaux-m3ir/" r:id="rId618"/>
    <hyperlink xmlns:r="http://schemas.openxmlformats.org/officeDocument/2006/relationships" ref="AI265" display="Open in EEF" r:id="rId619"/>
    <hyperlink xmlns:r="http://schemas.openxmlformats.org/officeDocument/2006/relationships" ref="AB266" display="https://www.unistra.fr/fr/node/8168" r:id="rId620"/>
    <hyperlink xmlns:r="http://schemas.openxmlformats.org/officeDocument/2006/relationships" ref="AG266" display="https://www.master-iriv.fr" r:id="rId621"/>
    <hyperlink xmlns:r="http://schemas.openxmlformats.org/officeDocument/2006/relationships" ref="AI266" display="Open in EEF" r:id="rId622"/>
    <hyperlink xmlns:r="http://schemas.openxmlformats.org/officeDocument/2006/relationships" ref="AI267" display="Open in EEF" r:id="rId623"/>
    <hyperlink xmlns:r="http://schemas.openxmlformats.org/officeDocument/2006/relationships" ref="AG268" display="https://www.univ-littoral.fr/" r:id="rId624"/>
    <hyperlink xmlns:r="http://schemas.openxmlformats.org/officeDocument/2006/relationships" ref="AI268" display="Open in EEF" r:id="rId625"/>
    <hyperlink xmlns:r="http://schemas.openxmlformats.org/officeDocument/2006/relationships" ref="AG269" display="https://www.inalco.fr/" r:id="rId626"/>
    <hyperlink xmlns:r="http://schemas.openxmlformats.org/officeDocument/2006/relationships" ref="AI269" display="Open in EEF" r:id="rId627"/>
    <hyperlink xmlns:r="http://schemas.openxmlformats.org/officeDocument/2006/relationships" ref="AG270" display="http://sciences-techniques.u-bourgogne.fr" r:id="rId628"/>
    <hyperlink xmlns:r="http://schemas.openxmlformats.org/officeDocument/2006/relationships" ref="AI270" display="Open in EEF" r:id="rId629"/>
    <hyperlink xmlns:r="http://schemas.openxmlformats.org/officeDocument/2006/relationships" ref="AB271" display="https://www.umlp.fr/sites/default/files/2026-07-02-page-droits-differencies-vf.pdf" r:id="rId630"/>
    <hyperlink xmlns:r="http://schemas.openxmlformats.org/officeDocument/2006/relationships" ref="AG271" display="https://formations.univ-fcomte.fr/fr/index/formations/feuilleter-le-catalogue/master-lmd-XB/master-biologie-sante-M3PNGH7Y/master-biologie-sante-signalisation-cellulaire-et-moleculaire-M3PNHB5T.html" r:id="rId631"/>
    <hyperlink xmlns:r="http://schemas.openxmlformats.org/officeDocument/2006/relationships" ref="AI271" display="Open in EEF" r:id="rId632"/>
    <hyperlink xmlns:r="http://schemas.openxmlformats.org/officeDocument/2006/relationships" ref="AB272" display="https://www.univ-amu.fr/fr/actualites/aix-marseille-universite-mobilise-pleinement-capacite-dexoneration-continuer-accueillir" r:id="rId633"/>
    <hyperlink xmlns:r="http://schemas.openxmlformats.org/officeDocument/2006/relationships" ref="AG272" display="https://formations.univ-amu.fr/fr/master/5SEA/PRSEA5C1" r:id="rId634"/>
    <hyperlink xmlns:r="http://schemas.openxmlformats.org/officeDocument/2006/relationships" ref="AI272" display="Open in EEF" r:id="rId635"/>
    <hyperlink xmlns:r="http://schemas.openxmlformats.org/officeDocument/2006/relationships" ref="AB273" display="https://www.uca.fr/medias/fichier/delib-ca-20251205-15-tarifs-differencies_1765204050111-pdf" r:id="rId636"/>
    <hyperlink xmlns:r="http://schemas.openxmlformats.org/officeDocument/2006/relationships" ref="AG273" display="https://eupi.uca.fr/" r:id="rId637"/>
    <hyperlink xmlns:r="http://schemas.openxmlformats.org/officeDocument/2006/relationships" ref="AI273" display="Open in EEF" r:id="rId638"/>
    <hyperlink xmlns:r="http://schemas.openxmlformats.org/officeDocument/2006/relationships" ref="AB274" display="https://www.uca.fr/medias/fichier/delib-ca-20251205-15-tarifs-differencies_1765204050111-pdf" r:id="rId639"/>
    <hyperlink xmlns:r="http://schemas.openxmlformats.org/officeDocument/2006/relationships" ref="AG274" display="https://eupi.uca.fr/" r:id="rId640"/>
    <hyperlink xmlns:r="http://schemas.openxmlformats.org/officeDocument/2006/relationships" ref="AI274" display="Open in EEF" r:id="rId641"/>
    <hyperlink xmlns:r="http://schemas.openxmlformats.org/officeDocument/2006/relationships" ref="AB275" display="https://www.univ-tours.fr/international/etudes-stages-a-tours/droits-dinscription-differencies-pour-les-etudiants-extra-communautaires-2026-2027" r:id="rId642"/>
    <hyperlink xmlns:r="http://schemas.openxmlformats.org/officeDocument/2006/relationships" ref="AI275" display="Open in EEF" r:id="rId643"/>
    <hyperlink xmlns:r="http://schemas.openxmlformats.org/officeDocument/2006/relationships" ref="AB276" display="https://www.umontpellier.fr/en/international/etudier-a-letranger/etudiants-internationaux-annee-universitaire-2026-2027/" r:id="rId644"/>
    <hyperlink xmlns:r="http://schemas.openxmlformats.org/officeDocument/2006/relationships" ref="AG276" display="https://formations.umontpellier.fr/fr/formations/master-XB/master-biologie-sante-KJMN3CNB/neuroprotheses-sensorielles-et-motrices-KJMOP5GH.html" r:id="rId645"/>
    <hyperlink xmlns:r="http://schemas.openxmlformats.org/officeDocument/2006/relationships" ref="AI276" display="Open in EEF" r:id="rId646"/>
    <hyperlink xmlns:r="http://schemas.openxmlformats.org/officeDocument/2006/relationships" ref="AB277" display="https://www.uca.fr/medias/fichier/delib-ca-20251205-15-tarifs-differencies_1765204050111-pdf" r:id="rId647"/>
    <hyperlink xmlns:r="http://schemas.openxmlformats.org/officeDocument/2006/relationships" ref="AG277" display="https://eupi.uca.fr/" r:id="rId648"/>
    <hyperlink xmlns:r="http://schemas.openxmlformats.org/officeDocument/2006/relationships" ref="AI277" display="Open in EEF" r:id="rId649"/>
    <hyperlink xmlns:r="http://schemas.openxmlformats.org/officeDocument/2006/relationships" ref="AB278" display="https://www.univ-grenoble-alpes.fr/actualites/a-la-une/actualites-universite/etudiants-internationaux-ce-que-change-le-nouveau-decret-sur-les-droits-d-inscription-a-l-uga-1775870.kjsp" r:id="rId650"/>
    <hyperlink xmlns:r="http://schemas.openxmlformats.org/officeDocument/2006/relationships" ref="AG278" display="https://formations.univ-grenoble-alpes.fr/fr/catalogue-2021/master-XB/master-electronique-energie-electrique-automatique-IFZ3DRB9/parcours-conception-des-systemes-d-energie-electrique-csee-1re-et-2e-annees-IFZ42B5H.html" r:id="rId651"/>
    <hyperlink xmlns:r="http://schemas.openxmlformats.org/officeDocument/2006/relationships" ref="AI278" display="Open in EEF" r:id="rId652"/>
    <hyperlink xmlns:r="http://schemas.openxmlformats.org/officeDocument/2006/relationships" ref="AB279" display="https://www.umontpellier.fr/en/international/etudier-a-letranger/etudiants-internationaux-annee-universitaire-2026-2027/" r:id="rId653"/>
    <hyperlink xmlns:r="http://schemas.openxmlformats.org/officeDocument/2006/relationships" ref="AG279" display="http://sciences.edu.umontpellier.fr/" r:id="rId654"/>
    <hyperlink xmlns:r="http://schemas.openxmlformats.org/officeDocument/2006/relationships" ref="AI279" display="Open in EEF" r:id="rId655"/>
    <hyperlink xmlns:r="http://schemas.openxmlformats.org/officeDocument/2006/relationships" ref="AB280" display="https://www.umontpellier.fr/en/international/etudier-a-letranger/etudiants-internationaux-annee-universitaire-2026-2027/" r:id="rId656"/>
    <hyperlink xmlns:r="http://schemas.openxmlformats.org/officeDocument/2006/relationships" ref="AG280" display="https://hermes.edu.umontpellier.fr/enseignement/" r:id="rId657"/>
    <hyperlink xmlns:r="http://schemas.openxmlformats.org/officeDocument/2006/relationships" ref="AI280" display="Open in EEF" r:id="rId658"/>
    <hyperlink xmlns:r="http://schemas.openxmlformats.org/officeDocument/2006/relationships" ref="AG281" display="https://univ-cotedazur.fr/formation/offre-de-formation/master-electronique-energie-electrique-automatique" r:id="rId659"/>
    <hyperlink xmlns:r="http://schemas.openxmlformats.org/officeDocument/2006/relationships" ref="AI281" display="Open in EEF" r:id="rId660"/>
    <hyperlink xmlns:r="http://schemas.openxmlformats.org/officeDocument/2006/relationships" ref="AB282" display="https://www.utoulouse.fr/medias/fichier/2026-02-ca-075_1774430647495-pdf" r:id="rId661"/>
    <hyperlink xmlns:r="http://schemas.openxmlformats.org/officeDocument/2006/relationships" ref="AG282" display="http://www.univ-tlse3.fr/" r:id="rId662"/>
    <hyperlink xmlns:r="http://schemas.openxmlformats.org/officeDocument/2006/relationships" ref="AI282" display="Open in EEF" r:id="rId663"/>
    <hyperlink xmlns:r="http://schemas.openxmlformats.org/officeDocument/2006/relationships" ref="AB283" display="https://www.utoulouse.fr/medias/fichier/2026-02-ca-075_1774430647495-pdf" r:id="rId664"/>
    <hyperlink xmlns:r="http://schemas.openxmlformats.org/officeDocument/2006/relationships" ref="AG283" display="http://www.univ-tlse3.fr/" r:id="rId665"/>
    <hyperlink xmlns:r="http://schemas.openxmlformats.org/officeDocument/2006/relationships" ref="AI283" display="Open in EEF" r:id="rId666"/>
    <hyperlink xmlns:r="http://schemas.openxmlformats.org/officeDocument/2006/relationships" ref="AB284" display="https://www.sorbonne-universite.fr/actualites/le-conseil-dadministration-de-sorbonne-universite-vote-lunanimite-le-7-juillet-2026-sa" r:id="rId667"/>
    <hyperlink xmlns:r="http://schemas.openxmlformats.org/officeDocument/2006/relationships" ref="AG284" display="https://sciences.sorbonne-universite.fr/formation-sciences/offre-de-formation/masters/master-informatique/parcours-res" r:id="rId668"/>
    <hyperlink xmlns:r="http://schemas.openxmlformats.org/officeDocument/2006/relationships" ref="AI284" display="Open in EEF" r:id="rId669"/>
    <hyperlink xmlns:r="http://schemas.openxmlformats.org/officeDocument/2006/relationships" ref="AB285" display="https://www.sorbonne-universite.fr/actualites/le-conseil-dadministration-de-sorbonne-universite-vote-lunanimite-le-7-juillet-2026-sa" r:id="rId670"/>
    <hyperlink xmlns:r="http://schemas.openxmlformats.org/officeDocument/2006/relationships" ref="AG285" display="https://sciences.sorbonne-universite.fr/formation-sciences/masters/master-informatique/parcours-sesi" r:id="rId671"/>
    <hyperlink xmlns:r="http://schemas.openxmlformats.org/officeDocument/2006/relationships" ref="AI285" display="Open in EEF" r:id="rId672"/>
    <hyperlink xmlns:r="http://schemas.openxmlformats.org/officeDocument/2006/relationships" ref="AB286" display="https://www.univ-grenoble-alpes.fr/actualites/a-la-une/actualites-universite/etudiants-internationaux-ce-que-change-le-nouveau-decret-sur-les-droits-d-inscription-a-l-uga-1775870.kjsp" r:id="rId673"/>
    <hyperlink xmlns:r="http://schemas.openxmlformats.org/officeDocument/2006/relationships" ref="AG286" display="https://formations.univ-grenoble-alpes.fr/fr/catalogue-2021/master-XB/master-mecanique-IAQK579W/parcours-simulation-et-instrumentation-en-mecanique-1re-et-2e-annees-IAS8R70F.html" r:id="rId674"/>
    <hyperlink xmlns:r="http://schemas.openxmlformats.org/officeDocument/2006/relationships" ref="AI286" display="Open in EEF" r:id="rId675"/>
    <hyperlink xmlns:r="http://schemas.openxmlformats.org/officeDocument/2006/relationships" ref="AB287" display="https://www.umontpellier.fr/en/international/etudier-a-letranger/etudiants-internationaux-annee-universitaire-2026-2027/" r:id="rId676"/>
    <hyperlink xmlns:r="http://schemas.openxmlformats.org/officeDocument/2006/relationships" ref="AG287" display="http://www.fdsweb.univ-montp2.fr/etudier-a-la-fds/catalogue-de-formation-675" r:id="rId677"/>
    <hyperlink xmlns:r="http://schemas.openxmlformats.org/officeDocument/2006/relationships" ref="AI287" display="Open in EEF" r:id="rId678"/>
    <hyperlink xmlns:r="http://schemas.openxmlformats.org/officeDocument/2006/relationships" ref="AB288" display="https://www.univ-amu.fr/fr/actualites/aix-marseille-universite-mobilise-pleinement-capacite-dexoneration-continuer-accueillir" r:id="rId679"/>
    <hyperlink xmlns:r="http://schemas.openxmlformats.org/officeDocument/2006/relationships" ref="AG288" display="https://formations.univ-amu.fr/fr/master/5SEA" r:id="rId680"/>
    <hyperlink xmlns:r="http://schemas.openxmlformats.org/officeDocument/2006/relationships" ref="AI288" display="Open in EEF" r:id="rId681"/>
    <hyperlink xmlns:r="http://schemas.openxmlformats.org/officeDocument/2006/relationships" ref="AB289" display="https://www.univ-amu.fr/fr/actualites/aix-marseille-universite-mobilise-pleinement-capacite-dexoneration-continuer-accueillir" r:id="rId682"/>
    <hyperlink xmlns:r="http://schemas.openxmlformats.org/officeDocument/2006/relationships" ref="AG289" display="https://formations.univ-amu.fr/fr/master/5SMI" r:id="rId683"/>
    <hyperlink xmlns:r="http://schemas.openxmlformats.org/officeDocument/2006/relationships" ref="AI289" display="Open in EEF" r:id="rId684"/>
    <hyperlink xmlns:r="http://schemas.openxmlformats.org/officeDocument/2006/relationships" ref="AB290" display="https://www.univ-amu.fr/fr/actualites/aix-marseille-universite-mobilise-pleinement-capacite-dexoneration-continuer-accueillir" r:id="rId685"/>
    <hyperlink xmlns:r="http://schemas.openxmlformats.org/officeDocument/2006/relationships" ref="AG290" display="https://formations.univ-amu.fr/fr/master/5SNN/PRSNN5C2" r:id="rId686"/>
    <hyperlink xmlns:r="http://schemas.openxmlformats.org/officeDocument/2006/relationships" ref="AI290" display="Open in EEF" r:id="rId687"/>
    <hyperlink xmlns:r="http://schemas.openxmlformats.org/officeDocument/2006/relationships" ref="AB291" display="https://www.univ-amu.fr/fr/actualites/aix-marseille-universite-mobilise-pleinement-capacite-dexoneration-continuer-accueillir" r:id="rId688"/>
    <hyperlink xmlns:r="http://schemas.openxmlformats.org/officeDocument/2006/relationships" ref="AG291" display="https://formations.univ-amu.fr/fr/master/5SRT" r:id="rId689"/>
    <hyperlink xmlns:r="http://schemas.openxmlformats.org/officeDocument/2006/relationships" ref="AI291" display="Open in EEF" r:id="rId690"/>
    <hyperlink xmlns:r="http://schemas.openxmlformats.org/officeDocument/2006/relationships" ref="AB292" display="https://www.univ-amu.fr/fr/actualites/aix-marseille-universite-mobilise-pleinement-capacite-dexoneration-continuer-accueillir" r:id="rId691"/>
    <hyperlink xmlns:r="http://schemas.openxmlformats.org/officeDocument/2006/relationships" ref="AG292" display="https://formations.univ-amu.fr/fr/master/5STS" r:id="rId692"/>
    <hyperlink xmlns:r="http://schemas.openxmlformats.org/officeDocument/2006/relationships" ref="AI292" display="Open in EEF" r:id="rId693"/>
    <hyperlink xmlns:r="http://schemas.openxmlformats.org/officeDocument/2006/relationships" ref="AB293" display="https://www.sorbonne-universite.fr/actualites/le-conseil-dadministration-de-sorbonne-universite-vote-lunanimite-le-7-juillet-2026-sa" r:id="rId694"/>
    <hyperlink xmlns:r="http://schemas.openxmlformats.org/officeDocument/2006/relationships" ref="AG293" display="https://masters-sdi.sorbonne-universite.fr/automatique-robotique" r:id="rId695"/>
    <hyperlink xmlns:r="http://schemas.openxmlformats.org/officeDocument/2006/relationships" ref="AI293" display="Open in EEF" r:id="rId696"/>
    <hyperlink xmlns:r="http://schemas.openxmlformats.org/officeDocument/2006/relationships" ref="AB294" display="https://www.uca.fr/medias/fichier/delib-ca-20251205-15-tarifs-differencies_1765204050111-pdf" r:id="rId697"/>
    <hyperlink xmlns:r="http://schemas.openxmlformats.org/officeDocument/2006/relationships" ref="AG294" display="https://eupi.uca.fr/" r:id="rId698"/>
    <hyperlink xmlns:r="http://schemas.openxmlformats.org/officeDocument/2006/relationships" ref="AI294" display="Open in EEF" r:id="rId699"/>
    <hyperlink xmlns:r="http://schemas.openxmlformats.org/officeDocument/2006/relationships" ref="AI295" display="Open in EEF" r:id="rId700"/>
    <hyperlink xmlns:r="http://schemas.openxmlformats.org/officeDocument/2006/relationships" ref="AG296" display="https://igm.univ-gustave-eiffel.fr/" r:id="rId701"/>
    <hyperlink xmlns:r="http://schemas.openxmlformats.org/officeDocument/2006/relationships" ref="AI296" display="Open in EEF" r:id="rId702"/>
    <hyperlink xmlns:r="http://schemas.openxmlformats.org/officeDocument/2006/relationships" ref="AG297" display="http://www.fst.uha.fr" r:id="rId703"/>
    <hyperlink xmlns:r="http://schemas.openxmlformats.org/officeDocument/2006/relationships" ref="AI297" display="Open in EEF" r:id="rId704"/>
    <hyperlink xmlns:r="http://schemas.openxmlformats.org/officeDocument/2006/relationships" ref="AB298" display="https://u-paris.fr/droits-dinscription-tarifs-exonerations/" r:id="rId705"/>
    <hyperlink xmlns:r="http://schemas.openxmlformats.org/officeDocument/2006/relationships" ref="AG298" display="https://math-info.u-paris.fr/" r:id="rId706"/>
    <hyperlink xmlns:r="http://schemas.openxmlformats.org/officeDocument/2006/relationships" ref="AI298" display="Open in EEF" r:id="rId707"/>
    <hyperlink xmlns:r="http://schemas.openxmlformats.org/officeDocument/2006/relationships" ref="AB299" display="https://www.sorbonne-universite.fr/actualites/le-conseil-dadministration-de-sorbonne-universite-vote-lunanimite-le-7-juillet-2026-sa" r:id="rId708"/>
    <hyperlink xmlns:r="http://schemas.openxmlformats.org/officeDocument/2006/relationships" ref="AG299" display="https://sciences.sorbonne-universite.fr/formation-sciences/offre-de-formation/masters/master-neurosciences" r:id="rId709"/>
    <hyperlink xmlns:r="http://schemas.openxmlformats.org/officeDocument/2006/relationships" ref="AI299" display="Open in EEF" r:id="rId710"/>
    <hyperlink xmlns:r="http://schemas.openxmlformats.org/officeDocument/2006/relationships" ref="AI300" display="Open in EEF" r:id="rId711"/>
    <hyperlink xmlns:r="http://schemas.openxmlformats.org/officeDocument/2006/relationships" ref="AI301" display="Open in EEF" r:id="rId712"/>
    <hyperlink xmlns:r="http://schemas.openxmlformats.org/officeDocument/2006/relationships" ref="AG302" display="https://univ-cotedazur.fr/formation/offre-de-formation/master-physique-fondamentale-et-applications" r:id="rId713"/>
    <hyperlink xmlns:r="http://schemas.openxmlformats.org/officeDocument/2006/relationships" ref="AI302" display="Open in EEF" r:id="rId714"/>
    <hyperlink xmlns:r="http://schemas.openxmlformats.org/officeDocument/2006/relationships" ref="AG303" display="http://www.ensea.fr" r:id="rId715"/>
    <hyperlink xmlns:r="http://schemas.openxmlformats.org/officeDocument/2006/relationships" ref="AI303" display="Open in EEF" r:id="rId716"/>
    <hyperlink xmlns:r="http://schemas.openxmlformats.org/officeDocument/2006/relationships" ref="AG304" display="http://www.supelec.fr" r:id="rId717"/>
    <hyperlink xmlns:r="http://schemas.openxmlformats.org/officeDocument/2006/relationships" ref="AI304" display="Open in EEF" r:id="rId718"/>
    <hyperlink xmlns:r="http://schemas.openxmlformats.org/officeDocument/2006/relationships" ref="AG305" display="http://www.ifma.fr" r:id="rId719"/>
    <hyperlink xmlns:r="http://schemas.openxmlformats.org/officeDocument/2006/relationships" ref="AI305" display="Open in EEF" r:id="rId720"/>
    <hyperlink xmlns:r="http://schemas.openxmlformats.org/officeDocument/2006/relationships" ref="AG306" display="http://www.ismin.fr" r:id="rId721"/>
    <hyperlink xmlns:r="http://schemas.openxmlformats.org/officeDocument/2006/relationships" ref="AI306" display="Open in EEF" r:id="rId722"/>
    <hyperlink xmlns:r="http://schemas.openxmlformats.org/officeDocument/2006/relationships" ref="AG307" display="http://www.polytech.upmc.fr" r:id="rId723"/>
    <hyperlink xmlns:r="http://schemas.openxmlformats.org/officeDocument/2006/relationships" ref="AI307" display="Open in EEF" r:id="rId724"/>
    <hyperlink xmlns:r="http://schemas.openxmlformats.org/officeDocument/2006/relationships" ref="AG308" display="http://www.polytech.upmc.fr" r:id="rId725"/>
    <hyperlink xmlns:r="http://schemas.openxmlformats.org/officeDocument/2006/relationships" ref="AI308" display="Open in EEF" r:id="rId726"/>
    <hyperlink xmlns:r="http://schemas.openxmlformats.org/officeDocument/2006/relationships" ref="AG309" display="http://www.eia.univ-artois.fr" r:id="rId727"/>
    <hyperlink xmlns:r="http://schemas.openxmlformats.org/officeDocument/2006/relationships" ref="AI309" display="Open in EEF" r:id="rId728"/>
    <hyperlink xmlns:r="http://schemas.openxmlformats.org/officeDocument/2006/relationships" ref="AG310" display="http://www.sup-galilee.univ-paris13.fr/" r:id="rId729"/>
    <hyperlink xmlns:r="http://schemas.openxmlformats.org/officeDocument/2006/relationships" ref="AI310" display="Open in EEF" r:id="rId730"/>
    <hyperlink xmlns:r="http://schemas.openxmlformats.org/officeDocument/2006/relationships" ref="AG311" display="http://www.insa-rennes.fr" r:id="rId731"/>
    <hyperlink xmlns:r="http://schemas.openxmlformats.org/officeDocument/2006/relationships" ref="AI311" display="Open in EEF" r:id="rId732"/>
    <hyperlink xmlns:r="http://schemas.openxmlformats.org/officeDocument/2006/relationships" ref="AG312" display="http://www.insa-rennes.fr" r:id="rId733"/>
    <hyperlink xmlns:r="http://schemas.openxmlformats.org/officeDocument/2006/relationships" ref="AI312" display="Open in EEF" r:id="rId734"/>
    <hyperlink xmlns:r="http://schemas.openxmlformats.org/officeDocument/2006/relationships" ref="AG313" display="http://www.insa-rennes.fr" r:id="rId735"/>
    <hyperlink xmlns:r="http://schemas.openxmlformats.org/officeDocument/2006/relationships" ref="AI313" display="Open in EEF" r:id="rId736"/>
    <hyperlink xmlns:r="http://schemas.openxmlformats.org/officeDocument/2006/relationships" ref="AG314" display="http://www.utt.fr" r:id="rId737"/>
    <hyperlink xmlns:r="http://schemas.openxmlformats.org/officeDocument/2006/relationships" ref="AI314" display="Open in EEF" r:id="rId738"/>
    <hyperlink xmlns:r="http://schemas.openxmlformats.org/officeDocument/2006/relationships" ref="AG315" display="http://www.ensea.fr" r:id="rId739"/>
    <hyperlink xmlns:r="http://schemas.openxmlformats.org/officeDocument/2006/relationships" ref="AI315" display="Open in EEF" r:id="rId740"/>
    <hyperlink xmlns:r="http://schemas.openxmlformats.org/officeDocument/2006/relationships" ref="AG316" display="http://www.ismin.fr" r:id="rId741"/>
    <hyperlink xmlns:r="http://schemas.openxmlformats.org/officeDocument/2006/relationships" ref="AI316" display="Open in EEF" r:id="rId742"/>
    <hyperlink xmlns:r="http://schemas.openxmlformats.org/officeDocument/2006/relationships" ref="AG317" display="http://www.ensisa.uha.fr" r:id="rId743"/>
    <hyperlink xmlns:r="http://schemas.openxmlformats.org/officeDocument/2006/relationships" ref="AI317" display="Open in EEF" r:id="rId744"/>
    <hyperlink xmlns:r="http://schemas.openxmlformats.org/officeDocument/2006/relationships" ref="AI318" display="Open in EEF" r:id="rId745"/>
    <hyperlink xmlns:r="http://schemas.openxmlformats.org/officeDocument/2006/relationships" ref="AG319" display="https://www.polytech-lille.fr/formation/instrumentation-et-ingenierie-d-affaires/" r:id="rId746"/>
    <hyperlink xmlns:r="http://schemas.openxmlformats.org/officeDocument/2006/relationships" ref="AI319" display="Open in EEF" r:id="rId747"/>
    <hyperlink xmlns:r="http://schemas.openxmlformats.org/officeDocument/2006/relationships" ref="AB320" display="https://www.univ-amu.fr/fr/actualites/aix-marseille-universite-mobilise-pleinement-capacite-dexoneration-continuer-accueillir" r:id="rId748"/>
    <hyperlink xmlns:r="http://schemas.openxmlformats.org/officeDocument/2006/relationships" ref="AG320" display="https://polytech.univ-amu.fr/fr/formations/cycle-ingenieur/microelectronique-telecommunications" r:id="rId749"/>
    <hyperlink xmlns:r="http://schemas.openxmlformats.org/officeDocument/2006/relationships" ref="AI320" display="Open in EEF" r:id="rId750"/>
    <hyperlink xmlns:r="http://schemas.openxmlformats.org/officeDocument/2006/relationships" ref="AG321" display="https://www.univ-smb.fr/polytech/" r:id="rId751"/>
    <hyperlink xmlns:r="http://schemas.openxmlformats.org/officeDocument/2006/relationships" ref="AI321" display="Open in EEF" r:id="rId752"/>
    <hyperlink xmlns:r="http://schemas.openxmlformats.org/officeDocument/2006/relationships" ref="AG322" display="https://www.univ-smb.fr/polytech/" r:id="rId753"/>
    <hyperlink xmlns:r="http://schemas.openxmlformats.org/officeDocument/2006/relationships" ref="AI322" display="Open in EEF" r:id="rId754"/>
    <hyperlink xmlns:r="http://schemas.openxmlformats.org/officeDocument/2006/relationships" ref="AG323" display="http://www.insa-rennes.fr" r:id="rId755"/>
    <hyperlink xmlns:r="http://schemas.openxmlformats.org/officeDocument/2006/relationships" ref="AI323" display="Open in EEF" r:id="rId756"/>
    <hyperlink xmlns:r="http://schemas.openxmlformats.org/officeDocument/2006/relationships" ref="AB324" display="https://www.unistra.fr/fr/node/8168" r:id="rId757"/>
    <hyperlink xmlns:r="http://schemas.openxmlformats.org/officeDocument/2006/relationships" ref="AG324" display="https://www.insa-strasbourg.fr/fr/candidats/" r:id="rId758"/>
    <hyperlink xmlns:r="http://schemas.openxmlformats.org/officeDocument/2006/relationships" ref="AI324" display="Open in EEF" r:id="rId759"/>
    <hyperlink xmlns:r="http://schemas.openxmlformats.org/officeDocument/2006/relationships" ref="AB325" display="https://www.unistra.fr/fr/node/8168" r:id="rId760"/>
    <hyperlink xmlns:r="http://schemas.openxmlformats.org/officeDocument/2006/relationships" ref="AG325" display="https://www.insa-strasbourg.fr/fr/candidats/" r:id="rId761"/>
    <hyperlink xmlns:r="http://schemas.openxmlformats.org/officeDocument/2006/relationships" ref="AI325" display="Open in EEF" r:id="rId762"/>
    <hyperlink xmlns:r="http://schemas.openxmlformats.org/officeDocument/2006/relationships" ref="AB326" display="https://www.univ-grenoble-alpes.fr/actualites/a-la-une/actualites-universite/etudiants-internationaux-ce-que-change-le-nouveau-decret-sur-les-droits-d-inscription-a-l-uga-1775870.kjsp" r:id="rId763"/>
    <hyperlink xmlns:r="http://schemas.openxmlformats.org/officeDocument/2006/relationships" ref="AG326" display="https://phelma.grenoble-inp.fr/fr/formation/admission" r:id="rId764"/>
    <hyperlink xmlns:r="http://schemas.openxmlformats.org/officeDocument/2006/relationships" ref="AI326" display="Open in EEF" r:id="rId765"/>
    <hyperlink xmlns:r="http://schemas.openxmlformats.org/officeDocument/2006/relationships" ref="AG327" display="http://www.itiibretagne.fr" r:id="rId766"/>
    <hyperlink xmlns:r="http://schemas.openxmlformats.org/officeDocument/2006/relationships" ref="AI327" display="Open in EEF" r:id="rId767"/>
    <hyperlink xmlns:r="http://schemas.openxmlformats.org/officeDocument/2006/relationships" ref="AG328" display="http://www.polytech-angers.fr" r:id="rId768"/>
    <hyperlink xmlns:r="http://schemas.openxmlformats.org/officeDocument/2006/relationships" ref="AI328" display="Open in EEF" r:id="rId769"/>
    <hyperlink xmlns:r="http://schemas.openxmlformats.org/officeDocument/2006/relationships" ref="AG329" display="https://polytech.u-bourgogne.fr/robotique-cobotique" r:id="rId770"/>
    <hyperlink xmlns:r="http://schemas.openxmlformats.org/officeDocument/2006/relationships" ref="AI329" display="Open in EEF" r:id="rId771"/>
    <hyperlink xmlns:r="http://schemas.openxmlformats.org/officeDocument/2006/relationships" ref="AG330" display="https://imt-nord-europe.fr/annuaire-formations/telecommunications-et-informatique/" r:id="rId772"/>
    <hyperlink xmlns:r="http://schemas.openxmlformats.org/officeDocument/2006/relationships" ref="AI330" display="Open in EEF" r:id="rId773"/>
    <hyperlink xmlns:r="http://schemas.openxmlformats.org/officeDocument/2006/relationships" ref="AG331" display="http://www.cnam-poitou-charentes.fr" r:id="rId774"/>
    <hyperlink xmlns:r="http://schemas.openxmlformats.org/officeDocument/2006/relationships" ref="AI331" display="Open in EEF" r:id="rId775"/>
    <hyperlink xmlns:r="http://schemas.openxmlformats.org/officeDocument/2006/relationships" ref="AI332" display="Open in EEF" r:id="rId776"/>
    <hyperlink xmlns:r="http://schemas.openxmlformats.org/officeDocument/2006/relationships" ref="AI333" display="Open in EEF" r:id="rId777"/>
    <hyperlink xmlns:r="http://schemas.openxmlformats.org/officeDocument/2006/relationships" ref="AG334" display="http://www.mines-stetienne.fr/formation-mines-saint-etienne/" r:id="rId778"/>
    <hyperlink xmlns:r="http://schemas.openxmlformats.org/officeDocument/2006/relationships" ref="AI334" display="Open in EEF" r:id="rId779"/>
    <hyperlink xmlns:r="http://schemas.openxmlformats.org/officeDocument/2006/relationships" ref="AG335" display="https://polytech.u-bourgogne.fr/electronique-systemes-numeriques" r:id="rId780"/>
    <hyperlink xmlns:r="http://schemas.openxmlformats.org/officeDocument/2006/relationships" ref="AI335" display="Open in EEF" r:id="rId781"/>
    <hyperlink xmlns:r="http://schemas.openxmlformats.org/officeDocument/2006/relationships" ref="AG336" display="http://www.ensil-ensci.unilim.fr/accueil/admissions/cycle-ingenieur/" r:id="rId782"/>
    <hyperlink xmlns:r="http://schemas.openxmlformats.org/officeDocument/2006/relationships" ref="AI336" display="Open in EEF" r:id="rId783"/>
    <hyperlink xmlns:r="http://schemas.openxmlformats.org/officeDocument/2006/relationships" ref="AG337" display="http://www.ensil-ensci.unilim.fr/accueil/admissions/cycle-ingenieur/" r:id="rId784"/>
    <hyperlink xmlns:r="http://schemas.openxmlformats.org/officeDocument/2006/relationships" ref="AI337" display="Open in EEF" r:id="rId785"/>
    <hyperlink xmlns:r="http://schemas.openxmlformats.org/officeDocument/2006/relationships" ref="AG338" display="https://www.ensil-ensci.unilim.fr/" r:id="rId786"/>
    <hyperlink xmlns:r="http://schemas.openxmlformats.org/officeDocument/2006/relationships" ref="AI338" display="Open in EEF" r:id="rId787"/>
    <hyperlink xmlns:r="http://schemas.openxmlformats.org/officeDocument/2006/relationships" ref="AG339" display="http://www.polytech.univ-nantes.fr" r:id="rId788"/>
    <hyperlink xmlns:r="http://schemas.openxmlformats.org/officeDocument/2006/relationships" ref="AI339" display="Open in EEF" r:id="rId789"/>
    <hyperlink xmlns:r="http://schemas.openxmlformats.org/officeDocument/2006/relationships" ref="AB340" display="https://www.univ-tours.fr/international/etudes-stages-a-tours/droits-dinscription-differencies-pour-les-etudiants-extra-communautaires-2026-2027" r:id="rId790"/>
    <hyperlink xmlns:r="http://schemas.openxmlformats.org/officeDocument/2006/relationships" ref="AG340" display="http://polytech.univ-tours.fr/electronique" r:id="rId791"/>
    <hyperlink xmlns:r="http://schemas.openxmlformats.org/officeDocument/2006/relationships" ref="AI340" display="Open in EEF" r:id="rId792"/>
    <hyperlink xmlns:r="http://schemas.openxmlformats.org/officeDocument/2006/relationships" ref="AG341" display="http://www.polytech.univ-nantes.fr" r:id="rId793"/>
    <hyperlink xmlns:r="http://schemas.openxmlformats.org/officeDocument/2006/relationships" ref="AI341" display="Open in EEF" r:id="rId794"/>
    <hyperlink xmlns:r="http://schemas.openxmlformats.org/officeDocument/2006/relationships" ref="AG342" display="http://www.polytech.umontpellier.fr/" r:id="rId795"/>
    <hyperlink xmlns:r="http://schemas.openxmlformats.org/officeDocument/2006/relationships" ref="AI342" display="Open in EEF" r:id="rId796"/>
    <hyperlink xmlns:r="http://schemas.openxmlformats.org/officeDocument/2006/relationships" ref="AG343" display="http://www.polytech-orleans.fr" r:id="rId797"/>
    <hyperlink xmlns:r="http://schemas.openxmlformats.org/officeDocument/2006/relationships" ref="AI343" display="Open in EEF" r:id="rId798"/>
    <hyperlink xmlns:r="http://schemas.openxmlformats.org/officeDocument/2006/relationships" ref="AG344" display="http://www.enseeiht.fr" r:id="rId799"/>
    <hyperlink xmlns:r="http://schemas.openxmlformats.org/officeDocument/2006/relationships" ref="AI344" display="Open in EEF" r:id="rId800"/>
    <hyperlink xmlns:r="http://schemas.openxmlformats.org/officeDocument/2006/relationships" ref="AG345" display="http://www.enseeiht.fr" r:id="rId801"/>
    <hyperlink xmlns:r="http://schemas.openxmlformats.org/officeDocument/2006/relationships" ref="AI345" display="Open in EEF" r:id="rId802"/>
    <hyperlink xmlns:r="http://schemas.openxmlformats.org/officeDocument/2006/relationships" ref="AG346" display="http://www.enseeiht.fr" r:id="rId803"/>
    <hyperlink xmlns:r="http://schemas.openxmlformats.org/officeDocument/2006/relationships" ref="AI346" display="Open in EEF" r:id="rId804"/>
    <hyperlink xmlns:r="http://schemas.openxmlformats.org/officeDocument/2006/relationships" ref="AG347" display="https://www.ens2m.fr/" r:id="rId805"/>
    <hyperlink xmlns:r="http://schemas.openxmlformats.org/officeDocument/2006/relationships" ref="AI347" display="Open in EEF" r:id="rId806"/>
    <hyperlink xmlns:r="http://schemas.openxmlformats.org/officeDocument/2006/relationships" ref="AG348" display="https://www.cpe.fr/" r:id="rId807"/>
    <hyperlink xmlns:r="http://schemas.openxmlformats.org/officeDocument/2006/relationships" ref="AI348" display="Open in EEF" r:id="rId808"/>
    <hyperlink xmlns:r="http://schemas.openxmlformats.org/officeDocument/2006/relationships" ref="AG349" display="http://www.enseirb-matmeca.fr" r:id="rId809"/>
    <hyperlink xmlns:r="http://schemas.openxmlformats.org/officeDocument/2006/relationships" ref="AI349" display="Open in EEF" r:id="rId810"/>
    <hyperlink xmlns:r="http://schemas.openxmlformats.org/officeDocument/2006/relationships" ref="AG350" display="http://www.enseirb-matmeca.fr" r:id="rId811"/>
    <hyperlink xmlns:r="http://schemas.openxmlformats.org/officeDocument/2006/relationships" ref="AI350" display="Open in EEF" r:id="rId812"/>
    <hyperlink xmlns:r="http://schemas.openxmlformats.org/officeDocument/2006/relationships" ref="AG351" display="http://www.enseirb-matmeca.fr" r:id="rId813"/>
    <hyperlink xmlns:r="http://schemas.openxmlformats.org/officeDocument/2006/relationships" ref="AI351" display="Open in EEF" r:id="rId814"/>
    <hyperlink xmlns:r="http://schemas.openxmlformats.org/officeDocument/2006/relationships" ref="AG352" display="http://www.enseirb-matmeca.fr" r:id="rId815"/>
    <hyperlink xmlns:r="http://schemas.openxmlformats.org/officeDocument/2006/relationships" ref="AI352" display="Open in EEF" r:id="rId816"/>
    <hyperlink xmlns:r="http://schemas.openxmlformats.org/officeDocument/2006/relationships" ref="AI353" display="Open in EEF" r:id="rId817"/>
    <hyperlink xmlns:r="http://schemas.openxmlformats.org/officeDocument/2006/relationships" ref="AG354" display="http://www.esiee-amiens.fr" r:id="rId818"/>
    <hyperlink xmlns:r="http://schemas.openxmlformats.org/officeDocument/2006/relationships" ref="AI354" display="Open in EEF" r:id="rId819"/>
    <hyperlink xmlns:r="http://schemas.openxmlformats.org/officeDocument/2006/relationships" ref="AG355" display="https://polytech.univ-cotedazur.fr/" r:id="rId820"/>
    <hyperlink xmlns:r="http://schemas.openxmlformats.org/officeDocument/2006/relationships" ref="AI355" display="Open in EEF" r:id="rId821"/>
    <hyperlink xmlns:r="http://schemas.openxmlformats.org/officeDocument/2006/relationships" ref="AG356" display="https://www.insa-lyon.fr/fr/formation/" r:id="rId822"/>
    <hyperlink xmlns:r="http://schemas.openxmlformats.org/officeDocument/2006/relationships" ref="AI356" display="Open in EEF" r:id="rId823"/>
    <hyperlink xmlns:r="http://schemas.openxmlformats.org/officeDocument/2006/relationships" ref="AG357" display="https://www.insa-hautsdefrance.fr/formation-ingenieurs" r:id="rId824"/>
    <hyperlink xmlns:r="http://schemas.openxmlformats.org/officeDocument/2006/relationships" ref="AI357" display="Open in EEF" r:id="rId825"/>
    <hyperlink xmlns:r="http://schemas.openxmlformats.org/officeDocument/2006/relationships" ref="AG358" display="https://www.insa-lyon.fr/fr/formation/" r:id="rId826"/>
    <hyperlink xmlns:r="http://schemas.openxmlformats.org/officeDocument/2006/relationships" ref="AI358" display="Open in EEF" r:id="rId827"/>
    <hyperlink xmlns:r="http://schemas.openxmlformats.org/officeDocument/2006/relationships" ref="AG359" display="https://www.insa-hautsdefrance.fr/formation-ingenieurs" r:id="rId828"/>
    <hyperlink xmlns:r="http://schemas.openxmlformats.org/officeDocument/2006/relationships" ref="AI359" display="Open in EEF" r:id="rId829"/>
    <hyperlink xmlns:r="http://schemas.openxmlformats.org/officeDocument/2006/relationships" ref="AG360" display="https://www.insa-hautsdefrance.fr/formation-ingenieurs" r:id="rId830"/>
    <hyperlink xmlns:r="http://schemas.openxmlformats.org/officeDocument/2006/relationships" ref="AI360" display="Open in EEF" r:id="rId831"/>
    <hyperlink xmlns:r="http://schemas.openxmlformats.org/officeDocument/2006/relationships" ref="AG361" display="https://www.utbm.fr/formations/ingenieur/energie-genie-electrique/" r:id="rId832"/>
    <hyperlink xmlns:r="http://schemas.openxmlformats.org/officeDocument/2006/relationships" ref="AI361" display="Open in EEF" r:id="rId833"/>
    <hyperlink xmlns:r="http://schemas.openxmlformats.org/officeDocument/2006/relationships" ref="AG362" display="http://www.telecomnancy.eu" r:id="rId834"/>
    <hyperlink xmlns:r="http://schemas.openxmlformats.org/officeDocument/2006/relationships" ref="AI362" display="Open in EEF" r:id="rId835"/>
    <hyperlink xmlns:r="http://schemas.openxmlformats.org/officeDocument/2006/relationships" ref="AG363" display="http://imt-nord-europe.fr" r:id="rId836"/>
    <hyperlink xmlns:r="http://schemas.openxmlformats.org/officeDocument/2006/relationships" ref="AI363" display="Open in EEF" r:id="rId837"/>
    <hyperlink xmlns:r="http://schemas.openxmlformats.org/officeDocument/2006/relationships" ref="AG364" display="https://univ-cotedazur.eu/msc/modeling-for-neuronal-and-cognitive-systems" r:id="rId838"/>
    <hyperlink xmlns:r="http://schemas.openxmlformats.org/officeDocument/2006/relationships" ref="AI364" display="Open in EEF" r:id="rId839"/>
    <hyperlink xmlns:r="http://schemas.openxmlformats.org/officeDocument/2006/relationships" ref="AG365" display="https://www.telecom-sudparis.eu/en/formation/master-of-science-electrical-and-optical-engineering/" r:id="rId840"/>
    <hyperlink xmlns:r="http://schemas.openxmlformats.org/officeDocument/2006/relationships" ref="AI365" display="Open in EEF" r:id="rId841"/>
    <hyperlink xmlns:r="http://schemas.openxmlformats.org/officeDocument/2006/relationships" ref="AG366" display="https://www.telecom-sudparis.eu/en/formation/master-of-science-electrical-and-optical-engineering/" r:id="rId842"/>
    <hyperlink xmlns:r="http://schemas.openxmlformats.org/officeDocument/2006/relationships" ref="AI366" display="Open in EEF" r:id="rId843"/>
    <hyperlink xmlns:r="http://schemas.openxmlformats.org/officeDocument/2006/relationships" ref="AG367" display="http://www.isep.fr" r:id="rId844"/>
    <hyperlink xmlns:r="http://schemas.openxmlformats.org/officeDocument/2006/relationships" ref="AI367" display="Open in EEF" r:id="rId845"/>
    <hyperlink xmlns:r="http://schemas.openxmlformats.org/officeDocument/2006/relationships" ref="AI368" display="Open in EEF" r:id="rId846"/>
    <hyperlink xmlns:r="http://schemas.openxmlformats.org/officeDocument/2006/relationships" ref="AI369" display="Open in EEF" r:id="rId847"/>
    <hyperlink xmlns:r="http://schemas.openxmlformats.org/officeDocument/2006/relationships" ref="AG370" display="http://www.telecom-sudparis.eu" r:id="rId848"/>
    <hyperlink xmlns:r="http://schemas.openxmlformats.org/officeDocument/2006/relationships" ref="AI370" display="Open in EEF" r:id="rId849"/>
    <hyperlink xmlns:r="http://schemas.openxmlformats.org/officeDocument/2006/relationships" ref="AI371" display="Open in EEF" r:id="rId850"/>
    <hyperlink xmlns:r="http://schemas.openxmlformats.org/officeDocument/2006/relationships" ref="AI372" display="Open in EEF" r:id="rId851"/>
    <hyperlink xmlns:r="http://schemas.openxmlformats.org/officeDocument/2006/relationships" ref="AG373" display="https://www.ec-nantes.fr/study/masters/data-science-signal-and-image-processing" r:id="rId852"/>
    <hyperlink xmlns:r="http://schemas.openxmlformats.org/officeDocument/2006/relationships" ref="AI373" display="Open in EEF" r:id="rId853"/>
    <hyperlink xmlns:r="http://schemas.openxmlformats.org/officeDocument/2006/relationships" ref="AG374" display="http://www.ensta-paristech.fr" r:id="rId854"/>
    <hyperlink xmlns:r="http://schemas.openxmlformats.org/officeDocument/2006/relationships" ref="AI374" display="Open in EEF" r:id="rId855"/>
    <hyperlink xmlns:r="http://schemas.openxmlformats.org/officeDocument/2006/relationships" ref="AG375" display="http://www.tsaae.fr" r:id="rId856"/>
    <hyperlink xmlns:r="http://schemas.openxmlformats.org/officeDocument/2006/relationships" ref="AI375" display="Open in EEF" r:id="rId857"/>
    <hyperlink xmlns:r="http://schemas.openxmlformats.org/officeDocument/2006/relationships" ref="AG376" display="https://www.eurecom.fr/en/teaching/master-networks-and-telecommunication/msc-networks-and-telecommunication-intelligent" r:id="rId858"/>
    <hyperlink xmlns:r="http://schemas.openxmlformats.org/officeDocument/2006/relationships" ref="AI376" display="Open in EEF" r:id="rId859"/>
    <hyperlink xmlns:r="http://schemas.openxmlformats.org/officeDocument/2006/relationships" ref="AG377" display="https://www.eurecom.fr/fr/les-formations/master-en-reseaux-et-telecommunication/master-en-reseaux-et-telecommunication" r:id="rId860"/>
    <hyperlink xmlns:r="http://schemas.openxmlformats.org/officeDocument/2006/relationships" ref="AI377" display="Open in EEF" r:id="rId861"/>
    <hyperlink xmlns:r="http://schemas.openxmlformats.org/officeDocument/2006/relationships" ref="AB378" display="https://www.univ-amu.fr/fr/actualites/aix-marseille-universite-mobilise-pleinement-capacite-dexoneration-continuer-accueillir" r:id="rId862"/>
    <hyperlink xmlns:r="http://schemas.openxmlformats.org/officeDocument/2006/relationships" ref="AG378" display="https://formations.univ-amu.fr/fr/master/5SIN/PRSIN5C5" r:id="rId863"/>
    <hyperlink xmlns:r="http://schemas.openxmlformats.org/officeDocument/2006/relationships" ref="AI378" display="Open in EEF" r:id="rId864"/>
    <hyperlink xmlns:r="http://schemas.openxmlformats.org/officeDocument/2006/relationships" ref="AG379" display="http://sciences-techniques.u-bourgogne.fr" r:id="rId865"/>
    <hyperlink xmlns:r="http://schemas.openxmlformats.org/officeDocument/2006/relationships" ref="AI379" display="Open in EEF" r:id="rId866"/>
    <hyperlink xmlns:r="http://schemas.openxmlformats.org/officeDocument/2006/relationships" ref="AB380" display="https://observalgerie.com/2026/06/13/misc/frais-dinscription-en-france-lille-maintient-un-avantage-pour-les-etudiants-etrangers/" r:id="rId867"/>
    <hyperlink xmlns:r="http://schemas.openxmlformats.org/officeDocument/2006/relationships" ref="AG380" display="https://formation.univ-lille.fr/fr/offre-de-formation/master-lmd-XB/master-nanosciences-et-nanotechnologies-MG035198/electronic-technologies-for-smart-communicating-systems-MX002031.html" r:id="rId868"/>
    <hyperlink xmlns:r="http://schemas.openxmlformats.org/officeDocument/2006/relationships" ref="AI380" display="Open in EEF" r:id="rId869"/>
    <hyperlink xmlns:r="http://schemas.openxmlformats.org/officeDocument/2006/relationships" ref="AG381" display="https://formations.univ-rennes.fr/" r:id="rId870"/>
    <hyperlink xmlns:r="http://schemas.openxmlformats.org/officeDocument/2006/relationships" ref="AI381" display="Open in EEF" r:id="rId871"/>
    <hyperlink xmlns:r="http://schemas.openxmlformats.org/officeDocument/2006/relationships" ref="AG382" display="https://istic.univ-rennes.fr/international-master-intelligent-communicating-systems-ics" r:id="rId872"/>
    <hyperlink xmlns:r="http://schemas.openxmlformats.org/officeDocument/2006/relationships" ref="AI382" display="Open in EEF" r:id="rId873"/>
    <hyperlink xmlns:r="http://schemas.openxmlformats.org/officeDocument/2006/relationships" ref="AB383" display="https://www.unistra.fr/fr/node/8168" r:id="rId874"/>
    <hyperlink xmlns:r="http://schemas.openxmlformats.org/officeDocument/2006/relationships" ref="AG383" display="http://physique-ingenierie.unistra.fr/" r:id="rId875"/>
    <hyperlink xmlns:r="http://schemas.openxmlformats.org/officeDocument/2006/relationships" ref="AI383" display="Open in EEF" r:id="rId876"/>
    <hyperlink xmlns:r="http://schemas.openxmlformats.org/officeDocument/2006/relationships" ref="AB384" display="https://www.univ-lyon1.fr/formation/inscription-et-scolarite/etudiantes-et-etudiants-internationaux-droits-dinscription-differencies-et-exonerations" r:id="rId877"/>
    <hyperlink xmlns:r="http://schemas.openxmlformats.org/officeDocument/2006/relationships" ref="AG384" display="https://masterneuro.univ-lyon1.fr" r:id="rId878"/>
    <hyperlink xmlns:r="http://schemas.openxmlformats.org/officeDocument/2006/relationships" ref="AI384" display="Open in EEF" r:id="rId879"/>
    <hyperlink xmlns:r="http://schemas.openxmlformats.org/officeDocument/2006/relationships" ref="AB385" display="https://www.univ-lyon1.fr/formation/inscription-et-scolarite/etudiantes-et-etudiants-internationaux-droits-dinscription-differencies-et-exonerations" r:id="rId880"/>
    <hyperlink xmlns:r="http://schemas.openxmlformats.org/officeDocument/2006/relationships" ref="AG385" display="https://ufr-biosciences.univ-lyon1.fr" r:id="rId881"/>
    <hyperlink xmlns:r="http://schemas.openxmlformats.org/officeDocument/2006/relationships" ref="AI385" display="Open in EEF" r:id="rId882"/>
    <hyperlink xmlns:r="http://schemas.openxmlformats.org/officeDocument/2006/relationships" ref="AB386" display="https://www.unistra.fr/fr/node/8168" r:id="rId883"/>
    <hyperlink xmlns:r="http://schemas.openxmlformats.org/officeDocument/2006/relationships" ref="AG386" display="https://www.master-iriv.fr" r:id="rId884"/>
    <hyperlink xmlns:r="http://schemas.openxmlformats.org/officeDocument/2006/relationships" ref="AI386" display="Open in EEF" r:id="rId885"/>
    <hyperlink xmlns:r="http://schemas.openxmlformats.org/officeDocument/2006/relationships" ref="AG387" display="https://idmc.univ-lorraine.fr/idmc-master-degree-in-natural-language-processing/" r:id="rId886"/>
    <hyperlink xmlns:r="http://schemas.openxmlformats.org/officeDocument/2006/relationships" ref="AI387" display="Open in EEF" r:id="rId887"/>
    <hyperlink xmlns:r="http://schemas.openxmlformats.org/officeDocument/2006/relationships" ref="AB388" display="https://observalgerie.com/2026/06/13/misc/frais-dinscription-en-france-lille-maintient-un-avantage-pour-les-etudiants-etrangers/" r:id="rId888"/>
    <hyperlink xmlns:r="http://schemas.openxmlformats.org/officeDocument/2006/relationships" ref="AG388" display="https://formation.univ-lille.fr/fr/offre-de-formation/master-lmd-XB/master-automatique-et-systemes-electriques-MG001978/energie-electrique-et-developpement-durable-electrical-engineering-for-sustainable-development-m2-MX002024.html" r:id="rId889"/>
    <hyperlink xmlns:r="http://schemas.openxmlformats.org/officeDocument/2006/relationships" ref="AI388" display="Open in EEF" r:id="rId890"/>
    <hyperlink xmlns:r="http://schemas.openxmlformats.org/officeDocument/2006/relationships" ref="AB389" display="https://www.univ-lyon1.fr/formation/inscription-et-scolarite/etudiantes-et-etudiants-internationaux-droits-dinscription-differencies-et-exonerations" r:id="rId891"/>
    <hyperlink xmlns:r="http://schemas.openxmlformats.org/officeDocument/2006/relationships" ref="AI389" display="Open in EEF" r:id="rId892"/>
    <hyperlink xmlns:r="http://schemas.openxmlformats.org/officeDocument/2006/relationships" ref="AI390" display="Open in EEF" r:id="rId893"/>
    <hyperlink xmlns:r="http://schemas.openxmlformats.org/officeDocument/2006/relationships" ref="AB391" display="https://www.univ-lyon1.fr/formation/inscription-et-scolarite/etudiantes-et-etudiants-internationaux-droits-dinscription-differencies-et-exonerations" r:id="rId894"/>
    <hyperlink xmlns:r="http://schemas.openxmlformats.org/officeDocument/2006/relationships" ref="AI391" display="Open in EEF" r:id="rId895"/>
    <hyperlink xmlns:r="http://schemas.openxmlformats.org/officeDocument/2006/relationships" ref="AB392" display="https://www.unistra.fr/fr/node/8168" r:id="rId896"/>
    <hyperlink xmlns:r="http://schemas.openxmlformats.org/officeDocument/2006/relationships" ref="AG392" display="https://www.master-iriv.fr" r:id="rId897"/>
    <hyperlink xmlns:r="http://schemas.openxmlformats.org/officeDocument/2006/relationships" ref="AI392" display="Open in EEF" r:id="rId898"/>
    <hyperlink xmlns:r="http://schemas.openxmlformats.org/officeDocument/2006/relationships" ref="AG393" display="https://centralelille.fr/en/formation/masters/fiche-master-e-tech/" r:id="rId899"/>
    <hyperlink xmlns:r="http://schemas.openxmlformats.org/officeDocument/2006/relationships" ref="AI393" display="Open in EEF" r:id="rId900"/>
    <hyperlink xmlns:r="http://schemas.openxmlformats.org/officeDocument/2006/relationships" ref="AG394" display="https://centralelille.fr/en/formation/masters/fiche-master-e2sd/" r:id="rId901"/>
    <hyperlink xmlns:r="http://schemas.openxmlformats.org/officeDocument/2006/relationships" ref="AI394" display="Open in EEF" r:id="rId902"/>
    <hyperlink xmlns:r="http://schemas.openxmlformats.org/officeDocument/2006/relationships" ref="AG395" display="https://www.insa-lyon.fr/fr/formation/" r:id="rId903"/>
    <hyperlink xmlns:r="http://schemas.openxmlformats.org/officeDocument/2006/relationships" ref="AI395" display="Open in EEF" r:id="rId904"/>
    <hyperlink xmlns:r="http://schemas.openxmlformats.org/officeDocument/2006/relationships" ref="AB396" display="https://www.univ-grenoble-alpes.fr/actualites/a-la-une/actualites-universite/etudiants-internationaux-ce-que-change-le-nouveau-decret-sur-les-droits-d-inscription-a-l-uga-1775870.kjsp" r:id="rId905"/>
    <hyperlink xmlns:r="http://schemas.openxmlformats.org/officeDocument/2006/relationships" ref="AG396" display="https://ense3.grenoble-inp.fr/en/study-at-ense3/masters-in-english" r:id="rId906"/>
    <hyperlink xmlns:r="http://schemas.openxmlformats.org/officeDocument/2006/relationships" ref="AI396" display="Open in EEF" r:id="rId907"/>
    <hyperlink xmlns:r="http://schemas.openxmlformats.org/officeDocument/2006/relationships" ref="AB397" display="https://www.univ-amu.fr/fr/actualites/aix-marseille-universite-mobilise-pleinement-capacite-dexoneration-continuer-accueillir" r:id="rId908"/>
    <hyperlink xmlns:r="http://schemas.openxmlformats.org/officeDocument/2006/relationships" ref="AG397" display="https://formations.univ-amu.fr/fr/master/5SNE/PRSNE5C2" r:id="rId909"/>
    <hyperlink xmlns:r="http://schemas.openxmlformats.org/officeDocument/2006/relationships" ref="AI397" display="Open in EEF" r:id="rId910"/>
    <hyperlink xmlns:r="http://schemas.openxmlformats.org/officeDocument/2006/relationships" ref="AB398" display="https://www.univ-amu.fr/fr/actualites/aix-marseille-universite-mobilise-pleinement-capacite-dexoneration-continuer-accueillir" r:id="rId911"/>
    <hyperlink xmlns:r="http://schemas.openxmlformats.org/officeDocument/2006/relationships" ref="AG398" display="https://formations.univ-amu.fr/fr/master/5SNE/PRSNE5C1" r:id="rId912"/>
    <hyperlink xmlns:r="http://schemas.openxmlformats.org/officeDocument/2006/relationships" ref="AI398" display="Open in EEF" r:id="rId913"/>
    <hyperlink xmlns:r="http://schemas.openxmlformats.org/officeDocument/2006/relationships" ref="AB399" display="https://www.univ-amu.fr/fr/actualites/aix-marseille-universite-mobilise-pleinement-capacite-dexoneration-continuer-accueillir" r:id="rId914"/>
    <hyperlink xmlns:r="http://schemas.openxmlformats.org/officeDocument/2006/relationships" ref="AG399" display="https://formations.univ-amu.fr/fr/master/5SMI/PRSMI5C5" r:id="rId915"/>
    <hyperlink xmlns:r="http://schemas.openxmlformats.org/officeDocument/2006/relationships" ref="AI399" display="Open in EEF" r:id="rId916"/>
    <hyperlink xmlns:r="http://schemas.openxmlformats.org/officeDocument/2006/relationships" ref="AB400" display="https://www.sorbonne-universite.fr/actualites/le-conseil-dadministration-de-sorbonne-universite-vote-lunanimite-le-7-juillet-2026-sa" r:id="rId917"/>
    <hyperlink xmlns:r="http://schemas.openxmlformats.org/officeDocument/2006/relationships" ref="AI400" display="Open in EEF" r:id="rId918"/>
    <hyperlink xmlns:r="http://schemas.openxmlformats.org/officeDocument/2006/relationships" ref="AB401" display="https://www.sorbonne-universite.fr/actualites/le-conseil-dadministration-de-sorbonne-universite-vote-lunanimite-le-7-juillet-2026-sa" r:id="rId919"/>
    <hyperlink xmlns:r="http://schemas.openxmlformats.org/officeDocument/2006/relationships" ref="AI401" display="Open in EEF" r:id="rId920"/>
    <hyperlink xmlns:r="http://schemas.openxmlformats.org/officeDocument/2006/relationships" ref="AB402" display="https://www.univ-grenoble-alpes.fr/actualites/a-la-une/actualites-universite/etudiants-internationaux-ce-que-change-le-nouveau-decret-sur-les-droits-d-inscription-a-l-uga-1775870.kjsp" r:id="rId921"/>
    <hyperlink xmlns:r="http://schemas.openxmlformats.org/officeDocument/2006/relationships" ref="AG402" display="https://pagora.grenoble-inp.fr/en/education/master-sustainable-printed-and-integrated-electronics" r:id="rId922"/>
    <hyperlink xmlns:r="http://schemas.openxmlformats.org/officeDocument/2006/relationships" ref="AI402" display="Open in EEF" r:id="rId923"/>
    <hyperlink xmlns:r="http://schemas.openxmlformats.org/officeDocument/2006/relationships" ref="AB403" display="https://www.univ-amu.fr/fr/actualites/aix-marseille-universite-mobilise-pleinement-capacite-dexoneration-continuer-accueillir" r:id="rId924"/>
    <hyperlink xmlns:r="http://schemas.openxmlformats.org/officeDocument/2006/relationships" ref="AG403" display="https://formations.univ-amu.fr/fr/master/5SNE/PRSNE5C1" r:id="rId925"/>
    <hyperlink xmlns:r="http://schemas.openxmlformats.org/officeDocument/2006/relationships" ref="AI403" display="Open in EEF" r:id="rId926"/>
    <hyperlink xmlns:r="http://schemas.openxmlformats.org/officeDocument/2006/relationships" ref="AB404" display="https://www.univ-amu.fr/fr/actualites/aix-marseille-universite-mobilise-pleinement-capacite-dexoneration-continuer-accueillir" r:id="rId927"/>
    <hyperlink xmlns:r="http://schemas.openxmlformats.org/officeDocument/2006/relationships" ref="AG404" display="https://formations.univ-amu.fr/fr/master/5SNE/PRSNE5C2" r:id="rId928"/>
    <hyperlink xmlns:r="http://schemas.openxmlformats.org/officeDocument/2006/relationships" ref="AI404" display="Open in EEF" r:id="rId929"/>
    <hyperlink xmlns:r="http://schemas.openxmlformats.org/officeDocument/2006/relationships" ref="AB405" display="https://www.sorbonne-universite.fr/actualites/le-conseil-dadministration-de-sorbonne-universite-vote-lunanimite-le-7-juillet-2026-sa" r:id="rId930"/>
    <hyperlink xmlns:r="http://schemas.openxmlformats.org/officeDocument/2006/relationships" ref="AG405" display="https://masters-sdi.sorbonne-universite.fr/automatique-robotique" r:id="rId931"/>
    <hyperlink xmlns:r="http://schemas.openxmlformats.org/officeDocument/2006/relationships" ref="AI405" display="Open in EEF" r:id="rId932"/>
    <hyperlink xmlns:r="http://schemas.openxmlformats.org/officeDocument/2006/relationships" ref="AB406" display="https://www.sorbonne-universite.fr/actualites/le-conseil-dadministration-de-sorbonne-universite-vote-lunanimite-le-7-juillet-2026-sa" r:id="rId933"/>
    <hyperlink xmlns:r="http://schemas.openxmlformats.org/officeDocument/2006/relationships" ref="AG406" display="https://sciences.sorbonne-universite.fr/en/masters-degree-waves-and-devices-advanced-wireless-communication-systems-wavewicom" r:id="rId934"/>
    <hyperlink xmlns:r="http://schemas.openxmlformats.org/officeDocument/2006/relationships" ref="AI406" display="Open in EEF" r:id="rId935"/>
    <hyperlink xmlns:r="http://schemas.openxmlformats.org/officeDocument/2006/relationships" ref="AB407" display="https://www.univ-grenoble-alpes.fr/actualites/a-la-une/actualites-universite/etudiants-internationaux-ce-que-change-le-nouveau-decret-sur-les-droits-d-inscription-a-l-uga-1775870.kjsp" r:id="rId936"/>
    <hyperlink xmlns:r="http://schemas.openxmlformats.org/officeDocument/2006/relationships" ref="AG407" display="https://formations.univ-grenoble-alpes.fr/fr/catalogue-2021/master-XB/master-biologie-IAQKB0GE/parcours-neurosciences-neurobiology-2e-annee-IBAVERI3.html" r:id="rId937"/>
    <hyperlink xmlns:r="http://schemas.openxmlformats.org/officeDocument/2006/relationships" ref="AI407" display="Open in EEF" r:id="rId938"/>
    <hyperlink xmlns:r="http://schemas.openxmlformats.org/officeDocument/2006/relationships" ref="AB408" display="https://www.univ-grenoble-alpes.fr/actualites/a-la-une/actualites-universite/etudiants-internationaux-ce-que-change-le-nouveau-decret-sur-les-droits-d-inscription-a-l-uga-1775870.kjsp" r:id="rId939"/>
    <hyperlink xmlns:r="http://schemas.openxmlformats.org/officeDocument/2006/relationships" ref="AG408" display="https://formations.univ-grenoble-alpes.fr/fr/catalogue-2021/master-XB/master-electronique-energie-electrique-automatique-IFZ3DRB9.html" r:id="rId940"/>
    <hyperlink xmlns:r="http://schemas.openxmlformats.org/officeDocument/2006/relationships" ref="AI408" display="Open in EEF" r:id="rId941"/>
    <hyperlink xmlns:r="http://schemas.openxmlformats.org/officeDocument/2006/relationships" ref="AB409" display="https://www.univ-grenoble-alpes.fr/actualites/a-la-une/actualites-universite/etudiants-internationaux-ce-que-change-le-nouveau-decret-sur-les-droits-d-inscription-a-l-uga-1775870.kjsp" r:id="rId942"/>
    <hyperlink xmlns:r="http://schemas.openxmlformats.org/officeDocument/2006/relationships" ref="AG409" display="https://formations.univ-grenoble-alpes.fr/fr/catalogue-2021/master-XB/master-electronique-energie-electrique-automatique-IFZ3DRB9.html" r:id="rId943"/>
    <hyperlink xmlns:r="http://schemas.openxmlformats.org/officeDocument/2006/relationships" ref="AI409" display="Open in EEF" r:id="rId944"/>
    <hyperlink xmlns:r="http://schemas.openxmlformats.org/officeDocument/2006/relationships" ref="AB410" display="https://www.univ-grenoble-alpes.fr/actualites/a-la-une/actualites-universite/etudiants-internationaux-ce-que-change-le-nouveau-decret-sur-les-droits-d-inscription-a-l-uga-1775870.kjsp" r:id="rId945"/>
    <hyperlink xmlns:r="http://schemas.openxmlformats.org/officeDocument/2006/relationships" ref="AG410" display="https://formations.univ-grenoble-alpes.fr/fr/catalogue-2021/master-XB/master-nanosciences-et-nanotechnologies-IAQK78RT/parcours-nano-biotechnology-2e-annee-KIFWCDJ8.html" r:id="rId946"/>
    <hyperlink xmlns:r="http://schemas.openxmlformats.org/officeDocument/2006/relationships" ref="AI410" display="Open in EEF" r:id="rId947"/>
    <hyperlink xmlns:r="http://schemas.openxmlformats.org/officeDocument/2006/relationships" ref="AB411" display="https://www.univ-grenoble-alpes.fr/actualites/a-la-une/actualites-universite/etudiants-internationaux-ce-que-change-le-nouveau-decret-sur-les-droits-d-inscription-a-l-uga-1775870.kjsp" r:id="rId948"/>
    <hyperlink xmlns:r="http://schemas.openxmlformats.org/officeDocument/2006/relationships" ref="AG411" display="https://formations.univ-grenoble-alpes.fr/fr/catalogue-2021/master-XB/master-nanosciences-et-nanotechnologies-IAQK78RT.html" r:id="rId949"/>
    <hyperlink xmlns:r="http://schemas.openxmlformats.org/officeDocument/2006/relationships" ref="AI411" display="Open in EEF" r:id="rId950"/>
    <hyperlink xmlns:r="http://schemas.openxmlformats.org/officeDocument/2006/relationships" ref="AB412" display="https://www.univ-grenoble-alpes.fr/actualites/a-la-une/actualites-universite/etudiants-internationaux-ce-que-change-le-nouveau-decret-sur-les-droits-d-inscription-a-l-uga-1775870.kjsp" r:id="rId951"/>
    <hyperlink xmlns:r="http://schemas.openxmlformats.org/officeDocument/2006/relationships" ref="AG412" display="https://formations.univ-grenoble-alpes.fr/fr/catalogue-2021/master-XB/master-nanosciences-et-nanotechnologies-IAQK78RT.html" r:id="rId952"/>
    <hyperlink xmlns:r="http://schemas.openxmlformats.org/officeDocument/2006/relationships" ref="AI412" display="Open in EEF" r:id="rId953"/>
    <hyperlink xmlns:r="http://schemas.openxmlformats.org/officeDocument/2006/relationships" ref="AB413" display="https://www.univ-grenoble-alpes.fr/actualites/a-la-une/actualites-universite/etudiants-internationaux-ce-que-change-le-nouveau-decret-sur-les-droits-d-inscription-a-l-uga-1775870.kjsp" r:id="rId954"/>
    <hyperlink xmlns:r="http://schemas.openxmlformats.org/officeDocument/2006/relationships" ref="AG413" display="https://ense3.grenoble-inp.fr/en/study-at-ense3/masters-in-english" r:id="rId955"/>
    <hyperlink xmlns:r="http://schemas.openxmlformats.org/officeDocument/2006/relationships" ref="AI413" display="Open in EEF" r:id="rId956"/>
    <hyperlink xmlns:r="http://schemas.openxmlformats.org/officeDocument/2006/relationships" ref="AB414" display="https://www.univ-amu.fr/fr/actualites/aix-marseille-universite-mobilise-pleinement-capacite-dexoneration-continuer-accueillir" r:id="rId957"/>
    <hyperlink xmlns:r="http://schemas.openxmlformats.org/officeDocument/2006/relationships" ref="AG414" display="https://formations.univ-amu.fr/fr/master/5SMI/PRSMI5C5" r:id="rId958"/>
    <hyperlink xmlns:r="http://schemas.openxmlformats.org/officeDocument/2006/relationships" ref="AI414" display="Open in EEF" r:id="rId959"/>
    <hyperlink xmlns:r="http://schemas.openxmlformats.org/officeDocument/2006/relationships" ref="AB415" display="https://www.sorbonne-universite.fr/actualites/le-conseil-dadministration-de-sorbonne-universite-vote-lunanimite-le-7-juillet-2026-sa" r:id="rId960"/>
    <hyperlink xmlns:r="http://schemas.openxmlformats.org/officeDocument/2006/relationships" ref="AG415" display="https://sciences.sorbonne-universite.fr/formation-sciences/offre-de-formation/masters/master-neurosciences/" r:id="rId961"/>
    <hyperlink xmlns:r="http://schemas.openxmlformats.org/officeDocument/2006/relationships" ref="AI415" display="Open in EEF" r:id="rId962"/>
    <hyperlink xmlns:r="http://schemas.openxmlformats.org/officeDocument/2006/relationships" ref="AB416" display="https://www.sorbonne-universite.fr/actualites/le-conseil-dadministration-de-sorbonne-universite-vote-lunanimite-le-7-juillet-2026-sa" r:id="rId963"/>
    <hyperlink xmlns:r="http://schemas.openxmlformats.org/officeDocument/2006/relationships" ref="AG416" display="https://sciences.sorbonne-universite.fr/formation-sciences/offre-de-formation/masters/master-neurosciences/" r:id="rId964"/>
    <hyperlink xmlns:r="http://schemas.openxmlformats.org/officeDocument/2006/relationships" ref="AI416" display="Open in EEF" r:id="rId965"/>
    <hyperlink xmlns:r="http://schemas.openxmlformats.org/officeDocument/2006/relationships" ref="AB417" display="https://www.univ-grenoble-alpes.fr/actualites/a-la-une/actualites-universite/etudiants-internationaux-ce-que-change-le-nouveau-decret-sur-les-droits-d-inscription-a-l-uga-1775870.kjsp" r:id="rId966"/>
    <hyperlink xmlns:r="http://schemas.openxmlformats.org/officeDocument/2006/relationships" ref="AG417" display="https://ense3.grenoble-inp.fr/en/study-at-ense3/masters-in-english" r:id="rId967"/>
    <hyperlink xmlns:r="http://schemas.openxmlformats.org/officeDocument/2006/relationships" ref="AI417" display="Open in EEF" r:id="rId968"/>
    <hyperlink xmlns:r="http://schemas.openxmlformats.org/officeDocument/2006/relationships" ref="AG418" display="https://www.cyu.fr/master-informatique-et-ingenierie-des-systemes-complexes-electronique-des-systemes-intelligents" r:id="rId969"/>
    <hyperlink xmlns:r="http://schemas.openxmlformats.org/officeDocument/2006/relationships" ref="AI418" display="Open in EEF" r:id="rId970"/>
    <hyperlink xmlns:r="http://schemas.openxmlformats.org/officeDocument/2006/relationships" ref="AG419" display="https://www.cyu.fr/master-informatique-et-ingenierie-des-systemes-complexes-intelligence-artificielle-et-robotique" r:id="rId971"/>
    <hyperlink xmlns:r="http://schemas.openxmlformats.org/officeDocument/2006/relationships" ref="AI419" display="Open in EEF" r:id="rId972"/>
    <hyperlink xmlns:r="http://schemas.openxmlformats.org/officeDocument/2006/relationships" ref="AG420" display="https://www.cyu.fr/master-informatique-et-ingenierie-des-systemes-complexes-signal-information-et-telecommunications" r:id="rId973"/>
    <hyperlink xmlns:r="http://schemas.openxmlformats.org/officeDocument/2006/relationships" ref="AI420" display="Open in EEF" r:id="rId974"/>
    <hyperlink xmlns:r="http://schemas.openxmlformats.org/officeDocument/2006/relationships" ref="AB421" display="https://www.sorbonne-universite.fr/actualites/le-conseil-dadministration-de-sorbonne-universite-vote-lunanimite-le-7-juillet-2026-sa" r:id="rId975"/>
    <hyperlink xmlns:r="http://schemas.openxmlformats.org/officeDocument/2006/relationships" ref="AG421" display="https://masters-sdi.sorbonne-universite.fr/automatique-robotique" r:id="rId976"/>
    <hyperlink xmlns:r="http://schemas.openxmlformats.org/officeDocument/2006/relationships" ref="AI421" display="Open in EEF" r:id="rId977"/>
    <hyperlink xmlns:r="http://schemas.openxmlformats.org/officeDocument/2006/relationships" ref="AB422" display="https://www.sorbonne-universite.fr/actualites/le-conseil-dadministration-de-sorbonne-universite-vote-lunanimite-le-7-juillet-2026-sa" r:id="rId978"/>
    <hyperlink xmlns:r="http://schemas.openxmlformats.org/officeDocument/2006/relationships" ref="AG422" display="https://sciences.sorbonne-universite.fr/formation-sciences/offre-de-formation/masters/master-neurosciences" r:id="rId979"/>
    <hyperlink xmlns:r="http://schemas.openxmlformats.org/officeDocument/2006/relationships" ref="AI422" display="Open in EEF" r:id="rId980"/>
    <hyperlink xmlns:r="http://schemas.openxmlformats.org/officeDocument/2006/relationships" ref="AB423" display="https://www.sorbonne-universite.fr/actualites/le-conseil-dadministration-de-sorbonne-universite-vote-lunanimite-le-7-juillet-2026-sa" r:id="rId981"/>
    <hyperlink xmlns:r="http://schemas.openxmlformats.org/officeDocument/2006/relationships" ref="AG423" display="https://sciences.sorbonne-universite.fr/formation-sciences/offre-de-formation/masters/master-neurosciences" r:id="rId982"/>
    <hyperlink xmlns:r="http://schemas.openxmlformats.org/officeDocument/2006/relationships" ref="AI423" display="Open in EEF" r:id="rId983"/>
    <hyperlink xmlns:r="http://schemas.openxmlformats.org/officeDocument/2006/relationships" ref="AB424" display="https://www.sorbonne-universite.fr/actualites/le-conseil-dadministration-de-sorbonne-universite-vote-lunanimite-le-7-juillet-2026-sa" r:id="rId984"/>
    <hyperlink xmlns:r="http://schemas.openxmlformats.org/officeDocument/2006/relationships" ref="AG424" display="https://sciences.sorbonne-universite.fr/formation-sciences/offre-de-formation/masters/master-neurosciences" r:id="rId985"/>
    <hyperlink xmlns:r="http://schemas.openxmlformats.org/officeDocument/2006/relationships" ref="AI424" display="Open in EEF" r:id="rId986"/>
    <hyperlink xmlns:r="http://schemas.openxmlformats.org/officeDocument/2006/relationships" ref="AB425" display="https://www.sorbonne-universite.fr/actualites/le-conseil-dadministration-de-sorbonne-universite-vote-lunanimite-le-7-juillet-2026-sa" r:id="rId987"/>
    <hyperlink xmlns:r="http://schemas.openxmlformats.org/officeDocument/2006/relationships" ref="AG425" display="https://sciences.sorbonne-universite.fr/formation-sciences/offre-de-formation/masters/master-neurosciences" r:id="rId988"/>
    <hyperlink xmlns:r="http://schemas.openxmlformats.org/officeDocument/2006/relationships" ref="AI425" display="Open in EEF" r:id="rId989"/>
    <hyperlink xmlns:r="http://schemas.openxmlformats.org/officeDocument/2006/relationships" ref="AG426" display="http://www.enssat.fr/" r:id="rId990"/>
    <hyperlink xmlns:r="http://schemas.openxmlformats.org/officeDocument/2006/relationships" ref="AI426" display="Open in EEF" r:id="rId991"/>
    <hyperlink xmlns:r="http://schemas.openxmlformats.org/officeDocument/2006/relationships" ref="AB427" display="https://www.unistra.fr/fr/node/8168" r:id="rId992"/>
    <hyperlink xmlns:r="http://schemas.openxmlformats.org/officeDocument/2006/relationships" ref="AG427" display="https://www.master-iriv.fr" r:id="rId993"/>
    <hyperlink xmlns:r="http://schemas.openxmlformats.org/officeDocument/2006/relationships" ref="AI427" display="Open in EEF" r:id="rId994"/>
    <hyperlink xmlns:r="http://schemas.openxmlformats.org/officeDocument/2006/relationships" ref="AB428" display="https://observalgerie.com/2026/06/13/misc/frais-dinscription-en-france-lille-maintient-un-avantage-pour-les-etudiants-etrangers/" r:id="rId995"/>
    <hyperlink xmlns:r="http://schemas.openxmlformats.org/officeDocument/2006/relationships" ref="AG428" display="https://formation.univ-lille.fr/fr/offre-de-formation/master-lmd-XB/master-automatique-et-systemes-electriques-MG001978/vehicules-intelligents-electriques-m2-MX002025.html" r:id="rId996"/>
    <hyperlink xmlns:r="http://schemas.openxmlformats.org/officeDocument/2006/relationships" ref="AI428" display="Open in EEF" r:id="rId997"/>
    <hyperlink xmlns:r="http://schemas.openxmlformats.org/officeDocument/2006/relationships" ref="AB429" display="https://www.univ-lyon1.fr/formation/inscription-et-scolarite/etudiantes-et-etudiants-internationaux-droits-dinscription-differencies-et-exonerations" r:id="rId998"/>
    <hyperlink xmlns:r="http://schemas.openxmlformats.org/officeDocument/2006/relationships" ref="AG429" display="http://fst-meca.univ-lyon1.fr/" r:id="rId999"/>
    <hyperlink xmlns:r="http://schemas.openxmlformats.org/officeDocument/2006/relationships" ref="AI429" display="Open in EEF" r:id="rId1000"/>
    <hyperlink xmlns:r="http://schemas.openxmlformats.org/officeDocument/2006/relationships" ref="AG430" display="https://sante.u-pec.fr/" r:id="rId1001"/>
    <hyperlink xmlns:r="http://schemas.openxmlformats.org/officeDocument/2006/relationships" ref="AI430" display="Open in EEF" r:id="rId1002"/>
    <hyperlink xmlns:r="http://schemas.openxmlformats.org/officeDocument/2006/relationships" ref="AG431" display="https://fst.univ-lorraine.fr/formations/" r:id="rId1003"/>
    <hyperlink xmlns:r="http://schemas.openxmlformats.org/officeDocument/2006/relationships" ref="AI431" display="Open in EEF" r:id="rId1004"/>
    <hyperlink xmlns:r="http://schemas.openxmlformats.org/officeDocument/2006/relationships" ref="AG432" display="https://fst.univ-lorraine.fr/formations/" r:id="rId1005"/>
    <hyperlink xmlns:r="http://schemas.openxmlformats.org/officeDocument/2006/relationships" ref="AI432" display="Open in EEF" r:id="rId1006"/>
    <hyperlink xmlns:r="http://schemas.openxmlformats.org/officeDocument/2006/relationships" ref="AG433" display="https://fst.univ-lorraine.fr/formations/" r:id="rId1007"/>
    <hyperlink xmlns:r="http://schemas.openxmlformats.org/officeDocument/2006/relationships" ref="AI433" display="Open in EEF" r:id="rId1008"/>
    <hyperlink xmlns:r="http://schemas.openxmlformats.org/officeDocument/2006/relationships" ref="AG434" display="http://www.fsa.univ-artois.fr/les-fiches-formations" r:id="rId1009"/>
    <hyperlink xmlns:r="http://schemas.openxmlformats.org/officeDocument/2006/relationships" ref="AI434" display="Open in EEF" r:id="rId1010"/>
    <hyperlink xmlns:r="http://schemas.openxmlformats.org/officeDocument/2006/relationships" ref="AG435" display="http://www.fsa.univ-artois.fr/les-fiches-formations" r:id="rId1011"/>
    <hyperlink xmlns:r="http://schemas.openxmlformats.org/officeDocument/2006/relationships" ref="AI435" display="Open in EEF" r:id="rId1012"/>
    <hyperlink xmlns:r="http://schemas.openxmlformats.org/officeDocument/2006/relationships" ref="AG436" display="http://see.univ-perp.fr" r:id="rId1013"/>
    <hyperlink xmlns:r="http://schemas.openxmlformats.org/officeDocument/2006/relationships" ref="AI436" display="Open in EEF" r:id="rId1014"/>
    <hyperlink xmlns:r="http://schemas.openxmlformats.org/officeDocument/2006/relationships" ref="AG437" display="https://fst.univ-lorraine.fr/formations/" r:id="rId1015"/>
    <hyperlink xmlns:r="http://schemas.openxmlformats.org/officeDocument/2006/relationships" ref="AI437" display="Open in EEF" r:id="rId1016"/>
    <hyperlink xmlns:r="http://schemas.openxmlformats.org/officeDocument/2006/relationships" ref="AG438" display="https://fst.univ-lorraine.fr/formations/" r:id="rId1017"/>
    <hyperlink xmlns:r="http://schemas.openxmlformats.org/officeDocument/2006/relationships" ref="AI438" display="Open in EEF" r:id="rId1018"/>
    <hyperlink xmlns:r="http://schemas.openxmlformats.org/officeDocument/2006/relationships" ref="AB439" display="https://www.unistra.fr/fr/node/8168" r:id="rId1019"/>
    <hyperlink xmlns:r="http://schemas.openxmlformats.org/officeDocument/2006/relationships" ref="AG439" display="https://www.master-iriv.fr" r:id="rId1020"/>
    <hyperlink xmlns:r="http://schemas.openxmlformats.org/officeDocument/2006/relationships" ref="AI439" display="Open in EEF" r:id="rId1021"/>
    <hyperlink xmlns:r="http://schemas.openxmlformats.org/officeDocument/2006/relationships" ref="AB440" display="https://www.unistra.fr/fr/node/8168" r:id="rId1022"/>
    <hyperlink xmlns:r="http://schemas.openxmlformats.org/officeDocument/2006/relationships" ref="AG440" display="https://www.master-iriv.fr" r:id="rId1023"/>
    <hyperlink xmlns:r="http://schemas.openxmlformats.org/officeDocument/2006/relationships" ref="AI440" display="Open in EEF" r:id="rId1024"/>
    <hyperlink xmlns:r="http://schemas.openxmlformats.org/officeDocument/2006/relationships" ref="AB441" display="https://www.unistra.fr/fr/node/8168" r:id="rId1025"/>
    <hyperlink xmlns:r="http://schemas.openxmlformats.org/officeDocument/2006/relationships" ref="AG441" display="https://www.master-iriv.fr" r:id="rId1026"/>
    <hyperlink xmlns:r="http://schemas.openxmlformats.org/officeDocument/2006/relationships" ref="AI441" display="Open in EEF" r:id="rId1027"/>
    <hyperlink xmlns:r="http://schemas.openxmlformats.org/officeDocument/2006/relationships" ref="AG442" display="http://scifa.univ-lorraine.fr/" r:id="rId1028"/>
    <hyperlink xmlns:r="http://schemas.openxmlformats.org/officeDocument/2006/relationships" ref="AI442" display="Open in EEF" r:id="rId1029"/>
    <hyperlink xmlns:r="http://schemas.openxmlformats.org/officeDocument/2006/relationships" ref="AB443" display="https://observalgerie.com/2026/06/13/misc/frais-dinscription-en-france-lille-maintient-un-avantage-pour-les-etudiants-etrangers/" r:id="rId1030"/>
    <hyperlink xmlns:r="http://schemas.openxmlformats.org/officeDocument/2006/relationships" ref="AG443" display="https://formation.univ-lille.fr/fr/offre-de-formation/master-lmd-XB/master-physique-fondamentale-et-applications-MG001988/instrumentation-mesures-qualite-m2-MX002074.html" r:id="rId1031"/>
    <hyperlink xmlns:r="http://schemas.openxmlformats.org/officeDocument/2006/relationships" ref="AI443" display="Open in EEF" r:id="rId1032"/>
    <hyperlink xmlns:r="http://schemas.openxmlformats.org/officeDocument/2006/relationships" ref="AG444" display="http://www.univ-brest.fr/ufr-sciences" r:id="rId1033"/>
    <hyperlink xmlns:r="http://schemas.openxmlformats.org/officeDocument/2006/relationships" ref="AI444" display="Open in EEF" r:id="rId1034"/>
    <hyperlink xmlns:r="http://schemas.openxmlformats.org/officeDocument/2006/relationships" ref="AG445" display="http://www.univ-brest.fr/ufr-sciences" r:id="rId1035"/>
    <hyperlink xmlns:r="http://schemas.openxmlformats.org/officeDocument/2006/relationships" ref="AI445" display="Open in EEF" r:id="rId1036"/>
    <hyperlink xmlns:r="http://schemas.openxmlformats.org/officeDocument/2006/relationships" ref="AG446" display="https://www.insa-rennes.fr/master-physique-fondamentale-applications.html" r:id="rId1037"/>
    <hyperlink xmlns:r="http://schemas.openxmlformats.org/officeDocument/2006/relationships" ref="AI446" display="Open in EEF" r:id="rId1038"/>
    <hyperlink xmlns:r="http://schemas.openxmlformats.org/officeDocument/2006/relationships" ref="AG447" display="http://www.univ-brest.fr/ufr-sciences" r:id="rId1039"/>
    <hyperlink xmlns:r="http://schemas.openxmlformats.org/officeDocument/2006/relationships" ref="AI447" display="Open in EEF" r:id="rId1040"/>
    <hyperlink xmlns:r="http://schemas.openxmlformats.org/officeDocument/2006/relationships" ref="AG448" display="https://fst.univ-lorraine.fr/formations/" r:id="rId1041"/>
    <hyperlink xmlns:r="http://schemas.openxmlformats.org/officeDocument/2006/relationships" ref="AI448" display="Open in EEF" r:id="rId1042"/>
    <hyperlink xmlns:r="http://schemas.openxmlformats.org/officeDocument/2006/relationships" ref="AG449" display="https://www.insa-rennes.fr/sciences-ingenieur-applications.html" r:id="rId1043"/>
    <hyperlink xmlns:r="http://schemas.openxmlformats.org/officeDocument/2006/relationships" ref="AI449" display="Open in EEF" r:id="rId1044"/>
    <hyperlink xmlns:r="http://schemas.openxmlformats.org/officeDocument/2006/relationships" ref="AG450" display="http://sciences-techniques.u-bourgogne.fr" r:id="rId1045"/>
    <hyperlink xmlns:r="http://schemas.openxmlformats.org/officeDocument/2006/relationships" ref="AI450" display="Open in EEF" r:id="rId1046"/>
    <hyperlink xmlns:r="http://schemas.openxmlformats.org/officeDocument/2006/relationships" ref="AG451" display="https://sciences-techniques.univ-nantes.fr/" r:id="rId1047"/>
    <hyperlink xmlns:r="http://schemas.openxmlformats.org/officeDocument/2006/relationships" ref="AI451" display="Open in EEF" r:id="rId1048"/>
    <hyperlink xmlns:r="http://schemas.openxmlformats.org/officeDocument/2006/relationships" ref="AB452" display="https://observalgerie.com/2026/06/13/misc/frais-dinscription-en-france-lille-maintient-un-avantage-pour-les-etudiants-etrangers/" r:id="rId1049"/>
    <hyperlink xmlns:r="http://schemas.openxmlformats.org/officeDocument/2006/relationships" ref="AG452" display="https://formation.univ-lille.fr/fr/offre-de-formation/master-lmd-XB/master-automatique-et-systemes-electriques-MG001978/gestion-des-reseaux-d-energie-electrique-m2-MX002027.html" r:id="rId1050"/>
    <hyperlink xmlns:r="http://schemas.openxmlformats.org/officeDocument/2006/relationships" ref="AI452" display="Open in EEF" r:id="rId1051"/>
    <hyperlink xmlns:r="http://schemas.openxmlformats.org/officeDocument/2006/relationships" ref="AB453" display="https://observalgerie.com/2026/06/13/misc/frais-dinscription-en-france-lille-maintient-un-avantage-pour-les-etudiants-etrangers/" r:id="rId1052"/>
    <hyperlink xmlns:r="http://schemas.openxmlformats.org/officeDocument/2006/relationships" ref="AG453" display="https://formation.univ-lille.fr/fr/offre-de-formation/master-lmd-XB/master-automatique-et-systemes-electriques-MG001978/systemes-machines-autonomes-et-reseaux-de-terrains-m2-MX002026.html" r:id="rId1053"/>
    <hyperlink xmlns:r="http://schemas.openxmlformats.org/officeDocument/2006/relationships" ref="AI453" display="Open in EEF" r:id="rId1054"/>
    <hyperlink xmlns:r="http://schemas.openxmlformats.org/officeDocument/2006/relationships" ref="AB454" display="https://www.univ-lyon1.fr/formation/inscription-et-scolarite/etudiantes-et-etudiants-internationaux-droits-dinscription-differencies-et-exonerations" r:id="rId1055"/>
    <hyperlink xmlns:r="http://schemas.openxmlformats.org/officeDocument/2006/relationships" ref="AG454" display="http://fst-meca.univ-lyon1.fr/" r:id="rId1056"/>
    <hyperlink xmlns:r="http://schemas.openxmlformats.org/officeDocument/2006/relationships" ref="AI454" display="Open in EEF" r:id="rId1057"/>
    <hyperlink xmlns:r="http://schemas.openxmlformats.org/officeDocument/2006/relationships" ref="AG455" display="https://www.univ-angers.fr/fr/acces-directs/facultes-et-instituts/faculte-de-sante.html" r:id="rId1058"/>
    <hyperlink xmlns:r="http://schemas.openxmlformats.org/officeDocument/2006/relationships" ref="AI455" display="Open in EEF" r:id="rId1059"/>
    <hyperlink xmlns:r="http://schemas.openxmlformats.org/officeDocument/2006/relationships" ref="AG456" display="https://sciences.u-picardie.fr/accueil-ufr-sciences" r:id="rId1060"/>
    <hyperlink xmlns:r="http://schemas.openxmlformats.org/officeDocument/2006/relationships" ref="AI456" display="Open in EEF" r:id="rId1061"/>
    <hyperlink xmlns:r="http://schemas.openxmlformats.org/officeDocument/2006/relationships" ref="AG457" display="https://sciences-tech.u-pec.fr/formation/master-genie-industriel-parcours-instrumentation-de-la-pollution-atmospherique-ipa" r:id="rId1062"/>
    <hyperlink xmlns:r="http://schemas.openxmlformats.org/officeDocument/2006/relationships" ref="AI457" display="Open in EEF" r:id="rId1063"/>
    <hyperlink xmlns:r="http://schemas.openxmlformats.org/officeDocument/2006/relationships" ref="AG458" display="http://sciences-techniques.u-bourgogne.fr" r:id="rId1064"/>
    <hyperlink xmlns:r="http://schemas.openxmlformats.org/officeDocument/2006/relationships" ref="AI458" display="Open in EEF" r:id="rId1065"/>
    <hyperlink xmlns:r="http://schemas.openxmlformats.org/officeDocument/2006/relationships" ref="AG459" display="http://sciences-techniques.u-bourgogne.fr" r:id="rId1066"/>
    <hyperlink xmlns:r="http://schemas.openxmlformats.org/officeDocument/2006/relationships" ref="AI459" display="Open in EEF" r:id="rId1067"/>
    <hyperlink xmlns:r="http://schemas.openxmlformats.org/officeDocument/2006/relationships" ref="AB460" display="https://www.univ-amu.fr/fr/actualites/aix-marseille-universite-mobilise-pleinement-capacite-dexoneration-continuer-accueillir" r:id="rId1068"/>
    <hyperlink xmlns:r="http://schemas.openxmlformats.org/officeDocument/2006/relationships" ref="AG460" display="https://formations.univ-amu.fr/fr/master/5SEA/PRSEA5C4" r:id="rId1069"/>
    <hyperlink xmlns:r="http://schemas.openxmlformats.org/officeDocument/2006/relationships" ref="AI460" display="Open in EEF" r:id="rId1070"/>
    <hyperlink xmlns:r="http://schemas.openxmlformats.org/officeDocument/2006/relationships" ref="AB461" display="https://www.univ-amu.fr/fr/actualites/aix-marseille-universite-mobilise-pleinement-capacite-dexoneration-continuer-accueillir" r:id="rId1071"/>
    <hyperlink xmlns:r="http://schemas.openxmlformats.org/officeDocument/2006/relationships" ref="AG461" display="https://formations.univ-amu.fr/fr/master/5SEA/PRSEA5C2" r:id="rId1072"/>
    <hyperlink xmlns:r="http://schemas.openxmlformats.org/officeDocument/2006/relationships" ref="AI461" display="Open in EEF" r:id="rId1073"/>
    <hyperlink xmlns:r="http://schemas.openxmlformats.org/officeDocument/2006/relationships" ref="AB462" display="https://www.univ-amu.fr/fr/actualites/aix-marseille-universite-mobilise-pleinement-capacite-dexoneration-continuer-accueillir" r:id="rId1074"/>
    <hyperlink xmlns:r="http://schemas.openxmlformats.org/officeDocument/2006/relationships" ref="AG462" display="https://formations.univ-amu.fr/fr/master/5SMI/PRSMI5C1" r:id="rId1075"/>
    <hyperlink xmlns:r="http://schemas.openxmlformats.org/officeDocument/2006/relationships" ref="AI462" display="Open in EEF" r:id="rId1076"/>
    <hyperlink xmlns:r="http://schemas.openxmlformats.org/officeDocument/2006/relationships" ref="AB463" display="https://www.univ-amu.fr/fr/actualites/aix-marseille-universite-mobilise-pleinement-capacite-dexoneration-continuer-accueillir" r:id="rId1077"/>
    <hyperlink xmlns:r="http://schemas.openxmlformats.org/officeDocument/2006/relationships" ref="AG463" display="https://formations.univ-amu.fr/fr/master/5SMI/PRSMI5C3" r:id="rId1078"/>
    <hyperlink xmlns:r="http://schemas.openxmlformats.org/officeDocument/2006/relationships" ref="AI463" display="Open in EEF" r:id="rId1079"/>
    <hyperlink xmlns:r="http://schemas.openxmlformats.org/officeDocument/2006/relationships" ref="AB464" display="https://www.univ-amu.fr/fr/actualites/aix-marseille-universite-mobilise-pleinement-capacite-dexoneration-continuer-accueillir" r:id="rId1080"/>
    <hyperlink xmlns:r="http://schemas.openxmlformats.org/officeDocument/2006/relationships" ref="AG464" display="https://formations.univ-amu.fr/fr/master/5SMI/PRSMI5C4" r:id="rId1081"/>
    <hyperlink xmlns:r="http://schemas.openxmlformats.org/officeDocument/2006/relationships" ref="AI464" display="Open in EEF" r:id="rId1082"/>
    <hyperlink xmlns:r="http://schemas.openxmlformats.org/officeDocument/2006/relationships" ref="AB465" display="https://www.univ-amu.fr/fr/actualites/aix-marseille-universite-mobilise-pleinement-capacite-dexoneration-continuer-accueillir" r:id="rId1083"/>
    <hyperlink xmlns:r="http://schemas.openxmlformats.org/officeDocument/2006/relationships" ref="AG465" display="https://formations.univ-amu.fr/fr/master/5SRT/PRSRT5C1" r:id="rId1084"/>
    <hyperlink xmlns:r="http://schemas.openxmlformats.org/officeDocument/2006/relationships" ref="AI465" display="Open in EEF" r:id="rId1085"/>
    <hyperlink xmlns:r="http://schemas.openxmlformats.org/officeDocument/2006/relationships" ref="AB466" display="https://u-paris.fr/droits-dinscription-tarifs-exonerations/" r:id="rId1086"/>
    <hyperlink xmlns:r="http://schemas.openxmlformats.org/officeDocument/2006/relationships" ref="AG466" display="https://sdv.u-paris.fr" r:id="rId1087"/>
    <hyperlink xmlns:r="http://schemas.openxmlformats.org/officeDocument/2006/relationships" ref="AI466" display="Open in EEF" r:id="rId1088"/>
    <hyperlink xmlns:r="http://schemas.openxmlformats.org/officeDocument/2006/relationships" ref="AG467" display="http://www.ensisa.uha.fr" r:id="rId1089"/>
    <hyperlink xmlns:r="http://schemas.openxmlformats.org/officeDocument/2006/relationships" ref="AI467" display="Open in EEF" r:id="rId1090"/>
    <hyperlink xmlns:r="http://schemas.openxmlformats.org/officeDocument/2006/relationships" ref="AG468" display="https://igm.univ-gustave-eiffel.fr/" r:id="rId1091"/>
    <hyperlink xmlns:r="http://schemas.openxmlformats.org/officeDocument/2006/relationships" ref="AI468" display="Open in EEF" r:id="rId1092"/>
    <hyperlink xmlns:r="http://schemas.openxmlformats.org/officeDocument/2006/relationships" ref="AG469" display="https://igm.univ-gustave-eiffel.fr/" r:id="rId1093"/>
    <hyperlink xmlns:r="http://schemas.openxmlformats.org/officeDocument/2006/relationships" ref="AI469" display="Open in EEF" r:id="rId1094"/>
    <hyperlink xmlns:r="http://schemas.openxmlformats.org/officeDocument/2006/relationships" ref="AG470" display="https://igm.univ-gustave-eiffel.fr/" r:id="rId1095"/>
    <hyperlink xmlns:r="http://schemas.openxmlformats.org/officeDocument/2006/relationships" ref="AI470" display="Open in EEF" r:id="rId1096"/>
    <hyperlink xmlns:r="http://schemas.openxmlformats.org/officeDocument/2006/relationships" ref="AB471" display="https://www.univ-grenoble-alpes.fr/actualites/a-la-une/actualites-universite/etudiants-internationaux-ce-que-change-le-nouveau-decret-sur-les-droits-d-inscription-a-l-uga-1775870.kjsp" r:id="rId1097"/>
    <hyperlink xmlns:r="http://schemas.openxmlformats.org/officeDocument/2006/relationships" ref="AG471" display="https://pagora.grenoble-inp.fr/en/education/master-sustainable-printed-and-integrated-electronics" r:id="rId1098"/>
    <hyperlink xmlns:r="http://schemas.openxmlformats.org/officeDocument/2006/relationships" ref="AI471" display="Open in EEF" r:id="rId1099"/>
    <hyperlink xmlns:r="http://schemas.openxmlformats.org/officeDocument/2006/relationships" ref="AG472" display="https://igm.univ-gustave-eiffel.fr/" r:id="rId1100"/>
    <hyperlink xmlns:r="http://schemas.openxmlformats.org/officeDocument/2006/relationships" ref="AI472" display="Open in EEF" r:id="rId1101"/>
    <hyperlink xmlns:r="http://schemas.openxmlformats.org/officeDocument/2006/relationships" ref="AI473" display="Open in EEF" r:id="rId1102"/>
    <hyperlink xmlns:r="http://schemas.openxmlformats.org/officeDocument/2006/relationships" ref="AG474" location="/details-formation?type=formation&amp;id=127" display="https://formations.u-bordeaux.fr/#/details-formation?type=formation&amp;id=127" r:id="rId1103"/>
    <hyperlink xmlns:r="http://schemas.openxmlformats.org/officeDocument/2006/relationships" ref="AI474" display="Open in EEF" r:id="rId1104"/>
    <hyperlink xmlns:r="http://schemas.openxmlformats.org/officeDocument/2006/relationships" ref="AB475" display="https://www.sorbonne-universite.fr/actualites/le-conseil-dadministration-de-sorbonne-universite-vote-lunanimite-le-7-juillet-2026-sa" r:id="rId1105"/>
    <hyperlink xmlns:r="http://schemas.openxmlformats.org/officeDocument/2006/relationships" ref="AG475" display="https://sciences.sorbonne-universite.fr/masters/master-physique-fondamentale-et-applications" r:id="rId1106"/>
    <hyperlink xmlns:r="http://schemas.openxmlformats.org/officeDocument/2006/relationships" ref="AI475" display="Open in EEF" r:id="rId1107"/>
    <hyperlink xmlns:r="http://schemas.openxmlformats.org/officeDocument/2006/relationships" ref="AB476" display="https://www.univ-grenoble-alpes.fr/actualites/a-la-une/actualites-universite/etudiants-internationaux-ce-que-change-le-nouveau-decret-sur-les-droits-d-inscription-a-l-uga-1775870.kjsp" r:id="rId1108"/>
    <hyperlink xmlns:r="http://schemas.openxmlformats.org/officeDocument/2006/relationships" ref="AG476" location="page-presentation" display="https://phelma.grenoble-inp.fr/fr/formation/master-physique-parcours-photonique-et-semi-conducteurs-m2#page-presentation" r:id="rId1109"/>
    <hyperlink xmlns:r="http://schemas.openxmlformats.org/officeDocument/2006/relationships" ref="AI476" display="Open in EEF" r:id="rId1110"/>
    <hyperlink xmlns:r="http://schemas.openxmlformats.org/officeDocument/2006/relationships" ref="AG477" display="http://www.enseeiht.fr" r:id="rId1111"/>
    <hyperlink xmlns:r="http://schemas.openxmlformats.org/officeDocument/2006/relationships" ref="AI477" display="Open in EEF" r:id="rId1112"/>
    <hyperlink xmlns:r="http://schemas.openxmlformats.org/officeDocument/2006/relationships" ref="AB478" display="https://www.univ-amu.fr/fr/actualites/aix-marseille-universite-mobilise-pleinement-capacite-dexoneration-continuer-accueillir" r:id="rId1113"/>
    <hyperlink xmlns:r="http://schemas.openxmlformats.org/officeDocument/2006/relationships" ref="AG478" display="https://formations.univ-amu.fr/fr/master/5SEA/PRSEA5C3" r:id="rId1114"/>
    <hyperlink xmlns:r="http://schemas.openxmlformats.org/officeDocument/2006/relationships" ref="AI478" display="Open in EEF" r:id="rId1115"/>
    <hyperlink xmlns:r="http://schemas.openxmlformats.org/officeDocument/2006/relationships" ref="AB479" display="https://www.sorbonne-universite.fr/actualites/le-conseil-dadministration-de-sorbonne-universite-vote-lunanimite-le-7-juillet-2026-sa" r:id="rId1116"/>
    <hyperlink xmlns:r="http://schemas.openxmlformats.org/officeDocument/2006/relationships" ref="AG479" display="https://masters-sdi.sorbonne-universite.fr/automatique-robotique" r:id="rId1117"/>
    <hyperlink xmlns:r="http://schemas.openxmlformats.org/officeDocument/2006/relationships" ref="AI479" display="Open in EEF" r:id="rId1118"/>
    <hyperlink xmlns:r="http://schemas.openxmlformats.org/officeDocument/2006/relationships" ref="AG480" display="http://www.ens.fr" r:id="rId1119"/>
    <hyperlink xmlns:r="http://schemas.openxmlformats.org/officeDocument/2006/relationships" ref="AI480" display="Open in EEF" r:id="rId1120"/>
    <hyperlink xmlns:r="http://schemas.openxmlformats.org/officeDocument/2006/relationships" ref="AG481" display="http://www.ens-rennes.fr/" r:id="rId1121"/>
    <hyperlink xmlns:r="http://schemas.openxmlformats.org/officeDocument/2006/relationships" ref="AI481" display="Open in EEF" r:id="rId1122"/>
    <hyperlink xmlns:r="http://schemas.openxmlformats.org/officeDocument/2006/relationships" ref="AG482" display="http://www.enib.fr" r:id="rId1123"/>
    <hyperlink xmlns:r="http://schemas.openxmlformats.org/officeDocument/2006/relationships" ref="AI482" display="Open in EEF" r:id="rId1124"/>
    <hyperlink xmlns:r="http://schemas.openxmlformats.org/officeDocument/2006/relationships" ref="AG483" display="http://www.imt-atlantique.fr" r:id="rId1125"/>
    <hyperlink xmlns:r="http://schemas.openxmlformats.org/officeDocument/2006/relationships" ref="AI483" display="Open in EEF" r:id="rId1126"/>
    <hyperlink xmlns:r="http://schemas.openxmlformats.org/officeDocument/2006/relationships" ref="AG484" display="http://www.espci.fr" r:id="rId1127"/>
    <hyperlink xmlns:r="http://schemas.openxmlformats.org/officeDocument/2006/relationships" ref="AI484" display="Open in EEF" r:id="rId1128"/>
    <hyperlink xmlns:r="http://schemas.openxmlformats.org/officeDocument/2006/relationships" ref="AG485" display="http://www.ensea.fr" r:id="rId1129"/>
    <hyperlink xmlns:r="http://schemas.openxmlformats.org/officeDocument/2006/relationships" ref="AI485" display="Open in EEF" r:id="rId1130"/>
    <hyperlink xmlns:r="http://schemas.openxmlformats.org/officeDocument/2006/relationships" ref="AI486" display="Open in EEF" r:id="rId1131"/>
    <hyperlink xmlns:r="http://schemas.openxmlformats.org/officeDocument/2006/relationships" ref="AG487" display="http://www.enib.fr" r:id="rId1132"/>
    <hyperlink xmlns:r="http://schemas.openxmlformats.org/officeDocument/2006/relationships" ref="AI487" display="Open in EEF" r:id="rId1133"/>
    <hyperlink xmlns:r="http://schemas.openxmlformats.org/officeDocument/2006/relationships" ref="AG488" display="http://www.ifma.fr" r:id="rId1134"/>
    <hyperlink xmlns:r="http://schemas.openxmlformats.org/officeDocument/2006/relationships" ref="AI488" display="Open in EEF" r:id="rId1135"/>
    <hyperlink xmlns:r="http://schemas.openxmlformats.org/officeDocument/2006/relationships" ref="AG489" display="http://www.insa-toulouse.fr/fr/formation.html" r:id="rId1136"/>
    <hyperlink xmlns:r="http://schemas.openxmlformats.org/officeDocument/2006/relationships" ref="AI489" display="Open in EEF" r:id="rId1137"/>
    <hyperlink xmlns:r="http://schemas.openxmlformats.org/officeDocument/2006/relationships" ref="AG490" display="http://www.ensea.fr" r:id="rId1138"/>
    <hyperlink xmlns:r="http://schemas.openxmlformats.org/officeDocument/2006/relationships" ref="AI490" display="Open in EEF" r:id="rId1139"/>
    <hyperlink xmlns:r="http://schemas.openxmlformats.org/officeDocument/2006/relationships" ref="AG491" display="http://www.ismin.fr" r:id="rId1140"/>
    <hyperlink xmlns:r="http://schemas.openxmlformats.org/officeDocument/2006/relationships" ref="AI491" display="Open in EEF" r:id="rId1141"/>
    <hyperlink xmlns:r="http://schemas.openxmlformats.org/officeDocument/2006/relationships" ref="AG492" display="https://www.ip-paris.fr/en/education/masters/electrical-engineering-program/master-year-2-optical-networks-and-photonic-systems" r:id="rId1142"/>
    <hyperlink xmlns:r="http://schemas.openxmlformats.org/officeDocument/2006/relationships" ref="AI492" display="Open in EEF" r:id="rId1143"/>
    <hyperlink xmlns:r="http://schemas.openxmlformats.org/officeDocument/2006/relationships" ref="AG493" display="https://www.ip-paris.fr/education/masters/mention-electronique-energie-electrique-et-automatique-e3a/master-2-systemes-radio" r:id="rId1144"/>
    <hyperlink xmlns:r="http://schemas.openxmlformats.org/officeDocument/2006/relationships" ref="AI493" display="Open in EEF" r:id="rId1145"/>
    <hyperlink xmlns:r="http://schemas.openxmlformats.org/officeDocument/2006/relationships" ref="AG494" display="http://www.univ-reims.fr/eisine/" r:id="rId1146"/>
    <hyperlink xmlns:r="http://schemas.openxmlformats.org/officeDocument/2006/relationships" ref="AI494" display="Open in EEF" r:id="rId1147"/>
    <hyperlink xmlns:r="http://schemas.openxmlformats.org/officeDocument/2006/relationships" ref="AG495" display="https://www.mines-stetienne.fr/en/academic/msc-mathematical-imaging-and-spatial-pattern-analysis-mispa/" r:id="rId1148"/>
    <hyperlink xmlns:r="http://schemas.openxmlformats.org/officeDocument/2006/relationships" ref="AI495" display="Open in EEF" r:id="rId1149"/>
    <hyperlink xmlns:r="http://schemas.openxmlformats.org/officeDocument/2006/relationships" ref="AI496" display="Open in EEF" r:id="rId1150"/>
    <hyperlink xmlns:r="http://schemas.openxmlformats.org/officeDocument/2006/relationships" ref="AG497" display="http://www.mines-stetienne.fr/formation-mines-saint-etienne/" r:id="rId1151"/>
    <hyperlink xmlns:r="http://schemas.openxmlformats.org/officeDocument/2006/relationships" ref="AI497" display="Open in EEF" r:id="rId1152"/>
    <hyperlink xmlns:r="http://schemas.openxmlformats.org/officeDocument/2006/relationships" ref="AG498" display="https://imt-nord-europe.fr/annuaire-formations/ingenieur-generaliste/" r:id="rId1153"/>
    <hyperlink xmlns:r="http://schemas.openxmlformats.org/officeDocument/2006/relationships" ref="AI498" display="Open in EEF" r:id="rId1154"/>
    <hyperlink xmlns:r="http://schemas.openxmlformats.org/officeDocument/2006/relationships" ref="AG499" display="http://www.mines-stetienne.fr/formation-mines-saint-etienne/" r:id="rId1155"/>
    <hyperlink xmlns:r="http://schemas.openxmlformats.org/officeDocument/2006/relationships" ref="AI499" display="Open in EEF" r:id="rId1156"/>
    <hyperlink xmlns:r="http://schemas.openxmlformats.org/officeDocument/2006/relationships" ref="AG500" display="http://www.mines-stetienne.fr/formation-mines-saint-etienne/" r:id="rId1157"/>
    <hyperlink xmlns:r="http://schemas.openxmlformats.org/officeDocument/2006/relationships" ref="AI500" display="Open in EEF" r:id="rId1158"/>
    <hyperlink xmlns:r="http://schemas.openxmlformats.org/officeDocument/2006/relationships" ref="AG501" display="http://www.ensta-paristech.fr" r:id="rId1159"/>
    <hyperlink xmlns:r="http://schemas.openxmlformats.org/officeDocument/2006/relationships" ref="AI501" display="Open in EEF" r:id="rId1160"/>
    <hyperlink xmlns:r="http://schemas.openxmlformats.org/officeDocument/2006/relationships" ref="AG502" display="https://eeap.cnam.fr" r:id="rId1161"/>
    <hyperlink xmlns:r="http://schemas.openxmlformats.org/officeDocument/2006/relationships" ref="AI502" display="Open in EEF" r:id="rId1162"/>
    <hyperlink xmlns:r="http://schemas.openxmlformats.org/officeDocument/2006/relationships" ref="AG503" display="http://www.enseirb-matmeca.fr" r:id="rId1163"/>
    <hyperlink xmlns:r="http://schemas.openxmlformats.org/officeDocument/2006/relationships" ref="AI503" display="Open in EEF" r:id="rId1164"/>
    <hyperlink xmlns:r="http://schemas.openxmlformats.org/officeDocument/2006/relationships" ref="AG504" display="https://www.eseo.fr/formations/prepa-ingenieur-informatique-electronique/" r:id="rId1165"/>
    <hyperlink xmlns:r="http://schemas.openxmlformats.org/officeDocument/2006/relationships" ref="AI504" display="Open in EEF" r:id="rId1166"/>
    <hyperlink xmlns:r="http://schemas.openxmlformats.org/officeDocument/2006/relationships" ref="AG505" display="https://www.eseo.fr/formations/prepa-ingenieur-informatique-electronique/" r:id="rId1167"/>
    <hyperlink xmlns:r="http://schemas.openxmlformats.org/officeDocument/2006/relationships" ref="AI505" display="Open in EEF" r:id="rId1168"/>
    <hyperlink xmlns:r="http://schemas.openxmlformats.org/officeDocument/2006/relationships" ref="AG506" display="https://www.eseo.fr/formations/prepa-ingenieur-informatique-electronique/" r:id="rId1169"/>
    <hyperlink xmlns:r="http://schemas.openxmlformats.org/officeDocument/2006/relationships" ref="AI506" display="Open in EEF" r:id="rId1170"/>
    <hyperlink xmlns:r="http://schemas.openxmlformats.org/officeDocument/2006/relationships" ref="AG507" display="https://www.epf.fr/formations/diplome-ingenieur-franco-allemand" r:id="rId1171"/>
    <hyperlink xmlns:r="http://schemas.openxmlformats.org/officeDocument/2006/relationships" ref="AI507" display="Open in EEF" r:id="rId1172"/>
    <hyperlink xmlns:r="http://schemas.openxmlformats.org/officeDocument/2006/relationships" ref="AG508" display="https://polytech.univ-nantes.fr/integrer-polytech-nantes/masters-internationaux/electrical-energy-master-s-degree-ee--2355193.kjsp?RH=1382971139912" r:id="rId1173"/>
    <hyperlink xmlns:r="http://schemas.openxmlformats.org/officeDocument/2006/relationships" ref="AI508" display="Open in EEF" r:id="rId1174"/>
    <hyperlink xmlns:r="http://schemas.openxmlformats.org/officeDocument/2006/relationships" ref="AG509" display="https://imt-nord-europe.fr/annuaire-formations/ingenieur-generaliste-par-la-formation-continue/" r:id="rId1175"/>
    <hyperlink xmlns:r="http://schemas.openxmlformats.org/officeDocument/2006/relationships" ref="AI509" display="Open in EEF" r:id="rId1176"/>
    <hyperlink xmlns:r="http://schemas.openxmlformats.org/officeDocument/2006/relationships" ref="AI510" display="Open in EEF" r:id="rId1177"/>
    <hyperlink xmlns:r="http://schemas.openxmlformats.org/officeDocument/2006/relationships" ref="AG511" display="http://www.enssat.fr/" r:id="rId1178"/>
    <hyperlink xmlns:r="http://schemas.openxmlformats.org/officeDocument/2006/relationships" ref="AI511" display="Open in EEF" r:id="rId1179"/>
    <hyperlink xmlns:r="http://schemas.openxmlformats.org/officeDocument/2006/relationships" ref="AG512" display="http://www.itiibretagne.fr" r:id="rId1180"/>
    <hyperlink xmlns:r="http://schemas.openxmlformats.org/officeDocument/2006/relationships" ref="AI512" display="Open in EEF" r:id="rId1181"/>
    <hyperlink xmlns:r="http://schemas.openxmlformats.org/officeDocument/2006/relationships" ref="AG513" display="http://www.ensiie.fr" r:id="rId1182"/>
    <hyperlink xmlns:r="http://schemas.openxmlformats.org/officeDocument/2006/relationships" ref="AI513" display="Open in EEF" r:id="rId1183"/>
    <hyperlink xmlns:r="http://schemas.openxmlformats.org/officeDocument/2006/relationships" ref="AG514" display="http://www.itii-iledefrance.fr:8080/article.php3?id_article=1" r:id="rId1184"/>
    <hyperlink xmlns:r="http://schemas.openxmlformats.org/officeDocument/2006/relationships" ref="AI514" display="Open in EEF" r:id="rId1185"/>
    <hyperlink xmlns:r="http://schemas.openxmlformats.org/officeDocument/2006/relationships" ref="AG515" display="http://www.itiibretagne.fr" r:id="rId1186"/>
    <hyperlink xmlns:r="http://schemas.openxmlformats.org/officeDocument/2006/relationships" ref="AI515" display="Open in EEF" r:id="rId1187"/>
    <hyperlink xmlns:r="http://schemas.openxmlformats.org/officeDocument/2006/relationships" ref="AG516" display="http://www.itii-iledefrance.fr:8080/article.php3?id_article=1" r:id="rId1188"/>
    <hyperlink xmlns:r="http://schemas.openxmlformats.org/officeDocument/2006/relationships" ref="AI516" display="Open in EEF" r:id="rId1189"/>
    <hyperlink xmlns:r="http://schemas.openxmlformats.org/officeDocument/2006/relationships" ref="AG517" display="http://www.itii-pdl.com" r:id="rId1190"/>
    <hyperlink xmlns:r="http://schemas.openxmlformats.org/officeDocument/2006/relationships" ref="AI517" display="Open in EEF" r:id="rId1191"/>
    <hyperlink xmlns:r="http://schemas.openxmlformats.org/officeDocument/2006/relationships" ref="AG518" display="http://www.itii-iledefrance.fr:8080/article.php3?id_article=1" r:id="rId1192"/>
    <hyperlink xmlns:r="http://schemas.openxmlformats.org/officeDocument/2006/relationships" ref="AI518" display="Open in EEF" r:id="rId1193"/>
    <hyperlink xmlns:r="http://schemas.openxmlformats.org/officeDocument/2006/relationships" ref="AB519" display="https://www.univ-grenoble-alpes.fr/actualites/a-la-une/actualites-universite/etudiants-internationaux-ce-que-change-le-nouveau-decret-sur-les-droits-d-inscription-a-l-uga-1775870.kjsp" r:id="rId1194"/>
    <hyperlink xmlns:r="http://schemas.openxmlformats.org/officeDocument/2006/relationships" ref="AG519" display="http://www.grenoble-inp.fr" r:id="rId1195"/>
    <hyperlink xmlns:r="http://schemas.openxmlformats.org/officeDocument/2006/relationships" ref="AI519" display="Open in EEF" r:id="rId1196"/>
    <hyperlink xmlns:r="http://schemas.openxmlformats.org/officeDocument/2006/relationships" ref="AG520" display="http://www.itii-franche-comte.org" r:id="rId1197"/>
    <hyperlink xmlns:r="http://schemas.openxmlformats.org/officeDocument/2006/relationships" ref="AI520" display="Open in EEF" r:id="rId1198"/>
    <hyperlink xmlns:r="http://schemas.openxmlformats.org/officeDocument/2006/relationships" ref="AG521" display="http://www.cnam-alsace.fr" r:id="rId1199"/>
    <hyperlink xmlns:r="http://schemas.openxmlformats.org/officeDocument/2006/relationships" ref="AI521" display="Open in EEF" r:id="rId1200"/>
    <hyperlink xmlns:r="http://schemas.openxmlformats.org/officeDocument/2006/relationships" ref="AG522" display="http://www.formationcnampicardie.com" r:id="rId1201"/>
    <hyperlink xmlns:r="http://schemas.openxmlformats.org/officeDocument/2006/relationships" ref="AI522" display="Open in EEF" r:id="rId1202"/>
    <hyperlink xmlns:r="http://schemas.openxmlformats.org/officeDocument/2006/relationships" ref="AG523" display="http://www.promeo-formation.fr" r:id="rId1203"/>
    <hyperlink xmlns:r="http://schemas.openxmlformats.org/officeDocument/2006/relationships" ref="AI523" display="Open in EEF" r:id="rId1204"/>
    <hyperlink xmlns:r="http://schemas.openxmlformats.org/officeDocument/2006/relationships" ref="AG524" display="http://www.formationcnampicardie.com" r:id="rId1205"/>
    <hyperlink xmlns:r="http://schemas.openxmlformats.org/officeDocument/2006/relationships" ref="AI524" display="Open in EEF" r:id="rId1206"/>
    <hyperlink xmlns:r="http://schemas.openxmlformats.org/officeDocument/2006/relationships" ref="AI525" display="Open in EEF" r:id="rId1207"/>
    <hyperlink xmlns:r="http://schemas.openxmlformats.org/officeDocument/2006/relationships" ref="AI526" display="Open in EEF" r:id="rId1208"/>
    <hyperlink xmlns:r="http://schemas.openxmlformats.org/officeDocument/2006/relationships" ref="AG527" display="https://www.telecom-sudparis.eu/formation/ingenieur-informatique-reseaux-apprentissage/" r:id="rId1209"/>
    <hyperlink xmlns:r="http://schemas.openxmlformats.org/officeDocument/2006/relationships" ref="AI527" display="Open in EEF" r:id="rId1210"/>
    <hyperlink xmlns:r="http://schemas.openxmlformats.org/officeDocument/2006/relationships" ref="AB528" display="https://www.umlp.fr/sites/default/files/2026-07-02-page-droits-differencies-vf.pdf" r:id="rId1211"/>
    <hyperlink xmlns:r="http://schemas.openxmlformats.org/officeDocument/2006/relationships" ref="AG528" display="https://gradschool.eiphi.ubfc.fr/?page_id=1357" r:id="rId1212"/>
    <hyperlink xmlns:r="http://schemas.openxmlformats.org/officeDocument/2006/relationships" ref="AI528" display="Open in EEF" r:id="rId1213"/>
    <hyperlink xmlns:r="http://schemas.openxmlformats.org/officeDocument/2006/relationships" ref="AG529" display="https://www.unilim.fr/gradschool-ceramics-ict/" r:id="rId1214"/>
    <hyperlink xmlns:r="http://schemas.openxmlformats.org/officeDocument/2006/relationships" ref="AI529" display="Open in EEF" r:id="rId1215"/>
    <hyperlink xmlns:r="http://schemas.openxmlformats.org/officeDocument/2006/relationships" ref="AG530" display="http://sciences-tech.u-pec.fr" r:id="rId1216"/>
    <hyperlink xmlns:r="http://schemas.openxmlformats.org/officeDocument/2006/relationships" ref="AI530" display="Open in EEF" r:id="rId1217"/>
    <hyperlink xmlns:r="http://schemas.openxmlformats.org/officeDocument/2006/relationships" ref="AG531" display="https://www.univ-angers.fr/fr/acces-directs/facultes-et-instituts/polytech-angers.html" r:id="rId1218"/>
    <hyperlink xmlns:r="http://schemas.openxmlformats.org/officeDocument/2006/relationships" ref="AI531" display="Open in EEF" r:id="rId1219"/>
    <hyperlink xmlns:r="http://schemas.openxmlformats.org/officeDocument/2006/relationships" ref="AI532" display="Open in EEF" r:id="rId1220"/>
    <hyperlink xmlns:r="http://schemas.openxmlformats.org/officeDocument/2006/relationships" ref="AB533" display="https://observalgerie.com/2026/06/13/misc/frais-dinscription-en-france-lille-maintient-un-avantage-pour-les-etudiants-etrangers/" r:id="rId1221"/>
    <hyperlink xmlns:r="http://schemas.openxmlformats.org/officeDocument/2006/relationships" ref="AG533" display="https://formation.univ-lille.fr/fr/offre-de-formation/master-lmd-XB/master-informatique-MG001981/computer-sciences-MX195387.html" r:id="rId1222"/>
    <hyperlink xmlns:r="http://schemas.openxmlformats.org/officeDocument/2006/relationships" ref="AI533" display="Open in EEF" r:id="rId1223"/>
    <hyperlink xmlns:r="http://schemas.openxmlformats.org/officeDocument/2006/relationships" ref="AG534" display="http://www.ut-capitole.fr" r:id="rId1224"/>
    <hyperlink xmlns:r="http://schemas.openxmlformats.org/officeDocument/2006/relationships" ref="AI534" display="Open in EEF" r:id="rId1225"/>
    <hyperlink xmlns:r="http://schemas.openxmlformats.org/officeDocument/2006/relationships" ref="AG535" display="http://cni.istic.univ-rennes.fr/" r:id="rId1226"/>
    <hyperlink xmlns:r="http://schemas.openxmlformats.org/officeDocument/2006/relationships" ref="AI535" display="Open in EEF" r:id="rId1227"/>
    <hyperlink xmlns:r="http://schemas.openxmlformats.org/officeDocument/2006/relationships" ref="AG536" display="http://www.univ-brest.fr/ufr-sciences" r:id="rId1228"/>
    <hyperlink xmlns:r="http://schemas.openxmlformats.org/officeDocument/2006/relationships" ref="AI536" display="Open in EEF" r:id="rId1229"/>
    <hyperlink xmlns:r="http://schemas.openxmlformats.org/officeDocument/2006/relationships" ref="AG537" display="https://univ-cotedazur.fr/formation/offre-de-formation/parcours-de-master/master-informatique-m2-parcours-ubinet" r:id="rId1230"/>
    <hyperlink xmlns:r="http://schemas.openxmlformats.org/officeDocument/2006/relationships" ref="AI537" display="Open in EEF" r:id="rId1231"/>
    <hyperlink xmlns:r="http://schemas.openxmlformats.org/officeDocument/2006/relationships" ref="AG538" display="https://istic.univ-rennes.fr/en/financial-technologies-track-eit-digital-master-school" r:id="rId1232"/>
    <hyperlink xmlns:r="http://schemas.openxmlformats.org/officeDocument/2006/relationships" ref="AI538" display="Open in EEF" r:id="rId1233"/>
    <hyperlink xmlns:r="http://schemas.openxmlformats.org/officeDocument/2006/relationships" ref="AB539" display="https://observalgerie.com/2026/06/13/misc/frais-dinscription-en-france-lille-maintient-un-avantage-pour-les-etudiants-etrangers/" r:id="rId1234"/>
    <hyperlink xmlns:r="http://schemas.openxmlformats.org/officeDocument/2006/relationships" ref="AG539" display="https://formation.univ-lille.fr/fr/offre-de-formation/master-lmd-XB/master-informatique-MG001981/computer-sciences-MX195387.html" r:id="rId1235"/>
    <hyperlink xmlns:r="http://schemas.openxmlformats.org/officeDocument/2006/relationships" ref="AI539" display="Open in EEF" r:id="rId1236"/>
    <hyperlink xmlns:r="http://schemas.openxmlformats.org/officeDocument/2006/relationships" ref="AB540" display="https://observalgerie.com/2026/06/13/misc/frais-dinscription-en-france-lille-maintient-un-avantage-pour-les-etudiants-etrangers/" r:id="rId1237"/>
    <hyperlink xmlns:r="http://schemas.openxmlformats.org/officeDocument/2006/relationships" ref="AG540" display="https://formation.univ-lille.fr/fr/offre-de-formation/master-lmd-XB/master-science-des-donnees-MG020709/data-science-MX148265.html" r:id="rId1238"/>
    <hyperlink xmlns:r="http://schemas.openxmlformats.org/officeDocument/2006/relationships" ref="AI540" display="Open in EEF" r:id="rId1239"/>
    <hyperlink xmlns:r="http://schemas.openxmlformats.org/officeDocument/2006/relationships" ref="AB541" display="https://www.sorbonne-universite.fr/actualites/le-conseil-dadministration-de-sorbonne-universite-vote-lunanimite-le-7-juillet-2026-sa" r:id="rId1240"/>
    <hyperlink xmlns:r="http://schemas.openxmlformats.org/officeDocument/2006/relationships" ref="AG541" display="https://sciences.sorbonne-universite.fr/en/masters/master-computer-science/qi" r:id="rId1241"/>
    <hyperlink xmlns:r="http://schemas.openxmlformats.org/officeDocument/2006/relationships" ref="AI541" display="Open in EEF" r:id="rId1242"/>
    <hyperlink xmlns:r="http://schemas.openxmlformats.org/officeDocument/2006/relationships" ref="AB542" display="https://www.sorbonne-universite.fr/actualites/le-conseil-dadministration-de-sorbonne-universite-vote-lunanimite-le-7-juillet-2026-sa" r:id="rId1243"/>
    <hyperlink xmlns:r="http://schemas.openxmlformats.org/officeDocument/2006/relationships" ref="AG542" display="https://sciences.sorbonne-universite.fr/en/formation-sciences/masters/master-informatique/digit-international" r:id="rId1244"/>
    <hyperlink xmlns:r="http://schemas.openxmlformats.org/officeDocument/2006/relationships" ref="AI542" display="Open in EEF" r:id="rId1245"/>
    <hyperlink xmlns:r="http://schemas.openxmlformats.org/officeDocument/2006/relationships" ref="AB543" display="https://www.sorbonne-universite.fr/actualites/le-conseil-dadministration-de-sorbonne-universite-vote-lunanimite-le-7-juillet-2026-sa" r:id="rId1246"/>
    <hyperlink xmlns:r="http://schemas.openxmlformats.org/officeDocument/2006/relationships" ref="AG543" display="https://sciences.sorbonne-universite.fr/en/Masters/masters-degree-mathematics-and-applications/masters-high-performance-computing-hpc" r:id="rId1247"/>
    <hyperlink xmlns:r="http://schemas.openxmlformats.org/officeDocument/2006/relationships" ref="AI543" display="Open in EEF" r:id="rId1248"/>
    <hyperlink xmlns:r="http://schemas.openxmlformats.org/officeDocument/2006/relationships" ref="AB544" display="https://www.univ-grenoble-alpes.fr/actualites/a-la-une/actualites-universite/etudiants-internationaux-ce-que-change-le-nouveau-decret-sur-les-droits-d-inscription-a-l-uga-1775870.kjsp" r:id="rId1249"/>
    <hyperlink xmlns:r="http://schemas.openxmlformats.org/officeDocument/2006/relationships" ref="AG544" display="https://m-ai.imag.fr/" r:id="rId1250"/>
    <hyperlink xmlns:r="http://schemas.openxmlformats.org/officeDocument/2006/relationships" ref="AI544" display="Open in EEF" r:id="rId1251"/>
    <hyperlink xmlns:r="http://schemas.openxmlformats.org/officeDocument/2006/relationships" ref="AG545" display="https://formations.uphf.fr/fr/formations/master-master/master-informatique-KZZQ4B8O/information-technology-for-smart-and-sustainable-mobility-it4ssm-eunice-alliance-LS4R6Q1G.html" r:id="rId1252"/>
    <hyperlink xmlns:r="http://schemas.openxmlformats.org/officeDocument/2006/relationships" ref="AI545" display="Open in EEF" r:id="rId1253"/>
    <hyperlink xmlns:r="http://schemas.openxmlformats.org/officeDocument/2006/relationships" ref="AB546" display="https://www.univ-grenoble-alpes.fr/actualites/a-la-une/actualites-universite/etudiants-internationaux-ce-que-change-le-nouveau-decret-sur-les-droits-d-inscription-a-l-uga-1775870.kjsp" r:id="rId1254"/>
    <hyperlink xmlns:r="http://schemas.openxmlformats.org/officeDocument/2006/relationships" ref="AG546" display="https://mosig.imag.fr/" r:id="rId1255"/>
    <hyperlink xmlns:r="http://schemas.openxmlformats.org/officeDocument/2006/relationships" ref="AI546" display="Open in EEF" r:id="rId1256"/>
    <hyperlink xmlns:r="http://schemas.openxmlformats.org/officeDocument/2006/relationships" ref="AB547" display="https://www.univ-grenoble-alpes.fr/actualites/a-la-une/actualites-universite/etudiants-internationaux-ce-que-change-le-nouveau-decret-sur-les-droits-d-inscription-a-l-uga-1775870.kjsp" r:id="rId1257"/>
    <hyperlink xmlns:r="http://schemas.openxmlformats.org/officeDocument/2006/relationships" ref="AG547" display="https://m-ai.imag.fr/" r:id="rId1258"/>
    <hyperlink xmlns:r="http://schemas.openxmlformats.org/officeDocument/2006/relationships" ref="AI547" display="Open in EEF" r:id="rId1259"/>
    <hyperlink xmlns:r="http://schemas.openxmlformats.org/officeDocument/2006/relationships" ref="AB548" display="https://www.univ-grenoble-alpes.fr/actualites/a-la-une/actualites-universite/etudiants-internationaux-ce-que-change-le-nouveau-decret-sur-les-droits-d-inscription-a-l-uga-1775870.kjsp" r:id="rId1260"/>
    <hyperlink xmlns:r="http://schemas.openxmlformats.org/officeDocument/2006/relationships" ref="AG548" display="https://im2ag.univ-grenoble-alpes.fr/formation/offre-de-formation/" r:id="rId1261"/>
    <hyperlink xmlns:r="http://schemas.openxmlformats.org/officeDocument/2006/relationships" ref="AI548" display="Open in EEF" r:id="rId1262"/>
    <hyperlink xmlns:r="http://schemas.openxmlformats.org/officeDocument/2006/relationships" ref="AB549" display="https://www.umlp.fr/sites/default/files/2026-07-02-page-droits-differencies-vf.pdf" r:id="rId1263"/>
    <hyperlink xmlns:r="http://schemas.openxmlformats.org/officeDocument/2006/relationships" ref="AG549" location="/program/3544" display="https://taughtie.campusfrance.org/tiesearch/#/program/3544" r:id="rId1264"/>
    <hyperlink xmlns:r="http://schemas.openxmlformats.org/officeDocument/2006/relationships" ref="AI549" display="Open in EEF" r:id="rId1265"/>
    <hyperlink xmlns:r="http://schemas.openxmlformats.org/officeDocument/2006/relationships" ref="AB550" display="https://www.univ-grenoble-alpes.fr/actualites/a-la-une/actualites-universite/etudiants-internationaux-ce-que-change-le-nouveau-decret-sur-les-droits-d-inscription-a-l-uga-1775870.kjsp" r:id="rId1266"/>
    <hyperlink xmlns:r="http://schemas.openxmlformats.org/officeDocument/2006/relationships" ref="AG550" display="https://mosig.imag.fr" r:id="rId1267"/>
    <hyperlink xmlns:r="http://schemas.openxmlformats.org/officeDocument/2006/relationships" ref="AI550" display="Open in EEF" r:id="rId1268"/>
    <hyperlink xmlns:r="http://schemas.openxmlformats.org/officeDocument/2006/relationships" ref="AB551" display="https://www.uca.fr/medias/fichier/delib-ca-20251205-15-tarifs-differencies_1765204050111-pdf" r:id="rId1269"/>
    <hyperlink xmlns:r="http://schemas.openxmlformats.org/officeDocument/2006/relationships" ref="AG551" display="https://www.uca.fr/formation/nos-formations/catalogue-des-formations/master-info" r:id="rId1270"/>
    <hyperlink xmlns:r="http://schemas.openxmlformats.org/officeDocument/2006/relationships" ref="AI551" display="Open in EEF" r:id="rId1271"/>
    <hyperlink xmlns:r="http://schemas.openxmlformats.org/officeDocument/2006/relationships" ref="AB552" display="https://www.umlp.fr/sites/default/files/2026-07-02-page-droits-differencies-vf.pdf" r:id="rId1272"/>
    <hyperlink xmlns:r="http://schemas.openxmlformats.org/officeDocument/2006/relationships" ref="AG552" location="/program/3544" display="https://taughtie.campusfrance.org/tiesearch/#/program/3544" r:id="rId1273"/>
    <hyperlink xmlns:r="http://schemas.openxmlformats.org/officeDocument/2006/relationships" ref="AI552" display="Open in EEF" r:id="rId1274"/>
    <hyperlink xmlns:r="http://schemas.openxmlformats.org/officeDocument/2006/relationships" ref="AG553" display="https://formations.uphf.fr/fr/formations/master-master/master-informatique-KZZQ4B8O/information-technology-for-smart-and-sustainable-mobility-it4ssm-eunice-alliance-LS4R6Q1G.html" r:id="rId1275"/>
    <hyperlink xmlns:r="http://schemas.openxmlformats.org/officeDocument/2006/relationships" ref="AI553" display="Open in EEF" r:id="rId1276"/>
    <hyperlink xmlns:r="http://schemas.openxmlformats.org/officeDocument/2006/relationships" ref="AG554" display="https://formation.univ-pau.fr/fr/catalogue/master-XB/master-mention-mathematiques-et-applications-L3Y9AGO1/parcours-methodes-stochastiques-et-informatiques-pour-la-decision-L3Y9BRCU.html" r:id="rId1277"/>
    <hyperlink xmlns:r="http://schemas.openxmlformats.org/officeDocument/2006/relationships" ref="AI554" display="Open in EEF" r:id="rId1278"/>
    <hyperlink xmlns:r="http://schemas.openxmlformats.org/officeDocument/2006/relationships" ref="AG555" display="https://sciences-techniques.univ-nantes.fr/formations/masters/graduate-programme-smart-computing-master-level" r:id="rId1279"/>
    <hyperlink xmlns:r="http://schemas.openxmlformats.org/officeDocument/2006/relationships" ref="AI555" display="Open in EEF" r:id="rId1280"/>
    <hyperlink xmlns:r="http://schemas.openxmlformats.org/officeDocument/2006/relationships" ref="AG556" display="https://univ-cotedazur.fr/formation/offre-de-formation/parcours-de-master/master-informatique-parcours-intelligence-artificielle" r:id="rId1281"/>
    <hyperlink xmlns:r="http://schemas.openxmlformats.org/officeDocument/2006/relationships" ref="AI556" display="Open in EEF" r:id="rId1282"/>
    <hyperlink xmlns:r="http://schemas.openxmlformats.org/officeDocument/2006/relationships" ref="AG557" display="https://ai4ci.eu/" r:id="rId1283"/>
    <hyperlink xmlns:r="http://schemas.openxmlformats.org/officeDocument/2006/relationships" ref="AI557" display="Open in EEF" r:id="rId1284"/>
    <hyperlink xmlns:r="http://schemas.openxmlformats.org/officeDocument/2006/relationships" ref="AG558" display="https://univ-cotedazur.fr/formation/offre-de-formation/parcours-de-master/master-informatique-parcours-systemes-logiciels-et-calculs-distribues" r:id="rId1285"/>
    <hyperlink xmlns:r="http://schemas.openxmlformats.org/officeDocument/2006/relationships" ref="AI558" display="Open in EEF" r:id="rId1286"/>
    <hyperlink xmlns:r="http://schemas.openxmlformats.org/officeDocument/2006/relationships" ref="AI559" display="Open in EEF" r:id="rId1287"/>
    <hyperlink xmlns:r="http://schemas.openxmlformats.org/officeDocument/2006/relationships" ref="AG560" display="https://formations.ube.fr/fr/offre-de-formation/master-XB/master-informatique-LMGC26NA/sante-et-intelligence-artificielle-health-ai-LMGEPLWL.html" r:id="rId1288"/>
    <hyperlink xmlns:r="http://schemas.openxmlformats.org/officeDocument/2006/relationships" ref="AI560" display="Open in EEF" r:id="rId1289"/>
    <hyperlink xmlns:r="http://schemas.openxmlformats.org/officeDocument/2006/relationships" ref="AG561" display="https://www.univ-reims.fr/ufrsciences/" r:id="rId1290"/>
    <hyperlink xmlns:r="http://schemas.openxmlformats.org/officeDocument/2006/relationships" ref="AI561" display="Open in EEF" r:id="rId1291"/>
    <hyperlink xmlns:r="http://schemas.openxmlformats.org/officeDocument/2006/relationships" ref="AG562" display="https://fseg.u-pec.fr/masters/master-economie-appliquee-parcours-methodes-appliquees-de-la-statistique-et-de-leconometrie-pour-la-recherche-lanalyse-et-le-traitement-dinformation-maserati-data-analyst" r:id="rId1292"/>
    <hyperlink xmlns:r="http://schemas.openxmlformats.org/officeDocument/2006/relationships" ref="AI562" display="Open in EEF" r:id="rId1293"/>
    <hyperlink xmlns:r="http://schemas.openxmlformats.org/officeDocument/2006/relationships" ref="AG563" display="https://fseg.u-pec.fr/master-mention-economie-appliquee-parcours-type-maserati-parcours-data-analyst-parcours-data-science" r:id="rId1294"/>
    <hyperlink xmlns:r="http://schemas.openxmlformats.org/officeDocument/2006/relationships" ref="AI563" display="Open in EEF" r:id="rId1295"/>
    <hyperlink xmlns:r="http://schemas.openxmlformats.org/officeDocument/2006/relationships" ref="AB564" display="https://www.univ-rouen.fr/actualites/application-des-droits-dinscription-differencies-a-luniversite-de-rouen-normandie-a-compter-de-la-rentree-universitaire-2026-2027/" r:id="rId1296"/>
    <hyperlink xmlns:r="http://schemas.openxmlformats.org/officeDocument/2006/relationships" ref="AG564" display="http://sciences-techniques.univ-rouen.fr/" r:id="rId1297"/>
    <hyperlink xmlns:r="http://schemas.openxmlformats.org/officeDocument/2006/relationships" ref="AI564" display="Open in EEF" r:id="rId1298"/>
    <hyperlink xmlns:r="http://schemas.openxmlformats.org/officeDocument/2006/relationships" ref="AI565" display="Open in EEF" r:id="rId1299"/>
    <hyperlink xmlns:r="http://schemas.openxmlformats.org/officeDocument/2006/relationships" ref="AG566" display="https://ufr-sciences.unicaen.fr/" r:id="rId1300"/>
    <hyperlink xmlns:r="http://schemas.openxmlformats.org/officeDocument/2006/relationships" ref="AI566" display="Open in EEF" r:id="rId1301"/>
    <hyperlink xmlns:r="http://schemas.openxmlformats.org/officeDocument/2006/relationships" ref="AG567" display="https://sciences-techniques.univ-nantes.fr/formations/masters/master-informatique" r:id="rId1302"/>
    <hyperlink xmlns:r="http://schemas.openxmlformats.org/officeDocument/2006/relationships" ref="AI567" display="Open in EEF" r:id="rId1303"/>
    <hyperlink xmlns:r="http://schemas.openxmlformats.org/officeDocument/2006/relationships" ref="AG568" display="http://www.univ-antilles.fr" r:id="rId1304"/>
    <hyperlink xmlns:r="http://schemas.openxmlformats.org/officeDocument/2006/relationships" ref="AI568" display="Open in EEF" r:id="rId1305"/>
    <hyperlink xmlns:r="http://schemas.openxmlformats.org/officeDocument/2006/relationships" ref="AG569" display="https://formations.univ-avignon.fr/formation/master-informatique-ingenierie-du-logiciel-de-la-societe-numerique-ilsen/" r:id="rId1306"/>
    <hyperlink xmlns:r="http://schemas.openxmlformats.org/officeDocument/2006/relationships" ref="AI569" display="Open in EEF" r:id="rId1307"/>
    <hyperlink xmlns:r="http://schemas.openxmlformats.org/officeDocument/2006/relationships" ref="AG570" display="https://fac-sciences.univ-st-etienne.fr/fr/formations/master-XB/master-XB/master-informatique-parcours-donnees-et-systemes-connectes-5_09_07_0006_FR.html" r:id="rId1308"/>
    <hyperlink xmlns:r="http://schemas.openxmlformats.org/officeDocument/2006/relationships" ref="AI570" display="Open in EEF" r:id="rId1309"/>
    <hyperlink xmlns:r="http://schemas.openxmlformats.org/officeDocument/2006/relationships" ref="AG571" display="https://formations.univ-avignon.fr/formation/master-informatique-systemes-informatiques-communicants-reseaux-services-et-securite-sicom/" r:id="rId1310"/>
    <hyperlink xmlns:r="http://schemas.openxmlformats.org/officeDocument/2006/relationships" ref="AI571" display="Open in EEF" r:id="rId1311"/>
    <hyperlink xmlns:r="http://schemas.openxmlformats.org/officeDocument/2006/relationships" ref="AG572" display="https://ufr-sciences.unicaen.fr/" r:id="rId1312"/>
    <hyperlink xmlns:r="http://schemas.openxmlformats.org/officeDocument/2006/relationships" ref="AI572" display="Open in EEF" r:id="rId1313"/>
    <hyperlink xmlns:r="http://schemas.openxmlformats.org/officeDocument/2006/relationships" ref="AG573" display="https://formations.univ-avignon.fr/formation/master-informatique-intelligence-artificielle-ia/" r:id="rId1314"/>
    <hyperlink xmlns:r="http://schemas.openxmlformats.org/officeDocument/2006/relationships" ref="AI573" display="Open in EEF" r:id="rId1315"/>
    <hyperlink xmlns:r="http://schemas.openxmlformats.org/officeDocument/2006/relationships" ref="AG574" display="http://sciences-tech.u-pec.fr" r:id="rId1316"/>
    <hyperlink xmlns:r="http://schemas.openxmlformats.org/officeDocument/2006/relationships" ref="AI574" display="Open in EEF" r:id="rId1317"/>
    <hyperlink xmlns:r="http://schemas.openxmlformats.org/officeDocument/2006/relationships" ref="AB575" display="https://www.unistra.fr/fr/node/8168" r:id="rId1318"/>
    <hyperlink xmlns:r="http://schemas.openxmlformats.org/officeDocument/2006/relationships" ref="AG575" display="http://mathinfo.unistra.fr/" r:id="rId1319"/>
    <hyperlink xmlns:r="http://schemas.openxmlformats.org/officeDocument/2006/relationships" ref="AI575" display="Open in EEF" r:id="rId1320"/>
    <hyperlink xmlns:r="http://schemas.openxmlformats.org/officeDocument/2006/relationships" ref="AG576" display="http://www.sciences.unilim.fr/" r:id="rId1321"/>
    <hyperlink xmlns:r="http://schemas.openxmlformats.org/officeDocument/2006/relationships" ref="AI576" display="Open in EEF" r:id="rId1322"/>
    <hyperlink xmlns:r="http://schemas.openxmlformats.org/officeDocument/2006/relationships" ref="AG577" display="https://formation.univ-pau.fr/fr/catalogue/master-XB/master-mention-informatique-L3Y98DNU/parcours-technologies-de-l-internet-L3Y98T3K.html" r:id="rId1323"/>
    <hyperlink xmlns:r="http://schemas.openxmlformats.org/officeDocument/2006/relationships" ref="AI577" display="Open in EEF" r:id="rId1324"/>
    <hyperlink xmlns:r="http://schemas.openxmlformats.org/officeDocument/2006/relationships" ref="AB578" display="https://www.unistra.fr/fr/node/8168" r:id="rId1325"/>
    <hyperlink xmlns:r="http://schemas.openxmlformats.org/officeDocument/2006/relationships" ref="AG578" display="http://mathinfo.unistra.fr" r:id="rId1326"/>
    <hyperlink xmlns:r="http://schemas.openxmlformats.org/officeDocument/2006/relationships" ref="AI578" display="Open in EEF" r:id="rId1327"/>
    <hyperlink xmlns:r="http://schemas.openxmlformats.org/officeDocument/2006/relationships" ref="AG579" display="http://www.univ-littoral.fr" r:id="rId1328"/>
    <hyperlink xmlns:r="http://schemas.openxmlformats.org/officeDocument/2006/relationships" ref="AI579" display="Open in EEF" r:id="rId1329"/>
    <hyperlink xmlns:r="http://schemas.openxmlformats.org/officeDocument/2006/relationships" ref="AG580" display="https://ufr-st.univ-lehavre.fr" r:id="rId1330"/>
    <hyperlink xmlns:r="http://schemas.openxmlformats.org/officeDocument/2006/relationships" ref="AI580" display="Open in EEF" r:id="rId1331"/>
    <hyperlink xmlns:r="http://schemas.openxmlformats.org/officeDocument/2006/relationships" ref="AG581" display="http://www.sciences.unilim.fr/" r:id="rId1332"/>
    <hyperlink xmlns:r="http://schemas.openxmlformats.org/officeDocument/2006/relationships" ref="AI581" display="Open in EEF" r:id="rId1333"/>
    <hyperlink xmlns:r="http://schemas.openxmlformats.org/officeDocument/2006/relationships" ref="AG582" display="https://www.unilim.fr/gradschool-ceramics-ict/" r:id="rId1334"/>
    <hyperlink xmlns:r="http://schemas.openxmlformats.org/officeDocument/2006/relationships" ref="AI582" display="Open in EEF" r:id="rId1335"/>
    <hyperlink xmlns:r="http://schemas.openxmlformats.org/officeDocument/2006/relationships" ref="AB583" display="https://observalgerie.com/2026/06/13/misc/frais-dinscription-en-france-lille-maintient-un-avantage-pour-les-etudiants-etrangers/" r:id="rId1336"/>
    <hyperlink xmlns:r="http://schemas.openxmlformats.org/officeDocument/2006/relationships" ref="AG583" display="https://formation.univ-lille.fr/fr/offre-de-formation/master-lmd-XB/master-methodes-informatiques-appliquees-a-la-gestion-des-entreprises-miage-MG001982/ingenierie-des-projets-informatiques-nouvelles-technologies-MX002041.html" r:id="rId1337"/>
    <hyperlink xmlns:r="http://schemas.openxmlformats.org/officeDocument/2006/relationships" ref="AI583" display="Open in EEF" r:id="rId1338"/>
    <hyperlink xmlns:r="http://schemas.openxmlformats.org/officeDocument/2006/relationships" ref="AG584" display="https://univ-cotedazur.fr/formation/offre-de-formation/master-methodes-informatiques-appliquees-a-la-gestion-des-entreprises-miage-parcours-numerique-responsable-numres" r:id="rId1339"/>
    <hyperlink xmlns:r="http://schemas.openxmlformats.org/officeDocument/2006/relationships" ref="AI584" display="Open in EEF" r:id="rId1340"/>
    <hyperlink xmlns:r="http://schemas.openxmlformats.org/officeDocument/2006/relationships" ref="AG585" display="https://www.sciences.unilim.fr/tic/" r:id="rId1341"/>
    <hyperlink xmlns:r="http://schemas.openxmlformats.org/officeDocument/2006/relationships" ref="AI585" display="Open in EEF" r:id="rId1342"/>
    <hyperlink xmlns:r="http://schemas.openxmlformats.org/officeDocument/2006/relationships" ref="AG586" display="https://sciences-techniques.univ-nantes.fr/formations/masters/master-informatique" r:id="rId1343"/>
    <hyperlink xmlns:r="http://schemas.openxmlformats.org/officeDocument/2006/relationships" ref="AI586" display="Open in EEF" r:id="rId1344"/>
    <hyperlink xmlns:r="http://schemas.openxmlformats.org/officeDocument/2006/relationships" ref="AG587" display="https://sciences-techniques.univ-nantes.fr/formations/masters/master-informatique" r:id="rId1345"/>
    <hyperlink xmlns:r="http://schemas.openxmlformats.org/officeDocument/2006/relationships" ref="AI587" display="Open in EEF" r:id="rId1346"/>
    <hyperlink xmlns:r="http://schemas.openxmlformats.org/officeDocument/2006/relationships" ref="AG588" display="https://sciences-techniques.univ-nantes.fr/formations/masters/master-informatique" r:id="rId1347"/>
    <hyperlink xmlns:r="http://schemas.openxmlformats.org/officeDocument/2006/relationships" ref="AI588" display="Open in EEF" r:id="rId1348"/>
    <hyperlink xmlns:r="http://schemas.openxmlformats.org/officeDocument/2006/relationships" ref="AG589" display="https://fst.universita.corsica/" r:id="rId1349"/>
    <hyperlink xmlns:r="http://schemas.openxmlformats.org/officeDocument/2006/relationships" ref="AI589" display="Open in EEF" r:id="rId1350"/>
    <hyperlink xmlns:r="http://schemas.openxmlformats.org/officeDocument/2006/relationships" ref="AG590" display="https://fst.universita.corsica/" r:id="rId1351"/>
    <hyperlink xmlns:r="http://schemas.openxmlformats.org/officeDocument/2006/relationships" ref="AI590" display="Open in EEF" r:id="rId1352"/>
    <hyperlink xmlns:r="http://schemas.openxmlformats.org/officeDocument/2006/relationships" ref="AB591" display="https://www.univ-rouen.fr/actualites/application-des-droits-dinscription-differencies-a-luniversite-de-rouen-normandie-a-compter-de-la-rentree-universitaire-2026-2027/" r:id="rId1353"/>
    <hyperlink xmlns:r="http://schemas.openxmlformats.org/officeDocument/2006/relationships" ref="AG591" display="http://sciences-techniques.univ-rouen.fr/" r:id="rId1354"/>
    <hyperlink xmlns:r="http://schemas.openxmlformats.org/officeDocument/2006/relationships" ref="AI591" display="Open in EEF" r:id="rId1355"/>
    <hyperlink xmlns:r="http://schemas.openxmlformats.org/officeDocument/2006/relationships" ref="AB592" display="https://www.univ-rouen.fr/actualites/application-des-droits-dinscription-differencies-a-luniversite-de-rouen-normandie-a-compter-de-la-rentree-universitaire-2026-2027/" r:id="rId1356"/>
    <hyperlink xmlns:r="http://schemas.openxmlformats.org/officeDocument/2006/relationships" ref="AG592" display="http://sciences-techniques.univ-rouen.fr/" r:id="rId1357"/>
    <hyperlink xmlns:r="http://schemas.openxmlformats.org/officeDocument/2006/relationships" ref="AI592" display="Open in EEF" r:id="rId1358"/>
    <hyperlink xmlns:r="http://schemas.openxmlformats.org/officeDocument/2006/relationships" ref="AB593" display="https://www.univ-rouen.fr/actualites/application-des-droits-dinscription-differencies-a-luniversite-de-rouen-normandie-a-compter-de-la-rentree-universitaire-2026-2027/" r:id="rId1359"/>
    <hyperlink xmlns:r="http://schemas.openxmlformats.org/officeDocument/2006/relationships" ref="AG593" display="http://sciences-techniques.univ-rouen.fr/" r:id="rId1360"/>
    <hyperlink xmlns:r="http://schemas.openxmlformats.org/officeDocument/2006/relationships" ref="AI593" display="Open in EEF" r:id="rId1361"/>
    <hyperlink xmlns:r="http://schemas.openxmlformats.org/officeDocument/2006/relationships" ref="AB594" display="https://observalgerie.com/2026/06/13/misc/frais-dinscription-en-france-lille-maintient-un-avantage-pour-les-etudiants-etrangers/" r:id="rId1362"/>
    <hyperlink xmlns:r="http://schemas.openxmlformats.org/officeDocument/2006/relationships" ref="AG594" display="https://formation.univ-lille.fr/fr/offre-de-formation/master-lmd-XB/master-sante-publique-MG192720/data-science-en-sante-m1-m2-MX192721.html" r:id="rId1363"/>
    <hyperlink xmlns:r="http://schemas.openxmlformats.org/officeDocument/2006/relationships" ref="AI594" display="Open in EEF" r:id="rId1364"/>
    <hyperlink xmlns:r="http://schemas.openxmlformats.org/officeDocument/2006/relationships" ref="AG595" display="http://sciences-tech.u-pec.fr" r:id="rId1365"/>
    <hyperlink xmlns:r="http://schemas.openxmlformats.org/officeDocument/2006/relationships" ref="AI595" display="Open in EEF" r:id="rId1366"/>
    <hyperlink xmlns:r="http://schemas.openxmlformats.org/officeDocument/2006/relationships" ref="AG596" display="https://ufr-sciences.unicaen.fr/" r:id="rId1367"/>
    <hyperlink xmlns:r="http://schemas.openxmlformats.org/officeDocument/2006/relationships" ref="AI596" display="Open in EEF" r:id="rId1368"/>
    <hyperlink xmlns:r="http://schemas.openxmlformats.org/officeDocument/2006/relationships" ref="AG597" display="https://www.univ-lyon2.fr/catalogue-des-formations/master-informatique" r:id="rId1369"/>
    <hyperlink xmlns:r="http://schemas.openxmlformats.org/officeDocument/2006/relationships" ref="AI597" display="Open in EEF" r:id="rId1370"/>
    <hyperlink xmlns:r="http://schemas.openxmlformats.org/officeDocument/2006/relationships" ref="AG598" display="http://sciences-tech.u-pec.fr" r:id="rId1371"/>
    <hyperlink xmlns:r="http://schemas.openxmlformats.org/officeDocument/2006/relationships" ref="AI598" display="Open in EEF" r:id="rId1372"/>
    <hyperlink xmlns:r="http://schemas.openxmlformats.org/officeDocument/2006/relationships" ref="AG599" display="https://galilee.univ-paris13.fr/master/master-informatique/" r:id="rId1373"/>
    <hyperlink xmlns:r="http://schemas.openxmlformats.org/officeDocument/2006/relationships" ref="AI599" display="Open in EEF" r:id="rId1374"/>
    <hyperlink xmlns:r="http://schemas.openxmlformats.org/officeDocument/2006/relationships" ref="AG600" display="https://www.sciences.univ-artois.fr/" r:id="rId1375"/>
    <hyperlink xmlns:r="http://schemas.openxmlformats.org/officeDocument/2006/relationships" ref="AI600" display="Open in EEF" r:id="rId1376"/>
    <hyperlink xmlns:r="http://schemas.openxmlformats.org/officeDocument/2006/relationships" ref="AG601" display="https://ufr-st.univ-lehavre.fr" r:id="rId1377"/>
    <hyperlink xmlns:r="http://schemas.openxmlformats.org/officeDocument/2006/relationships" ref="AI601" display="Open in EEF" r:id="rId1378"/>
    <hyperlink xmlns:r="http://schemas.openxmlformats.org/officeDocument/2006/relationships" ref="AG602" display="https://www.insset.u-picardie.fr/" r:id="rId1379"/>
    <hyperlink xmlns:r="http://schemas.openxmlformats.org/officeDocument/2006/relationships" ref="AI602" display="Open in EEF" r:id="rId1380"/>
    <hyperlink xmlns:r="http://schemas.openxmlformats.org/officeDocument/2006/relationships" ref="AI603" display="Open in EEF" r:id="rId1381"/>
    <hyperlink xmlns:r="http://schemas.openxmlformats.org/officeDocument/2006/relationships" ref="AG604" display="https://www.univ-littoral.fr" r:id="rId1382"/>
    <hyperlink xmlns:r="http://schemas.openxmlformats.org/officeDocument/2006/relationships" ref="AI604" display="Open in EEF" r:id="rId1383"/>
    <hyperlink xmlns:r="http://schemas.openxmlformats.org/officeDocument/2006/relationships" ref="AG605" display="https://sciences.u-picardie.fr/accueil-ufr-sciences" r:id="rId1384"/>
    <hyperlink xmlns:r="http://schemas.openxmlformats.org/officeDocument/2006/relationships" ref="AI605" display="Open in EEF" r:id="rId1385"/>
    <hyperlink xmlns:r="http://schemas.openxmlformats.org/officeDocument/2006/relationships" ref="AG606" display="https://sciences.u-picardie.fr/accueil-ufr-sciences" r:id="rId1386"/>
    <hyperlink xmlns:r="http://schemas.openxmlformats.org/officeDocument/2006/relationships" ref="AI606" display="Open in EEF" r:id="rId1387"/>
    <hyperlink xmlns:r="http://schemas.openxmlformats.org/officeDocument/2006/relationships" ref="AG607" display="https://www.utt.fr/formations/master/" r:id="rId1388"/>
    <hyperlink xmlns:r="http://schemas.openxmlformats.org/officeDocument/2006/relationships" ref="AI607" display="Open in EEF" r:id="rId1389"/>
    <hyperlink xmlns:r="http://schemas.openxmlformats.org/officeDocument/2006/relationships" ref="AG608" display="https://www.utbm.fr/formations/masters/" r:id="rId1390"/>
    <hyperlink xmlns:r="http://schemas.openxmlformats.org/officeDocument/2006/relationships" ref="AI608" display="Open in EEF" r:id="rId1391"/>
    <hyperlink xmlns:r="http://schemas.openxmlformats.org/officeDocument/2006/relationships" ref="AG609" display="https://www.utbm.fr/formations/masters/" r:id="rId1392"/>
    <hyperlink xmlns:r="http://schemas.openxmlformats.org/officeDocument/2006/relationships" ref="AI609" display="Open in EEF" r:id="rId1393"/>
    <hyperlink xmlns:r="http://schemas.openxmlformats.org/officeDocument/2006/relationships" ref="AG610" display="https://www.sciences.univ-artois.fr/" r:id="rId1394"/>
    <hyperlink xmlns:r="http://schemas.openxmlformats.org/officeDocument/2006/relationships" ref="AI610" display="Open in EEF" r:id="rId1395"/>
    <hyperlink xmlns:r="http://schemas.openxmlformats.org/officeDocument/2006/relationships" ref="AG611" display="https://www.sciences.univ-artois.fr/" r:id="rId1396"/>
    <hyperlink xmlns:r="http://schemas.openxmlformats.org/officeDocument/2006/relationships" ref="AI611" display="Open in EEF" r:id="rId1397"/>
    <hyperlink xmlns:r="http://schemas.openxmlformats.org/officeDocument/2006/relationships" ref="AG612" display="https://www.sciences.univ-artois.fr/" r:id="rId1398"/>
    <hyperlink xmlns:r="http://schemas.openxmlformats.org/officeDocument/2006/relationships" ref="AI612" display="Open in EEF" r:id="rId1399"/>
    <hyperlink xmlns:r="http://schemas.openxmlformats.org/officeDocument/2006/relationships" ref="AG613" display="https://ufr-st.univ-lehavre.fr/" r:id="rId1400"/>
    <hyperlink xmlns:r="http://schemas.openxmlformats.org/officeDocument/2006/relationships" ref="AI613" display="Open in EEF" r:id="rId1401"/>
    <hyperlink xmlns:r="http://schemas.openxmlformats.org/officeDocument/2006/relationships" ref="AG614" display="https://formation.univ-pau.fr/fr/catalogue/master-XB/master-mention-mathematiques-et-applications-L3Y9AGO1/parcours-mathematiques-et-informatique-pour-le-big-data-L3Y9CFXD.html" r:id="rId1402"/>
    <hyperlink xmlns:r="http://schemas.openxmlformats.org/officeDocument/2006/relationships" ref="AI614" display="Open in EEF" r:id="rId1403"/>
    <hyperlink xmlns:r="http://schemas.openxmlformats.org/officeDocument/2006/relationships" ref="AG615" display="https://univ-cotedazur.fr/formation/offre-de-formation/parcours-intelligence-artificielle-appliquee-ia2-1" r:id="rId1404"/>
    <hyperlink xmlns:r="http://schemas.openxmlformats.org/officeDocument/2006/relationships" ref="AI615" display="Open in EEF" r:id="rId1405"/>
    <hyperlink xmlns:r="http://schemas.openxmlformats.org/officeDocument/2006/relationships" ref="AG616" display="https://idmc.univ-lorraine.fr" r:id="rId1406"/>
    <hyperlink xmlns:r="http://schemas.openxmlformats.org/officeDocument/2006/relationships" ref="AI616" display="Open in EEF" r:id="rId1407"/>
    <hyperlink xmlns:r="http://schemas.openxmlformats.org/officeDocument/2006/relationships" ref="AI617" display="Open in EEF" r:id="rId1408"/>
    <hyperlink xmlns:r="http://schemas.openxmlformats.org/officeDocument/2006/relationships" ref="AG618" display="https://www.univ-ubs.fr/fr/formation-initiale-continue/formations-2017-2018/master-XB/sciences-technologies-sante-STS/master-data-science-modelisation-statistique-program-5sdm00-217-5sdm01.html" r:id="rId1409"/>
    <hyperlink xmlns:r="http://schemas.openxmlformats.org/officeDocument/2006/relationships" ref="AI618" display="Open in EEF" r:id="rId1410"/>
    <hyperlink xmlns:r="http://schemas.openxmlformats.org/officeDocument/2006/relationships" ref="AG619" display="http://sciences-techniques.u-bourgogne.fr" r:id="rId1411"/>
    <hyperlink xmlns:r="http://schemas.openxmlformats.org/officeDocument/2006/relationships" ref="AI619" display="Open in EEF" r:id="rId1412"/>
    <hyperlink xmlns:r="http://schemas.openxmlformats.org/officeDocument/2006/relationships" ref="AB620" display="https://www.univ-amu.fr/fr/actualites/aix-marseille-universite-mobilise-pleinement-capacite-dexoneration-continuer-accueillir" r:id="rId1413"/>
    <hyperlink xmlns:r="http://schemas.openxmlformats.org/officeDocument/2006/relationships" ref="AG620" display="https://sciences.univ-amu.fr/fr/formation/masters/master-bio-informatique" r:id="rId1414"/>
    <hyperlink xmlns:r="http://schemas.openxmlformats.org/officeDocument/2006/relationships" ref="AI620" display="Open in EEF" r:id="rId1415"/>
    <hyperlink xmlns:r="http://schemas.openxmlformats.org/officeDocument/2006/relationships" ref="AB621" display="https://www.univ-amu.fr/fr/actualites/aix-marseille-universite-mobilise-pleinement-capacite-dexoneration-continuer-accueillir" r:id="rId1416"/>
    <hyperlink xmlns:r="http://schemas.openxmlformats.org/officeDocument/2006/relationships" ref="AG621" display="https://formations.univ-amu.fr/fr/master/5SIM/PRSIM5C2" r:id="rId1417"/>
    <hyperlink xmlns:r="http://schemas.openxmlformats.org/officeDocument/2006/relationships" ref="AI621" display="Open in EEF" r:id="rId1418"/>
    <hyperlink xmlns:r="http://schemas.openxmlformats.org/officeDocument/2006/relationships" ref="AB622" display="https://www.univ-amu.fr/fr/actualites/aix-marseille-universite-mobilise-pleinement-capacite-dexoneration-continuer-accueillir" r:id="rId1419"/>
    <hyperlink xmlns:r="http://schemas.openxmlformats.org/officeDocument/2006/relationships" ref="AG622" display="https://formations.univ-amu.fr/fr/master/5SIN/PRSIN5C1" r:id="rId1420"/>
    <hyperlink xmlns:r="http://schemas.openxmlformats.org/officeDocument/2006/relationships" ref="AI622" display="Open in EEF" r:id="rId1421"/>
    <hyperlink xmlns:r="http://schemas.openxmlformats.org/officeDocument/2006/relationships" ref="AB623" display="https://www.univ-amu.fr/fr/actualites/aix-marseille-universite-mobilise-pleinement-capacite-dexoneration-continuer-accueillir" r:id="rId1422"/>
    <hyperlink xmlns:r="http://schemas.openxmlformats.org/officeDocument/2006/relationships" ref="AG623" display="https://formations.univ-amu.fr/fr/master/5SIN/PRSIN5C2" r:id="rId1423"/>
    <hyperlink xmlns:r="http://schemas.openxmlformats.org/officeDocument/2006/relationships" ref="AI623" display="Open in EEF" r:id="rId1424"/>
    <hyperlink xmlns:r="http://schemas.openxmlformats.org/officeDocument/2006/relationships" ref="AB624" display="https://www.univ-amu.fr/fr/actualites/aix-marseille-universite-mobilise-pleinement-capacite-dexoneration-continuer-accueillir" r:id="rId1425"/>
    <hyperlink xmlns:r="http://schemas.openxmlformats.org/officeDocument/2006/relationships" ref="AG624" display="https://formations.univ-amu.fr/fr/master/5SIN/PRSIN5C3" r:id="rId1426"/>
    <hyperlink xmlns:r="http://schemas.openxmlformats.org/officeDocument/2006/relationships" ref="AI624" display="Open in EEF" r:id="rId1427"/>
    <hyperlink xmlns:r="http://schemas.openxmlformats.org/officeDocument/2006/relationships" ref="AB625" display="https://www.univ-amu.fr/fr/actualites/aix-marseille-universite-mobilise-pleinement-capacite-dexoneration-continuer-accueillir" r:id="rId1428"/>
    <hyperlink xmlns:r="http://schemas.openxmlformats.org/officeDocument/2006/relationships" ref="AG625" display="https://formations.univ-amu.fr/fr/master/5SIN/PRSIN5C4" r:id="rId1429"/>
    <hyperlink xmlns:r="http://schemas.openxmlformats.org/officeDocument/2006/relationships" ref="AI625" display="Open in EEF" r:id="rId1430"/>
    <hyperlink xmlns:r="http://schemas.openxmlformats.org/officeDocument/2006/relationships" ref="AB626" display="https://www.univ-amu.fr/fr/actualites/aix-marseille-universite-mobilise-pleinement-capacite-dexoneration-continuer-accueillir" r:id="rId1431"/>
    <hyperlink xmlns:r="http://schemas.openxmlformats.org/officeDocument/2006/relationships" ref="AG626" display="https://formations.univ-amu.fr/fr/master/5SMS/PRSMS5C2" r:id="rId1432"/>
    <hyperlink xmlns:r="http://schemas.openxmlformats.org/officeDocument/2006/relationships" ref="AI626" display="Open in EEF" r:id="rId1433"/>
    <hyperlink xmlns:r="http://schemas.openxmlformats.org/officeDocument/2006/relationships" ref="AB627" display="https://u-paris.fr/droits-dinscription-tarifs-exonerations/" r:id="rId1434"/>
    <hyperlink xmlns:r="http://schemas.openxmlformats.org/officeDocument/2006/relationships" ref="AG627" display="http://www.informatique.univ-paris-diderot.fr/" r:id="rId1435"/>
    <hyperlink xmlns:r="http://schemas.openxmlformats.org/officeDocument/2006/relationships" ref="AI627" display="Open in EEF" r:id="rId1436"/>
    <hyperlink xmlns:r="http://schemas.openxmlformats.org/officeDocument/2006/relationships" ref="AB628" display="https://u-paris.fr/droits-dinscription-tarifs-exonerations/" r:id="rId1437"/>
    <hyperlink xmlns:r="http://schemas.openxmlformats.org/officeDocument/2006/relationships" ref="AG628" display="http://www.informatique.univ-paris-diderot.fr/" r:id="rId1438"/>
    <hyperlink xmlns:r="http://schemas.openxmlformats.org/officeDocument/2006/relationships" ref="AI628" display="Open in EEF" r:id="rId1439"/>
    <hyperlink xmlns:r="http://schemas.openxmlformats.org/officeDocument/2006/relationships" ref="AB629" display="https://u-paris.fr/droits-dinscription-tarifs-exonerations/" r:id="rId1440"/>
    <hyperlink xmlns:r="http://schemas.openxmlformats.org/officeDocument/2006/relationships" ref="AG629" display="http://www.informatique.univ-paris-diderot.fr/" r:id="rId1441"/>
    <hyperlink xmlns:r="http://schemas.openxmlformats.org/officeDocument/2006/relationships" ref="AI629" display="Open in EEF" r:id="rId1442"/>
    <hyperlink xmlns:r="http://schemas.openxmlformats.org/officeDocument/2006/relationships" ref="AG630" display="https://www.univ-paris8.fr/UFR-des-sciences-et-des-technologies-du-numerique-STN" r:id="rId1443"/>
    <hyperlink xmlns:r="http://schemas.openxmlformats.org/officeDocument/2006/relationships" ref="AI630" display="Open in EEF" r:id="rId1444"/>
    <hyperlink xmlns:r="http://schemas.openxmlformats.org/officeDocument/2006/relationships" ref="AG631" display="https://www.univ-paris8.fr/UFR-des-sciences-et-des-technologies-du-numerique-STN" r:id="rId1445"/>
    <hyperlink xmlns:r="http://schemas.openxmlformats.org/officeDocument/2006/relationships" ref="AI631" display="Open in EEF" r:id="rId1446"/>
    <hyperlink xmlns:r="http://schemas.openxmlformats.org/officeDocument/2006/relationships" ref="AB632" display="https://www.utoulouse.fr/medias/fichier/2026-02-ca-075_1774430647495-pdf" r:id="rId1447"/>
    <hyperlink xmlns:r="http://schemas.openxmlformats.org/officeDocument/2006/relationships" ref="AG632" display="http://www.univ-tlse3.fr/" r:id="rId1448"/>
    <hyperlink xmlns:r="http://schemas.openxmlformats.org/officeDocument/2006/relationships" ref="AI632" display="Open in EEF" r:id="rId1449"/>
    <hyperlink xmlns:r="http://schemas.openxmlformats.org/officeDocument/2006/relationships" ref="AB633" display="https://www.utoulouse.fr/medias/fichier/2026-02-ca-075_1774430647495-pdf" r:id="rId1450"/>
    <hyperlink xmlns:r="http://schemas.openxmlformats.org/officeDocument/2006/relationships" ref="AG633" display="http://www.univ-tlse3.fr/" r:id="rId1451"/>
    <hyperlink xmlns:r="http://schemas.openxmlformats.org/officeDocument/2006/relationships" ref="AI633" display="Open in EEF" r:id="rId1452"/>
    <hyperlink xmlns:r="http://schemas.openxmlformats.org/officeDocument/2006/relationships" ref="AB634" display="https://www.utoulouse.fr/medias/fichier/2026-02-ca-075_1774430647495-pdf" r:id="rId1453"/>
    <hyperlink xmlns:r="http://schemas.openxmlformats.org/officeDocument/2006/relationships" ref="AG634" display="https://www.univ-tlse3.fr/" r:id="rId1454"/>
    <hyperlink xmlns:r="http://schemas.openxmlformats.org/officeDocument/2006/relationships" ref="AI634" display="Open in EEF" r:id="rId1455"/>
    <hyperlink xmlns:r="http://schemas.openxmlformats.org/officeDocument/2006/relationships" ref="AB635" display="https://u-paris.fr/droits-dinscription-tarifs-exonerations/" r:id="rId1456"/>
    <hyperlink xmlns:r="http://schemas.openxmlformats.org/officeDocument/2006/relationships" ref="AG635" display="https://sdv.u-paris.fr/" r:id="rId1457"/>
    <hyperlink xmlns:r="http://schemas.openxmlformats.org/officeDocument/2006/relationships" ref="AI635" display="Open in EEF" r:id="rId1458"/>
    <hyperlink xmlns:r="http://schemas.openxmlformats.org/officeDocument/2006/relationships" ref="AB636" display="https://www.sorbonne-universite.fr/actualites/le-conseil-dadministration-de-sorbonne-universite-vote-lunanimite-le-7-juillet-2026-sa" r:id="rId1459"/>
    <hyperlink xmlns:r="http://schemas.openxmlformats.org/officeDocument/2006/relationships" ref="AG636" display="https://sciences.sorbonne-universite.fr/formation-sciences/masters/master-biologie-moleculaire-et-cellulaire-bmc/m1m2-parcours-bioinformatique-modelisation" r:id="rId1460"/>
    <hyperlink xmlns:r="http://schemas.openxmlformats.org/officeDocument/2006/relationships" ref="AI636" display="Open in EEF" r:id="rId1461"/>
    <hyperlink xmlns:r="http://schemas.openxmlformats.org/officeDocument/2006/relationships" ref="AB637" display="https://www.utoulouse.fr/medias/fichier/2026-02-ca-075_1774430647495-pdf" r:id="rId1462"/>
    <hyperlink xmlns:r="http://schemas.openxmlformats.org/officeDocument/2006/relationships" ref="AG637" display="https://www.univ-tlse3.fr/" r:id="rId1463"/>
    <hyperlink xmlns:r="http://schemas.openxmlformats.org/officeDocument/2006/relationships" ref="AI637" display="Open in EEF" r:id="rId1464"/>
    <hyperlink xmlns:r="http://schemas.openxmlformats.org/officeDocument/2006/relationships" ref="AB638" display="https://www.sorbonne-universite.fr/actualites/le-conseil-dadministration-de-sorbonne-universite-vote-lunanimite-le-7-juillet-2026-sa" r:id="rId1465"/>
    <hyperlink xmlns:r="http://schemas.openxmlformats.org/officeDocument/2006/relationships" ref="AG638" display="https://sciences.sorbonne-universite.fr/formation-sciences/masters/master-informatique/parcours-ai2d" r:id="rId1466"/>
    <hyperlink xmlns:r="http://schemas.openxmlformats.org/officeDocument/2006/relationships" ref="AI638" display="Open in EEF" r:id="rId1467"/>
    <hyperlink xmlns:r="http://schemas.openxmlformats.org/officeDocument/2006/relationships" ref="AB639" display="https://www.sorbonne-universite.fr/actualites/le-conseil-dadministration-de-sorbonne-universite-vote-lunanimite-le-7-juillet-2026-sa" r:id="rId1468"/>
    <hyperlink xmlns:r="http://schemas.openxmlformats.org/officeDocument/2006/relationships" ref="AG639" display="https://sciences.sorbonne-universite.fr/formation-sciences/masters/master-informatique/parcours-bim" r:id="rId1469"/>
    <hyperlink xmlns:r="http://schemas.openxmlformats.org/officeDocument/2006/relationships" ref="AI639" display="Open in EEF" r:id="rId1470"/>
    <hyperlink xmlns:r="http://schemas.openxmlformats.org/officeDocument/2006/relationships" ref="AB640" display="https://www.umontpellier.fr/en/international/etudier-a-letranger/etudiants-internationaux-annee-universitaire-2026-2027/" r:id="rId1471"/>
    <hyperlink xmlns:r="http://schemas.openxmlformats.org/officeDocument/2006/relationships" ref="AG640" display="http://sciences.edu.umontpellier.fr/" r:id="rId1472"/>
    <hyperlink xmlns:r="http://schemas.openxmlformats.org/officeDocument/2006/relationships" ref="AI640" display="Open in EEF" r:id="rId1473"/>
    <hyperlink xmlns:r="http://schemas.openxmlformats.org/officeDocument/2006/relationships" ref="AB641" display="https://www.uca.fr/medias/fichier/delib-ca-20251205-15-tarifs-differencies_1765204050111-pdf" r:id="rId1474"/>
    <hyperlink xmlns:r="http://schemas.openxmlformats.org/officeDocument/2006/relationships" ref="AG641" display="https://www.uca.fr/formation/nos-formations/catalogue-des-formations/master-info" r:id="rId1475"/>
    <hyperlink xmlns:r="http://schemas.openxmlformats.org/officeDocument/2006/relationships" ref="AI641" display="Open in EEF" r:id="rId1476"/>
    <hyperlink xmlns:r="http://schemas.openxmlformats.org/officeDocument/2006/relationships" ref="AB642" display="https://www.umontpellier.fr/en/international/etudier-a-letranger/etudiants-internationaux-annee-universitaire-2026-2027/" r:id="rId1477"/>
    <hyperlink xmlns:r="http://schemas.openxmlformats.org/officeDocument/2006/relationships" ref="AG642" display="http://sciences.edu.umontpellier.fr/" r:id="rId1478"/>
    <hyperlink xmlns:r="http://schemas.openxmlformats.org/officeDocument/2006/relationships" ref="AI642" display="Open in EEF" r:id="rId1479"/>
    <hyperlink xmlns:r="http://schemas.openxmlformats.org/officeDocument/2006/relationships" ref="AB643" display="https://www.univ-grenoble-alpes.fr/actualites/a-la-une/actualites-universite/etudiants-internationaux-ce-que-change-le-nouveau-decret-sur-les-droits-d-inscription-a-l-uga-1775870.kjsp" r:id="rId1480"/>
    <hyperlink xmlns:r="http://schemas.openxmlformats.org/officeDocument/2006/relationships" ref="AG643" display="https://im2ag.univ-grenoble-alpes.fr/formation/offre-de-formation/master-informatique/parcours-informatique-classique-1re-annee/master-informatique-parcours-informatique-classique-1re-annee-111065.kjsp" r:id="rId1481"/>
    <hyperlink xmlns:r="http://schemas.openxmlformats.org/officeDocument/2006/relationships" ref="AI643" display="Open in EEF" r:id="rId1482"/>
    <hyperlink xmlns:r="http://schemas.openxmlformats.org/officeDocument/2006/relationships" ref="AG644" display="http://www.fst.uha.fr" r:id="rId1483"/>
    <hyperlink xmlns:r="http://schemas.openxmlformats.org/officeDocument/2006/relationships" ref="AI644" display="Open in EEF" r:id="rId1484"/>
    <hyperlink xmlns:r="http://schemas.openxmlformats.org/officeDocument/2006/relationships" ref="AB645" display="https://www.umontpellier.fr/en/international/etudier-a-letranger/etudiants-internationaux-annee-universitaire-2026-2027/" r:id="rId1485"/>
    <hyperlink xmlns:r="http://schemas.openxmlformats.org/officeDocument/2006/relationships" ref="AG645" display="http://sciences.edu.umontpellier.fr/" r:id="rId1486"/>
    <hyperlink xmlns:r="http://schemas.openxmlformats.org/officeDocument/2006/relationships" ref="AI645" display="Open in EEF" r:id="rId1487"/>
    <hyperlink xmlns:r="http://schemas.openxmlformats.org/officeDocument/2006/relationships" ref="AB646" display="https://www.umlp.fr/sites/default/files/2026-07-02-page-droits-differencies-vf.pdf" r:id="rId1488"/>
    <hyperlink xmlns:r="http://schemas.openxmlformats.org/officeDocument/2006/relationships" ref="AG646" display="https://formations.univ-fcomte.fr/fr/index/formations/feuilleter-le-catalogue/master-lmd-XB/master-informatique-M4QWW2KM/master-informatique-ingenierie-systeme-et-logiciel-ufr-st-M4QWWKV5.html" r:id="rId1489"/>
    <hyperlink xmlns:r="http://schemas.openxmlformats.org/officeDocument/2006/relationships" ref="AI646" display="Open in EEF" r:id="rId1490"/>
    <hyperlink xmlns:r="http://schemas.openxmlformats.org/officeDocument/2006/relationships" ref="AB647" display="https://u-paris.fr/droits-dinscription-tarifs-exonerations/" r:id="rId1491"/>
    <hyperlink xmlns:r="http://schemas.openxmlformats.org/officeDocument/2006/relationships" ref="AG647" display="https://math-info.u-paris.fr/" r:id="rId1492"/>
    <hyperlink xmlns:r="http://schemas.openxmlformats.org/officeDocument/2006/relationships" ref="AI647" display="Open in EEF" r:id="rId1493"/>
    <hyperlink xmlns:r="http://schemas.openxmlformats.org/officeDocument/2006/relationships" ref="AG648" display="https://sciences.univ-reunion.fr/" r:id="rId1494"/>
    <hyperlink xmlns:r="http://schemas.openxmlformats.org/officeDocument/2006/relationships" ref="AI648" display="Open in EEF" r:id="rId1495"/>
    <hyperlink xmlns:r="http://schemas.openxmlformats.org/officeDocument/2006/relationships" ref="AB649" display="https://www.utoulouse.fr/medias/fichier/2026-02-ca-075_1774430647495-pdf" r:id="rId1496"/>
    <hyperlink xmlns:r="http://schemas.openxmlformats.org/officeDocument/2006/relationships" ref="AG649" display="http://www.univ-tlse3.fr/" r:id="rId1497"/>
    <hyperlink xmlns:r="http://schemas.openxmlformats.org/officeDocument/2006/relationships" ref="AI649" display="Open in EEF" r:id="rId1498"/>
    <hyperlink xmlns:r="http://schemas.openxmlformats.org/officeDocument/2006/relationships" ref="AI650" display="Open in EEF" r:id="rId1499"/>
    <hyperlink xmlns:r="http://schemas.openxmlformats.org/officeDocument/2006/relationships" ref="AB651" display="https://www.utoulouse.fr/medias/fichier/2026-02-ca-075_1774430647495-pdf" r:id="rId1500"/>
    <hyperlink xmlns:r="http://schemas.openxmlformats.org/officeDocument/2006/relationships" ref="AG651" display="http://www.univ-tlse3.fr/" r:id="rId1501"/>
    <hyperlink xmlns:r="http://schemas.openxmlformats.org/officeDocument/2006/relationships" ref="AI651" display="Open in EEF" r:id="rId1502"/>
    <hyperlink xmlns:r="http://schemas.openxmlformats.org/officeDocument/2006/relationships" ref="AB652" display="https://www.sorbonne-universite.fr/actualites/le-conseil-dadministration-de-sorbonne-universite-vote-lunanimite-le-7-juillet-2026-sa" r:id="rId1503"/>
    <hyperlink xmlns:r="http://schemas.openxmlformats.org/officeDocument/2006/relationships" ref="AG652" display="https://sciences.sorbonne-universite.fr/formation-sciences/masters/master-informatique/parcours-mind" r:id="rId1504"/>
    <hyperlink xmlns:r="http://schemas.openxmlformats.org/officeDocument/2006/relationships" ref="AI652" display="Open in EEF" r:id="rId1505"/>
    <hyperlink xmlns:r="http://schemas.openxmlformats.org/officeDocument/2006/relationships" ref="AB653" display="https://www.utoulouse.fr/medias/fichier/2026-02-ca-075_1774430647495-pdf" r:id="rId1506"/>
    <hyperlink xmlns:r="http://schemas.openxmlformats.org/officeDocument/2006/relationships" ref="AG653" display="http://www.univ-tlse3.fr/" r:id="rId1507"/>
    <hyperlink xmlns:r="http://schemas.openxmlformats.org/officeDocument/2006/relationships" ref="AI653" display="Open in EEF" r:id="rId1508"/>
    <hyperlink xmlns:r="http://schemas.openxmlformats.org/officeDocument/2006/relationships" ref="AB654" display="https://www.sorbonne-universite.fr/actualites/le-conseil-dadministration-de-sorbonne-universite-vote-lunanimite-le-7-juillet-2026-sa" r:id="rId1509"/>
    <hyperlink xmlns:r="http://schemas.openxmlformats.org/officeDocument/2006/relationships" ref="AG654" display="https://sciences.sorbonne-universite.fr/formation-sciences/masters/master-informatique/parcours-stl" r:id="rId1510"/>
    <hyperlink xmlns:r="http://schemas.openxmlformats.org/officeDocument/2006/relationships" ref="AI654" display="Open in EEF" r:id="rId1511"/>
    <hyperlink xmlns:r="http://schemas.openxmlformats.org/officeDocument/2006/relationships" ref="AB655" display="https://www.uca.fr/medias/fichier/delib-ca-20251205-15-tarifs-differencies_1765204050111-pdf" r:id="rId1512"/>
    <hyperlink xmlns:r="http://schemas.openxmlformats.org/officeDocument/2006/relationships" ref="AG655" display="https://www.uca.fr/formation/nos-formations/catalogue-des-formations/master-info" r:id="rId1513"/>
    <hyperlink xmlns:r="http://schemas.openxmlformats.org/officeDocument/2006/relationships" ref="AI655" display="Open in EEF" r:id="rId1514"/>
    <hyperlink xmlns:r="http://schemas.openxmlformats.org/officeDocument/2006/relationships" ref="AB656" display="https://www.sorbonne-universite.fr/actualites/le-conseil-dadministration-de-sorbonne-universite-vote-lunanimite-le-7-juillet-2026-sa" r:id="rId1515"/>
    <hyperlink xmlns:r="http://schemas.openxmlformats.org/officeDocument/2006/relationships" ref="AG656" display="https://sciences.sorbonne-universite.fr/formation-sciences/masters/master-informatique/parcours-sar" r:id="rId1516"/>
    <hyperlink xmlns:r="http://schemas.openxmlformats.org/officeDocument/2006/relationships" ref="AI656" display="Open in EEF" r:id="rId1517"/>
    <hyperlink xmlns:r="http://schemas.openxmlformats.org/officeDocument/2006/relationships" ref="AG657" display="http://www.fst.uha.fr" r:id="rId1518"/>
    <hyperlink xmlns:r="http://schemas.openxmlformats.org/officeDocument/2006/relationships" ref="AI657" display="Open in EEF" r:id="rId1519"/>
    <hyperlink xmlns:r="http://schemas.openxmlformats.org/officeDocument/2006/relationships" ref="AB658" display="https://www.umontpellier.fr/en/international/etudier-a-letranger/etudiants-internationaux-annee-universitaire-2026-2027/" r:id="rId1520"/>
    <hyperlink xmlns:r="http://schemas.openxmlformats.org/officeDocument/2006/relationships" ref="AG658" display="http://sciences.edu.umontpellier.fr/" r:id="rId1521"/>
    <hyperlink xmlns:r="http://schemas.openxmlformats.org/officeDocument/2006/relationships" ref="AI658" display="Open in EEF" r:id="rId1522"/>
    <hyperlink xmlns:r="http://schemas.openxmlformats.org/officeDocument/2006/relationships" ref="AB659" display="https://www.umontpellier.fr/en/international/etudier-a-letranger/etudiants-internationaux-annee-universitaire-2026-2027/" r:id="rId1523"/>
    <hyperlink xmlns:r="http://schemas.openxmlformats.org/officeDocument/2006/relationships" ref="AG659" display="http://sciences.edu.umontpellier.fr/" r:id="rId1524"/>
    <hyperlink xmlns:r="http://schemas.openxmlformats.org/officeDocument/2006/relationships" ref="AI659" display="Open in EEF" r:id="rId1525"/>
    <hyperlink xmlns:r="http://schemas.openxmlformats.org/officeDocument/2006/relationships" ref="AI660" display="Open in EEF" r:id="rId1526"/>
    <hyperlink xmlns:r="http://schemas.openxmlformats.org/officeDocument/2006/relationships" ref="AB661" display="https://www.univ-amu.fr/fr/actualites/aix-marseille-universite-mobilise-pleinement-capacite-dexoneration-continuer-accueillir" r:id="rId1527"/>
    <hyperlink xmlns:r="http://schemas.openxmlformats.org/officeDocument/2006/relationships" ref="AG661" display="https://formations.univ-amu.fr/fr/master/5SIN/PRSIN5C6" r:id="rId1528"/>
    <hyperlink xmlns:r="http://schemas.openxmlformats.org/officeDocument/2006/relationships" ref="AI661" display="Open in EEF" r:id="rId1529"/>
    <hyperlink xmlns:r="http://schemas.openxmlformats.org/officeDocument/2006/relationships" ref="AI662" display="Open in EEF" r:id="rId1530"/>
    <hyperlink xmlns:r="http://schemas.openxmlformats.org/officeDocument/2006/relationships" ref="AG663" display="https://www.univ-guyane.fr/formation/nos-formations/formations-dfr-sciences-technologies/master-energie/" r:id="rId1531"/>
    <hyperlink xmlns:r="http://schemas.openxmlformats.org/officeDocument/2006/relationships" ref="AI663" display="Open in EEF" r:id="rId1532"/>
    <hyperlink xmlns:r="http://schemas.openxmlformats.org/officeDocument/2006/relationships" ref="AG664" display="https://www.univ-paris8.fr/-Master-Ingenierie-en-Intelligence-Artificielle-I2A-" r:id="rId1533"/>
    <hyperlink xmlns:r="http://schemas.openxmlformats.org/officeDocument/2006/relationships" ref="AI664" display="Open in EEF" r:id="rId1534"/>
    <hyperlink xmlns:r="http://schemas.openxmlformats.org/officeDocument/2006/relationships" ref="AB665" display="https://u-paris.fr/droits-dinscription-tarifs-exonerations/" r:id="rId1535"/>
    <hyperlink xmlns:r="http://schemas.openxmlformats.org/officeDocument/2006/relationships" ref="AG665" display="http://www.informatique.univ-paris-diderot.fr/" r:id="rId1536"/>
    <hyperlink xmlns:r="http://schemas.openxmlformats.org/officeDocument/2006/relationships" ref="AI665" display="Open in EEF" r:id="rId1537"/>
    <hyperlink xmlns:r="http://schemas.openxmlformats.org/officeDocument/2006/relationships" ref="AG666" display="http://www.imt-atlantique.fr" r:id="rId1538"/>
    <hyperlink xmlns:r="http://schemas.openxmlformats.org/officeDocument/2006/relationships" ref="AI666" display="Open in EEF" r:id="rId1539"/>
    <hyperlink xmlns:r="http://schemas.openxmlformats.org/officeDocument/2006/relationships" ref="AG667" display="https://igm.univ-gustave-eiffel.fr/" r:id="rId1540"/>
    <hyperlink xmlns:r="http://schemas.openxmlformats.org/officeDocument/2006/relationships" ref="AI667" display="Open in EEF" r:id="rId1541"/>
    <hyperlink xmlns:r="http://schemas.openxmlformats.org/officeDocument/2006/relationships" ref="AG668" display="http://www.supelec.fr" r:id="rId1542"/>
    <hyperlink xmlns:r="http://schemas.openxmlformats.org/officeDocument/2006/relationships" ref="AI668" display="Open in EEF" r:id="rId1543"/>
    <hyperlink xmlns:r="http://schemas.openxmlformats.org/officeDocument/2006/relationships" ref="AG669" display="http://www.supelec.fr/metz" r:id="rId1544"/>
    <hyperlink xmlns:r="http://schemas.openxmlformats.org/officeDocument/2006/relationships" ref="AI669" display="Open in EEF" r:id="rId1545"/>
    <hyperlink xmlns:r="http://schemas.openxmlformats.org/officeDocument/2006/relationships" ref="AG670" display="http://www.ens.fr" r:id="rId1546"/>
    <hyperlink xmlns:r="http://schemas.openxmlformats.org/officeDocument/2006/relationships" ref="AI670" display="Open in EEF" r:id="rId1547"/>
    <hyperlink xmlns:r="http://schemas.openxmlformats.org/officeDocument/2006/relationships" ref="AB671" display="https://www.uca.fr/medias/fichier/delib-ca-20251205-15-tarifs-differencies_1765204050111-pdf" r:id="rId1548"/>
    <hyperlink xmlns:r="http://schemas.openxmlformats.org/officeDocument/2006/relationships" ref="AG671" display="https://www.uca.fr/formation/nos-formations/catalogue-des-formations/master-info" r:id="rId1549"/>
    <hyperlink xmlns:r="http://schemas.openxmlformats.org/officeDocument/2006/relationships" ref="AI671" display="Open in EEF" r:id="rId1550"/>
    <hyperlink xmlns:r="http://schemas.openxmlformats.org/officeDocument/2006/relationships" ref="AB672" display="https://u-paris.fr/droits-dinscription-tarifs-exonerations/" r:id="rId1551"/>
    <hyperlink xmlns:r="http://schemas.openxmlformats.org/officeDocument/2006/relationships" ref="AG672" display="https://odf.u-paris.fr/fr/offre-de-formation/master-XB/sciences-technologies-sante-STS/informatique-K2NDIF4R.html" r:id="rId1552"/>
    <hyperlink xmlns:r="http://schemas.openxmlformats.org/officeDocument/2006/relationships" ref="AI672" display="Open in EEF" r:id="rId1553"/>
    <hyperlink xmlns:r="http://schemas.openxmlformats.org/officeDocument/2006/relationships" ref="AB673" display="https://u-paris.fr/droits-dinscription-tarifs-exonerations/" r:id="rId1554"/>
    <hyperlink xmlns:r="http://schemas.openxmlformats.org/officeDocument/2006/relationships" ref="AG673" display="https://math-info.u-paris.fr/" r:id="rId1555"/>
    <hyperlink xmlns:r="http://schemas.openxmlformats.org/officeDocument/2006/relationships" ref="AI673" display="Open in EEF" r:id="rId1556"/>
    <hyperlink xmlns:r="http://schemas.openxmlformats.org/officeDocument/2006/relationships" ref="AB674" display="https://www.sorbonne-universite.fr/actualites/le-conseil-dadministration-de-sorbonne-universite-vote-lunanimite-le-7-juillet-2026-sa" r:id="rId1557"/>
    <hyperlink xmlns:r="http://schemas.openxmlformats.org/officeDocument/2006/relationships" ref="AG674" display="https://sciences.sorbonne-universite.fr/formation-sciences/offre-de-formation/masters/master-informatique/parcours-cca" r:id="rId1558"/>
    <hyperlink xmlns:r="http://schemas.openxmlformats.org/officeDocument/2006/relationships" ref="AI674" display="Open in EEF" r:id="rId1559"/>
    <hyperlink xmlns:r="http://schemas.openxmlformats.org/officeDocument/2006/relationships" ref="AB675" display="https://www.utoulouse.fr/medias/fichier/2026-02-ca-075_1774430647495-pdf" r:id="rId1560"/>
    <hyperlink xmlns:r="http://schemas.openxmlformats.org/officeDocument/2006/relationships" ref="AG675" display="https://www.univ-tlse3.fr/" r:id="rId1561"/>
    <hyperlink xmlns:r="http://schemas.openxmlformats.org/officeDocument/2006/relationships" ref="AI675" display="Open in EEF" r:id="rId1562"/>
    <hyperlink xmlns:r="http://schemas.openxmlformats.org/officeDocument/2006/relationships" ref="AI676" display="Open in EEF" r:id="rId1563"/>
    <hyperlink xmlns:r="http://schemas.openxmlformats.org/officeDocument/2006/relationships" ref="AG677" display="http://www.ens.fr" r:id="rId1564"/>
    <hyperlink xmlns:r="http://schemas.openxmlformats.org/officeDocument/2006/relationships" ref="AI677" display="Open in EEF" r:id="rId1565"/>
    <hyperlink xmlns:r="http://schemas.openxmlformats.org/officeDocument/2006/relationships" ref="AB678" display="https://www.sorbonne-universite.fr/actualites/le-conseil-dadministration-de-sorbonne-universite-vote-lunanimite-le-7-juillet-2026-sa" r:id="rId1566"/>
    <hyperlink xmlns:r="http://schemas.openxmlformats.org/officeDocument/2006/relationships" ref="AG678" display="https://sciences.sorbonne-universite.fr/masters/master-mathematiques-et-applications" r:id="rId1567"/>
    <hyperlink xmlns:r="http://schemas.openxmlformats.org/officeDocument/2006/relationships" ref="AI678" display="Open in EEF" r:id="rId1568"/>
    <hyperlink xmlns:r="http://schemas.openxmlformats.org/officeDocument/2006/relationships" ref="AB679" display="https://www.sorbonne-universite.fr/actualites/le-conseil-dadministration-de-sorbonne-universite-vote-lunanimite-le-7-juillet-2026-sa" r:id="rId1569"/>
    <hyperlink xmlns:r="http://schemas.openxmlformats.org/officeDocument/2006/relationships" ref="AG679" display="https://sciences.sorbonne-universite.fr/masters/master-mathematiques-et-applications" r:id="rId1570"/>
    <hyperlink xmlns:r="http://schemas.openxmlformats.org/officeDocument/2006/relationships" ref="AI679" display="Open in EEF" r:id="rId1571"/>
    <hyperlink xmlns:r="http://schemas.openxmlformats.org/officeDocument/2006/relationships" ref="AB680" display="https://www.univ-grenoble-alpes.fr/actualites/a-la-une/actualites-universite/etudiants-internationaux-ce-que-change-le-nouveau-decret-sur-les-droits-d-inscription-a-l-uga-1775870.kjsp" r:id="rId1572"/>
    <hyperlink xmlns:r="http://schemas.openxmlformats.org/officeDocument/2006/relationships" ref="AG680" display="https://formations.univ-grenoble-alpes.fr/fr/catalogue-2021/master-XB/master-methodes-informatiques-appliquees-a-la-gestion-des-entreprises-miage-KPWBYAF2.html" r:id="rId1573"/>
    <hyperlink xmlns:r="http://schemas.openxmlformats.org/officeDocument/2006/relationships" ref="AI680" display="Open in EEF" r:id="rId1574"/>
    <hyperlink xmlns:r="http://schemas.openxmlformats.org/officeDocument/2006/relationships" ref="AB681" display="https://u-paris.fr/droits-dinscription-tarifs-exonerations/" r:id="rId1575"/>
    <hyperlink xmlns:r="http://schemas.openxmlformats.org/officeDocument/2006/relationships" ref="AG681" display="https://math-info.u-paris.fr/" r:id="rId1576"/>
    <hyperlink xmlns:r="http://schemas.openxmlformats.org/officeDocument/2006/relationships" ref="AI681" display="Open in EEF" r:id="rId1577"/>
    <hyperlink xmlns:r="http://schemas.openxmlformats.org/officeDocument/2006/relationships" ref="AG682" display="https://univ-cotedazur.fr/formation/offre-de-formation/parcours-biologie-bioinformatique-computationnelle" r:id="rId1578"/>
    <hyperlink xmlns:r="http://schemas.openxmlformats.org/officeDocument/2006/relationships" ref="AI682" display="Open in EEF" r:id="rId1579"/>
    <hyperlink xmlns:r="http://schemas.openxmlformats.org/officeDocument/2006/relationships" ref="AG683" display="http://www.univ-rennes2.fr" r:id="rId1580"/>
    <hyperlink xmlns:r="http://schemas.openxmlformats.org/officeDocument/2006/relationships" ref="AI683" display="Open in EEF" r:id="rId1581"/>
    <hyperlink xmlns:r="http://schemas.openxmlformats.org/officeDocument/2006/relationships" ref="AI684" display="Open in EEF" r:id="rId1582"/>
    <hyperlink xmlns:r="http://schemas.openxmlformats.org/officeDocument/2006/relationships" ref="AG685" display="http://www-instn.cea.fr" r:id="rId1583"/>
    <hyperlink xmlns:r="http://schemas.openxmlformats.org/officeDocument/2006/relationships" ref="AI685" display="Open in EEF" r:id="rId1584"/>
    <hyperlink xmlns:r="http://schemas.openxmlformats.org/officeDocument/2006/relationships" ref="AG686" display="http://www.ensea.fr" r:id="rId1585"/>
    <hyperlink xmlns:r="http://schemas.openxmlformats.org/officeDocument/2006/relationships" ref="AI686" display="Open in EEF" r:id="rId1586"/>
    <hyperlink xmlns:r="http://schemas.openxmlformats.org/officeDocument/2006/relationships" ref="AG687" display="http://www.ens.fr" r:id="rId1587"/>
    <hyperlink xmlns:r="http://schemas.openxmlformats.org/officeDocument/2006/relationships" ref="AI687" display="Open in EEF" r:id="rId1588"/>
    <hyperlink xmlns:r="http://schemas.openxmlformats.org/officeDocument/2006/relationships" ref="AG688" display="http://www.ens.fr" r:id="rId1589"/>
    <hyperlink xmlns:r="http://schemas.openxmlformats.org/officeDocument/2006/relationships" ref="AI688" display="Open in EEF" r:id="rId1590"/>
    <hyperlink xmlns:r="http://schemas.openxmlformats.org/officeDocument/2006/relationships" ref="AG689" display="http://www-instn.cea.fr" r:id="rId1591"/>
    <hyperlink xmlns:r="http://schemas.openxmlformats.org/officeDocument/2006/relationships" ref="AI689" display="Open in EEF" r:id="rId1592"/>
    <hyperlink xmlns:r="http://schemas.openxmlformats.org/officeDocument/2006/relationships" ref="AB690" display="https://www.sorbonne-universite.fr/actualites/le-conseil-dadministration-de-sorbonne-universite-vote-lunanimite-le-7-juillet-2026-sa" r:id="rId1593"/>
    <hyperlink xmlns:r="http://schemas.openxmlformats.org/officeDocument/2006/relationships" ref="AG690" display="http://www.polytech.upmc.fr" r:id="rId1594"/>
    <hyperlink xmlns:r="http://schemas.openxmlformats.org/officeDocument/2006/relationships" ref="AI690" display="Open in EEF" r:id="rId1595"/>
    <hyperlink xmlns:r="http://schemas.openxmlformats.org/officeDocument/2006/relationships" ref="AG691" display="http://www.isty.uvsq.fr" r:id="rId1596"/>
    <hyperlink xmlns:r="http://schemas.openxmlformats.org/officeDocument/2006/relationships" ref="AI691" display="Open in EEF" r:id="rId1597"/>
    <hyperlink xmlns:r="http://schemas.openxmlformats.org/officeDocument/2006/relationships" ref="AG692" display="http://www.sup-galilee.univ-paris13.fr/" r:id="rId1598"/>
    <hyperlink xmlns:r="http://schemas.openxmlformats.org/officeDocument/2006/relationships" ref="AI692" display="Open in EEF" r:id="rId1599"/>
    <hyperlink xmlns:r="http://schemas.openxmlformats.org/officeDocument/2006/relationships" ref="AG693" display="http://www.sup-galilee.univ-paris13.fr/" r:id="rId1600"/>
    <hyperlink xmlns:r="http://schemas.openxmlformats.org/officeDocument/2006/relationships" ref="AI693" display="Open in EEF" r:id="rId1601"/>
    <hyperlink xmlns:r="http://schemas.openxmlformats.org/officeDocument/2006/relationships" ref="AG694" display="https://episen.u-pec.fr/" r:id="rId1602"/>
    <hyperlink xmlns:r="http://schemas.openxmlformats.org/officeDocument/2006/relationships" ref="AI694" display="Open in EEF" r:id="rId1603"/>
    <hyperlink xmlns:r="http://schemas.openxmlformats.org/officeDocument/2006/relationships" ref="AG695" display="http://www.insa-rennes.fr" r:id="rId1604"/>
    <hyperlink xmlns:r="http://schemas.openxmlformats.org/officeDocument/2006/relationships" ref="AI695" display="Open in EEF" r:id="rId1605"/>
    <hyperlink xmlns:r="http://schemas.openxmlformats.org/officeDocument/2006/relationships" ref="AG696" display="http://www.insa-rennes.fr" r:id="rId1606"/>
    <hyperlink xmlns:r="http://schemas.openxmlformats.org/officeDocument/2006/relationships" ref="AI696" display="Open in EEF" r:id="rId1607"/>
    <hyperlink xmlns:r="http://schemas.openxmlformats.org/officeDocument/2006/relationships" ref="AG697" display="http://www.utt.fr" r:id="rId1608"/>
    <hyperlink xmlns:r="http://schemas.openxmlformats.org/officeDocument/2006/relationships" ref="AI697" display="Open in EEF" r:id="rId1609"/>
    <hyperlink xmlns:r="http://schemas.openxmlformats.org/officeDocument/2006/relationships" ref="AG698" display="http://esiroi.univ-reunion.fr" r:id="rId1610"/>
    <hyperlink xmlns:r="http://schemas.openxmlformats.org/officeDocument/2006/relationships" ref="AI698" display="Open in EEF" r:id="rId1611"/>
    <hyperlink xmlns:r="http://schemas.openxmlformats.org/officeDocument/2006/relationships" ref="AI699" display="Open in EEF" r:id="rId1612"/>
    <hyperlink xmlns:r="http://schemas.openxmlformats.org/officeDocument/2006/relationships" ref="AG700" display="https://cytech.cyu.fr/" r:id="rId1613"/>
    <hyperlink xmlns:r="http://schemas.openxmlformats.org/officeDocument/2006/relationships" ref="AI700" display="Open in EEF" r:id="rId1614"/>
    <hyperlink xmlns:r="http://schemas.openxmlformats.org/officeDocument/2006/relationships" ref="AG701" display="https://cytech.cyu.fr/international-cy-tech/programme-grande-ecole-ingenieur" r:id="rId1615"/>
    <hyperlink xmlns:r="http://schemas.openxmlformats.org/officeDocument/2006/relationships" ref="AI701" display="Open in EEF" r:id="rId1616"/>
    <hyperlink xmlns:r="http://schemas.openxmlformats.org/officeDocument/2006/relationships" ref="AG702" display="http://www.ig2i.fr" r:id="rId1617"/>
    <hyperlink xmlns:r="http://schemas.openxmlformats.org/officeDocument/2006/relationships" ref="AI702" display="Open in EEF" r:id="rId1618"/>
    <hyperlink xmlns:r="http://schemas.openxmlformats.org/officeDocument/2006/relationships" ref="AG703" display="https://www.eilco-ulco.fr" r:id="rId1619"/>
    <hyperlink xmlns:r="http://schemas.openxmlformats.org/officeDocument/2006/relationships" ref="AI703" display="Open in EEF" r:id="rId1620"/>
    <hyperlink xmlns:r="http://schemas.openxmlformats.org/officeDocument/2006/relationships" ref="AG704" display="http://www.ensiie.fr" r:id="rId1621"/>
    <hyperlink xmlns:r="http://schemas.openxmlformats.org/officeDocument/2006/relationships" ref="AI704" display="Open in EEF" r:id="rId1622"/>
    <hyperlink xmlns:r="http://schemas.openxmlformats.org/officeDocument/2006/relationships" ref="AG705" display="http://www.ensisa.uha.fr" r:id="rId1623"/>
    <hyperlink xmlns:r="http://schemas.openxmlformats.org/officeDocument/2006/relationships" ref="AI705" display="Open in EEF" r:id="rId1624"/>
    <hyperlink xmlns:r="http://schemas.openxmlformats.org/officeDocument/2006/relationships" ref="AG706" display="https://www.polytech-lille.fr/formation/informatique-et-statistique/" r:id="rId1625"/>
    <hyperlink xmlns:r="http://schemas.openxmlformats.org/officeDocument/2006/relationships" ref="AI706" display="Open in EEF" r:id="rId1626"/>
    <hyperlink xmlns:r="http://schemas.openxmlformats.org/officeDocument/2006/relationships" ref="AB707" display="https://www.univ-amu.fr/fr/actualites/aix-marseille-universite-mobilise-pleinement-capacite-dexoneration-continuer-accueillir" r:id="rId1627"/>
    <hyperlink xmlns:r="http://schemas.openxmlformats.org/officeDocument/2006/relationships" ref="AG707" display="https://polytech.univ-amu.fr/fr/formations/cycle-ingenieur/genie-industriel-informatique" r:id="rId1628"/>
    <hyperlink xmlns:r="http://schemas.openxmlformats.org/officeDocument/2006/relationships" ref="AI707" display="Open in EEF" r:id="rId1629"/>
    <hyperlink xmlns:r="http://schemas.openxmlformats.org/officeDocument/2006/relationships" ref="AB708" display="https://www.univ-amu.fr/fr/actualites/aix-marseille-universite-mobilise-pleinement-capacite-dexoneration-continuer-accueillir" r:id="rId1630"/>
    <hyperlink xmlns:r="http://schemas.openxmlformats.org/officeDocument/2006/relationships" ref="AG708" display="https://polytech.univ-amu.fr/fr/formations/cycle-ingenieur/informatique" r:id="rId1631"/>
    <hyperlink xmlns:r="http://schemas.openxmlformats.org/officeDocument/2006/relationships" ref="AI708" display="Open in EEF" r:id="rId1632"/>
    <hyperlink xmlns:r="http://schemas.openxmlformats.org/officeDocument/2006/relationships" ref="AG709" display="http://www.polytech.univ-savoie.fr" r:id="rId1633"/>
    <hyperlink xmlns:r="http://schemas.openxmlformats.org/officeDocument/2006/relationships" ref="AI709" display="Open in EEF" r:id="rId1634"/>
    <hyperlink xmlns:r="http://schemas.openxmlformats.org/officeDocument/2006/relationships" ref="AG710" display="https://www.polytech.universite-paris-saclay.fr/formation/informatique-et-ingenierie-mathematique" r:id="rId1635"/>
    <hyperlink xmlns:r="http://schemas.openxmlformats.org/officeDocument/2006/relationships" ref="AI710" display="Open in EEF" r:id="rId1636"/>
    <hyperlink xmlns:r="http://schemas.openxmlformats.org/officeDocument/2006/relationships" ref="AG711" display="http://www.supelec.fr" r:id="rId1637"/>
    <hyperlink xmlns:r="http://schemas.openxmlformats.org/officeDocument/2006/relationships" ref="AI711" display="Open in EEF" r:id="rId1638"/>
    <hyperlink xmlns:r="http://schemas.openxmlformats.org/officeDocument/2006/relationships" ref="AG712" display="http://www.supelec.fr/metz" r:id="rId1639"/>
    <hyperlink xmlns:r="http://schemas.openxmlformats.org/officeDocument/2006/relationships" ref="AI712" display="Open in EEF" r:id="rId1640"/>
    <hyperlink xmlns:r="http://schemas.openxmlformats.org/officeDocument/2006/relationships" ref="AG713" display="http://www.3ilrodez.fr/" r:id="rId1641"/>
    <hyperlink xmlns:r="http://schemas.openxmlformats.org/officeDocument/2006/relationships" ref="AI713" display="Open in EEF" r:id="rId1642"/>
    <hyperlink xmlns:r="http://schemas.openxmlformats.org/officeDocument/2006/relationships" ref="AG714" display="http://www.institutoptique.fr" r:id="rId1643"/>
    <hyperlink xmlns:r="http://schemas.openxmlformats.org/officeDocument/2006/relationships" ref="AI714" display="Open in EEF" r:id="rId1644"/>
    <hyperlink xmlns:r="http://schemas.openxmlformats.org/officeDocument/2006/relationships" ref="AB715" display="https://www.univ-grenoble-alpes.fr/actualites/a-la-une/actualites-universite/etudiants-internationaux-ce-que-change-le-nouveau-decret-sur-les-droits-d-inscription-a-l-uga-1775870.kjsp" r:id="rId1645"/>
    <hyperlink xmlns:r="http://schemas.openxmlformats.org/officeDocument/2006/relationships" ref="AG715" display="http://esisar.grenoble-inp.fr" r:id="rId1646"/>
    <hyperlink xmlns:r="http://schemas.openxmlformats.org/officeDocument/2006/relationships" ref="AI715" display="Open in EEF" r:id="rId1647"/>
    <hyperlink xmlns:r="http://schemas.openxmlformats.org/officeDocument/2006/relationships" ref="AB716" display="https://www.univ-grenoble-alpes.fr/actualites/a-la-une/actualites-universite/etudiants-internationaux-ce-que-change-le-nouveau-decret-sur-les-droits-d-inscription-a-l-uga-1775870.kjsp" r:id="rId1648"/>
    <hyperlink xmlns:r="http://schemas.openxmlformats.org/officeDocument/2006/relationships" ref="AG716" display="https://ensimag.grenoble-inp.fr/fr/formation/ingenieur-formation-initiale et https://ensimag.grenoble-inp.fr/fr/formation/admissions" r:id="rId1649"/>
    <hyperlink xmlns:r="http://schemas.openxmlformats.org/officeDocument/2006/relationships" ref="AI716" display="Open in EEF" r:id="rId1650"/>
    <hyperlink xmlns:r="http://schemas.openxmlformats.org/officeDocument/2006/relationships" ref="AG717" display="https://polytech.u-bourgogne.fr/informatique-reseaux" r:id="rId1651"/>
    <hyperlink xmlns:r="http://schemas.openxmlformats.org/officeDocument/2006/relationships" ref="AI717" display="Open in EEF" r:id="rId1652"/>
    <hyperlink xmlns:r="http://schemas.openxmlformats.org/officeDocument/2006/relationships" ref="AG718" display="http://www.isis-ingenieur.fr" r:id="rId1653"/>
    <hyperlink xmlns:r="http://schemas.openxmlformats.org/officeDocument/2006/relationships" ref="AI718" display="Open in EEF" r:id="rId1654"/>
    <hyperlink xmlns:r="http://schemas.openxmlformats.org/officeDocument/2006/relationships" ref="AG719" display="http://cnam.univ-ag.fr" r:id="rId1655"/>
    <hyperlink xmlns:r="http://schemas.openxmlformats.org/officeDocument/2006/relationships" ref="AI719" display="Open in EEF" r:id="rId1656"/>
    <hyperlink xmlns:r="http://schemas.openxmlformats.org/officeDocument/2006/relationships" ref="AG720" display="http://www.cnam-poitou-charentes.fr" r:id="rId1657"/>
    <hyperlink xmlns:r="http://schemas.openxmlformats.org/officeDocument/2006/relationships" ref="AI720" display="Open in EEF" r:id="rId1658"/>
    <hyperlink xmlns:r="http://schemas.openxmlformats.org/officeDocument/2006/relationships" ref="AG721" display="https://ensar.univ-poitiers.fr" r:id="rId1659"/>
    <hyperlink xmlns:r="http://schemas.openxmlformats.org/officeDocument/2006/relationships" ref="AI721" display="Open in EEF" r:id="rId1660"/>
    <hyperlink xmlns:r="http://schemas.openxmlformats.org/officeDocument/2006/relationships" ref="AG722" display="http://www.polytech.univ-nantes.fr" r:id="rId1661"/>
    <hyperlink xmlns:r="http://schemas.openxmlformats.org/officeDocument/2006/relationships" ref="AI722" display="Open in EEF" r:id="rId1662"/>
    <hyperlink xmlns:r="http://schemas.openxmlformats.org/officeDocument/2006/relationships" ref="AB723" display="https://www.univ-tours.fr/international/etudes-stages-a-tours/droits-dinscription-differencies-pour-les-etudiants-extra-communautaires-2026-2027" r:id="rId1663"/>
    <hyperlink xmlns:r="http://schemas.openxmlformats.org/officeDocument/2006/relationships" ref="AG723" display="http://polytech.univ-tours.fr/informatique" r:id="rId1664"/>
    <hyperlink xmlns:r="http://schemas.openxmlformats.org/officeDocument/2006/relationships" ref="AI723" display="Open in EEF" r:id="rId1665"/>
    <hyperlink xmlns:r="http://schemas.openxmlformats.org/officeDocument/2006/relationships" ref="AG724" display="https://eijv.u-picardie.fr/" r:id="rId1666"/>
    <hyperlink xmlns:r="http://schemas.openxmlformats.org/officeDocument/2006/relationships" ref="AI724" display="Open in EEF" r:id="rId1667"/>
    <hyperlink xmlns:r="http://schemas.openxmlformats.org/officeDocument/2006/relationships" ref="AG725" display="https://eijv.u-picardie.fr/" r:id="rId1668"/>
    <hyperlink xmlns:r="http://schemas.openxmlformats.org/officeDocument/2006/relationships" ref="AI725" display="Open in EEF" r:id="rId1669"/>
    <hyperlink xmlns:r="http://schemas.openxmlformats.org/officeDocument/2006/relationships" ref="AG726" display="https://www.ens2m.fr/" r:id="rId1670"/>
    <hyperlink xmlns:r="http://schemas.openxmlformats.org/officeDocument/2006/relationships" ref="AI726" display="Open in EEF" r:id="rId1671"/>
    <hyperlink xmlns:r="http://schemas.openxmlformats.org/officeDocument/2006/relationships" ref="AG727" display="http://www.enssat.fr/" r:id="rId1672"/>
    <hyperlink xmlns:r="http://schemas.openxmlformats.org/officeDocument/2006/relationships" ref="AI727" display="Open in EEF" r:id="rId1673"/>
    <hyperlink xmlns:r="http://schemas.openxmlformats.org/officeDocument/2006/relationships" ref="AG728" display="https://esir.univ-rennes.fr/" r:id="rId1674"/>
    <hyperlink xmlns:r="http://schemas.openxmlformats.org/officeDocument/2006/relationships" ref="AI728" display="Open in EEF" r:id="rId1675"/>
    <hyperlink xmlns:r="http://schemas.openxmlformats.org/officeDocument/2006/relationships" ref="AG729" display="https://esir.univ-rennes.fr/" r:id="rId1676"/>
    <hyperlink xmlns:r="http://schemas.openxmlformats.org/officeDocument/2006/relationships" ref="AI729" display="Open in EEF" r:id="rId1677"/>
    <hyperlink xmlns:r="http://schemas.openxmlformats.org/officeDocument/2006/relationships" ref="AG730" display="http://www.insa-centrevaldeloire.fr" r:id="rId1678"/>
    <hyperlink xmlns:r="http://schemas.openxmlformats.org/officeDocument/2006/relationships" ref="AI730" display="Open in EEF" r:id="rId1679"/>
    <hyperlink xmlns:r="http://schemas.openxmlformats.org/officeDocument/2006/relationships" ref="AG731" display="https://www.ensicaen.fr/" r:id="rId1680"/>
    <hyperlink xmlns:r="http://schemas.openxmlformats.org/officeDocument/2006/relationships" ref="AI731" display="Open in EEF" r:id="rId1681"/>
    <hyperlink xmlns:r="http://schemas.openxmlformats.org/officeDocument/2006/relationships" ref="AB732" display="https://www.uca.fr/medias/fichier/delib-ca-20251205-15-tarifs-differencies_1765204050111-pdf" r:id="rId1682"/>
    <hyperlink xmlns:r="http://schemas.openxmlformats.org/officeDocument/2006/relationships" ref="AG732" display="http://www.polytech-clermont.fr" r:id="rId1683"/>
    <hyperlink xmlns:r="http://schemas.openxmlformats.org/officeDocument/2006/relationships" ref="AI732" display="Open in EEF" r:id="rId1684"/>
    <hyperlink xmlns:r="http://schemas.openxmlformats.org/officeDocument/2006/relationships" ref="AG733" display="https://polytech.univ-cotedazur.fr/" r:id="rId1685"/>
    <hyperlink xmlns:r="http://schemas.openxmlformats.org/officeDocument/2006/relationships" ref="AI733" display="Open in EEF" r:id="rId1686"/>
    <hyperlink xmlns:r="http://schemas.openxmlformats.org/officeDocument/2006/relationships" ref="AG734" display="https://www.insa-lyon.fr/fr/formation/" r:id="rId1687"/>
    <hyperlink xmlns:r="http://schemas.openxmlformats.org/officeDocument/2006/relationships" ref="AI734" display="Open in EEF" r:id="rId1688"/>
    <hyperlink xmlns:r="http://schemas.openxmlformats.org/officeDocument/2006/relationships" ref="AG735" display="https://www.insa-hautsdefrance.fr/formation-ingenieurs" r:id="rId1689"/>
    <hyperlink xmlns:r="http://schemas.openxmlformats.org/officeDocument/2006/relationships" ref="AI735" display="Open in EEF" r:id="rId1690"/>
    <hyperlink xmlns:r="http://schemas.openxmlformats.org/officeDocument/2006/relationships" ref="AG736" display="https://www.insa-lyon.fr/fr/formation/" r:id="rId1691"/>
    <hyperlink xmlns:r="http://schemas.openxmlformats.org/officeDocument/2006/relationships" ref="AI736" display="Open in EEF" r:id="rId1692"/>
    <hyperlink xmlns:r="http://schemas.openxmlformats.org/officeDocument/2006/relationships" ref="AB737" display="https://www.univ-grenoble-alpes.fr/actualites/a-la-une/actualites-universite/etudiants-internationaux-ce-que-change-le-nouveau-decret-sur-les-droits-d-inscription-a-l-uga-1775870.kjsp" r:id="rId1693"/>
    <hyperlink xmlns:r="http://schemas.openxmlformats.org/officeDocument/2006/relationships" ref="AG737" display="https://polytech.grenoble-inp.fr/" r:id="rId1694"/>
    <hyperlink xmlns:r="http://schemas.openxmlformats.org/officeDocument/2006/relationships" ref="AI737" display="Open in EEF" r:id="rId1695"/>
    <hyperlink xmlns:r="http://schemas.openxmlformats.org/officeDocument/2006/relationships" ref="AB738" display="https://www.univ-grenoble-alpes.fr/actualites/a-la-une/actualites-universite/etudiants-internationaux-ce-que-change-le-nouveau-decret-sur-les-droits-d-inscription-a-l-uga-1775870.kjsp" r:id="rId1696"/>
    <hyperlink xmlns:r="http://schemas.openxmlformats.org/officeDocument/2006/relationships" ref="AG738" display="https://polytech.grenoble-inp.fr/" r:id="rId1697"/>
    <hyperlink xmlns:r="http://schemas.openxmlformats.org/officeDocument/2006/relationships" ref="AI738" display="Open in EEF" r:id="rId1698"/>
    <hyperlink xmlns:r="http://schemas.openxmlformats.org/officeDocument/2006/relationships" ref="AG739" display="http://polytech.univ-lyon1.fr" r:id="rId1699"/>
    <hyperlink xmlns:r="http://schemas.openxmlformats.org/officeDocument/2006/relationships" ref="AI739" display="Open in EEF" r:id="rId1700"/>
    <hyperlink xmlns:r="http://schemas.openxmlformats.org/officeDocument/2006/relationships" ref="AG740" display="http://polytech.univ-lyon1.fr" r:id="rId1701"/>
    <hyperlink xmlns:r="http://schemas.openxmlformats.org/officeDocument/2006/relationships" ref="AI740" display="Open in EEF" r:id="rId1702"/>
    <hyperlink xmlns:r="http://schemas.openxmlformats.org/officeDocument/2006/relationships" ref="AG741" display="https://www.utbm.fr/formations/ingenieur/informatique/" r:id="rId1703"/>
    <hyperlink xmlns:r="http://schemas.openxmlformats.org/officeDocument/2006/relationships" ref="AI741" display="Open in EEF" r:id="rId1704"/>
    <hyperlink xmlns:r="http://schemas.openxmlformats.org/officeDocument/2006/relationships" ref="AG742" display="http://www.insa-rouen.fr" r:id="rId1705"/>
    <hyperlink xmlns:r="http://schemas.openxmlformats.org/officeDocument/2006/relationships" ref="AI742" display="Open in EEF" r:id="rId1706"/>
    <hyperlink xmlns:r="http://schemas.openxmlformats.org/officeDocument/2006/relationships" ref="AG743" display="https://portail.polytechnique.edu/bachelor/fr" r:id="rId1707"/>
    <hyperlink xmlns:r="http://schemas.openxmlformats.org/officeDocument/2006/relationships" ref="AI743" display="Open in EEF" r:id="rId1708"/>
    <hyperlink xmlns:r="http://schemas.openxmlformats.org/officeDocument/2006/relationships" ref="AG744" display="http://www.ensta-paristech.fr" r:id="rId1709"/>
    <hyperlink xmlns:r="http://schemas.openxmlformats.org/officeDocument/2006/relationships" ref="AI744" display="Open in EEF" r:id="rId1710"/>
    <hyperlink xmlns:r="http://schemas.openxmlformats.org/officeDocument/2006/relationships" ref="AI745" display="Open in EEF" r:id="rId1711"/>
    <hyperlink xmlns:r="http://schemas.openxmlformats.org/officeDocument/2006/relationships" ref="AG746" display="http://www.ensta-paristech.fr" r:id="rId1712"/>
    <hyperlink xmlns:r="http://schemas.openxmlformats.org/officeDocument/2006/relationships" ref="AI746" display="Open in EEF" r:id="rId1713"/>
    <hyperlink xmlns:r="http://schemas.openxmlformats.org/officeDocument/2006/relationships" ref="AG747" display="http://www.enseeiht.fr" r:id="rId1714"/>
    <hyperlink xmlns:r="http://schemas.openxmlformats.org/officeDocument/2006/relationships" ref="AI747" display="Open in EEF" r:id="rId1715"/>
    <hyperlink xmlns:r="http://schemas.openxmlformats.org/officeDocument/2006/relationships" ref="AG748" display="https://univ-cotedazur.eu/msc/msc-data-science-and-artificial-intelligence" r:id="rId1716"/>
    <hyperlink xmlns:r="http://schemas.openxmlformats.org/officeDocument/2006/relationships" ref="AI748" display="Open in EEF" r:id="rId1717"/>
    <hyperlink xmlns:r="http://schemas.openxmlformats.org/officeDocument/2006/relationships" ref="AG749" display="https://www.3il-ingenieurs.fr/" r:id="rId1718"/>
    <hyperlink xmlns:r="http://schemas.openxmlformats.org/officeDocument/2006/relationships" ref="AI749" display="Open in EEF" r:id="rId1719"/>
    <hyperlink xmlns:r="http://schemas.openxmlformats.org/officeDocument/2006/relationships" ref="AG750" display="https://www.imt-atlantique.fr/en/study/masters/msc/it-cybersecurity" r:id="rId1720"/>
    <hyperlink xmlns:r="http://schemas.openxmlformats.org/officeDocument/2006/relationships" ref="AI750" display="Open in EEF" r:id="rId1721"/>
    <hyperlink xmlns:r="http://schemas.openxmlformats.org/officeDocument/2006/relationships" ref="AG751" display="https://www.imt-atlantique.fr/en/study/msc/it-ds" r:id="rId1722"/>
    <hyperlink xmlns:r="http://schemas.openxmlformats.org/officeDocument/2006/relationships" ref="AI751" display="Open in EEF" r:id="rId1723"/>
    <hyperlink xmlns:r="http://schemas.openxmlformats.org/officeDocument/2006/relationships" ref="AG752" display="http://www.esaip.org" r:id="rId1724"/>
    <hyperlink xmlns:r="http://schemas.openxmlformats.org/officeDocument/2006/relationships" ref="AI752" display="Open in EEF" r:id="rId1725"/>
    <hyperlink xmlns:r="http://schemas.openxmlformats.org/officeDocument/2006/relationships" ref="AG753" display="http://www.esaip.org" r:id="rId1726"/>
    <hyperlink xmlns:r="http://schemas.openxmlformats.org/officeDocument/2006/relationships" ref="AI753" display="Open in EEF" r:id="rId1727"/>
    <hyperlink xmlns:r="http://schemas.openxmlformats.org/officeDocument/2006/relationships" ref="AG754" display="https://www.esaip.org/formation/" r:id="rId1728"/>
    <hyperlink xmlns:r="http://schemas.openxmlformats.org/officeDocument/2006/relationships" ref="AI754" display="Open in EEF" r:id="rId1729"/>
    <hyperlink xmlns:r="http://schemas.openxmlformats.org/officeDocument/2006/relationships" ref="AG755" display="https://www.esaip.org/formation/" r:id="rId1730"/>
    <hyperlink xmlns:r="http://schemas.openxmlformats.org/officeDocument/2006/relationships" ref="AI755" display="Open in EEF" r:id="rId1731"/>
    <hyperlink xmlns:r="http://schemas.openxmlformats.org/officeDocument/2006/relationships" ref="AG756" display="https://www.telecom-sudparis.eu/formation/mastere-specialise-cybersecurite/" r:id="rId1732"/>
    <hyperlink xmlns:r="http://schemas.openxmlformats.org/officeDocument/2006/relationships" ref="AI756" display="Open in EEF" r:id="rId1733"/>
    <hyperlink xmlns:r="http://schemas.openxmlformats.org/officeDocument/2006/relationships" ref="AG757" display="https://www.telecom-sudparis.eu/formation/mastere-specialise-reseaux-services/" r:id="rId1734"/>
    <hyperlink xmlns:r="http://schemas.openxmlformats.org/officeDocument/2006/relationships" ref="AI757" display="Open in EEF" r:id="rId1735"/>
    <hyperlink xmlns:r="http://schemas.openxmlformats.org/officeDocument/2006/relationships" ref="AG758" display="https://formation-continue.agroparistech.fr/catalogue-de-formation/ms-silat-systemes-dinformations-localisees-pour-lamenagement-territoires" r:id="rId1736"/>
    <hyperlink xmlns:r="http://schemas.openxmlformats.org/officeDocument/2006/relationships" ref="AI758" display="Open in EEF" r:id="rId1737"/>
    <hyperlink xmlns:r="http://schemas.openxmlformats.org/officeDocument/2006/relationships" ref="AG759" display="https://guingamp.uco.fr/fr/formations/sciences/master-ingenierie-des-systemes-complexes?destination=/fr/fr/formations-guingamp" r:id="rId1738"/>
    <hyperlink xmlns:r="http://schemas.openxmlformats.org/officeDocument/2006/relationships" ref="AI759" display="Open in EEF" r:id="rId1739"/>
    <hyperlink xmlns:r="http://schemas.openxmlformats.org/officeDocument/2006/relationships" ref="AG760" display="https://guingamp.uco.fr/fr/formations/sciences/master-ingenierie-des-systemes-complexes?destination=/fr/fr/formations-guingamp" r:id="rId1740"/>
    <hyperlink xmlns:r="http://schemas.openxmlformats.org/officeDocument/2006/relationships" ref="AI760" display="Open in EEF" r:id="rId1741"/>
    <hyperlink xmlns:r="http://schemas.openxmlformats.org/officeDocument/2006/relationships" ref="AG761" display="https://www.cesi.fr/en/trainings/master-degree-in-computer-science/" r:id="rId1742"/>
    <hyperlink xmlns:r="http://schemas.openxmlformats.org/officeDocument/2006/relationships" ref="AI761" display="Open in EEF" r:id="rId1743"/>
    <hyperlink xmlns:r="http://schemas.openxmlformats.org/officeDocument/2006/relationships" ref="AG762" display="https://www.cesi.fr/en/trainings/master-degree-in-computer-science/" r:id="rId1744"/>
    <hyperlink xmlns:r="http://schemas.openxmlformats.org/officeDocument/2006/relationships" ref="AI762" display="Open in EEF" r:id="rId1745"/>
    <hyperlink xmlns:r="http://schemas.openxmlformats.org/officeDocument/2006/relationships" ref="AG763" display="https://www.cesi.fr/en/trainings/master-degree-in-computer-science/" r:id="rId1746"/>
    <hyperlink xmlns:r="http://schemas.openxmlformats.org/officeDocument/2006/relationships" ref="AI763" display="Open in EEF" r:id="rId1747"/>
    <hyperlink xmlns:r="http://schemas.openxmlformats.org/officeDocument/2006/relationships" ref="AG764" display="https://www.cesi.fr/en/trainings/master-degree-in-computer-science/" r:id="rId1748"/>
    <hyperlink xmlns:r="http://schemas.openxmlformats.org/officeDocument/2006/relationships" ref="AI764" display="Open in EEF" r:id="rId1749"/>
    <hyperlink xmlns:r="http://schemas.openxmlformats.org/officeDocument/2006/relationships" ref="AG765" display="https://www.cesi.fr/en/trainings/master-degree-in-computer-science/" r:id="rId1750"/>
    <hyperlink xmlns:r="http://schemas.openxmlformats.org/officeDocument/2006/relationships" ref="AI765" display="Open in EEF" r:id="rId1751"/>
    <hyperlink xmlns:r="http://schemas.openxmlformats.org/officeDocument/2006/relationships" ref="AG766" display="https://www.cesi.fr/en/trainings/master-degree-in-computer-science/" r:id="rId1752"/>
    <hyperlink xmlns:r="http://schemas.openxmlformats.org/officeDocument/2006/relationships" ref="AI766" display="Open in EEF" r:id="rId1753"/>
    <hyperlink xmlns:r="http://schemas.openxmlformats.org/officeDocument/2006/relationships" ref="AG767" display="https://www.cesi.fr/formation/ingenieur-e-specialite-informatique-sous-statut-etudiant-2019208/" r:id="rId1754"/>
    <hyperlink xmlns:r="http://schemas.openxmlformats.org/officeDocument/2006/relationships" ref="AI767" display="Open in EEF" r:id="rId1755"/>
    <hyperlink xmlns:r="http://schemas.openxmlformats.org/officeDocument/2006/relationships" ref="AG768" display="https://www.cesi.fr/formation/ingenieur-e-specialite-informatique-sous-statut-etudiant-2019208/" r:id="rId1756"/>
    <hyperlink xmlns:r="http://schemas.openxmlformats.org/officeDocument/2006/relationships" ref="AI768" display="Open in EEF" r:id="rId1757"/>
    <hyperlink xmlns:r="http://schemas.openxmlformats.org/officeDocument/2006/relationships" ref="AG769" display="https://www.cesi.fr/formation/ingenieur-e-specialite-informatique-sous-statut-etudiant-2019208/" r:id="rId1758"/>
    <hyperlink xmlns:r="http://schemas.openxmlformats.org/officeDocument/2006/relationships" ref="AI769" display="Open in EEF" r:id="rId1759"/>
    <hyperlink xmlns:r="http://schemas.openxmlformats.org/officeDocument/2006/relationships" ref="AG770" display="https://www.cesi.fr/formation/ingenieur-e-specialite-informatique-sous-statut-etudiant-2019208/" r:id="rId1760"/>
    <hyperlink xmlns:r="http://schemas.openxmlformats.org/officeDocument/2006/relationships" ref="AI770" display="Open in EEF" r:id="rId1761"/>
    <hyperlink xmlns:r="http://schemas.openxmlformats.org/officeDocument/2006/relationships" ref="AG771" display="https://www.cesi.fr/formation/ingenieur-e-specialite-informatique-sous-statut-etudiant-2019208/" r:id="rId1762"/>
    <hyperlink xmlns:r="http://schemas.openxmlformats.org/officeDocument/2006/relationships" ref="AI771" display="Open in EEF" r:id="rId1763"/>
    <hyperlink xmlns:r="http://schemas.openxmlformats.org/officeDocument/2006/relationships" ref="AG772" display="https://www.cesi.fr/formation/ingenieur-e-specialite-informatique-sous-statut-etudiant-2019208/" r:id="rId1764"/>
    <hyperlink xmlns:r="http://schemas.openxmlformats.org/officeDocument/2006/relationships" ref="AI772" display="Open in EEF" r:id="rId1765"/>
    <hyperlink xmlns:r="http://schemas.openxmlformats.org/officeDocument/2006/relationships" ref="AG773" display="https://www.cesi.fr/formation/ingenieur-e-specialite-informatique-sous-statut-etudiant-2019208/" r:id="rId1766"/>
    <hyperlink xmlns:r="http://schemas.openxmlformats.org/officeDocument/2006/relationships" ref="AI773" display="Open in EEF" r:id="rId1767"/>
    <hyperlink xmlns:r="http://schemas.openxmlformats.org/officeDocument/2006/relationships" ref="AG774" display="https://www.cesi.fr/formation/ingenieur-e-specialite-informatique-sous-statut-etudiant-2019208/" r:id="rId1768"/>
    <hyperlink xmlns:r="http://schemas.openxmlformats.org/officeDocument/2006/relationships" ref="AI774" display="Open in EEF" r:id="rId1769"/>
    <hyperlink xmlns:r="http://schemas.openxmlformats.org/officeDocument/2006/relationships" ref="AG775" display="https://www.cesi.fr/formation/ingenieur-e-specialite-informatique-sous-statut-etudiant-2019208/" r:id="rId1770"/>
    <hyperlink xmlns:r="http://schemas.openxmlformats.org/officeDocument/2006/relationships" ref="AI775" display="Open in EEF" r:id="rId1771"/>
    <hyperlink xmlns:r="http://schemas.openxmlformats.org/officeDocument/2006/relationships" ref="AG776" display="https://www.cesi.fr/formation/ingenieur-e-specialite-informatique-sous-statut-etudiant-2019208/" r:id="rId1772"/>
    <hyperlink xmlns:r="http://schemas.openxmlformats.org/officeDocument/2006/relationships" ref="AI776" display="Open in EEF" r:id="rId1773"/>
    <hyperlink xmlns:r="http://schemas.openxmlformats.org/officeDocument/2006/relationships" ref="AG777" display="https://www.cesi.fr/formation/ingenieur-e-specialite-informatique-sous-statut-etudiant-2019208/" r:id="rId1774"/>
    <hyperlink xmlns:r="http://schemas.openxmlformats.org/officeDocument/2006/relationships" ref="AI777" display="Open in EEF" r:id="rId1775"/>
    <hyperlink xmlns:r="http://schemas.openxmlformats.org/officeDocument/2006/relationships" ref="AG778" display="https://www.cesi.fr/formation/ingenieur-e-specialite-informatique-sous-statut-etudiant-2019208/" r:id="rId1776"/>
    <hyperlink xmlns:r="http://schemas.openxmlformats.org/officeDocument/2006/relationships" ref="AI778" display="Open in EEF" r:id="rId1777"/>
    <hyperlink xmlns:r="http://schemas.openxmlformats.org/officeDocument/2006/relationships" ref="AG779" display="https://www.cesi.fr/formation/ingenieur-e-specialite-informatique-sous-statut-etudiant-2019208/" r:id="rId1778"/>
    <hyperlink xmlns:r="http://schemas.openxmlformats.org/officeDocument/2006/relationships" ref="AI779" display="Open in EEF" r:id="rId1779"/>
    <hyperlink xmlns:r="http://schemas.openxmlformats.org/officeDocument/2006/relationships" ref="AG780" display="https://www.cesi.fr/formation/ingenieur-e-specialite-informatique-sous-statut-etudiant-2019208/" r:id="rId1780"/>
    <hyperlink xmlns:r="http://schemas.openxmlformats.org/officeDocument/2006/relationships" ref="AI780" display="Open in EEF" r:id="rId1781"/>
    <hyperlink xmlns:r="http://schemas.openxmlformats.org/officeDocument/2006/relationships" ref="AG781" display="https://www.cesi.fr/formation/ingenieur-e-specialite-informatique-sous-statut-etudiant-2019208/" r:id="rId1782"/>
    <hyperlink xmlns:r="http://schemas.openxmlformats.org/officeDocument/2006/relationships" ref="AI781" display="Open in EEF" r:id="rId1783"/>
    <hyperlink xmlns:r="http://schemas.openxmlformats.org/officeDocument/2006/relationships" ref="AG782" display="https://www.cesi.fr/formation/ingenieur-e-specialite-informatique-sous-statut-etudiant-2019208/" r:id="rId1784"/>
    <hyperlink xmlns:r="http://schemas.openxmlformats.org/officeDocument/2006/relationships" ref="AI782" display="Open in EEF" r:id="rId1785"/>
    <hyperlink xmlns:r="http://schemas.openxmlformats.org/officeDocument/2006/relationships" ref="AG783" display="https://www.cesi.fr/formation/ingenieur-e-specialite-informatique-sous-statut-etudiant-2019208/" r:id="rId1786"/>
    <hyperlink xmlns:r="http://schemas.openxmlformats.org/officeDocument/2006/relationships" ref="AI783" display="Open in EEF" r:id="rId1787"/>
    <hyperlink xmlns:r="http://schemas.openxmlformats.org/officeDocument/2006/relationships" ref="AG784" display="https://www.cesi.fr/formation/ingenieur-e-specialite-informatique-sous-statut-etudiant-2019208/" r:id="rId1788"/>
    <hyperlink xmlns:r="http://schemas.openxmlformats.org/officeDocument/2006/relationships" ref="AI784" display="Open in EEF" r:id="rId1789"/>
    <hyperlink xmlns:r="http://schemas.openxmlformats.org/officeDocument/2006/relationships" ref="AG785" display="https://www.esiee.fr/en/programmes/international-programmes/artificial-intelligence-and-cybersecurity" r:id="rId1790"/>
    <hyperlink xmlns:r="http://schemas.openxmlformats.org/officeDocument/2006/relationships" ref="AI785" display="Open in EEF" r:id="rId1791"/>
    <hyperlink xmlns:r="http://schemas.openxmlformats.org/officeDocument/2006/relationships" ref="AG786" display="https://www.insa-lyon.fr/fr/mastere-cybersecurite-numerique" r:id="rId1792"/>
    <hyperlink xmlns:r="http://schemas.openxmlformats.org/officeDocument/2006/relationships" ref="AI786" display="Open in EEF" r:id="rId1793"/>
    <hyperlink xmlns:r="http://schemas.openxmlformats.org/officeDocument/2006/relationships" ref="AG787" display="https://www.insa-lyon.fr/fr/mastere-informatique" r:id="rId1794"/>
    <hyperlink xmlns:r="http://schemas.openxmlformats.org/officeDocument/2006/relationships" ref="AI787" display="Open in EEF" r:id="rId1795"/>
    <hyperlink xmlns:r="http://schemas.openxmlformats.org/officeDocument/2006/relationships" ref="AG788" display="https://imt-nord-europe.fr/annuaire-formations/cybersecurite/" r:id="rId1796"/>
    <hyperlink xmlns:r="http://schemas.openxmlformats.org/officeDocument/2006/relationships" ref="AI788" display="Open in EEF" r:id="rId1797"/>
    <hyperlink xmlns:r="http://schemas.openxmlformats.org/officeDocument/2006/relationships" ref="AG789" display="https://en.esaip.org/" r:id="rId1798"/>
    <hyperlink xmlns:r="http://schemas.openxmlformats.org/officeDocument/2006/relationships" ref="AI789" display="Open in EEF" r:id="rId1799"/>
    <hyperlink xmlns:r="http://schemas.openxmlformats.org/officeDocument/2006/relationships" ref="AG790" display="https://www.cesi.fr/programmes/cursus-ingenieur-3-ans/" r:id="rId1800"/>
    <hyperlink xmlns:r="http://schemas.openxmlformats.org/officeDocument/2006/relationships" ref="AI790" display="Open in EEF" r:id="rId1801"/>
    <hyperlink xmlns:r="http://schemas.openxmlformats.org/officeDocument/2006/relationships" ref="AG791" display="https://www.cesi.fr/en/trainings/master-degree-in-computer-science/" r:id="rId1802"/>
    <hyperlink xmlns:r="http://schemas.openxmlformats.org/officeDocument/2006/relationships" ref="AI791" display="Open in EEF" r:id="rId1803"/>
    <hyperlink xmlns:r="http://schemas.openxmlformats.org/officeDocument/2006/relationships" ref="AG792" display="https://www.cesi.fr/programmes/cursus-ingenieur-3-ans/" r:id="rId1804"/>
    <hyperlink xmlns:r="http://schemas.openxmlformats.org/officeDocument/2006/relationships" ref="AI792" display="Open in EEF" r:id="rId1805"/>
    <hyperlink xmlns:r="http://schemas.openxmlformats.org/officeDocument/2006/relationships" ref="AG793" display="https://www.junia.com/en/academics/master-of-science-and-engineering-in-data-and-artificial-intelligence/" r:id="rId1806"/>
    <hyperlink xmlns:r="http://schemas.openxmlformats.org/officeDocument/2006/relationships" ref="AI793" display="Open in EEF" r:id="rId1807"/>
    <hyperlink xmlns:r="http://schemas.openxmlformats.org/officeDocument/2006/relationships" ref="AG794" display="https://www.junia.com/en/academics/master-of-science-and-engineering-in-information-systems-and-software-engineering/" r:id="rId1808"/>
    <hyperlink xmlns:r="http://schemas.openxmlformats.org/officeDocument/2006/relationships" ref="AI794" display="Open in EEF" r:id="rId1809"/>
    <hyperlink xmlns:r="http://schemas.openxmlformats.org/officeDocument/2006/relationships" ref="AG795" display="https://formation.centrale-marseille.fr/fr/ms-cybersecurite-systemes-complexes-lindustrie-defense" r:id="rId1810"/>
    <hyperlink xmlns:r="http://schemas.openxmlformats.org/officeDocument/2006/relationships" ref="AI795" display="Open in EEF" r:id="rId1811"/>
    <hyperlink xmlns:r="http://schemas.openxmlformats.org/officeDocument/2006/relationships" ref="AG796" display="https://www.centrale-mediterranee.fr/fr/formation/masters/master-science-and-technology-complex-systems-engineering-msct-cse" r:id="rId1812"/>
    <hyperlink xmlns:r="http://schemas.openxmlformats.org/officeDocument/2006/relationships" ref="AI796" display="Open in EEF" r:id="rId1813"/>
    <hyperlink xmlns:r="http://schemas.openxmlformats.org/officeDocument/2006/relationships" ref="AG797" display="https://www.cesi.fr/programmes/cursus-ingenieur-3-ans/" r:id="rId1814"/>
    <hyperlink xmlns:r="http://schemas.openxmlformats.org/officeDocument/2006/relationships" ref="AI797" display="Open in EEF" r:id="rId1815"/>
    <hyperlink xmlns:r="http://schemas.openxmlformats.org/officeDocument/2006/relationships" ref="AG798" display="https://www.cesi.fr/programmes/cursus-ingenieur-3-ans/" r:id="rId1816"/>
    <hyperlink xmlns:r="http://schemas.openxmlformats.org/officeDocument/2006/relationships" ref="AI798" display="Open in EEF" r:id="rId1817"/>
    <hyperlink xmlns:r="http://schemas.openxmlformats.org/officeDocument/2006/relationships" ref="AG799" display="https://www.cesi.fr/programmes/cursus-ingenieur-3-ans/" r:id="rId1818"/>
    <hyperlink xmlns:r="http://schemas.openxmlformats.org/officeDocument/2006/relationships" ref="AI799" display="Open in EEF" r:id="rId1819"/>
    <hyperlink xmlns:r="http://schemas.openxmlformats.org/officeDocument/2006/relationships" ref="AI800" display="Open in EEF" r:id="rId1820"/>
    <hyperlink xmlns:r="http://schemas.openxmlformats.org/officeDocument/2006/relationships" ref="AI801" display="Open in EEF" r:id="rId1821"/>
    <hyperlink xmlns:r="http://schemas.openxmlformats.org/officeDocument/2006/relationships" ref="AI802" display="Open in EEF" r:id="rId1822"/>
    <hyperlink xmlns:r="http://schemas.openxmlformats.org/officeDocument/2006/relationships" ref="AI803" display="Open in EEF" r:id="rId1823"/>
    <hyperlink xmlns:r="http://schemas.openxmlformats.org/officeDocument/2006/relationships" ref="AG804" display="https://www.ece.fr/en/programs/the-msc-program/" r:id="rId1824"/>
    <hyperlink xmlns:r="http://schemas.openxmlformats.org/officeDocument/2006/relationships" ref="AI804" display="Open in EEF" r:id="rId1825"/>
    <hyperlink xmlns:r="http://schemas.openxmlformats.org/officeDocument/2006/relationships" ref="AG805" display="https://www.ece.fr/programmes/programme-msc/" r:id="rId1826"/>
    <hyperlink xmlns:r="http://schemas.openxmlformats.org/officeDocument/2006/relationships" ref="AI805" display="Open in EEF" r:id="rId1827"/>
    <hyperlink xmlns:r="http://schemas.openxmlformats.org/officeDocument/2006/relationships" ref="AG806" display="https://www.efrei.fr/mastere-cybersecurite/" r:id="rId1828"/>
    <hyperlink xmlns:r="http://schemas.openxmlformats.org/officeDocument/2006/relationships" ref="AI806" display="Open in EEF" r:id="rId1829"/>
    <hyperlink xmlns:r="http://schemas.openxmlformats.org/officeDocument/2006/relationships" ref="AG807" display="https://www.efrei.fr/mastere-cybersecurite/" r:id="rId1830"/>
    <hyperlink xmlns:r="http://schemas.openxmlformats.org/officeDocument/2006/relationships" ref="AI807" display="Open in EEF" r:id="rId1831"/>
    <hyperlink xmlns:r="http://schemas.openxmlformats.org/officeDocument/2006/relationships" ref="AG808" display="https://www.efrei.fr/programmes-experts/mastere-data-engineering" r:id="rId1832"/>
    <hyperlink xmlns:r="http://schemas.openxmlformats.org/officeDocument/2006/relationships" ref="AI808" display="Open in EEF" r:id="rId1833"/>
    <hyperlink xmlns:r="http://schemas.openxmlformats.org/officeDocument/2006/relationships" ref="AG809" display="https://www.efrei.fr/programmes-experts/mastere-data-engineering" r:id="rId1834"/>
    <hyperlink xmlns:r="http://schemas.openxmlformats.org/officeDocument/2006/relationships" ref="AI809" display="Open in EEF" r:id="rId1835"/>
    <hyperlink xmlns:r="http://schemas.openxmlformats.org/officeDocument/2006/relationships" ref="AI810" display="Open in EEF" r:id="rId1836"/>
    <hyperlink xmlns:r="http://schemas.openxmlformats.org/officeDocument/2006/relationships" ref="AG811" display="https://www.ece.fr/programmes/programme-msc/" r:id="rId1837"/>
    <hyperlink xmlns:r="http://schemas.openxmlformats.org/officeDocument/2006/relationships" ref="AI811" display="Open in EEF" r:id="rId1838"/>
    <hyperlink xmlns:r="http://schemas.openxmlformats.org/officeDocument/2006/relationships" ref="AG812" display="https://www.fges.fr/formations/master-cyber/" r:id="rId1839"/>
    <hyperlink xmlns:r="http://schemas.openxmlformats.org/officeDocument/2006/relationships" ref="AI812" display="Open in EEF" r:id="rId1840"/>
    <hyperlink xmlns:r="http://schemas.openxmlformats.org/officeDocument/2006/relationships" ref="AG813" display="https://www.fges.fr/formations/master-data-intelligence-artificielle/" r:id="rId1841"/>
    <hyperlink xmlns:r="http://schemas.openxmlformats.org/officeDocument/2006/relationships" ref="AI813" display="Open in EEF" r:id="rId1842"/>
    <hyperlink xmlns:r="http://schemas.openxmlformats.org/officeDocument/2006/relationships" ref="AG814" display="https://www.fges.fr/formations/master-informatique-appliquee-et-systemes-intelligents/" r:id="rId1843"/>
    <hyperlink xmlns:r="http://schemas.openxmlformats.org/officeDocument/2006/relationships" ref="AI814" display="Open in EEF" r:id="rId1844"/>
    <hyperlink xmlns:r="http://schemas.openxmlformats.org/officeDocument/2006/relationships" ref="AG815" display="https://www.fges.fr/formations/master-jumeaux-numeriques/" r:id="rId1845"/>
    <hyperlink xmlns:r="http://schemas.openxmlformats.org/officeDocument/2006/relationships" ref="AI815" display="Open in EEF" r:id="rId1846"/>
    <hyperlink xmlns:r="http://schemas.openxmlformats.org/officeDocument/2006/relationships" ref="AG816" display="http://www.enac.fr" r:id="rId1847"/>
    <hyperlink xmlns:r="http://schemas.openxmlformats.org/officeDocument/2006/relationships" ref="AI816" display="Open in EEF" r:id="rId1848"/>
    <hyperlink xmlns:r="http://schemas.openxmlformats.org/officeDocument/2006/relationships" ref="AG817" display="http://www.ensta-paristech.fr" r:id="rId1849"/>
    <hyperlink xmlns:r="http://schemas.openxmlformats.org/officeDocument/2006/relationships" ref="AI817" display="Open in EEF" r:id="rId1850"/>
    <hyperlink xmlns:r="http://schemas.openxmlformats.org/officeDocument/2006/relationships" ref="AG818" display="https://exed.centralesupelec.fr/formation/mastere-specialise-cybersecurite/" r:id="rId1851"/>
    <hyperlink xmlns:r="http://schemas.openxmlformats.org/officeDocument/2006/relationships" ref="AI818" display="Open in EEF" r:id="rId1852"/>
    <hyperlink xmlns:r="http://schemas.openxmlformats.org/officeDocument/2006/relationships" ref="AI819" display="Open in EEF" r:id="rId1853"/>
    <hyperlink xmlns:r="http://schemas.openxmlformats.org/officeDocument/2006/relationships" ref="AB820" display="https://www.uca.fr/medias/fichier/delib-ca-20251205-15-tarifs-differencies_1765204050111-pdf" r:id="rId1854"/>
    <hyperlink xmlns:r="http://schemas.openxmlformats.org/officeDocument/2006/relationships" ref="AG820" display="https://www.sigma-clermont.fr/fr/mastere-specialise-data-science-pour-ingenierie" r:id="rId1855"/>
    <hyperlink xmlns:r="http://schemas.openxmlformats.org/officeDocument/2006/relationships" ref="AI820" display="Open in EEF" r:id="rId1856"/>
    <hyperlink xmlns:r="http://schemas.openxmlformats.org/officeDocument/2006/relationships" ref="AG821" display="https://www.utt.fr/formations/mastere-specialise/expert-en-cybersecurite" r:id="rId1857"/>
    <hyperlink xmlns:r="http://schemas.openxmlformats.org/officeDocument/2006/relationships" ref="AI821" display="Open in EEF" r:id="rId1858"/>
    <hyperlink xmlns:r="http://schemas.openxmlformats.org/officeDocument/2006/relationships" ref="AG822" display="https://exed.centralesupelec.fr/formation/mastere-specialise-ingenierie-des-systemes-intelligents-ouverts-2/" r:id="rId1859"/>
    <hyperlink xmlns:r="http://schemas.openxmlformats.org/officeDocument/2006/relationships" ref="AI822" display="Open in EEF" r:id="rId1860"/>
    <hyperlink xmlns:r="http://schemas.openxmlformats.org/officeDocument/2006/relationships" ref="AG823" display="http://www.mines-paristech.fr" r:id="rId1861"/>
    <hyperlink xmlns:r="http://schemas.openxmlformats.org/officeDocument/2006/relationships" ref="AI823" display="Open in EEF" r:id="rId1862"/>
    <hyperlink xmlns:r="http://schemas.openxmlformats.org/officeDocument/2006/relationships" ref="AG824" display="https://exed.centralesupelec.fr/formation/mastere-specialiseintelligence-artificielle-de-confiance-2/" r:id="rId1863"/>
    <hyperlink xmlns:r="http://schemas.openxmlformats.org/officeDocument/2006/relationships" ref="AI824" display="Open in EEF" r:id="rId1864"/>
    <hyperlink xmlns:r="http://schemas.openxmlformats.org/officeDocument/2006/relationships" ref="AG825" display="http://www.sophia.ensmp.fr" r:id="rId1865"/>
    <hyperlink xmlns:r="http://schemas.openxmlformats.org/officeDocument/2006/relationships" ref="AI825" display="Open in EEF" r:id="rId1866"/>
    <hyperlink xmlns:r="http://schemas.openxmlformats.org/officeDocument/2006/relationships" ref="AG826" display="http://www.ensta-paristech.fr" r:id="rId1867"/>
    <hyperlink xmlns:r="http://schemas.openxmlformats.org/officeDocument/2006/relationships" ref="AI826" display="Open in EEF" r:id="rId1868"/>
    <hyperlink xmlns:r="http://schemas.openxmlformats.org/officeDocument/2006/relationships" ref="AG827" display="https://exed.centralesupelec.fr/formation/mastere-specialise-architecte-des-systemes-d-information-2/" r:id="rId1869"/>
    <hyperlink xmlns:r="http://schemas.openxmlformats.org/officeDocument/2006/relationships" ref="AI827" display="Open in EEF" r:id="rId1870"/>
    <hyperlink xmlns:r="http://schemas.openxmlformats.org/officeDocument/2006/relationships" ref="AG828" display="https://www.telecom-paris.fr/fr/masteres-specialises/tous-les-ms/cybersecurite-cyberdefense" r:id="rId1871"/>
    <hyperlink xmlns:r="http://schemas.openxmlformats.org/officeDocument/2006/relationships" ref="AI828" display="Open in EEF" r:id="rId1872"/>
    <hyperlink xmlns:r="http://schemas.openxmlformats.org/officeDocument/2006/relationships" ref="AG829" display="https://www.telecom-paris.fr/fr/masteres-specialises/tous-les-ms/conception-architecture-reseaux" r:id="rId1873"/>
    <hyperlink xmlns:r="http://schemas.openxmlformats.org/officeDocument/2006/relationships" ref="AI829" display="Open in EEF" r:id="rId1874"/>
    <hyperlink xmlns:r="http://schemas.openxmlformats.org/officeDocument/2006/relationships" ref="AG830" display="https://www.telecom-paris.fr/fr/masteres-specialises/tous-les-ms/architecte-reseaux-cybersecurite" r:id="rId1875"/>
    <hyperlink xmlns:r="http://schemas.openxmlformats.org/officeDocument/2006/relationships" ref="AI830" display="Open in EEF" r:id="rId1876"/>
    <hyperlink xmlns:r="http://schemas.openxmlformats.org/officeDocument/2006/relationships" ref="AI831" display="Open in EEF" r:id="rId1877"/>
    <hyperlink xmlns:r="http://schemas.openxmlformats.org/officeDocument/2006/relationships" ref="AG832" display="http://www.esigelec.fr" r:id="rId1878"/>
    <hyperlink xmlns:r="http://schemas.openxmlformats.org/officeDocument/2006/relationships" ref="AI832" display="Open in EEF" r:id="rId1879"/>
    <hyperlink xmlns:r="http://schemas.openxmlformats.org/officeDocument/2006/relationships" ref="AI833" display="Open in EEF" r:id="rId1880"/>
    <hyperlink xmlns:r="http://schemas.openxmlformats.org/officeDocument/2006/relationships" ref="AI834" display="Open in EEF" r:id="rId1881"/>
    <hyperlink xmlns:r="http://schemas.openxmlformats.org/officeDocument/2006/relationships" ref="AI835" display="Open in EEF" r:id="rId1882"/>
    <hyperlink xmlns:r="http://schemas.openxmlformats.org/officeDocument/2006/relationships" ref="AG836" display="https://www.insa-lyon.fr/fr/formation/master-minds-ia" r:id="rId1883"/>
    <hyperlink xmlns:r="http://schemas.openxmlformats.org/officeDocument/2006/relationships" ref="AI836" display="Open in EEF" r:id="rId1884"/>
    <hyperlink xmlns:r="http://schemas.openxmlformats.org/officeDocument/2006/relationships" ref="AG837" display="https://www.centralesupelec.fr/programmes/master-science-artificial-intelligence" r:id="rId1885"/>
    <hyperlink xmlns:r="http://schemas.openxmlformats.org/officeDocument/2006/relationships" ref="AI837" display="Open in EEF" r:id="rId1886"/>
    <hyperlink xmlns:r="http://schemas.openxmlformats.org/officeDocument/2006/relationships" ref="AG838" display="https://www.efrei.fr/formation/mastere-specialise-expert-en-cybersecurite/" r:id="rId1887"/>
    <hyperlink xmlns:r="http://schemas.openxmlformats.org/officeDocument/2006/relationships" ref="AI838" display="Open in EEF" r:id="rId1888"/>
    <hyperlink xmlns:r="http://schemas.openxmlformats.org/officeDocument/2006/relationships" ref="AG839" display="https://www.efrei.fr/formation/mastere-specialise-manager-cybersecurite-gouvernance/" r:id="rId1889"/>
    <hyperlink xmlns:r="http://schemas.openxmlformats.org/officeDocument/2006/relationships" ref="AI839" display="Open in EEF" r:id="rId1890"/>
    <hyperlink xmlns:r="http://schemas.openxmlformats.org/officeDocument/2006/relationships" ref="AG840" display="https://bit.ly/2ODB04w" r:id="rId1891"/>
    <hyperlink xmlns:r="http://schemas.openxmlformats.org/officeDocument/2006/relationships" ref="AI840" display="Open in EEF" r:id="rId1892"/>
    <hyperlink xmlns:r="http://schemas.openxmlformats.org/officeDocument/2006/relationships" ref="AG841" display="https://www.tsaae.fr/" r:id="rId1893"/>
    <hyperlink xmlns:r="http://schemas.openxmlformats.org/officeDocument/2006/relationships" ref="AI841" display="Open in EEF" r:id="rId1894"/>
    <hyperlink xmlns:r="http://schemas.openxmlformats.org/officeDocument/2006/relationships" ref="AG842" display="https://www.tsaae.fr/" r:id="rId1895"/>
    <hyperlink xmlns:r="http://schemas.openxmlformats.org/officeDocument/2006/relationships" ref="AI842" display="Open in EEF" r:id="rId1896"/>
    <hyperlink xmlns:r="http://schemas.openxmlformats.org/officeDocument/2006/relationships" ref="AG843" display="https://www.tsaae.fr/" r:id="rId1897"/>
    <hyperlink xmlns:r="http://schemas.openxmlformats.org/officeDocument/2006/relationships" ref="AI843" display="Open in EEF" r:id="rId1898"/>
    <hyperlink xmlns:r="http://schemas.openxmlformats.org/officeDocument/2006/relationships" ref="AG844" display="https://www.tsaae.fr/" r:id="rId1899"/>
    <hyperlink xmlns:r="http://schemas.openxmlformats.org/officeDocument/2006/relationships" ref="AI844" display="Open in EEF" r:id="rId1900"/>
    <hyperlink xmlns:r="http://schemas.openxmlformats.org/officeDocument/2006/relationships" ref="AI845" display="Open in EEF" r:id="rId1901"/>
    <hyperlink xmlns:r="http://schemas.openxmlformats.org/officeDocument/2006/relationships" ref="AG846" display="https://www.epita.fr/en" r:id="rId1902"/>
    <hyperlink xmlns:r="http://schemas.openxmlformats.org/officeDocument/2006/relationships" ref="AI846" display="Open in EEF" r:id="rId1903"/>
    <hyperlink xmlns:r="http://schemas.openxmlformats.org/officeDocument/2006/relationships" ref="AG847" display="https://www.eurecom.fr/en/teaching/master-computer-science/msc-computer-science-data-science-track" r:id="rId1904"/>
    <hyperlink xmlns:r="http://schemas.openxmlformats.org/officeDocument/2006/relationships" ref="AI847" display="Open in EEF" r:id="rId1905"/>
    <hyperlink xmlns:r="http://schemas.openxmlformats.org/officeDocument/2006/relationships" ref="AG848" display="https://www.eurecom.fr/en/teaching/master-computer-science/msc-computer-science-digital-security-track" r:id="rId1906"/>
    <hyperlink xmlns:r="http://schemas.openxmlformats.org/officeDocument/2006/relationships" ref="AI848" display="Open in EEF" r:id="rId1907"/>
    <hyperlink xmlns:r="http://schemas.openxmlformats.org/officeDocument/2006/relationships" ref="AG849" display="https://www.eurecom.fr/fr/les-formations/master-en-informatique/master-en-informatique-parcours-science-des-donnees" r:id="rId1908"/>
    <hyperlink xmlns:r="http://schemas.openxmlformats.org/officeDocument/2006/relationships" ref="AI849" display="Open in EEF" r:id="rId1909"/>
    <hyperlink xmlns:r="http://schemas.openxmlformats.org/officeDocument/2006/relationships" ref="AG850" display="https://www.eurecom.fr/fr/les-formations/master-en-informatique/master-en-informatique-parcours-securite-numerique" r:id="rId1910"/>
    <hyperlink xmlns:r="http://schemas.openxmlformats.org/officeDocument/2006/relationships" ref="AI850" display="Open in EEF" r:id="rId1911"/>
    <hyperlink xmlns:r="http://schemas.openxmlformats.org/officeDocument/2006/relationships" ref="AG851" display="https://www.telecom-paris.fr/fr/masteres-specialises/tous-les-ms/big-data" r:id="rId1912"/>
    <hyperlink xmlns:r="http://schemas.openxmlformats.org/officeDocument/2006/relationships" ref="AI851" display="Open in EEF" r:id="rId1913"/>
    <hyperlink xmlns:r="http://schemas.openxmlformats.org/officeDocument/2006/relationships" ref="AG852" display="https://www.telecom-paris.fr/fr/masteres-specialises/tous-les-ms/big-data" r:id="rId1914"/>
    <hyperlink xmlns:r="http://schemas.openxmlformats.org/officeDocument/2006/relationships" ref="AI852" display="Open in EEF" r:id="rId1915"/>
    <hyperlink xmlns:r="http://schemas.openxmlformats.org/officeDocument/2006/relationships" ref="AG853" display="https://mim.univ-lorraine.fr/" r:id="rId1916"/>
    <hyperlink xmlns:r="http://schemas.openxmlformats.org/officeDocument/2006/relationships" ref="AI853" display="Open in EEF" r:id="rId1917"/>
    <hyperlink xmlns:r="http://schemas.openxmlformats.org/officeDocument/2006/relationships" ref="AG854" display="https://istic.univ-rennes.fr/master-intelligence-artificielle-parcours-ia-et-applications" r:id="rId1918"/>
    <hyperlink xmlns:r="http://schemas.openxmlformats.org/officeDocument/2006/relationships" ref="AI854" display="Open in EEF" r:id="rId1919"/>
    <hyperlink xmlns:r="http://schemas.openxmlformats.org/officeDocument/2006/relationships" ref="AG855" display="https://formation.univ-pau.fr/en/programs/science-technology-health-STS/master-degree-XB/masters-computer-science-L7EMC9TO//m2-industry-4-0-L7EMCSH1.html" r:id="rId1920"/>
    <hyperlink xmlns:r="http://schemas.openxmlformats.org/officeDocument/2006/relationships" ref="AI855" display="Open in EEF" r:id="rId1921"/>
    <hyperlink xmlns:r="http://schemas.openxmlformats.org/officeDocument/2006/relationships" ref="AI856" display="Open in EEF" r:id="rId1922"/>
    <hyperlink xmlns:r="http://schemas.openxmlformats.org/officeDocument/2006/relationships" ref="AG857" display="https://www.isped.u-bordeaux.fr/Graduate-Programs/Digital-Public-Health/Masters-Program" r:id="rId1923"/>
    <hyperlink xmlns:r="http://schemas.openxmlformats.org/officeDocument/2006/relationships" ref="AI857" display="Open in EEF" r:id="rId1924"/>
    <hyperlink xmlns:r="http://schemas.openxmlformats.org/officeDocument/2006/relationships" ref="AB858" display="https://www.unistra.fr/fr/node/8168" r:id="rId1925"/>
    <hyperlink xmlns:r="http://schemas.openxmlformats.org/officeDocument/2006/relationships" ref="AG858" display="https://physique-ingenierie.unistra.fr/" r:id="rId1926"/>
    <hyperlink xmlns:r="http://schemas.openxmlformats.org/officeDocument/2006/relationships" ref="AI858" display="Open in EEF" r:id="rId1927"/>
    <hyperlink xmlns:r="http://schemas.openxmlformats.org/officeDocument/2006/relationships" ref="AI859" display="Open in EEF" r:id="rId1928"/>
    <hyperlink xmlns:r="http://schemas.openxmlformats.org/officeDocument/2006/relationships" ref="AI860" display="Open in EEF" r:id="rId1929"/>
    <hyperlink xmlns:r="http://schemas.openxmlformats.org/officeDocument/2006/relationships" ref="AI861" display="Open in EEF" r:id="rId1930"/>
    <hyperlink xmlns:r="http://schemas.openxmlformats.org/officeDocument/2006/relationships" ref="AB862" display="https://www.sorbonne-universite.fr/actualites/le-conseil-dadministration-de-sorbonne-universite-vote-lunanimite-le-7-juillet-2026-sa" r:id="rId1931"/>
    <hyperlink xmlns:r="http://schemas.openxmlformats.org/officeDocument/2006/relationships" ref="AG862" display="https://sciences.sorbonne-universite.fr/formation-sciences/offre-de-formation/masters/master-biologie-moleculaire-et-cellulaire-bmc/m2-artificial-intelligence-and-data-analysis" r:id="rId1932"/>
    <hyperlink xmlns:r="http://schemas.openxmlformats.org/officeDocument/2006/relationships" ref="AI862" display="Open in EEF" r:id="rId1933"/>
    <hyperlink xmlns:r="http://schemas.openxmlformats.org/officeDocument/2006/relationships" ref="AB863" display="https://www.sorbonne-universite.fr/actualites/le-conseil-dadministration-de-sorbonne-universite-vote-lunanimite-le-7-juillet-2026-sa" r:id="rId1934"/>
    <hyperlink xmlns:r="http://schemas.openxmlformats.org/officeDocument/2006/relationships" ref="AG863" display="https://sciences.sorbonne-universite.fr/masters/master-informatique" r:id="rId1935"/>
    <hyperlink xmlns:r="http://schemas.openxmlformats.org/officeDocument/2006/relationships" ref="AI863" display="Open in EEF" r:id="rId1936"/>
    <hyperlink xmlns:r="http://schemas.openxmlformats.org/officeDocument/2006/relationships" ref="AB864" display="https://www.sorbonne-universite.fr/actualites/le-conseil-dadministration-de-sorbonne-universite-vote-lunanimite-le-7-juillet-2026-sa" r:id="rId1937"/>
    <hyperlink xmlns:r="http://schemas.openxmlformats.org/officeDocument/2006/relationships" ref="AG864" display="https://sciences.sorbonne-universite.fr/formation-sciences/masters/master-physique-fondamentale-et-applications" r:id="rId1938"/>
    <hyperlink xmlns:r="http://schemas.openxmlformats.org/officeDocument/2006/relationships" ref="AI864" display="Open in EEF" r:id="rId1939"/>
    <hyperlink xmlns:r="http://schemas.openxmlformats.org/officeDocument/2006/relationships" ref="AB865" display="https://www.univ-grenoble-alpes.fr/actualites/a-la-une/actualites-universite/etudiants-internationaux-ce-que-change-le-nouveau-decret-sur-les-droits-d-inscription-a-l-uga-1775870.kjsp" r:id="rId1940"/>
    <hyperlink xmlns:r="http://schemas.openxmlformats.org/officeDocument/2006/relationships" ref="AG865" display="https://casys.gricad-pages.univ-grenoble-alpes.fr/cybersec/" r:id="rId1941"/>
    <hyperlink xmlns:r="http://schemas.openxmlformats.org/officeDocument/2006/relationships" ref="AI865" display="Open in EEF" r:id="rId1942"/>
    <hyperlink xmlns:r="http://schemas.openxmlformats.org/officeDocument/2006/relationships" ref="AB866" display="https://www.univ-grenoble-alpes.fr/actualites/a-la-une/actualites-universite/etudiants-internationaux-ce-que-change-le-nouveau-decret-sur-les-droits-d-inscription-a-l-uga-1775870.kjsp" r:id="rId1943"/>
    <hyperlink xmlns:r="http://schemas.openxmlformats.org/officeDocument/2006/relationships" ref="AG866" display="http://orco.imag.fr/" r:id="rId1944"/>
    <hyperlink xmlns:r="http://schemas.openxmlformats.org/officeDocument/2006/relationships" ref="AI866" display="Open in EEF" r:id="rId1945"/>
    <hyperlink xmlns:r="http://schemas.openxmlformats.org/officeDocument/2006/relationships" ref="AB867" display="https://www.univ-grenoble-alpes.fr/actualites/a-la-une/actualites-universite/etudiants-internationaux-ce-que-change-le-nouveau-decret-sur-les-droits-d-inscription-a-l-uga-1775870.kjsp" r:id="rId1946"/>
    <hyperlink xmlns:r="http://schemas.openxmlformats.org/officeDocument/2006/relationships" ref="AG867" display="https://casys.gricad-pages.univ-grenoble-alpes.fr/cybersec/" r:id="rId1947"/>
    <hyperlink xmlns:r="http://schemas.openxmlformats.org/officeDocument/2006/relationships" ref="AI867" display="Open in EEF" r:id="rId1948"/>
    <hyperlink xmlns:r="http://schemas.openxmlformats.org/officeDocument/2006/relationships" ref="AB868" display="https://www.univ-grenoble-alpes.fr/actualites/a-la-une/actualites-universite/etudiants-internationaux-ce-que-change-le-nouveau-decret-sur-les-droits-d-inscription-a-l-uga-1775870.kjsp" r:id="rId1949"/>
    <hyperlink xmlns:r="http://schemas.openxmlformats.org/officeDocument/2006/relationships" ref="AG868" display="https://mosig-m2-592ef6.gricad-pages.univ-grenoble-alpes.fr/applied_ai/" r:id="rId1950"/>
    <hyperlink xmlns:r="http://schemas.openxmlformats.org/officeDocument/2006/relationships" ref="AI868" display="Open in EEF" r:id="rId1951"/>
    <hyperlink xmlns:r="http://schemas.openxmlformats.org/officeDocument/2006/relationships" ref="AB869" display="https://www.univ-grenoble-alpes.fr/actualites/a-la-une/actualites-universite/etudiants-internationaux-ce-que-change-le-nouveau-decret-sur-les-droits-d-inscription-a-l-uga-1775870.kjsp" r:id="rId1952"/>
    <hyperlink xmlns:r="http://schemas.openxmlformats.org/officeDocument/2006/relationships" ref="AG869" display="https://mosig-m2-592ef6.gricad-pages.univ-grenoble-alpes.fr/ccdi/" r:id="rId1953"/>
    <hyperlink xmlns:r="http://schemas.openxmlformats.org/officeDocument/2006/relationships" ref="AI869" display="Open in EEF" r:id="rId1954"/>
    <hyperlink xmlns:r="http://schemas.openxmlformats.org/officeDocument/2006/relationships" ref="AB870" display="https://www.univ-grenoble-alpes.fr/actualites/a-la-une/actualites-universite/etudiants-internationaux-ce-que-change-le-nouveau-decret-sur-les-droits-d-inscription-a-l-uga-1775870.kjsp" r:id="rId1955"/>
    <hyperlink xmlns:r="http://schemas.openxmlformats.org/officeDocument/2006/relationships" ref="AG870" display="https://formations.univ-grenoble-alpes.fr/fr/catalogue-2021/master-XB/master-mathematiques-et-applications-IAQKA8QE/parcours-operations-research-combinatorics-and-optimization-orco-IB9H30YB.html" r:id="rId1956"/>
    <hyperlink xmlns:r="http://schemas.openxmlformats.org/officeDocument/2006/relationships" ref="AI870" display="Open in EEF" r:id="rId1957"/>
    <hyperlink xmlns:r="http://schemas.openxmlformats.org/officeDocument/2006/relationships" ref="AG871" display="https://igm.univ-gustave-eiffel.fr/" r:id="rId1958"/>
    <hyperlink xmlns:r="http://schemas.openxmlformats.org/officeDocument/2006/relationships" ref="AI871" display="Open in EEF" r:id="rId1959"/>
    <hyperlink xmlns:r="http://schemas.openxmlformats.org/officeDocument/2006/relationships" ref="AB872" display="https://u-paris.fr/droits-dinscription-tarifs-exonerations/" r:id="rId1960"/>
    <hyperlink xmlns:r="http://schemas.openxmlformats.org/officeDocument/2006/relationships" ref="AG872" display="https://www.math.u-paris.fr/" r:id="rId1961"/>
    <hyperlink xmlns:r="http://schemas.openxmlformats.org/officeDocument/2006/relationships" ref="AI872" display="Open in EEF" r:id="rId1962"/>
    <hyperlink xmlns:r="http://schemas.openxmlformats.org/officeDocument/2006/relationships" ref="AG873" display="https://formations.u-bordeaux.fr/details-formation?type=formation&amp;id=125" r:id="rId1963"/>
    <hyperlink xmlns:r="http://schemas.openxmlformats.org/officeDocument/2006/relationships" ref="AI873" display="Open in EEF" r:id="rId1964"/>
    <hyperlink xmlns:r="http://schemas.openxmlformats.org/officeDocument/2006/relationships" ref="AB874" display="https://www.sorbonne-universite.fr/actualites/le-conseil-dadministration-de-sorbonne-universite-vote-lunanimite-le-7-juillet-2026-sa" r:id="rId1965"/>
    <hyperlink xmlns:r="http://schemas.openxmlformats.org/officeDocument/2006/relationships" ref="AG874" display="https://sciences.sorbonne-universite.fr/formation-sciences/masters/master-physique-fondamentale-et-applications/m2-parcours-systemes" r:id="rId1966"/>
    <hyperlink xmlns:r="http://schemas.openxmlformats.org/officeDocument/2006/relationships" ref="AI874" display="Open in EEF" r:id="rId1967"/>
    <hyperlink xmlns:r="http://schemas.openxmlformats.org/officeDocument/2006/relationships" ref="AG875" display="https://www.cyu.fr/master-informatique-et-ingenierie-des-systemes-complexes-data-science-et-machine-learning" r:id="rId1968"/>
    <hyperlink xmlns:r="http://schemas.openxmlformats.org/officeDocument/2006/relationships" ref="AI875" display="Open in EEF" r:id="rId1969"/>
    <hyperlink xmlns:r="http://schemas.openxmlformats.org/officeDocument/2006/relationships" ref="AG876" display="https://univ-cotedazur.fr/formation/offre-de-formation/parcours-de-master/master-informatique-m2-parcours-ingenierie-informatique" r:id="rId1970"/>
    <hyperlink xmlns:r="http://schemas.openxmlformats.org/officeDocument/2006/relationships" ref="AI876" display="Open in EEF" r:id="rId1971"/>
    <hyperlink xmlns:r="http://schemas.openxmlformats.org/officeDocument/2006/relationships" ref="AI877" display="Open in EEF" r:id="rId1972"/>
    <hyperlink xmlns:r="http://schemas.openxmlformats.org/officeDocument/2006/relationships" ref="AB878" display="https://www.sorbonne-universite.fr/actualites/le-conseil-dadministration-de-sorbonne-universite-vote-lunanimite-le-7-juillet-2026-sa" r:id="rId1973"/>
    <hyperlink xmlns:r="http://schemas.openxmlformats.org/officeDocument/2006/relationships" ref="AG878" display="https://sciences.sorbonne-universite.fr/formation-sciences/offre-de-formation/masters/master-biologie-moleculaire-et-cellulaire-bmc" r:id="rId1974"/>
    <hyperlink xmlns:r="http://schemas.openxmlformats.org/officeDocument/2006/relationships" ref="AI878" display="Open in EEF" r:id="rId1975"/>
    <hyperlink xmlns:r="http://schemas.openxmlformats.org/officeDocument/2006/relationships" ref="AB879" display="https://www.letudiant.fr/educpros/actualite/droits-d-inscription-majores-pour-les-etudiants-etrangers-pourquoi-l-application-du-decret-met-en-difficulte-de-nombreuses-universites.html" r:id="rId1976"/>
    <hyperlink xmlns:r="http://schemas.openxmlformats.org/officeDocument/2006/relationships" ref="AG879" display="http://sciences.univ-lemans.fr" r:id="rId1977"/>
    <hyperlink xmlns:r="http://schemas.openxmlformats.org/officeDocument/2006/relationships" ref="AI879" display="Open in EEF" r:id="rId1978"/>
    <hyperlink xmlns:r="http://schemas.openxmlformats.org/officeDocument/2006/relationships" ref="AB880" display="https://www.univ-lyon1.fr/formation/inscription-et-scolarite/etudiantes-et-etudiants-internationaux-droits-dinscription-differencies-et-exonerations" r:id="rId1979"/>
    <hyperlink xmlns:r="http://schemas.openxmlformats.org/officeDocument/2006/relationships" ref="AG880" display="http://isfa.fr" r:id="rId1980"/>
    <hyperlink xmlns:r="http://schemas.openxmlformats.org/officeDocument/2006/relationships" ref="AI880" display="Open in EEF" r:id="rId1981"/>
    <hyperlink xmlns:r="http://schemas.openxmlformats.org/officeDocument/2006/relationships" ref="AG881" display="https://www.insset.u-picardie.fr/" r:id="rId1982"/>
    <hyperlink xmlns:r="http://schemas.openxmlformats.org/officeDocument/2006/relationships" ref="AI881" display="Open in EEF" r:id="rId1983"/>
    <hyperlink xmlns:r="http://schemas.openxmlformats.org/officeDocument/2006/relationships" ref="AG882" display="http://www.univ-brest.fr/ufr-sciences" r:id="rId1984"/>
    <hyperlink xmlns:r="http://schemas.openxmlformats.org/officeDocument/2006/relationships" ref="AI882" display="Open in EEF" r:id="rId1985"/>
    <hyperlink xmlns:r="http://schemas.openxmlformats.org/officeDocument/2006/relationships" ref="AG883" display="https://mim.univ-lorraine.fr/" r:id="rId1986"/>
    <hyperlink xmlns:r="http://schemas.openxmlformats.org/officeDocument/2006/relationships" ref="AI883" display="Open in EEF" r:id="rId1987"/>
    <hyperlink xmlns:r="http://schemas.openxmlformats.org/officeDocument/2006/relationships" ref="AG884" display="https://mim.univ-lorraine.fr/" r:id="rId1988"/>
    <hyperlink xmlns:r="http://schemas.openxmlformats.org/officeDocument/2006/relationships" ref="AI884" display="Open in EEF" r:id="rId1989"/>
    <hyperlink xmlns:r="http://schemas.openxmlformats.org/officeDocument/2006/relationships" ref="AG885" display="https://ufr-st.univ-lehavre.fr" r:id="rId1990"/>
    <hyperlink xmlns:r="http://schemas.openxmlformats.org/officeDocument/2006/relationships" ref="AI885" display="Open in EEF" r:id="rId1991"/>
    <hyperlink xmlns:r="http://schemas.openxmlformats.org/officeDocument/2006/relationships" ref="AG886" display="https://fst.univ-lorraine.fr/formations/" r:id="rId1992"/>
    <hyperlink xmlns:r="http://schemas.openxmlformats.org/officeDocument/2006/relationships" ref="AI886" display="Open in EEF" r:id="rId1993"/>
    <hyperlink xmlns:r="http://schemas.openxmlformats.org/officeDocument/2006/relationships" ref="AG887" display="https://fst.univ-lorraine.fr/formations/" r:id="rId1994"/>
    <hyperlink xmlns:r="http://schemas.openxmlformats.org/officeDocument/2006/relationships" ref="AI887" display="Open in EEF" r:id="rId1995"/>
    <hyperlink xmlns:r="http://schemas.openxmlformats.org/officeDocument/2006/relationships" ref="AG888" display="https://www.sciences.univ-artois.fr/" r:id="rId1996"/>
    <hyperlink xmlns:r="http://schemas.openxmlformats.org/officeDocument/2006/relationships" ref="AI888" display="Open in EEF" r:id="rId1997"/>
    <hyperlink xmlns:r="http://schemas.openxmlformats.org/officeDocument/2006/relationships" ref="AG889" display="https://www.univ-lyon2.fr/catalogue-des-formations/master-informatique" r:id="rId1998"/>
    <hyperlink xmlns:r="http://schemas.openxmlformats.org/officeDocument/2006/relationships" ref="AI889" display="Open in EEF" r:id="rId1999"/>
    <hyperlink xmlns:r="http://schemas.openxmlformats.org/officeDocument/2006/relationships" ref="AI890" display="Open in EEF" r:id="rId2000"/>
    <hyperlink xmlns:r="http://schemas.openxmlformats.org/officeDocument/2006/relationships" ref="AG891" display="http://www-galilee.univ-paris13.fr/" r:id="rId2001"/>
    <hyperlink xmlns:r="http://schemas.openxmlformats.org/officeDocument/2006/relationships" ref="AI891" display="Open in EEF" r:id="rId2002"/>
    <hyperlink xmlns:r="http://schemas.openxmlformats.org/officeDocument/2006/relationships" ref="AG892" display="https://www.insa-rennes.fr/master-informatique.html" r:id="rId2003"/>
    <hyperlink xmlns:r="http://schemas.openxmlformats.org/officeDocument/2006/relationships" ref="AI892" display="Open in EEF" r:id="rId2004"/>
    <hyperlink xmlns:r="http://schemas.openxmlformats.org/officeDocument/2006/relationships" ref="AG893" display="https://mim.univ-lorraine.fr/" r:id="rId2005"/>
    <hyperlink xmlns:r="http://schemas.openxmlformats.org/officeDocument/2006/relationships" ref="AI893" display="Open in EEF" r:id="rId2006"/>
    <hyperlink xmlns:r="http://schemas.openxmlformats.org/officeDocument/2006/relationships" ref="AG894" display="https://fst.univ-lorraine.fr/formations/" r:id="rId2007"/>
    <hyperlink xmlns:r="http://schemas.openxmlformats.org/officeDocument/2006/relationships" ref="AI894" display="Open in EEF" r:id="rId2008"/>
    <hyperlink xmlns:r="http://schemas.openxmlformats.org/officeDocument/2006/relationships" ref="AG895" display="https://www.univ-lyon2.fr/catalogue-des-formations/master-informatique" r:id="rId2009"/>
    <hyperlink xmlns:r="http://schemas.openxmlformats.org/officeDocument/2006/relationships" ref="AI895" display="Open in EEF" r:id="rId2010"/>
    <hyperlink xmlns:r="http://schemas.openxmlformats.org/officeDocument/2006/relationships" ref="AG896" display="https://www.univ-lyon2.fr/catalogue-des-formations/master-informatique" r:id="rId2011"/>
    <hyperlink xmlns:r="http://schemas.openxmlformats.org/officeDocument/2006/relationships" ref="AI896" display="Open in EEF" r:id="rId2012"/>
    <hyperlink xmlns:r="http://schemas.openxmlformats.org/officeDocument/2006/relationships" ref="AG897" display="https://sciences.u-picardie.fr/accueil-ufr-sciences" r:id="rId2013"/>
    <hyperlink xmlns:r="http://schemas.openxmlformats.org/officeDocument/2006/relationships" ref="AI897" display="Open in EEF" r:id="rId2014"/>
    <hyperlink xmlns:r="http://schemas.openxmlformats.org/officeDocument/2006/relationships" ref="AG898" display="https://www.utt.fr/formations/master/optimisation-et-surete-des-systemes" r:id="rId2015"/>
    <hyperlink xmlns:r="http://schemas.openxmlformats.org/officeDocument/2006/relationships" ref="AI898" display="Open in EEF" r:id="rId2016"/>
    <hyperlink xmlns:r="http://schemas.openxmlformats.org/officeDocument/2006/relationships" ref="AG899" display="https://www.utt.fr/formations/master/securite-des-systemes-d-information/master-securite-des-systemes-d-information-9047.kjsp" r:id="rId2017"/>
    <hyperlink xmlns:r="http://schemas.openxmlformats.org/officeDocument/2006/relationships" ref="AI899" display="Open in EEF" r:id="rId2018"/>
    <hyperlink xmlns:r="http://schemas.openxmlformats.org/officeDocument/2006/relationships" ref="AG900" display="https://fst.univ-lorraine.fr/formations/" r:id="rId2019"/>
    <hyperlink xmlns:r="http://schemas.openxmlformats.org/officeDocument/2006/relationships" ref="AI900" display="Open in EEF" r:id="rId2020"/>
    <hyperlink xmlns:r="http://schemas.openxmlformats.org/officeDocument/2006/relationships" ref="AG901" display="https://www.institut-agro-rennes-angers.fr" r:id="rId2021"/>
    <hyperlink xmlns:r="http://schemas.openxmlformats.org/officeDocument/2006/relationships" ref="AI901" display="Open in EEF" r:id="rId2022"/>
    <hyperlink xmlns:r="http://schemas.openxmlformats.org/officeDocument/2006/relationships" ref="AG902" display="https://www.insa-rennes.fr/master-mathematiques-et-applications.html" r:id="rId2023"/>
    <hyperlink xmlns:r="http://schemas.openxmlformats.org/officeDocument/2006/relationships" ref="AI902" display="Open in EEF" r:id="rId2024"/>
    <hyperlink xmlns:r="http://schemas.openxmlformats.org/officeDocument/2006/relationships" ref="AG903" display="https://www.isped.u-bordeaux.fr/FORMATION/Formations-propos%C3%A9es/Les-Masters/Master-2-Syst%C3%A8mes-dinformation-et-technologies-informatiques-pour-la-sant%C3%A9" r:id="rId2025"/>
    <hyperlink xmlns:r="http://schemas.openxmlformats.org/officeDocument/2006/relationships" ref="AI903" display="Open in EEF" r:id="rId2026"/>
    <hyperlink xmlns:r="http://schemas.openxmlformats.org/officeDocument/2006/relationships" ref="AG904" display="https://idmc.univ-lorraine.fr/courses/master-2-sciences-cognitives/" r:id="rId2027"/>
    <hyperlink xmlns:r="http://schemas.openxmlformats.org/officeDocument/2006/relationships" ref="AI904" display="Open in EEF" r:id="rId2028"/>
    <hyperlink xmlns:r="http://schemas.openxmlformats.org/officeDocument/2006/relationships" ref="AG905" display="https://mim.univ-lorraine.fr/" r:id="rId2029"/>
    <hyperlink xmlns:r="http://schemas.openxmlformats.org/officeDocument/2006/relationships" ref="AI905" display="Open in EEF" r:id="rId2030"/>
    <hyperlink xmlns:r="http://schemas.openxmlformats.org/officeDocument/2006/relationships" ref="AG906" display="https://www.sciences.univ-artois.fr/" r:id="rId2031"/>
    <hyperlink xmlns:r="http://schemas.openxmlformats.org/officeDocument/2006/relationships" ref="AI906" display="Open in EEF" r:id="rId2032"/>
    <hyperlink xmlns:r="http://schemas.openxmlformats.org/officeDocument/2006/relationships" ref="AG907" display="http://www.univ-antilles.fr" r:id="rId2033"/>
    <hyperlink xmlns:r="http://schemas.openxmlformats.org/officeDocument/2006/relationships" ref="AI907" display="Open in EEF" r:id="rId2034"/>
    <hyperlink xmlns:r="http://schemas.openxmlformats.org/officeDocument/2006/relationships" ref="AG908" display="http://www-galilee.univ-paris13.fr/" r:id="rId2035"/>
    <hyperlink xmlns:r="http://schemas.openxmlformats.org/officeDocument/2006/relationships" ref="AI908" display="Open in EEF" r:id="rId2036"/>
    <hyperlink xmlns:r="http://schemas.openxmlformats.org/officeDocument/2006/relationships" ref="AI909" display="Open in EEF" r:id="rId2037"/>
    <hyperlink xmlns:r="http://schemas.openxmlformats.org/officeDocument/2006/relationships" ref="AB910" display="https://www.univ-lyon1.fr/formation/inscription-et-scolarite/etudiantes-et-etudiants-internationaux-droits-dinscription-differencies-et-exonerations" r:id="rId2038"/>
    <hyperlink xmlns:r="http://schemas.openxmlformats.org/officeDocument/2006/relationships" ref="AI910" display="Open in EEF" r:id="rId2039"/>
    <hyperlink xmlns:r="http://schemas.openxmlformats.org/officeDocument/2006/relationships" ref="AB911" display="https://www.univ-amu.fr/fr/actualites/aix-marseille-universite-mobilise-pleinement-capacite-dexoneration-continuer-accueillir" r:id="rId2040"/>
    <hyperlink xmlns:r="http://schemas.openxmlformats.org/officeDocument/2006/relationships" ref="AG911" display="https://formations.univ-amu.fr/fr/master/5SBG/PRSBG5C2" r:id="rId2041"/>
    <hyperlink xmlns:r="http://schemas.openxmlformats.org/officeDocument/2006/relationships" ref="AI911" display="Open in EEF" r:id="rId2042"/>
    <hyperlink xmlns:r="http://schemas.openxmlformats.org/officeDocument/2006/relationships" ref="AB912" display="https://www.univ-amu.fr/fr/actualites/aix-marseille-universite-mobilise-pleinement-capacite-dexoneration-continuer-accueillir" r:id="rId2043"/>
    <hyperlink xmlns:r="http://schemas.openxmlformats.org/officeDocument/2006/relationships" ref="AG912" display="https://formations.univ-amu.fr/fr/master/5SMA/PRSMA5C5" r:id="rId2044"/>
    <hyperlink xmlns:r="http://schemas.openxmlformats.org/officeDocument/2006/relationships" ref="AI912" display="Open in EEF" r:id="rId2045"/>
    <hyperlink xmlns:r="http://schemas.openxmlformats.org/officeDocument/2006/relationships" ref="AG913" display="https://www.univ-paris8.fr/-Master-Big-Data-BD-" r:id="rId2046"/>
    <hyperlink xmlns:r="http://schemas.openxmlformats.org/officeDocument/2006/relationships" ref="AI913" display="Open in EEF" r:id="rId2047"/>
    <hyperlink xmlns:r="http://schemas.openxmlformats.org/officeDocument/2006/relationships" ref="AG914" display="https://www.univ-paris8.fr/-Master-Conduite-de-Projets-Informatiques-" r:id="rId2048"/>
    <hyperlink xmlns:r="http://schemas.openxmlformats.org/officeDocument/2006/relationships" ref="AI914" display="Open in EEF" r:id="rId2049"/>
    <hyperlink xmlns:r="http://schemas.openxmlformats.org/officeDocument/2006/relationships" ref="AG915" display="https://www.univ-paris8.fr/-Master-Technologies-de-l-Hypermedia-678-" r:id="rId2050"/>
    <hyperlink xmlns:r="http://schemas.openxmlformats.org/officeDocument/2006/relationships" ref="AI915" display="Open in EEF" r:id="rId2051"/>
    <hyperlink xmlns:r="http://schemas.openxmlformats.org/officeDocument/2006/relationships" ref="AB916" display="https://u-paris.fr/droits-dinscription-tarifs-exonerations/" r:id="rId2052"/>
    <hyperlink xmlns:r="http://schemas.openxmlformats.org/officeDocument/2006/relationships" ref="AG916" display="https://sdv.u-paris.fr" r:id="rId2053"/>
    <hyperlink xmlns:r="http://schemas.openxmlformats.org/officeDocument/2006/relationships" ref="AI916" display="Open in EEF" r:id="rId2054"/>
    <hyperlink xmlns:r="http://schemas.openxmlformats.org/officeDocument/2006/relationships" ref="AB917" display="https://www.utoulouse.fr/medias/fichier/2026-02-ca-075_1774430647495-pdf" r:id="rId2055"/>
    <hyperlink xmlns:r="http://schemas.openxmlformats.org/officeDocument/2006/relationships" ref="AG917" display="http://www.univ-tlse3.fr/" r:id="rId2056"/>
    <hyperlink xmlns:r="http://schemas.openxmlformats.org/officeDocument/2006/relationships" ref="AI917" display="Open in EEF" r:id="rId2057"/>
    <hyperlink xmlns:r="http://schemas.openxmlformats.org/officeDocument/2006/relationships" ref="AG918" display="https://igm.univ-gustave-eiffel.fr/" r:id="rId2058"/>
    <hyperlink xmlns:r="http://schemas.openxmlformats.org/officeDocument/2006/relationships" ref="AI918" display="Open in EEF" r:id="rId2059"/>
    <hyperlink xmlns:r="http://schemas.openxmlformats.org/officeDocument/2006/relationships" ref="AB919" display="https://www.univ-grenoble-alpes.fr/actualites/a-la-une/actualites-universite/etudiants-internationaux-ce-que-change-le-nouveau-decret-sur-les-droits-d-inscription-a-l-uga-1775870.kjsp" r:id="rId2060"/>
    <hyperlink xmlns:r="http://schemas.openxmlformats.org/officeDocument/2006/relationships" ref="AG919" display="https://im2ag.univ-grenoble-alpes.fr/parcours-competences-complementaires-en-informatique-cci-2e-annee/master-informatique-parcours-competences-complementaires-en-informatique-cci-2e-annee-111068.kjsp" r:id="rId2061"/>
    <hyperlink xmlns:r="http://schemas.openxmlformats.org/officeDocument/2006/relationships" ref="AI919" display="Open in EEF" r:id="rId2062"/>
    <hyperlink xmlns:r="http://schemas.openxmlformats.org/officeDocument/2006/relationships" ref="AB920" display="https://www.univ-grenoble-alpes.fr/actualites/a-la-une/actualites-universite/etudiants-internationaux-ce-que-change-le-nouveau-decret-sur-les-droits-d-inscription-a-l-uga-1775870.kjsp" r:id="rId2063"/>
    <hyperlink xmlns:r="http://schemas.openxmlformats.org/officeDocument/2006/relationships" ref="AG920" display="https://formations.univ-grenoble-alpes.fr/fr/catalogue-2021/master-XB/master-informatique-IAQK9B8Z/parcours-genie-informatique-2e-annee-IGM7ZRCJ.html" r:id="rId2064"/>
    <hyperlink xmlns:r="http://schemas.openxmlformats.org/officeDocument/2006/relationships" ref="AI920" display="Open in EEF" r:id="rId2065"/>
    <hyperlink xmlns:r="http://schemas.openxmlformats.org/officeDocument/2006/relationships" ref="AB921" display="https://www.umontpellier.fr/en/international/etudier-a-letranger/etudiants-internationaux-annee-universitaire-2026-2027/" r:id="rId2066"/>
    <hyperlink xmlns:r="http://schemas.openxmlformats.org/officeDocument/2006/relationships" ref="AG921" display="http://www.fdsweb.univ-montp2.fr/etudier-a-la-fds/catalogue-de-formation-675" r:id="rId2067"/>
    <hyperlink xmlns:r="http://schemas.openxmlformats.org/officeDocument/2006/relationships" ref="AI921" display="Open in EEF" r:id="rId2068"/>
    <hyperlink xmlns:r="http://schemas.openxmlformats.org/officeDocument/2006/relationships" ref="AB922" display="https://www.utoulouse.fr/medias/fichier/2026-02-ca-075_1774430647495-pdf" r:id="rId2069"/>
    <hyperlink xmlns:r="http://schemas.openxmlformats.org/officeDocument/2006/relationships" ref="AG922" display="http://www.univ-tlse3.fr/" r:id="rId2070"/>
    <hyperlink xmlns:r="http://schemas.openxmlformats.org/officeDocument/2006/relationships" ref="AI922" display="Open in EEF" r:id="rId2071"/>
    <hyperlink xmlns:r="http://schemas.openxmlformats.org/officeDocument/2006/relationships" ref="AG923" display="https://igm.univ-gustave-eiffel.fr/" r:id="rId2072"/>
    <hyperlink xmlns:r="http://schemas.openxmlformats.org/officeDocument/2006/relationships" ref="AI923" display="Open in EEF" r:id="rId2073"/>
    <hyperlink xmlns:r="http://schemas.openxmlformats.org/officeDocument/2006/relationships" ref="AG924" display="http://www.mines-stetienne.fr/formation-mines-saint-etienne/" r:id="rId2074"/>
    <hyperlink xmlns:r="http://schemas.openxmlformats.org/officeDocument/2006/relationships" ref="AI924" display="Open in EEF" r:id="rId2075"/>
    <hyperlink xmlns:r="http://schemas.openxmlformats.org/officeDocument/2006/relationships" ref="AG925" display="https://igm.univ-gustave-eiffel.fr/" r:id="rId2076"/>
    <hyperlink xmlns:r="http://schemas.openxmlformats.org/officeDocument/2006/relationships" ref="AI925" display="Open in EEF" r:id="rId2077"/>
    <hyperlink xmlns:r="http://schemas.openxmlformats.org/officeDocument/2006/relationships" ref="AG926" display="http://www.enseeiht.fr" r:id="rId2078"/>
    <hyperlink xmlns:r="http://schemas.openxmlformats.org/officeDocument/2006/relationships" ref="AI926" display="Open in EEF" r:id="rId2079"/>
    <hyperlink xmlns:r="http://schemas.openxmlformats.org/officeDocument/2006/relationships" ref="AB927" display="https://u-paris.fr/droits-dinscription-tarifs-exonerations/" r:id="rId2080"/>
    <hyperlink xmlns:r="http://schemas.openxmlformats.org/officeDocument/2006/relationships" ref="AG927" display="https://www.math.u-paris.fr/" r:id="rId2081"/>
    <hyperlink xmlns:r="http://schemas.openxmlformats.org/officeDocument/2006/relationships" ref="AI927" display="Open in EEF" r:id="rId2082"/>
    <hyperlink xmlns:r="http://schemas.openxmlformats.org/officeDocument/2006/relationships" ref="AB928" display="https://www.sorbonne-universite.fr/actualites/le-conseil-dadministration-de-sorbonne-universite-vote-lunanimite-le-7-juillet-2026-sa" r:id="rId2083"/>
    <hyperlink xmlns:r="http://schemas.openxmlformats.org/officeDocument/2006/relationships" ref="AG928" display="http://master.sante.sorbonne-universite.fr/fr/index.html" r:id="rId2084"/>
    <hyperlink xmlns:r="http://schemas.openxmlformats.org/officeDocument/2006/relationships" ref="AI928" display="Open in EEF" r:id="rId2085"/>
    <hyperlink xmlns:r="http://schemas.openxmlformats.org/officeDocument/2006/relationships" ref="AB929" display="https://u-paris.fr/droits-dinscription-tarifs-exonerations/" r:id="rId2086"/>
    <hyperlink xmlns:r="http://schemas.openxmlformats.org/officeDocument/2006/relationships" ref="AG929" display="https://u-paris.fr/medecine/formation-initiale/masters/" r:id="rId2087"/>
    <hyperlink xmlns:r="http://schemas.openxmlformats.org/officeDocument/2006/relationships" ref="AI929" display="Open in EEF" r:id="rId2088"/>
    <hyperlink xmlns:r="http://schemas.openxmlformats.org/officeDocument/2006/relationships" ref="AB930" display="https://www.univ-amu.fr/fr/actualites/aix-marseille-universite-mobilise-pleinement-capacite-dexoneration-continuer-accueillir" r:id="rId2089"/>
    <hyperlink xmlns:r="http://schemas.openxmlformats.org/officeDocument/2006/relationships" ref="AG930" display="https://smpm.univ-amu.fr/" r:id="rId2090"/>
    <hyperlink xmlns:r="http://schemas.openxmlformats.org/officeDocument/2006/relationships" ref="AI930" display="Open in EEF" r:id="rId2091"/>
    <hyperlink xmlns:r="http://schemas.openxmlformats.org/officeDocument/2006/relationships" ref="AB931" display="https://www.univ-amu.fr/fr/actualites/aix-marseille-universite-mobilise-pleinement-capacite-dexoneration-continuer-accueillir" r:id="rId2092"/>
    <hyperlink xmlns:r="http://schemas.openxmlformats.org/officeDocument/2006/relationships" ref="AG931" display="https://formations.univ-amu.fr/fr/master/5SIN/PRSIN5C6" r:id="rId2093"/>
    <hyperlink xmlns:r="http://schemas.openxmlformats.org/officeDocument/2006/relationships" ref="AI931" display="Open in EEF" r:id="rId2094"/>
    <hyperlink xmlns:r="http://schemas.openxmlformats.org/officeDocument/2006/relationships" ref="AB932" display="https://u-paris.fr/droits-dinscription-tarifs-exonerations/" r:id="rId2095"/>
    <hyperlink xmlns:r="http://schemas.openxmlformats.org/officeDocument/2006/relationships" ref="AG932" display="https://sdv.u-paris.fr/" r:id="rId2096"/>
    <hyperlink xmlns:r="http://schemas.openxmlformats.org/officeDocument/2006/relationships" ref="AI932" display="Open in EEF" r:id="rId2097"/>
    <hyperlink xmlns:r="http://schemas.openxmlformats.org/officeDocument/2006/relationships" ref="AB933" display="https://www.sorbonne-universite.fr/actualites/le-conseil-dadministration-de-sorbonne-universite-vote-lunanimite-le-7-juillet-2026-sa" r:id="rId2098"/>
    <hyperlink xmlns:r="http://schemas.openxmlformats.org/officeDocument/2006/relationships" ref="AG933" display="https://sciences.sorbonne-universite.fr/formation-sciences/offre-de-formation/masters/master-bip-biologie-integrative-et-physiologie" r:id="rId2099"/>
    <hyperlink xmlns:r="http://schemas.openxmlformats.org/officeDocument/2006/relationships" ref="AI933" display="Open in EEF" r:id="rId2100"/>
    <hyperlink xmlns:r="http://schemas.openxmlformats.org/officeDocument/2006/relationships" ref="AB934" display="https://www.uca.fr/medias/fichier/delib-ca-20251205-15-tarifs-differencies_1765204050111-pdf" r:id="rId2101"/>
    <hyperlink xmlns:r="http://schemas.openxmlformats.org/officeDocument/2006/relationships" ref="AG934" display="https://www.uca.fr/formation/nos-formations/par-ufr-ecoles-et-iut/institut-dinformatique/master/master-genie-industriel" r:id="rId2102"/>
    <hyperlink xmlns:r="http://schemas.openxmlformats.org/officeDocument/2006/relationships" ref="AI934" display="Open in EEF" r:id="rId2103"/>
    <hyperlink xmlns:r="http://schemas.openxmlformats.org/officeDocument/2006/relationships" ref="AG935" display="http://www.mines-stetienne.fr/formation-mines-saint-etienne/" r:id="rId2104"/>
    <hyperlink xmlns:r="http://schemas.openxmlformats.org/officeDocument/2006/relationships" ref="AI935" display="Open in EEF" r:id="rId2105"/>
    <hyperlink xmlns:r="http://schemas.openxmlformats.org/officeDocument/2006/relationships" ref="AG936" display="http://www.ens-cachan.fr" r:id="rId2106"/>
    <hyperlink xmlns:r="http://schemas.openxmlformats.org/officeDocument/2006/relationships" ref="AI936" display="Open in EEF" r:id="rId2107"/>
    <hyperlink xmlns:r="http://schemas.openxmlformats.org/officeDocument/2006/relationships" ref="AB937" display="https://www.sorbonne-universite.fr/actualites/le-conseil-dadministration-de-sorbonne-universite-vote-lunanimite-le-7-juillet-2026-sa" r:id="rId2108"/>
    <hyperlink xmlns:r="http://schemas.openxmlformats.org/officeDocument/2006/relationships" ref="AG937" display="https://sciences.sorbonne-universite.fr/masters/master-mathematiques-et-applications" r:id="rId2109"/>
    <hyperlink xmlns:r="http://schemas.openxmlformats.org/officeDocument/2006/relationships" ref="AI937" display="Open in EEF" r:id="rId2110"/>
    <hyperlink xmlns:r="http://schemas.openxmlformats.org/officeDocument/2006/relationships" ref="AG938" display="http://www.ens.fr" r:id="rId2111"/>
    <hyperlink xmlns:r="http://schemas.openxmlformats.org/officeDocument/2006/relationships" ref="AI938" display="Open in EEF" r:id="rId2112"/>
    <hyperlink xmlns:r="http://schemas.openxmlformats.org/officeDocument/2006/relationships" ref="AB939" display="https://u-paris.fr/droits-dinscription-tarifs-exonerations/" r:id="rId2113"/>
    <hyperlink xmlns:r="http://schemas.openxmlformats.org/officeDocument/2006/relationships" ref="AG939" display="https://www.math.u-paris.fr/" r:id="rId2114"/>
    <hyperlink xmlns:r="http://schemas.openxmlformats.org/officeDocument/2006/relationships" ref="AI939" display="Open in EEF" r:id="rId2115"/>
    <hyperlink xmlns:r="http://schemas.openxmlformats.org/officeDocument/2006/relationships" ref="AG940" display="http://www.ens.fr" r:id="rId2116"/>
    <hyperlink xmlns:r="http://schemas.openxmlformats.org/officeDocument/2006/relationships" ref="AI940" display="Open in EEF" r:id="rId2117"/>
    <hyperlink xmlns:r="http://schemas.openxmlformats.org/officeDocument/2006/relationships" ref="AG941" display="http://www.espci.fr" r:id="rId2118"/>
    <hyperlink xmlns:r="http://schemas.openxmlformats.org/officeDocument/2006/relationships" ref="AI941" display="Open in EEF" r:id="rId2119"/>
    <hyperlink xmlns:r="http://schemas.openxmlformats.org/officeDocument/2006/relationships" ref="AG942" display="http://imt-atlantique.fr" r:id="rId2120"/>
    <hyperlink xmlns:r="http://schemas.openxmlformats.org/officeDocument/2006/relationships" ref="AI942" display="Open in EEF" r:id="rId2121"/>
    <hyperlink xmlns:r="http://schemas.openxmlformats.org/officeDocument/2006/relationships" ref="AG943" display="http://www-instn.cea.fr" r:id="rId2122"/>
    <hyperlink xmlns:r="http://schemas.openxmlformats.org/officeDocument/2006/relationships" ref="AI943" display="Open in EEF" r:id="rId2123"/>
    <hyperlink xmlns:r="http://schemas.openxmlformats.org/officeDocument/2006/relationships" ref="AG944" display="http://www.ensam.eu" r:id="rId2124"/>
    <hyperlink xmlns:r="http://schemas.openxmlformats.org/officeDocument/2006/relationships" ref="AI944" display="Open in EEF" r:id="rId2125"/>
    <hyperlink xmlns:r="http://schemas.openxmlformats.org/officeDocument/2006/relationships" ref="AG945" display="http://www.ens.fr" r:id="rId2126"/>
    <hyperlink xmlns:r="http://schemas.openxmlformats.org/officeDocument/2006/relationships" ref="AI945" display="Open in EEF" r:id="rId2127"/>
    <hyperlink xmlns:r="http://schemas.openxmlformats.org/officeDocument/2006/relationships" ref="AG946" display="http://www.ens.fr" r:id="rId2128"/>
    <hyperlink xmlns:r="http://schemas.openxmlformats.org/officeDocument/2006/relationships" ref="AI946" display="Open in EEF" r:id="rId2129"/>
    <hyperlink xmlns:r="http://schemas.openxmlformats.org/officeDocument/2006/relationships" ref="AG947" display="http://www-instn.cea.fr" r:id="rId2130"/>
    <hyperlink xmlns:r="http://schemas.openxmlformats.org/officeDocument/2006/relationships" ref="AI947" display="Open in EEF" r:id="rId2131"/>
    <hyperlink xmlns:r="http://schemas.openxmlformats.org/officeDocument/2006/relationships" ref="AG948" display="http://www.ens.fr" r:id="rId2132"/>
    <hyperlink xmlns:r="http://schemas.openxmlformats.org/officeDocument/2006/relationships" ref="AI948" display="Open in EEF" r:id="rId2133"/>
    <hyperlink xmlns:r="http://schemas.openxmlformats.org/officeDocument/2006/relationships" ref="AG949" display="http://www-instn.cea.fr" r:id="rId2134"/>
    <hyperlink xmlns:r="http://schemas.openxmlformats.org/officeDocument/2006/relationships" ref="AI949" display="Open in EEF" r:id="rId2135"/>
    <hyperlink xmlns:r="http://schemas.openxmlformats.org/officeDocument/2006/relationships" ref="AG950" display="https://www.ip-paris.fr/education/doctorat/ecole-doctorale-ip-paris/domaine-doctorat-informatique-donnees-et-intelligence-artificielle" r:id="rId2136"/>
    <hyperlink xmlns:r="http://schemas.openxmlformats.org/officeDocument/2006/relationships" ref="AI950" display="Open in EEF" r:id="rId2137"/>
    <hyperlink xmlns:r="http://schemas.openxmlformats.org/officeDocument/2006/relationships" ref="AI951" display="Open in EEF" r:id="rId2138"/>
    <hyperlink xmlns:r="http://schemas.openxmlformats.org/officeDocument/2006/relationships" ref="AG952" display="https://www.ip-paris.fr/en/education/masters/electrical-engineering-program/master-2-traitement-de-linformation-et-exploitation-des-donnees" r:id="rId2139"/>
    <hyperlink xmlns:r="http://schemas.openxmlformats.org/officeDocument/2006/relationships" ref="AI952" display="Open in EEF" r:id="rId2140"/>
    <hyperlink xmlns:r="http://schemas.openxmlformats.org/officeDocument/2006/relationships" ref="AI953" display="Open in EEF" r:id="rId2141"/>
    <hyperlink xmlns:r="http://schemas.openxmlformats.org/officeDocument/2006/relationships" ref="AI954" display="Open in EEF" r:id="rId2142"/>
    <hyperlink xmlns:r="http://schemas.openxmlformats.org/officeDocument/2006/relationships" ref="AI955" display="Open in EEF" r:id="rId2143"/>
    <hyperlink xmlns:r="http://schemas.openxmlformats.org/officeDocument/2006/relationships" ref="AG956" display="http://www.ensta-paristech.fr" r:id="rId2144"/>
    <hyperlink xmlns:r="http://schemas.openxmlformats.org/officeDocument/2006/relationships" ref="AI956" display="Open in EEF" r:id="rId2145"/>
    <hyperlink xmlns:r="http://schemas.openxmlformats.org/officeDocument/2006/relationships" ref="AG957" display="http://www.ensta-paristech.fr" r:id="rId2146"/>
    <hyperlink xmlns:r="http://schemas.openxmlformats.org/officeDocument/2006/relationships" ref="AI957" display="Open in EEF" r:id="rId2147"/>
    <hyperlink xmlns:r="http://schemas.openxmlformats.org/officeDocument/2006/relationships" ref="AG958" display="http://www.ensta-paristech.fr" r:id="rId2148"/>
    <hyperlink xmlns:r="http://schemas.openxmlformats.org/officeDocument/2006/relationships" ref="AI958" display="Open in EEF" r:id="rId2149"/>
    <hyperlink xmlns:r="http://schemas.openxmlformats.org/officeDocument/2006/relationships" ref="AG959" display="https://www.telecom-sudparis.eu/en/formation/master-of-science-data-science-network-intelligence/" r:id="rId2150"/>
    <hyperlink xmlns:r="http://schemas.openxmlformats.org/officeDocument/2006/relationships" ref="AI959" display="Open in EEF" r:id="rId2151"/>
    <hyperlink xmlns:r="http://schemas.openxmlformats.org/officeDocument/2006/relationships" ref="AG960" display="https://www.telecom-sudparis.eu/en/formation/master-of-science-data-science-network-intelligence/" r:id="rId2152"/>
    <hyperlink xmlns:r="http://schemas.openxmlformats.org/officeDocument/2006/relationships" ref="AI960" display="Open in EEF" r:id="rId2153"/>
    <hyperlink xmlns:r="http://schemas.openxmlformats.org/officeDocument/2006/relationships" ref="AG961" display="http://www.ensai.fr/" r:id="rId2154"/>
    <hyperlink xmlns:r="http://schemas.openxmlformats.org/officeDocument/2006/relationships" ref="AI961" display="Open in EEF" r:id="rId2155"/>
    <hyperlink xmlns:r="http://schemas.openxmlformats.org/officeDocument/2006/relationships" ref="AG962" display="https://cytech.cyu.fr/international-cy-tech/formations-internationales" r:id="rId2156"/>
    <hyperlink xmlns:r="http://schemas.openxmlformats.org/officeDocument/2006/relationships" ref="AI962" display="Open in EEF" r:id="rId2157"/>
    <hyperlink xmlns:r="http://schemas.openxmlformats.org/officeDocument/2006/relationships" ref="AG963" display="https://www.centrale-mediterranee.fr/fr/formation/masters/master-engineers-smart-cities" r:id="rId2158"/>
    <hyperlink xmlns:r="http://schemas.openxmlformats.org/officeDocument/2006/relationships" ref="AI963" display="Open in EEF" r:id="rId2159"/>
    <hyperlink xmlns:r="http://schemas.openxmlformats.org/officeDocument/2006/relationships" ref="AG964" display="https://www.cesi.fr/" r:id="rId2160"/>
    <hyperlink xmlns:r="http://schemas.openxmlformats.org/officeDocument/2006/relationships" ref="AI964" display="Open in EEF" r:id="rId2161"/>
    <hyperlink xmlns:r="http://schemas.openxmlformats.org/officeDocument/2006/relationships" ref="AG965" display="https://polytech.univ-nantes.fr/les-formations/masters-internationaux/data-science-master-s-degree-ds--2355188.kjsp?RH=1382971139912" r:id="rId2162"/>
    <hyperlink xmlns:r="http://schemas.openxmlformats.org/officeDocument/2006/relationships" ref="AI965" display="Open in EEF" r:id="rId2163"/>
    <hyperlink xmlns:r="http://schemas.openxmlformats.org/officeDocument/2006/relationships" ref="AG966" display="https://www.eurecom.fr/en/teaching/post-masters-degree/post-masters-degree-security-computer-systems-and-communications" r:id="rId2164"/>
    <hyperlink xmlns:r="http://schemas.openxmlformats.org/officeDocument/2006/relationships" ref="AI966" display="Open in EEF" r:id="rId2165"/>
    <hyperlink xmlns:r="http://schemas.openxmlformats.org/officeDocument/2006/relationships" ref="AG967" display="https://www.eurecom.fr/fr/les-formations/ingenieur-specialise/ingenieur-specialise-en-securite-des-systemes-informatiques-et" r:id="rId2166"/>
    <hyperlink xmlns:r="http://schemas.openxmlformats.org/officeDocument/2006/relationships" ref="AI967" display="Open in EEF" r:id="rId2167"/>
    <hyperlink xmlns:r="http://schemas.openxmlformats.org/officeDocument/2006/relationships" ref="AG968" display="https://doctorat.u-bordeaux.fr/en/before-phd/graduate-programs/cancer-biology" r:id="rId2168"/>
    <hyperlink xmlns:r="http://schemas.openxmlformats.org/officeDocument/2006/relationships" ref="AI968" display="Open in EEF" r:id="rId2169"/>
    <hyperlink xmlns:r="http://schemas.openxmlformats.org/officeDocument/2006/relationships" ref="AG969" display="http://www.ens.fr" r:id="rId2170"/>
    <hyperlink xmlns:r="http://schemas.openxmlformats.org/officeDocument/2006/relationships" ref="AI969" display="Open in EEF" r:id="rId2171"/>
    <hyperlink xmlns:r="http://schemas.openxmlformats.org/officeDocument/2006/relationships" ref="AG970" display="http://www.ifp-school.com" r:id="rId2172"/>
    <hyperlink xmlns:r="http://schemas.openxmlformats.org/officeDocument/2006/relationships" ref="AI970" display="Open in EEF" r:id="rId2173"/>
    <hyperlink xmlns:r="http://schemas.openxmlformats.org/officeDocument/2006/relationships" ref="AG971" display="http://www.sciences.unilim.fr/" r:id="rId2174"/>
    <hyperlink xmlns:r="http://schemas.openxmlformats.org/officeDocument/2006/relationships" ref="AI971" display="Open in EEF" r:id="rId2175"/>
    <hyperlink xmlns:r="http://schemas.openxmlformats.org/officeDocument/2006/relationships" ref="AG972" display="http://www.sciences.unilim.fr/" r:id="rId2176"/>
    <hyperlink xmlns:r="http://schemas.openxmlformats.org/officeDocument/2006/relationships" ref="AI972" display="Open in EEF" r:id="rId2177"/>
    <hyperlink xmlns:r="http://schemas.openxmlformats.org/officeDocument/2006/relationships" ref="AB973" display="https://www.unistra.fr/fr/node/8168" r:id="rId2178"/>
    <hyperlink xmlns:r="http://schemas.openxmlformats.org/officeDocument/2006/relationships" ref="AG973" display="http://med.unistra.fr/" r:id="rId2179"/>
    <hyperlink xmlns:r="http://schemas.openxmlformats.org/officeDocument/2006/relationships" ref="AI973" display="Open in EEF" r:id="rId2180"/>
    <hyperlink xmlns:r="http://schemas.openxmlformats.org/officeDocument/2006/relationships" ref="AB974" display="https://www.univ-amu.fr/fr/actualites/aix-marseille-universite-mobilise-pleinement-capacite-dexoneration-continuer-accueillir" r:id="rId2181"/>
    <hyperlink xmlns:r="http://schemas.openxmlformats.org/officeDocument/2006/relationships" ref="AG974" display="https://smpm.univ-amu.fr/" r:id="rId2182"/>
    <hyperlink xmlns:r="http://schemas.openxmlformats.org/officeDocument/2006/relationships" ref="AI974" display="Open in EEF" r:id="rId2183"/>
    <hyperlink xmlns:r="http://schemas.openxmlformats.org/officeDocument/2006/relationships" ref="AB975" display="https://www.univ-amu.fr/fr/actualites/aix-marseille-universite-mobilise-pleinement-capacite-dexoneration-continuer-accueillir" r:id="rId2184"/>
    <hyperlink xmlns:r="http://schemas.openxmlformats.org/officeDocument/2006/relationships" ref="AG975" display="http://medecine.univ-amu.fr" r:id="rId2185"/>
    <hyperlink xmlns:r="http://schemas.openxmlformats.org/officeDocument/2006/relationships" ref="AI975" display="Open in EEF" r:id="rId2186"/>
    <hyperlink xmlns:r="http://schemas.openxmlformats.org/officeDocument/2006/relationships" ref="AB976" display="https://www.utoulouse.fr/medias/fichier/2026-02-ca-075_1774430647495-pdf" r:id="rId2187"/>
    <hyperlink xmlns:r="http://schemas.openxmlformats.org/officeDocument/2006/relationships" ref="AG976" display="https://www.univ-tlse3.fr/master-mention-biologie-sante" r:id="rId2188"/>
    <hyperlink xmlns:r="http://schemas.openxmlformats.org/officeDocument/2006/relationships" ref="AI976" display="Open in EEF" r:id="rId2189"/>
    <hyperlink xmlns:r="http://schemas.openxmlformats.org/officeDocument/2006/relationships" ref="AG977" display="http://www.ifp-school.com" r:id="rId2190"/>
    <hyperlink xmlns:r="http://schemas.openxmlformats.org/officeDocument/2006/relationships" ref="AI977" display="Open in EEF" r:id="rId2191"/>
    <hyperlink xmlns:r="http://schemas.openxmlformats.org/officeDocument/2006/relationships" ref="AG978" display="https://www.ensicaen.fr/" r:id="rId2192"/>
    <hyperlink xmlns:r="http://schemas.openxmlformats.org/officeDocument/2006/relationships" ref="AI978" display="Open in EEF" r:id="rId2193"/>
    <hyperlink xmlns:r="http://schemas.openxmlformats.org/officeDocument/2006/relationships" ref="AG979" display="https://msc-inp-insa-toulouse.fr/master-fluids-engineering-for-industrial-processes/" r:id="rId2194"/>
    <hyperlink xmlns:r="http://schemas.openxmlformats.org/officeDocument/2006/relationships" ref="AI979" display="Open in EEF" r:id="rId2195"/>
    <hyperlink xmlns:r="http://schemas.openxmlformats.org/officeDocument/2006/relationships" ref="AG980" display="https://en.isep.fr/studying-at-isep/isep-engineering-master-degree/" r:id="rId2196"/>
    <hyperlink xmlns:r="http://schemas.openxmlformats.org/officeDocument/2006/relationships" ref="AI980" display="Open in EEF" r:id="rId2197"/>
    <hyperlink xmlns:r="http://schemas.openxmlformats.org/officeDocument/2006/relationships" ref="AG981" display="https://www.isae-supaero.fr/" r:id="rId2198"/>
    <hyperlink xmlns:r="http://schemas.openxmlformats.org/officeDocument/2006/relationships" ref="AI981" display="Open in EEF" r:id="rId2199"/>
    <hyperlink xmlns:r="http://schemas.openxmlformats.org/officeDocument/2006/relationships" ref="AG982" display="http://www.isat.fr/" r:id="rId2200"/>
    <hyperlink xmlns:r="http://schemas.openxmlformats.org/officeDocument/2006/relationships" ref="AI982" display="Open in EEF" r:id="rId2201"/>
    <hyperlink xmlns:r="http://schemas.openxmlformats.org/officeDocument/2006/relationships" ref="AG983" display="https://www.estaca.fr/en/programs/post-master-degree/aeronautical-operation-maintenance/" r:id="rId2202"/>
    <hyperlink xmlns:r="http://schemas.openxmlformats.org/officeDocument/2006/relationships" ref="AI983" display="Open in EEF" r:id="rId2203"/>
    <hyperlink xmlns:r="http://schemas.openxmlformats.org/officeDocument/2006/relationships" ref="AG984" display="http://www.ensam.eu" r:id="rId2204"/>
    <hyperlink xmlns:r="http://schemas.openxmlformats.org/officeDocument/2006/relationships" ref="AI984" display="Open in EEF" r:id="rId2205"/>
    <hyperlink xmlns:r="http://schemas.openxmlformats.org/officeDocument/2006/relationships" ref="AG985" display="http://www.ensam.eu" r:id="rId2206"/>
    <hyperlink xmlns:r="http://schemas.openxmlformats.org/officeDocument/2006/relationships" ref="AI985" display="Open in EEF" r:id="rId2207"/>
    <hyperlink xmlns:r="http://schemas.openxmlformats.org/officeDocument/2006/relationships" ref="AG986" display="http://www.eicesi.fr" r:id="rId2208"/>
    <hyperlink xmlns:r="http://schemas.openxmlformats.org/officeDocument/2006/relationships" ref="AI986" display="Open in EEF" r:id="rId2209"/>
    <hyperlink xmlns:r="http://schemas.openxmlformats.org/officeDocument/2006/relationships" ref="AG987" display="https://www.tsaae.fr/" r:id="rId2210"/>
    <hyperlink xmlns:r="http://schemas.openxmlformats.org/officeDocument/2006/relationships" ref="AI987" display="Open in EEF" r:id="rId2211"/>
    <hyperlink xmlns:r="http://schemas.openxmlformats.org/officeDocument/2006/relationships" ref="AG988" display="https://www.tsaae.fr/" r:id="rId2212"/>
    <hyperlink xmlns:r="http://schemas.openxmlformats.org/officeDocument/2006/relationships" ref="AI988" display="Open in EEF" r:id="rId2213"/>
    <hyperlink xmlns:r="http://schemas.openxmlformats.org/officeDocument/2006/relationships" ref="AG989" display="https://www.tsaae.fr/" r:id="rId2214"/>
    <hyperlink xmlns:r="http://schemas.openxmlformats.org/officeDocument/2006/relationships" ref="AI989" display="Open in EEF" r:id="rId2215"/>
    <hyperlink xmlns:r="http://schemas.openxmlformats.org/officeDocument/2006/relationships" ref="AG990" display="https://www.tsaae.fr/" r:id="rId2216"/>
    <hyperlink xmlns:r="http://schemas.openxmlformats.org/officeDocument/2006/relationships" ref="AI990" display="Open in EEF" r:id="rId2217"/>
    <hyperlink xmlns:r="http://schemas.openxmlformats.org/officeDocument/2006/relationships" ref="AI991" display="Open in EEF" r:id="rId2218"/>
    <hyperlink xmlns:r="http://schemas.openxmlformats.org/officeDocument/2006/relationships" ref="AG992" location="onglet-the-essentials" display="https://www.tsaae.fr/en/programmes/masters-degree-in-aerospace-engineering/#onglet-the-essentials" r:id="rId2219"/>
    <hyperlink xmlns:r="http://schemas.openxmlformats.org/officeDocument/2006/relationships" ref="AI992" display="Open in EEF" r:id="rId2220"/>
    <hyperlink xmlns:r="http://schemas.openxmlformats.org/officeDocument/2006/relationships" ref="AB993" display="https://www.univ-amu.fr/fr/actualites/aix-marseille-universite-mobilise-pleinement-capacite-dexoneration-continuer-accueillir" r:id="rId2221"/>
    <hyperlink xmlns:r="http://schemas.openxmlformats.org/officeDocument/2006/relationships" ref="AG993" display="https://smpm.univ-amu.fr/fr" r:id="rId2222"/>
    <hyperlink xmlns:r="http://schemas.openxmlformats.org/officeDocument/2006/relationships" ref="AI993" display="Open in EEF" r:id="rId2223"/>
    <hyperlink xmlns:r="http://schemas.openxmlformats.org/officeDocument/2006/relationships" ref="AB994" display="https://www.univ-amu.fr/fr/actualites/aix-marseille-universite-mobilise-pleinement-capacite-dexoneration-continuer-accueillir" r:id="rId2224"/>
    <hyperlink xmlns:r="http://schemas.openxmlformats.org/officeDocument/2006/relationships" ref="AG994" display="https://smpm.univ-amu.fr/fr" r:id="rId2225"/>
    <hyperlink xmlns:r="http://schemas.openxmlformats.org/officeDocument/2006/relationships" ref="AI994" display="Open in EEF" r:id="rId2226"/>
    <hyperlink xmlns:r="http://schemas.openxmlformats.org/officeDocument/2006/relationships" ref="AB995" display="https://www.univ-amu.fr/fr/actualites/aix-marseille-universite-mobilise-pleinement-capacite-dexoneration-continuer-accueillir" r:id="rId2227"/>
    <hyperlink xmlns:r="http://schemas.openxmlformats.org/officeDocument/2006/relationships" ref="AG995" display="https://smpm.univ-amu.fr/fr" r:id="rId2228"/>
    <hyperlink xmlns:r="http://schemas.openxmlformats.org/officeDocument/2006/relationships" ref="AI995" display="Open in EEF" r:id="rId2229"/>
    <hyperlink xmlns:r="http://schemas.openxmlformats.org/officeDocument/2006/relationships" ref="AB996" display="https://www.univ-amu.fr/fr/actualites/aix-marseille-universite-mobilise-pleinement-capacite-dexoneration-continuer-accueillir" r:id="rId2230"/>
    <hyperlink xmlns:r="http://schemas.openxmlformats.org/officeDocument/2006/relationships" ref="AG996" display="https://smpm.univ-amu.fr/fr" r:id="rId2231"/>
    <hyperlink xmlns:r="http://schemas.openxmlformats.org/officeDocument/2006/relationships" ref="AI996" display="Open in EEF" r:id="rId2232"/>
    <hyperlink xmlns:r="http://schemas.openxmlformats.org/officeDocument/2006/relationships" ref="AB997" display="https://u-paris.fr/droits-dinscription-tarifs-exonerations/" r:id="rId2233"/>
    <hyperlink xmlns:r="http://schemas.openxmlformats.org/officeDocument/2006/relationships" ref="AG997" display="http://ufr-paris-garanciere.fr/master-2-biologie-santé-parcours-dir-développement-inflammation-régénération" r:id="rId2234"/>
    <hyperlink xmlns:r="http://schemas.openxmlformats.org/officeDocument/2006/relationships" ref="AI997" display="Open in EEF" r:id="rId2235"/>
    <hyperlink xmlns:r="http://schemas.openxmlformats.org/officeDocument/2006/relationships" ref="AG998" location="/details-formation?type=formation&amp;id=122" display="https://formations.u-bordeaux.fr/#/details-formation?type=formation&amp;id=122" r:id="rId2236"/>
    <hyperlink xmlns:r="http://schemas.openxmlformats.org/officeDocument/2006/relationships" ref="AI998" display="Open in EEF" r:id="rId2237"/>
    <hyperlink xmlns:r="http://schemas.openxmlformats.org/officeDocument/2006/relationships" ref="AB999" display="https://www.univ-amu.fr/fr/actualites/aix-marseille-universite-mobilise-pleinement-capacite-dexoneration-continuer-accueillir" r:id="rId2238"/>
    <hyperlink xmlns:r="http://schemas.openxmlformats.org/officeDocument/2006/relationships" ref="AG999" display="https://smpm.univ-amu.fr/fr" r:id="rId2239"/>
    <hyperlink xmlns:r="http://schemas.openxmlformats.org/officeDocument/2006/relationships" ref="AI999" display="Open in EEF" r:id="rId2240"/>
    <hyperlink xmlns:r="http://schemas.openxmlformats.org/officeDocument/2006/relationships" ref="AB1000" display="https://www.umlp.fr/sites/default/files/2026-07-02-page-droits-differencies-vf.pdf" r:id="rId2241"/>
    <hyperlink xmlns:r="http://schemas.openxmlformats.org/officeDocument/2006/relationships" ref="AI1000" display="Open in EEF" r:id="rId224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2243"/>
  </tableParts>
</worksheet>
</file>

<file path=xl/worksheets/sheet6.xml><?xml version="1.0" encoding="utf-8"?>
<worksheet xmlns="http://schemas.openxmlformats.org/spreadsheetml/2006/main">
  <sheetPr filterMode="0">
    <outlinePr summaryBelow="1" summaryRight="1"/>
    <pageSetUpPr fitToPage="0"/>
  </sheetPr>
  <dimension ref="A1:C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5" customWidth="1" style="18" min="1" max="1"/>
    <col width="100" customWidth="1" style="18" min="2" max="2"/>
    <col width="60" customWidth="1" style="18" min="3" max="3"/>
  </cols>
  <sheetData>
    <row r="1" ht="15" customHeight="1" s="19">
      <c r="A1" s="29" t="inlineStr">
        <is>
          <t>University / institution</t>
        </is>
      </c>
      <c r="B1" s="29" t="inlineStr">
        <is>
          <t>2026-27 policy for non-EU master students</t>
        </is>
      </c>
      <c r="C1" s="29" t="inlineStr">
        <is>
          <t>Official source</t>
        </is>
      </c>
    </row>
    <row r="2" ht="23.85" customHeight="1" s="19">
      <c r="A2" s="33" t="inlineStr">
        <is>
          <t>National rules 2026-27 (all public universities)</t>
        </is>
      </c>
      <c r="B2" s="21" t="inlineStr">
        <is>
          <t>Master: €3,950/yr non-EU (differentiated) · €254-255 EU/exempt. Licence €2,902. Doctorate €397 (no surcharge). Exemption cap 30% (2026-27), 25% (2027-28), 20% later. Exempted students in 2025-26 keep it to end of cycle.</t>
        </is>
      </c>
      <c r="C2" s="34" t="inlineStr">
        <is>
          <t>https://www.service-public.gouv.fr/particuliers/actualites/A18927</t>
        </is>
      </c>
    </row>
    <row r="3" ht="15" customHeight="1" s="19">
      <c r="A3" s="33" t="inlineStr">
        <is>
          <t>Institut Polytechnique de Paris (Polytechnique, ENSTA, Télécom Paris/SudParis, ENSAE)</t>
        </is>
      </c>
      <c r="B3" s="21" t="inlineStr">
        <is>
          <t>2026-27: national master €4,317 (non-EU), international-track master €7,148; EU €254.</t>
        </is>
      </c>
      <c r="C3" s="34" t="inlineStr">
        <is>
          <t>https://www.ip-paris.fr/sites/default/files/pages/documents/Masters/master-phd-track-registration-fees-EN-26-27%20(2).pdf</t>
        </is>
      </c>
    </row>
    <row r="4" ht="15" customHeight="1" s="19">
      <c r="A4" s="33" t="inlineStr">
        <is>
          <t>ISAE-SUPAERO Advanced Masters (MS)</t>
        </is>
      </c>
      <c r="B4" s="21" t="inlineStr">
        <is>
          <t>EMS Embedded Systems / SEN / TAS: €17,000 non-EU self-funded, €23,000 company-funded (2025-26).</t>
        </is>
      </c>
      <c r="C4" s="34" t="inlineStr">
        <is>
          <t>https://www.isae-supaero.fr/en/tuition-fees-fundings-for-the-advanced-master-programmes/</t>
        </is>
      </c>
    </row>
    <row r="5" ht="15" customHeight="1" s="19">
      <c r="A5" s="33" t="inlineStr">
        <is>
          <t>École polytechnique MSc&amp;T</t>
        </is>
      </c>
      <c r="B5" s="21" t="inlineStr">
        <is>
          <t>€15,500–19,200/yr depending on program; IoT fee not published.</t>
        </is>
      </c>
      <c r="C5" s="34" t="inlineStr">
        <is>
          <t>https://programmes.polytechnique.edu/en/master/admissions-msct/tuition-fees</t>
        </is>
      </c>
    </row>
    <row r="6" ht="15" customHeight="1" s="19">
      <c r="A6" s="33" t="inlineStr">
        <is>
          <t>Université Côte d'Azur MSc</t>
        </is>
      </c>
      <c r="B6" s="21" t="inlineStr">
        <is>
          <t>€5,000–5,500/yr for international students 2026-27 (catalogue).</t>
        </is>
      </c>
      <c r="C6" s="34" t="inlineStr">
        <is>
          <t>https://univ-cotedazur.eu/msc-programs</t>
        </is>
      </c>
    </row>
    <row r="7" ht="23.85" customHeight="1" s="19">
      <c r="A7" s="33" t="inlineStr">
        <is>
          <t>Sorbonne Université</t>
        </is>
      </c>
      <c r="B7" s="21" t="inlineStr">
        <is>
          <t>Board vote 7 Jul 2026: Sorbonne Université says it can exempt all eligible non-EU applicants (pay same as EU, ~€254) for 2026-27.</t>
        </is>
      </c>
      <c r="C7" s="34" t="inlineStr">
        <is>
          <t>https://www.sorbonne-universite.fr/actualites/le-conseil-dadministration-de-sorbonne-universite-vote-lunanimite-le-7-juillet-2026-sa</t>
        </is>
      </c>
    </row>
    <row r="8" ht="23.85" customHeight="1" s="19">
      <c r="A8" s="33" t="inlineStr">
        <is>
          <t>Université de Toulouse (incl. Paul Sabatier)</t>
        </is>
      </c>
      <c r="B8" s="21" t="inlineStr">
        <is>
          <t>Board decision (Feb 2026, pre-decree): partial exemption for ALL non-EU students subject to differentiated fees, until end of cycle. Re-check for 2027-28.</t>
        </is>
      </c>
      <c r="C8" s="34" t="inlineStr">
        <is>
          <t>https://www.utoulouse.fr/medias/fichier/2026-02-ca-075_1774430647495-pdf</t>
        </is>
      </c>
    </row>
    <row r="9" ht="23.85" customHeight="1" s="19">
      <c r="A9" s="33" t="inlineStr">
        <is>
          <t>Université Grenoble Alpes / Grenoble INP</t>
        </is>
      </c>
      <c r="B9" s="21" t="inlineStr">
        <is>
          <t>UGA (incl. Grenoble INP masters): 2026-27 broad exemptions on request (pay national €254). From 2027-28 the decree caps apply; exemptions based on resources.</t>
        </is>
      </c>
      <c r="C9" s="34" t="inlineStr">
        <is>
          <t>https://www.univ-grenoble-alpes.fr/actualites/a-la-une/actualites-universite/etudiants-internationaux-ce-que-change-le-nouveau-decret-sur-les-droits-d-inscription-a-l-uga-1775870.kjsp</t>
        </is>
      </c>
    </row>
    <row r="10" ht="23.85" customHeight="1" s="19">
      <c r="A10" s="33" t="inlineStr">
        <is>
          <t>Université de Lille</t>
        </is>
      </c>
      <c r="B10" s="21" t="inlineStr">
        <is>
          <t>Lille opposed the decree; continues exemptions for part of non-EU students (master €254 if exempted). Apply for exemption early.</t>
        </is>
      </c>
      <c r="C10" s="34" t="inlineStr">
        <is>
          <t>https://observalgerie.com/2026/06/13/misc/frais-dinscription-en-france-lille-maintient-un-avantage-pour-les-etudiants-etrangers/</t>
        </is>
      </c>
    </row>
    <row r="11" ht="23.85" customHeight="1" s="19">
      <c r="A11" s="33" t="inlineStr">
        <is>
          <t>Aix-Marseille Université</t>
        </is>
      </c>
      <c r="B11" s="21" t="inlineStr">
        <is>
          <t>AMU 2026-27: limited exemptions (≈1,800 of 5,500 students) – priority to continuing students, conflict zones, excellence scholarships. New master entrants usually pay €3,950.</t>
        </is>
      </c>
      <c r="C11" s="34" t="inlineStr">
        <is>
          <t>https://www.univ-amu.fr/fr/actualites/aix-marseille-universite-mobilise-pleinement-capacite-dexoneration-continuer-accueillir</t>
        </is>
      </c>
    </row>
    <row r="12" ht="15" customHeight="1" s="19">
      <c r="A12" s="33" t="inlineStr">
        <is>
          <t>Université de Strasbourg</t>
        </is>
      </c>
      <c r="B12" s="21" t="inlineStr">
        <is>
          <t>Unistra: master entrants who did not do their licence at Unistra pay the differentiated fee (€3,950).</t>
        </is>
      </c>
      <c r="C12" s="34" t="inlineStr">
        <is>
          <t>https://www.unistra.fr/fr/node/8168</t>
        </is>
      </c>
    </row>
    <row r="13" ht="15" customHeight="1" s="19">
      <c r="A13" s="33" t="inlineStr">
        <is>
          <t>Université de Montpellier</t>
        </is>
      </c>
      <c r="B13" s="21" t="inlineStr">
        <is>
          <t>Montpellier 2026-27: new non-EU entrants pay the differentiated fee unless individual exemption (limited).</t>
        </is>
      </c>
      <c r="C13" s="34" t="inlineStr">
        <is>
          <t>https://www.umontpellier.fr/en/international/etudier-a-letranger/etudiants-internationaux-annee-universitaire-2026-2027/</t>
        </is>
      </c>
    </row>
    <row r="14" ht="15" customHeight="1" s="19">
      <c r="A14" s="33" t="inlineStr">
        <is>
          <t>Université Claude Bernard Lyon 1</t>
        </is>
      </c>
      <c r="B14" s="21" t="inlineStr">
        <is>
          <t>Lyon 1: individual exemptions within the 30% quota (2026-27), apply via eCandidat.</t>
        </is>
      </c>
      <c r="C14" s="34" t="inlineStr">
        <is>
          <t>https://www.univ-lyon1.fr/formation/inscription-et-scolarite/etudiantes-et-etudiants-internationaux-droits-dinscription-differencies-et-exonerations</t>
        </is>
      </c>
    </row>
    <row r="15" ht="15" customHeight="1" s="19">
      <c r="A15" s="33" t="inlineStr">
        <is>
          <t>Université de Tours</t>
        </is>
      </c>
      <c r="B15" s="21" t="inlineStr">
        <is>
          <t>Tours: exemptions capped at 30% of non-EU students (2026-27); exempted students pay €255.</t>
        </is>
      </c>
      <c r="C15" s="34" t="inlineStr">
        <is>
          <t>https://www.univ-tours.fr/international/etudes-stages-a-tours/droits-dinscription-differencies-pour-les-etudiants-extra-communautaires-2026-2027</t>
        </is>
      </c>
    </row>
    <row r="16" ht="15" customHeight="1" s="19">
      <c r="A16" s="33" t="inlineStr">
        <is>
          <t>Université de Rouen Normandie</t>
        </is>
      </c>
      <c r="B16" s="21" t="inlineStr">
        <is>
          <t>Rouen: individual exemptions up to 30% quota, priority to social/economic hardship.</t>
        </is>
      </c>
      <c r="C16" s="34" t="inlineStr">
        <is>
          <t>https://www.univ-rouen.fr/actualites/application-des-droits-dinscription-differencies-a-luniversite-de-rouen-normandie-a-compter-de-la-rentree-universitaire-2026-2027/</t>
        </is>
      </c>
    </row>
    <row r="17" ht="15" customHeight="1" s="19">
      <c r="A17" s="33" t="inlineStr">
        <is>
          <t>Université Clermont Auvergne</t>
        </is>
      </c>
      <c r="B17" s="21" t="inlineStr">
        <is>
          <t>UCA board (Dec 2025) kept its partial-exemption framework for 2026-27 (pre-decree; re-check).</t>
        </is>
      </c>
      <c r="C17" s="34" t="inlineStr">
        <is>
          <t>https://www.uca.fr/medias/fichier/delib-ca-20251205-15-tarifs-differencies_1765204050111-pdf</t>
        </is>
      </c>
    </row>
    <row r="18" ht="23.85" customHeight="1" s="19">
      <c r="A18" s="33" t="inlineStr">
        <is>
          <t>Université Paris Cité</t>
        </is>
      </c>
      <c r="B18" s="21" t="inlineStr">
        <is>
          <t>Paris Cité historically exempted non-EU master students (paid EU rate). 2026-27/2027-28 policy not yet published – confirm.</t>
        </is>
      </c>
      <c r="C18" s="34" t="inlineStr">
        <is>
          <t>https://u-paris.fr/droits-dinscription-tarifs-exonerations/</t>
        </is>
      </c>
    </row>
    <row r="19" ht="15" customHeight="1" s="19">
      <c r="A19" s="33" t="inlineStr">
        <is>
          <t>Université Marie et Louis Pasteur</t>
        </is>
      </c>
      <c r="B19" s="21" t="inlineStr">
        <is>
          <t>UMLP: individual exemption requests assessed on personal resources.</t>
        </is>
      </c>
      <c r="C19" s="34" t="inlineStr">
        <is>
          <t>https://www.umlp.fr/sites/default/files/2026-07-02-page-droits-differencies-vf.pdf</t>
        </is>
      </c>
    </row>
    <row r="20" ht="15" customHeight="1" s="19">
      <c r="A20" s="33" t="inlineStr">
        <is>
          <t>Le Mans Université</t>
        </is>
      </c>
      <c r="B20" s="21" t="inlineStr">
        <is>
          <t>Le Mans governance formally opposed the decree; exemption policy not published.</t>
        </is>
      </c>
      <c r="C20" s="34" t="inlineStr">
        <is>
          <t>https://www.letudiant.fr/educpros/actualite/droits-d-inscription-majores-pour-les-etudiants-etrangers-pourquoi-l-application-du-decret-met-en-difficulte-de-nombreuses-universites.html</t>
        </is>
      </c>
    </row>
    <row r="21"/>
    <row r="22" ht="15" customHeight="1" s="19">
      <c r="A22" s="35" t="inlineStr">
        <is>
          <t>Universities not listed: assume €3,950/yr and ask for the exemption at application (quota-limited).</t>
        </is>
      </c>
    </row>
  </sheetData>
  <hyperlinks>
    <hyperlink xmlns:r="http://schemas.openxmlformats.org/officeDocument/2006/relationships" ref="C2" display="https://www.service-public.gouv.fr/particuliers/actualites/A18927" r:id="rId1"/>
    <hyperlink xmlns:r="http://schemas.openxmlformats.org/officeDocument/2006/relationships" ref="C3" display="https://www.ip-paris.fr/sites/default/files/pages/documents/Masters/master-phd-track-registration-fees-EN-26-27%20(2).pdf" r:id="rId2"/>
    <hyperlink xmlns:r="http://schemas.openxmlformats.org/officeDocument/2006/relationships" ref="C4" display="https://www.isae-supaero.fr/en/tuition-fees-fundings-for-the-advanced-master-programmes/" r:id="rId3"/>
    <hyperlink xmlns:r="http://schemas.openxmlformats.org/officeDocument/2006/relationships" ref="C5" display="https://programmes.polytechnique.edu/en/master/admissions-msct/tuition-fees" r:id="rId4"/>
    <hyperlink xmlns:r="http://schemas.openxmlformats.org/officeDocument/2006/relationships" ref="C6" display="https://univ-cotedazur.eu/msc-programs" r:id="rId5"/>
    <hyperlink xmlns:r="http://schemas.openxmlformats.org/officeDocument/2006/relationships" ref="C7" display="https://www.sorbonne-universite.fr/actualites/le-conseil-dadministration-de-sorbonne-universite-vote-lunanimite-le-7-juillet-2026-sa" r:id="rId6"/>
    <hyperlink xmlns:r="http://schemas.openxmlformats.org/officeDocument/2006/relationships" ref="C8" display="https://www.utoulouse.fr/medias/fichier/2026-02-ca-075_1774430647495-pdf" r:id="rId7"/>
    <hyperlink xmlns:r="http://schemas.openxmlformats.org/officeDocument/2006/relationships" ref="C9" display="https://www.univ-grenoble-alpes.fr/actualites/a-la-une/actualites-universite/etudiants-internationaux-ce-que-change-le-nouveau-decret-sur-les-droits-d-inscription-a-l-uga-1775870.kjsp" r:id="rId8"/>
    <hyperlink xmlns:r="http://schemas.openxmlformats.org/officeDocument/2006/relationships" ref="C10" display="https://observalgerie.com/2026/06/13/misc/frais-dinscription-en-france-lille-maintient-un-avantage-pour-les-etudiants-etrangers/" r:id="rId9"/>
    <hyperlink xmlns:r="http://schemas.openxmlformats.org/officeDocument/2006/relationships" ref="C11" display="https://www.univ-amu.fr/fr/actualites/aix-marseille-universite-mobilise-pleinement-capacite-dexoneration-continuer-accueillir" r:id="rId10"/>
    <hyperlink xmlns:r="http://schemas.openxmlformats.org/officeDocument/2006/relationships" ref="C12" display="https://www.unistra.fr/fr/node/8168" r:id="rId11"/>
    <hyperlink xmlns:r="http://schemas.openxmlformats.org/officeDocument/2006/relationships" ref="C13" display="https://www.umontpellier.fr/en/international/etudier-a-letranger/etudiants-internationaux-annee-universitaire-2026-2027/" r:id="rId12"/>
    <hyperlink xmlns:r="http://schemas.openxmlformats.org/officeDocument/2006/relationships" ref="C14" display="https://www.univ-lyon1.fr/formation/inscription-et-scolarite/etudiantes-et-etudiants-internationaux-droits-dinscription-differencies-et-exonerations" r:id="rId13"/>
    <hyperlink xmlns:r="http://schemas.openxmlformats.org/officeDocument/2006/relationships" ref="C15" display="https://www.univ-tours.fr/international/etudes-stages-a-tours/droits-dinscription-differencies-pour-les-etudiants-extra-communautaires-2026-2027" r:id="rId14"/>
    <hyperlink xmlns:r="http://schemas.openxmlformats.org/officeDocument/2006/relationships" ref="C16" display="https://www.univ-rouen.fr/actualites/application-des-droits-dinscription-differencies-a-luniversite-de-rouen-normandie-a-compter-de-la-rentree-universitaire-2026-2027/" r:id="rId15"/>
    <hyperlink xmlns:r="http://schemas.openxmlformats.org/officeDocument/2006/relationships" ref="C17" display="https://www.uca.fr/medias/fichier/delib-ca-20251205-15-tarifs-differencies_1765204050111-pdf" r:id="rId16"/>
    <hyperlink xmlns:r="http://schemas.openxmlformats.org/officeDocument/2006/relationships" ref="C18" display="https://u-paris.fr/droits-dinscription-tarifs-exonerations/" r:id="rId17"/>
    <hyperlink xmlns:r="http://schemas.openxmlformats.org/officeDocument/2006/relationships" ref="C19" display="https://www.umlp.fr/sites/default/files/2026-07-02-page-droits-differencies-vf.pdf" r:id="rId18"/>
    <hyperlink xmlns:r="http://schemas.openxmlformats.org/officeDocument/2006/relationships" ref="C20" display="https://www.letudiant.fr/educpros/actualite/droits-d-inscription-majores-pour-les-etudiants-etrangers-pourquoi-l-application-du-decret-met-en-difficulte-de-nombreuses-universites.html" r:id="rId19"/>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8" min="1" max="1"/>
    <col width="90" customWidth="1" style="18" min="2" max="2"/>
  </cols>
  <sheetData>
    <row r="1" ht="15" customHeight="1" s="19">
      <c r="A1" s="30" t="inlineStr">
        <is>
          <t>Études en France course catalogue (all program data, fees entered by schools)</t>
        </is>
      </c>
      <c r="B1" s="36" t="inlineStr">
        <is>
          <t>https://etudesenfrance.diplomatie.gouv.fr/catalogue-formations</t>
        </is>
      </c>
    </row>
    <row r="2" ht="15" customHeight="1" s="19">
      <c r="A2" s="30" t="inlineStr">
        <is>
          <t>Service-Public: 2026-27 fees &amp; decree 2026-385 exemption caps</t>
        </is>
      </c>
      <c r="B2" s="36" t="inlineStr">
        <is>
          <t>https://www.service-public.gouv.fr/particuliers/actualites/A18927</t>
        </is>
      </c>
    </row>
    <row r="3" ht="15" customHeight="1" s="19">
      <c r="A3" s="30" t="inlineStr">
        <is>
          <t>Université de Tours 2026-27 differentiated fees (3,950 / 255, 30% cap)</t>
        </is>
      </c>
      <c r="B3" s="36" t="inlineStr">
        <is>
          <t>https://www.univ-tours.fr/international/etudes-stages-a-tours/droits-dinscription-differencies-pour-les-etudiants-extra-communautaires-2026-2027</t>
        </is>
      </c>
    </row>
    <row r="4" ht="15" customHeight="1" s="19">
      <c r="A4" s="30" t="inlineStr">
        <is>
          <t>IP Paris 2026-27 master fees</t>
        </is>
      </c>
      <c r="B4" s="36" t="inlineStr">
        <is>
          <t>https://www.ip-paris.fr/sites/default/files/pages/documents/Masters/master-phd-track-registration-fees-EN-26-27%20(2).pdf</t>
        </is>
      </c>
    </row>
    <row r="5" ht="15" customHeight="1" s="19">
      <c r="A5" s="30" t="inlineStr">
        <is>
          <t>ISAE-SUPAERO Advanced Master fees</t>
        </is>
      </c>
      <c r="B5" s="36" t="inlineStr">
        <is>
          <t>https://www.isae-supaero.fr/en/tuition-fees-fundings-for-the-advanced-master-programmes/</t>
        </is>
      </c>
    </row>
    <row r="6" ht="15" customHeight="1" s="19">
      <c r="A6" s="30" t="inlineStr">
        <is>
          <t>École polytechnique MSc&amp;T fees</t>
        </is>
      </c>
      <c r="B6" s="36" t="inlineStr">
        <is>
          <t>https://programmes.polytechnique.edu/en/master/admissions-msct/tuition-fees</t>
        </is>
      </c>
    </row>
    <row r="7" ht="15" customHeight="1" s="19">
      <c r="A7" s="30" t="inlineStr">
        <is>
          <t>Mastersportal – Mines Saint-Étienne BMED fee</t>
        </is>
      </c>
      <c r="B7" s="36" t="inlineStr">
        <is>
          <t>https://www.mastersportal.com/studies/37462/biomedical-engineering-and-design.html</t>
        </is>
      </c>
    </row>
    <row r="8" ht="15" customHeight="1" s="19">
      <c r="A8" s="30" t="inlineStr">
        <is>
          <t>MoSIG / UGA tuition &amp; IDEX scholarships</t>
        </is>
      </c>
      <c r="B8" s="36" t="inlineStr">
        <is>
          <t>https://mosig.imag.fr/MainEn/Tuition</t>
        </is>
      </c>
    </row>
    <row r="9" ht="15" customHeight="1" s="19">
      <c r="A9" s="30" t="inlineStr">
        <is>
          <t>L'Etudiant – how universities are applying the decree</t>
        </is>
      </c>
      <c r="B9" s="36" t="inlineStr">
        <is>
          <t>https://www.letudiant.fr/educpros/actualite/droits-d-inscription-majores-pour-les-etudiants-etrangers-pourquoi-l-application-du-decret-met-en-difficulte-de-nombreuses-universites.html</t>
        </is>
      </c>
    </row>
    <row r="10" ht="15" customHeight="1" s="19">
      <c r="A10" s="30" t="inlineStr">
        <is>
          <t>Sorbonne Université</t>
        </is>
      </c>
      <c r="B10" s="36" t="inlineStr">
        <is>
          <t>https://www.sorbonne-universite.fr/actualites/le-conseil-dadministration-de-sorbonne-universite-vote-lunanimite-le-7-juillet-2026-sa</t>
        </is>
      </c>
    </row>
    <row r="11" ht="15" customHeight="1" s="19">
      <c r="A11" s="30" t="inlineStr">
        <is>
          <t>Université de Toulouse (incl. Paul Sabatier)</t>
        </is>
      </c>
      <c r="B11" s="36" t="inlineStr">
        <is>
          <t>https://www.utoulouse.fr/medias/fichier/2026-02-ca-075_1774430647495-pdf</t>
        </is>
      </c>
    </row>
    <row r="12" ht="15" customHeight="1" s="19">
      <c r="A12" s="30" t="inlineStr">
        <is>
          <t>Université Grenoble Alpes / Grenoble INP</t>
        </is>
      </c>
      <c r="B12" s="36" t="inlineStr">
        <is>
          <t>https://www.univ-grenoble-alpes.fr/actualites/a-la-une/actualites-universite/etudiants-internationaux-ce-que-change-le-nouveau-decret-sur-les-droits-d-inscription-a-l-uga-1775870.kjsp</t>
        </is>
      </c>
    </row>
    <row r="13" ht="15" customHeight="1" s="19">
      <c r="A13" s="30" t="inlineStr">
        <is>
          <t>Université de Lille</t>
        </is>
      </c>
      <c r="B13" s="36" t="inlineStr">
        <is>
          <t>https://observalgerie.com/2026/06/13/misc/frais-dinscription-en-france-lille-maintient-un-avantage-pour-les-etudiants-etrangers/</t>
        </is>
      </c>
    </row>
    <row r="14" ht="15" customHeight="1" s="19">
      <c r="A14" s="30" t="inlineStr">
        <is>
          <t>Aix-Marseille Université</t>
        </is>
      </c>
      <c r="B14" s="36" t="inlineStr">
        <is>
          <t>https://www.univ-amu.fr/fr/actualites/aix-marseille-universite-mobilise-pleinement-capacite-dexoneration-continuer-accueillir</t>
        </is>
      </c>
    </row>
    <row r="15" ht="15" customHeight="1" s="19">
      <c r="A15" s="30" t="inlineStr">
        <is>
          <t>Université de Strasbourg</t>
        </is>
      </c>
      <c r="B15" s="36" t="inlineStr">
        <is>
          <t>https://www.unistra.fr/fr/node/8168</t>
        </is>
      </c>
    </row>
    <row r="16" ht="15" customHeight="1" s="19">
      <c r="A16" s="30" t="inlineStr">
        <is>
          <t>Université de Montpellier</t>
        </is>
      </c>
      <c r="B16" s="36" t="inlineStr">
        <is>
          <t>https://www.umontpellier.fr/en/international/etudier-a-letranger/etudiants-internationaux-annee-universitaire-2026-2027/</t>
        </is>
      </c>
    </row>
    <row r="17" ht="15" customHeight="1" s="19">
      <c r="A17" s="30" t="inlineStr">
        <is>
          <t>Université Claude Bernard Lyon 1</t>
        </is>
      </c>
      <c r="B17" s="36" t="inlineStr">
        <is>
          <t>https://www.univ-lyon1.fr/formation/inscription-et-scolarite/etudiantes-et-etudiants-internationaux-droits-dinscription-differencies-et-exonerations</t>
        </is>
      </c>
    </row>
    <row r="18" ht="15" customHeight="1" s="19">
      <c r="A18" s="30" t="inlineStr">
        <is>
          <t>Université de Tours</t>
        </is>
      </c>
      <c r="B18" s="36" t="inlineStr">
        <is>
          <t>https://www.univ-tours.fr/international/etudes-stages-a-tours/droits-dinscription-differencies-pour-les-etudiants-extra-communautaires-2026-2027</t>
        </is>
      </c>
    </row>
    <row r="19" ht="15" customHeight="1" s="19">
      <c r="A19" s="30" t="inlineStr">
        <is>
          <t>Université de Rouen Normandie</t>
        </is>
      </c>
      <c r="B19" s="36" t="inlineStr">
        <is>
          <t>https://www.univ-rouen.fr/actualites/application-des-droits-dinscription-differencies-a-luniversite-de-rouen-normandie-a-compter-de-la-rentree-universitaire-2026-2027/</t>
        </is>
      </c>
    </row>
    <row r="20" ht="15" customHeight="1" s="19">
      <c r="A20" s="30" t="inlineStr">
        <is>
          <t>Université Clermont Auvergne</t>
        </is>
      </c>
      <c r="B20" s="36" t="inlineStr">
        <is>
          <t>https://www.uca.fr/medias/fichier/delib-ca-20251205-15-tarifs-differencies_1765204050111-pdf</t>
        </is>
      </c>
    </row>
    <row r="21" ht="15" customHeight="1" s="19">
      <c r="A21" s="30" t="inlineStr">
        <is>
          <t>Université Paris Cité</t>
        </is>
      </c>
      <c r="B21" s="36" t="inlineStr">
        <is>
          <t>https://u-paris.fr/droits-dinscription-tarifs-exonerations/</t>
        </is>
      </c>
    </row>
    <row r="22" ht="15" customHeight="1" s="19">
      <c r="A22" s="30" t="inlineStr">
        <is>
          <t>Université Marie et Louis Pasteur</t>
        </is>
      </c>
      <c r="B22" s="36" t="inlineStr">
        <is>
          <t>https://www.umlp.fr/sites/default/files/2026-07-02-page-droits-differencies-vf.pdf</t>
        </is>
      </c>
    </row>
    <row r="23" ht="15" customHeight="1" s="19">
      <c r="A23" s="30" t="inlineStr">
        <is>
          <t>Le Mans Université</t>
        </is>
      </c>
      <c r="B23" s="36" t="inlineStr">
        <is>
          <t>https://www.letudiant.fr/educpros/actualite/droits-d-inscription-majores-pour-les-etudiants-etrangers-pourquoi-l-application-du-decret-met-en-difficulte-de-nombreuses-universites.html</t>
        </is>
      </c>
    </row>
  </sheetData>
  <hyperlinks>
    <hyperlink xmlns:r="http://schemas.openxmlformats.org/officeDocument/2006/relationships" ref="B1" display="https://etudesenfrance.diplomatie.gouv.fr/catalogue-formations" r:id="rId1"/>
    <hyperlink xmlns:r="http://schemas.openxmlformats.org/officeDocument/2006/relationships" ref="B2" display="https://www.service-public.gouv.fr/particuliers/actualites/A18927" r:id="rId2"/>
    <hyperlink xmlns:r="http://schemas.openxmlformats.org/officeDocument/2006/relationships" ref="B3" display="https://www.univ-tours.fr/international/etudes-stages-a-tours/droits-dinscription-differencies-pour-les-etudiants-extra-communautaires-2026-2027" r:id="rId3"/>
    <hyperlink xmlns:r="http://schemas.openxmlformats.org/officeDocument/2006/relationships" ref="B4" display="https://www.ip-paris.fr/sites/default/files/pages/documents/Masters/master-phd-track-registration-fees-EN-26-27%20(2).pdf" r:id="rId4"/>
    <hyperlink xmlns:r="http://schemas.openxmlformats.org/officeDocument/2006/relationships" ref="B5" display="https://www.isae-supaero.fr/en/tuition-fees-fundings-for-the-advanced-master-programmes/" r:id="rId5"/>
    <hyperlink xmlns:r="http://schemas.openxmlformats.org/officeDocument/2006/relationships" ref="B6" display="https://programmes.polytechnique.edu/en/master/admissions-msct/tuition-fees" r:id="rId6"/>
    <hyperlink xmlns:r="http://schemas.openxmlformats.org/officeDocument/2006/relationships" ref="B7" display="https://www.mastersportal.com/studies/37462/biomedical-engineering-and-design.html" r:id="rId7"/>
    <hyperlink xmlns:r="http://schemas.openxmlformats.org/officeDocument/2006/relationships" ref="B8" display="https://mosig.imag.fr/MainEn/Tuition" r:id="rId8"/>
    <hyperlink xmlns:r="http://schemas.openxmlformats.org/officeDocument/2006/relationships" ref="B9" display="https://www.letudiant.fr/educpros/actualite/droits-d-inscription-majores-pour-les-etudiants-etrangers-pourquoi-l-application-du-decret-met-en-difficulte-de-nombreuses-universites.html" r:id="rId9"/>
    <hyperlink xmlns:r="http://schemas.openxmlformats.org/officeDocument/2006/relationships" ref="B10" display="https://www.sorbonne-universite.fr/actualites/le-conseil-dadministration-de-sorbonne-universite-vote-lunanimite-le-7-juillet-2026-sa" r:id="rId10"/>
    <hyperlink xmlns:r="http://schemas.openxmlformats.org/officeDocument/2006/relationships" ref="B11" display="https://www.utoulouse.fr/medias/fichier/2026-02-ca-075_1774430647495-pdf" r:id="rId11"/>
    <hyperlink xmlns:r="http://schemas.openxmlformats.org/officeDocument/2006/relationships" ref="B12" display="https://www.univ-grenoble-alpes.fr/actualites/a-la-une/actualites-universite/etudiants-internationaux-ce-que-change-le-nouveau-decret-sur-les-droits-d-inscription-a-l-uga-1775870.kjsp" r:id="rId12"/>
    <hyperlink xmlns:r="http://schemas.openxmlformats.org/officeDocument/2006/relationships" ref="B13" display="https://observalgerie.com/2026/06/13/misc/frais-dinscription-en-france-lille-maintient-un-avantage-pour-les-etudiants-etrangers/" r:id="rId13"/>
    <hyperlink xmlns:r="http://schemas.openxmlformats.org/officeDocument/2006/relationships" ref="B14" display="https://www.univ-amu.fr/fr/actualites/aix-marseille-universite-mobilise-pleinement-capacite-dexoneration-continuer-accueillir" r:id="rId14"/>
    <hyperlink xmlns:r="http://schemas.openxmlformats.org/officeDocument/2006/relationships" ref="B15" display="https://www.unistra.fr/fr/node/8168" r:id="rId15"/>
    <hyperlink xmlns:r="http://schemas.openxmlformats.org/officeDocument/2006/relationships" ref="B16" display="https://www.umontpellier.fr/en/international/etudier-a-letranger/etudiants-internationaux-annee-universitaire-2026-2027/" r:id="rId16"/>
    <hyperlink xmlns:r="http://schemas.openxmlformats.org/officeDocument/2006/relationships" ref="B17" display="https://www.univ-lyon1.fr/formation/inscription-et-scolarite/etudiantes-et-etudiants-internationaux-droits-dinscription-differencies-et-exonerations" r:id="rId17"/>
    <hyperlink xmlns:r="http://schemas.openxmlformats.org/officeDocument/2006/relationships" ref="B18" display="https://www.univ-tours.fr/international/etudes-stages-a-tours/droits-dinscription-differencies-pour-les-etudiants-extra-communautaires-2026-2027" r:id="rId18"/>
    <hyperlink xmlns:r="http://schemas.openxmlformats.org/officeDocument/2006/relationships" ref="B19" display="https://www.univ-rouen.fr/actualites/application-des-droits-dinscription-differencies-a-luniversite-de-rouen-normandie-a-compter-de-la-rentree-universitaire-2026-2027/" r:id="rId19"/>
    <hyperlink xmlns:r="http://schemas.openxmlformats.org/officeDocument/2006/relationships" ref="B20" display="https://www.uca.fr/medias/fichier/delib-ca-20251205-15-tarifs-differencies_1765204050111-pdf" r:id="rId20"/>
    <hyperlink xmlns:r="http://schemas.openxmlformats.org/officeDocument/2006/relationships" ref="B21" display="https://u-paris.fr/droits-dinscription-tarifs-exonerations/" r:id="rId21"/>
    <hyperlink xmlns:r="http://schemas.openxmlformats.org/officeDocument/2006/relationships" ref="B22" display="https://www.umlp.fr/sites/default/files/2026-07-02-page-droits-differencies-vf.pdf" r:id="rId22"/>
    <hyperlink xmlns:r="http://schemas.openxmlformats.org/officeDocument/2006/relationships" ref="B23" display="https://www.letudiant.fr/educpros/actualite/droits-d-inscription-majores-pour-les-etudiants-etrangers-pourquoi-l-application-du-decret-met-en-difficulte-de-nombreuses-universites.html" r:id="rId23"/>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2026-10-09T14:54:01Z</dcterms:created>
  <dcterms:modified xmlns:dcterms="http://purl.org/dc/terms/" xmlns:xsi="http://www.w3.org/2001/XMLSchema-instance" xsi:type="dcterms:W3CDTF">2026-10-09T15:59:49Z</dcterms:modified>
  <cp:revision>0</cp:revision>
</cp:coreProperties>
</file>